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/>
  <bookViews>
    <workbookView xWindow="240" yWindow="120" windowWidth="24795" windowHeight="11760"/>
  </bookViews>
  <sheets>
    <sheet name="Expected Standings" sheetId="3" r:id="rId1"/>
    <sheet name="Raw" sheetId="1" r:id="rId2"/>
    <sheet name="Post" sheetId="2" r:id="rId3"/>
  </sheets>
  <definedNames>
    <definedName name="solver_adj" localSheetId="0" hidden="1">'Expected Standings'!$N$1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'Expected Standings'!$N$1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'Expected Standings'!$O$1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1.5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44315"/>
</workbook>
</file>

<file path=xl/calcChain.xml><?xml version="1.0" encoding="utf-8"?>
<calcChain xmlns="http://schemas.openxmlformats.org/spreadsheetml/2006/main">
  <c r="B52" i="2" l="1"/>
  <c r="B51" i="2"/>
  <c r="B50" i="2"/>
  <c r="B49" i="2"/>
  <c r="B48" i="2"/>
  <c r="B46" i="2"/>
  <c r="B45" i="2"/>
  <c r="B44" i="2"/>
  <c r="B43" i="2"/>
  <c r="B42" i="2"/>
  <c r="B40" i="2"/>
  <c r="B39" i="2"/>
  <c r="B38" i="2"/>
  <c r="B37" i="2"/>
  <c r="B36" i="2"/>
  <c r="B34" i="2"/>
  <c r="B33" i="2"/>
  <c r="B32" i="2"/>
  <c r="B31" i="2"/>
  <c r="B30" i="2"/>
  <c r="B79" i="2"/>
  <c r="B78" i="2"/>
  <c r="B77" i="2"/>
  <c r="B76" i="2"/>
  <c r="B75" i="2"/>
  <c r="B73" i="2"/>
  <c r="B72" i="2"/>
  <c r="B71" i="2"/>
  <c r="B70" i="2"/>
  <c r="B69" i="2"/>
  <c r="B67" i="2"/>
  <c r="B66" i="2"/>
  <c r="B65" i="2"/>
  <c r="B64" i="2"/>
  <c r="B63" i="2"/>
  <c r="B61" i="2"/>
  <c r="B60" i="2"/>
  <c r="B59" i="2"/>
  <c r="B58" i="2"/>
  <c r="B57" i="2"/>
  <c r="B106" i="2"/>
  <c r="B105" i="2"/>
  <c r="B104" i="2"/>
  <c r="B103" i="2"/>
  <c r="B102" i="2"/>
  <c r="B100" i="2"/>
  <c r="B99" i="2"/>
  <c r="B98" i="2"/>
  <c r="B97" i="2"/>
  <c r="B96" i="2"/>
  <c r="B94" i="2"/>
  <c r="B93" i="2"/>
  <c r="B92" i="2"/>
  <c r="B91" i="2"/>
  <c r="B90" i="2"/>
  <c r="B88" i="2"/>
  <c r="B87" i="2"/>
  <c r="B86" i="2"/>
  <c r="B85" i="2"/>
  <c r="B84" i="2"/>
  <c r="BC106" i="2"/>
  <c r="BC104" i="2"/>
  <c r="BC102" i="2"/>
  <c r="BC107" i="2"/>
  <c r="DB107" i="2"/>
  <c r="DA107" i="2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160" i="2"/>
  <c r="E160" i="2"/>
  <c r="D160" i="2"/>
  <c r="C160" i="2"/>
  <c r="B160" i="2"/>
  <c r="F159" i="2"/>
  <c r="E159" i="2"/>
  <c r="D159" i="2"/>
  <c r="C159" i="2"/>
  <c r="B159" i="2"/>
  <c r="F158" i="2"/>
  <c r="E158" i="2"/>
  <c r="D158" i="2"/>
  <c r="C158" i="2"/>
  <c r="B158" i="2"/>
  <c r="F157" i="2"/>
  <c r="E157" i="2"/>
  <c r="D157" i="2"/>
  <c r="C157" i="2"/>
  <c r="B157" i="2"/>
  <c r="F156" i="2"/>
  <c r="E156" i="2"/>
  <c r="D156" i="2"/>
  <c r="C156" i="2"/>
  <c r="B156" i="2"/>
  <c r="F154" i="2"/>
  <c r="E154" i="2"/>
  <c r="D154" i="2"/>
  <c r="C154" i="2"/>
  <c r="B154" i="2"/>
  <c r="F153" i="2"/>
  <c r="E153" i="2"/>
  <c r="D153" i="2"/>
  <c r="C153" i="2"/>
  <c r="B153" i="2"/>
  <c r="F152" i="2"/>
  <c r="E152" i="2"/>
  <c r="D152" i="2"/>
  <c r="C152" i="2"/>
  <c r="B152" i="2"/>
  <c r="F151" i="2"/>
  <c r="E151" i="2"/>
  <c r="D151" i="2"/>
  <c r="C151" i="2"/>
  <c r="B151" i="2"/>
  <c r="F150" i="2"/>
  <c r="E150" i="2"/>
  <c r="D150" i="2"/>
  <c r="C150" i="2"/>
  <c r="B150" i="2"/>
  <c r="F148" i="2"/>
  <c r="E148" i="2"/>
  <c r="D148" i="2"/>
  <c r="C148" i="2"/>
  <c r="B148" i="2"/>
  <c r="F147" i="2"/>
  <c r="E147" i="2"/>
  <c r="D147" i="2"/>
  <c r="C147" i="2"/>
  <c r="B147" i="2"/>
  <c r="F146" i="2"/>
  <c r="E146" i="2"/>
  <c r="D146" i="2"/>
  <c r="C146" i="2"/>
  <c r="B146" i="2"/>
  <c r="F145" i="2"/>
  <c r="E145" i="2"/>
  <c r="D145" i="2"/>
  <c r="C145" i="2"/>
  <c r="B145" i="2"/>
  <c r="F144" i="2"/>
  <c r="E144" i="2"/>
  <c r="D144" i="2"/>
  <c r="C144" i="2"/>
  <c r="B144" i="2"/>
  <c r="F142" i="2"/>
  <c r="E142" i="2"/>
  <c r="D142" i="2"/>
  <c r="C142" i="2"/>
  <c r="B142" i="2"/>
  <c r="F141" i="2"/>
  <c r="E141" i="2"/>
  <c r="D141" i="2"/>
  <c r="C141" i="2"/>
  <c r="B141" i="2"/>
  <c r="F140" i="2"/>
  <c r="E140" i="2"/>
  <c r="D140" i="2"/>
  <c r="C140" i="2"/>
  <c r="B140" i="2"/>
  <c r="F139" i="2"/>
  <c r="E139" i="2"/>
  <c r="D139" i="2"/>
  <c r="C139" i="2"/>
  <c r="B139" i="2"/>
  <c r="F138" i="2"/>
  <c r="E138" i="2"/>
  <c r="D138" i="2"/>
  <c r="C138" i="2"/>
  <c r="B138" i="2"/>
  <c r="F133" i="2"/>
  <c r="E133" i="2"/>
  <c r="D133" i="2"/>
  <c r="C133" i="2"/>
  <c r="B133" i="2"/>
  <c r="F132" i="2"/>
  <c r="E132" i="2"/>
  <c r="D132" i="2"/>
  <c r="C132" i="2"/>
  <c r="B132" i="2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B129" i="2"/>
  <c r="F127" i="2"/>
  <c r="E127" i="2"/>
  <c r="D127" i="2"/>
  <c r="C127" i="2"/>
  <c r="B127" i="2"/>
  <c r="F126" i="2"/>
  <c r="E126" i="2"/>
  <c r="D126" i="2"/>
  <c r="C126" i="2"/>
  <c r="B126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O1" i="3" l="1"/>
</calcChain>
</file>

<file path=xl/sharedStrings.xml><?xml version="1.0" encoding="utf-8"?>
<sst xmlns="http://schemas.openxmlformats.org/spreadsheetml/2006/main" count="4289" uniqueCount="61">
  <si>
    <t>Team</t>
  </si>
  <si>
    <t>W</t>
  </si>
  <si>
    <t>L</t>
  </si>
  <si>
    <t>Pct</t>
  </si>
  <si>
    <t>GB</t>
  </si>
  <si>
    <t>RF</t>
  </si>
  <si>
    <t>RA</t>
  </si>
  <si>
    <t>Mgn</t>
  </si>
  <si>
    <t>Barcelona Brewers</t>
  </si>
  <si>
    <t>-</t>
  </si>
  <si>
    <t>Ferdinand Magellans</t>
  </si>
  <si>
    <t>Ferlin Huskies</t>
  </si>
  <si>
    <t>Tewksbury Bobs</t>
  </si>
  <si>
    <t>Felldownhead Firsts</t>
  </si>
  <si>
    <t>McCullers Lancers</t>
  </si>
  <si>
    <t>Newport Never Nudes</t>
  </si>
  <si>
    <t>Rocky Mountain Oysters</t>
  </si>
  <si>
    <t>Cincinnati Reds</t>
  </si>
  <si>
    <t>Fallkirk Frightened Rabbit</t>
  </si>
  <si>
    <t>Chinatrust Whales</t>
  </si>
  <si>
    <t>Garmisch-Parten Shebazzle!</t>
  </si>
  <si>
    <t>Century Atoms</t>
  </si>
  <si>
    <t>Tarboro Goobers</t>
  </si>
  <si>
    <t>Okoboji Cropdusters</t>
  </si>
  <si>
    <t>Baraboo GoiterMen</t>
  </si>
  <si>
    <t>Evanston Endorphins</t>
  </si>
  <si>
    <t>Dún Laoghaire Messiahs</t>
  </si>
  <si>
    <t>Newfoundland Perfectos</t>
  </si>
  <si>
    <t>French Lick Linguists</t>
  </si>
  <si>
    <t>Div</t>
  </si>
  <si>
    <t>Jumping</t>
  </si>
  <si>
    <t>Cruise</t>
  </si>
  <si>
    <t>Barcelona</t>
  </si>
  <si>
    <t>Goodbye</t>
  </si>
  <si>
    <t>Sim#</t>
  </si>
  <si>
    <t>WINS</t>
  </si>
  <si>
    <t>RUNS SCORED</t>
  </si>
  <si>
    <t>RUNS ALLOWED</t>
  </si>
  <si>
    <t>AVG</t>
  </si>
  <si>
    <t>MED</t>
  </si>
  <si>
    <t>MAX</t>
  </si>
  <si>
    <t>MIN</t>
  </si>
  <si>
    <t>STDEV</t>
  </si>
  <si>
    <t>BYES</t>
  </si>
  <si>
    <t>DIVISIONS</t>
  </si>
  <si>
    <t>WILD CARDS</t>
  </si>
  <si>
    <t>Wins</t>
  </si>
  <si>
    <t>Losses</t>
  </si>
  <si>
    <t>Error</t>
  </si>
  <si>
    <t>W/C</t>
  </si>
  <si>
    <t>DIV</t>
  </si>
  <si>
    <t>BYE</t>
  </si>
  <si>
    <t>Total</t>
  </si>
  <si>
    <t>RS/g</t>
  </si>
  <si>
    <t>RA/g</t>
  </si>
  <si>
    <t>Diff</t>
  </si>
  <si>
    <t>±</t>
  </si>
  <si>
    <t>Pythagorean</t>
  </si>
  <si>
    <t>Postseason Appearances</t>
  </si>
  <si>
    <t>Averages ± Standard Deviations</t>
  </si>
  <si>
    <t>SEVEN MORE MINUTES -- 100 SIMULATIONS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</si>
</sst>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0.000"/>
    <numFmt numFmtId="167" formatCode="0.0"/>
    <numFmt numFmtId="168" formatCode="#,##0.0"/>
    <numFmt numFmtId="171" formatCode="#.0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theme="5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0" borderId="1" xfId="0" applyNumberFormat="1" applyFont="1" applyBorder="1"/>
    <xf numFmtId="168" fontId="1" fillId="2" borderId="1" xfId="0" applyNumberFormat="1" applyFont="1" applyFill="1" applyBorder="1" applyAlignment="1">
      <alignment horizontal="right"/>
    </xf>
    <xf numFmtId="168" fontId="1" fillId="0" borderId="1" xfId="0" applyNumberFormat="1" applyFont="1" applyBorder="1" applyAlignment="1">
      <alignment horizontal="left"/>
    </xf>
    <xf numFmtId="168" fontId="0" fillId="0" borderId="0" xfId="0" applyNumberFormat="1" applyAlignment="1"/>
    <xf numFmtId="168" fontId="0" fillId="0" borderId="0" xfId="0" applyNumberFormat="1"/>
    <xf numFmtId="3" fontId="1" fillId="2" borderId="1" xfId="0" applyNumberFormat="1" applyFont="1" applyFill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3" fontId="0" fillId="0" borderId="0" xfId="0" applyNumberFormat="1"/>
    <xf numFmtId="0" fontId="0" fillId="3" borderId="0" xfId="0" applyNumberFormat="1" applyFill="1"/>
    <xf numFmtId="0" fontId="0" fillId="0" borderId="0" xfId="0" applyFont="1"/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right"/>
    </xf>
    <xf numFmtId="0" fontId="0" fillId="6" borderId="0" xfId="0" applyFont="1" applyFill="1"/>
    <xf numFmtId="167" fontId="0" fillId="0" borderId="0" xfId="0" applyNumberFormat="1" applyFont="1" applyBorder="1" applyAlignment="1"/>
    <xf numFmtId="167" fontId="0" fillId="0" borderId="0" xfId="0" applyNumberFormat="1" applyFont="1" applyBorder="1" applyAlignment="1">
      <alignment horizontal="center"/>
    </xf>
    <xf numFmtId="168" fontId="0" fillId="0" borderId="0" xfId="0" applyNumberFormat="1" applyFont="1" applyBorder="1" applyAlignment="1"/>
    <xf numFmtId="166" fontId="0" fillId="0" borderId="0" xfId="0" applyNumberFormat="1" applyFont="1" applyBorder="1" applyAlignment="1"/>
    <xf numFmtId="2" fontId="0" fillId="0" borderId="0" xfId="0" applyNumberFormat="1" applyFont="1" applyBorder="1" applyAlignment="1"/>
    <xf numFmtId="4" fontId="0" fillId="0" borderId="0" xfId="0" applyNumberFormat="1" applyFont="1" applyBorder="1" applyAlignment="1"/>
    <xf numFmtId="167" fontId="0" fillId="4" borderId="0" xfId="0" applyNumberFormat="1" applyFont="1" applyFill="1" applyBorder="1" applyAlignment="1"/>
    <xf numFmtId="167" fontId="0" fillId="4" borderId="0" xfId="0" applyNumberFormat="1" applyFont="1" applyFill="1" applyBorder="1" applyAlignment="1">
      <alignment horizontal="center"/>
    </xf>
    <xf numFmtId="168" fontId="0" fillId="4" borderId="0" xfId="0" applyNumberFormat="1" applyFont="1" applyFill="1" applyBorder="1" applyAlignment="1"/>
    <xf numFmtId="166" fontId="0" fillId="4" borderId="0" xfId="0" applyNumberFormat="1" applyFont="1" applyFill="1" applyBorder="1" applyAlignment="1"/>
    <xf numFmtId="2" fontId="0" fillId="4" borderId="0" xfId="0" applyNumberFormat="1" applyFont="1" applyFill="1" applyBorder="1" applyAlignment="1"/>
    <xf numFmtId="4" fontId="0" fillId="4" borderId="0" xfId="0" applyNumberFormat="1" applyFont="1" applyFill="1" applyBorder="1" applyAlignment="1"/>
    <xf numFmtId="0" fontId="2" fillId="6" borderId="0" xfId="0" applyFont="1" applyFill="1" applyBorder="1" applyAlignment="1">
      <alignment horizontal="center"/>
    </xf>
    <xf numFmtId="0" fontId="0" fillId="5" borderId="0" xfId="0" applyFont="1" applyFill="1" applyBorder="1"/>
    <xf numFmtId="166" fontId="4" fillId="5" borderId="0" xfId="0" applyNumberFormat="1" applyFont="1" applyFill="1" applyBorder="1"/>
    <xf numFmtId="167" fontId="4" fillId="5" borderId="0" xfId="0" applyNumberFormat="1" applyFont="1" applyFill="1" applyBorder="1"/>
    <xf numFmtId="0" fontId="2" fillId="6" borderId="0" xfId="0" applyFont="1" applyFill="1" applyBorder="1"/>
    <xf numFmtId="0" fontId="3" fillId="6" borderId="0" xfId="0" applyFont="1" applyFill="1" applyBorder="1"/>
    <xf numFmtId="0" fontId="0" fillId="0" borderId="0" xfId="0" applyFont="1" applyBorder="1" applyAlignment="1">
      <alignment horizontal="left" indent="1"/>
    </xf>
    <xf numFmtId="0" fontId="0" fillId="4" borderId="0" xfId="0" applyFont="1" applyFill="1" applyBorder="1" applyAlignment="1">
      <alignment horizontal="left" indent="1"/>
    </xf>
    <xf numFmtId="0" fontId="2" fillId="6" borderId="3" xfId="0" applyFont="1" applyFill="1" applyBorder="1" applyAlignment="1">
      <alignment horizontal="center"/>
    </xf>
    <xf numFmtId="0" fontId="5" fillId="5" borderId="0" xfId="0" applyFont="1" applyFill="1" applyBorder="1"/>
    <xf numFmtId="171" fontId="0" fillId="0" borderId="0" xfId="0" applyNumberFormat="1" applyFont="1" applyBorder="1" applyAlignment="1"/>
    <xf numFmtId="171" fontId="0" fillId="4" borderId="0" xfId="0" applyNumberFormat="1" applyFont="1" applyFill="1" applyBorder="1" applyAlignment="1"/>
    <xf numFmtId="171" fontId="1" fillId="3" borderId="0" xfId="0" applyNumberFormat="1" applyFont="1" applyFill="1" applyBorder="1" applyAlignmen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theme="5" tint="0.39994506668294322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>
      <selection activeCell="R3" sqref="R3"/>
    </sheetView>
  </sheetViews>
  <sheetFormatPr defaultRowHeight="15" x14ac:dyDescent="0.25"/>
  <cols>
    <col min="1" max="1" width="27.5703125" style="16" bestFit="1" customWidth="1"/>
    <col min="2" max="2" width="9.140625" style="16" customWidth="1"/>
    <col min="3" max="3" width="2" style="16" bestFit="1" customWidth="1"/>
    <col min="4" max="4" width="3.5703125" style="16" bestFit="1" customWidth="1"/>
    <col min="5" max="5" width="9.140625" style="16" customWidth="1"/>
    <col min="6" max="6" width="9.140625" style="16"/>
    <col min="7" max="7" width="9.140625" style="16" customWidth="1"/>
    <col min="8" max="8" width="2" style="16" bestFit="1" customWidth="1"/>
    <col min="9" max="9" width="4.5703125" style="16" bestFit="1" customWidth="1"/>
    <col min="10" max="10" width="9.140625" style="16" customWidth="1"/>
    <col min="11" max="11" width="2" style="16" bestFit="1" customWidth="1"/>
    <col min="12" max="12" width="4.5703125" style="16" bestFit="1" customWidth="1"/>
    <col min="13" max="19" width="9.140625" style="16"/>
    <col min="20" max="20" width="2.85546875" style="16" customWidth="1"/>
    <col min="21" max="16384" width="9.140625" style="16"/>
  </cols>
  <sheetData>
    <row r="1" spans="1:20" ht="21" x14ac:dyDescent="0.35">
      <c r="A1" s="46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>
        <v>2.0103937873389963</v>
      </c>
      <c r="O1" s="40">
        <f>SUM(O5:O27)</f>
        <v>44.357419835552726</v>
      </c>
      <c r="P1" s="38"/>
      <c r="Q1" s="38"/>
      <c r="R1" s="38"/>
      <c r="S1" s="38"/>
      <c r="T1" s="24"/>
    </row>
    <row r="2" spans="1:20" x14ac:dyDescent="0.25">
      <c r="A2" s="41"/>
      <c r="B2" s="19" t="s">
        <v>59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37" t="s">
        <v>57</v>
      </c>
      <c r="O2" s="37"/>
      <c r="P2" s="19" t="s">
        <v>58</v>
      </c>
      <c r="Q2" s="19"/>
      <c r="R2" s="19"/>
      <c r="S2" s="19"/>
      <c r="T2" s="24"/>
    </row>
    <row r="3" spans="1:20" x14ac:dyDescent="0.25">
      <c r="A3" s="42"/>
      <c r="B3" s="45" t="s">
        <v>46</v>
      </c>
      <c r="C3" s="22"/>
      <c r="D3" s="22"/>
      <c r="E3" s="21" t="s">
        <v>47</v>
      </c>
      <c r="F3" s="21" t="s">
        <v>3</v>
      </c>
      <c r="G3" s="22" t="s">
        <v>53</v>
      </c>
      <c r="H3" s="22"/>
      <c r="I3" s="22"/>
      <c r="J3" s="22" t="s">
        <v>54</v>
      </c>
      <c r="K3" s="22"/>
      <c r="L3" s="22"/>
      <c r="M3" s="23" t="s">
        <v>55</v>
      </c>
      <c r="N3" s="20" t="s">
        <v>3</v>
      </c>
      <c r="O3" s="23" t="s">
        <v>48</v>
      </c>
      <c r="P3" s="20" t="s">
        <v>51</v>
      </c>
      <c r="Q3" s="21" t="s">
        <v>50</v>
      </c>
      <c r="R3" s="21" t="s">
        <v>49</v>
      </c>
      <c r="S3" s="21" t="s">
        <v>52</v>
      </c>
      <c r="T3" s="24"/>
    </row>
    <row r="4" spans="1:20" x14ac:dyDescent="0.25">
      <c r="A4" s="17" t="s">
        <v>32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24"/>
    </row>
    <row r="5" spans="1:20" x14ac:dyDescent="0.25">
      <c r="A5" s="43" t="s">
        <v>19</v>
      </c>
      <c r="B5" s="25">
        <v>107.93</v>
      </c>
      <c r="C5" s="26" t="s">
        <v>56</v>
      </c>
      <c r="D5" s="27">
        <v>6.0054772979137594</v>
      </c>
      <c r="E5" s="25">
        <v>54.069999999999993</v>
      </c>
      <c r="F5" s="28">
        <v>0.66623456790123459</v>
      </c>
      <c r="G5" s="29">
        <v>6.4572839506172839</v>
      </c>
      <c r="H5" s="26" t="s">
        <v>56</v>
      </c>
      <c r="I5" s="30">
        <v>0.29943709869216978</v>
      </c>
      <c r="J5" s="29">
        <v>4.6758641975308644</v>
      </c>
      <c r="K5" s="26" t="s">
        <v>56</v>
      </c>
      <c r="L5" s="30">
        <v>0.26869350554163218</v>
      </c>
      <c r="M5" s="25">
        <v>1.7814197530864195</v>
      </c>
      <c r="N5" s="28">
        <v>0.65677259930160292</v>
      </c>
      <c r="O5" s="25">
        <v>2.349595133637254</v>
      </c>
      <c r="P5" s="47">
        <v>73</v>
      </c>
      <c r="Q5" s="47">
        <v>24</v>
      </c>
      <c r="R5" s="47">
        <v>2</v>
      </c>
      <c r="S5" s="47">
        <v>99</v>
      </c>
      <c r="T5" s="24"/>
    </row>
    <row r="6" spans="1:20" x14ac:dyDescent="0.25">
      <c r="A6" s="44" t="s">
        <v>20</v>
      </c>
      <c r="B6" s="31">
        <v>94.32</v>
      </c>
      <c r="C6" s="32" t="s">
        <v>56</v>
      </c>
      <c r="D6" s="33">
        <v>6.0333751882023856</v>
      </c>
      <c r="E6" s="31">
        <v>67.680000000000007</v>
      </c>
      <c r="F6" s="34">
        <v>0.5822222222222222</v>
      </c>
      <c r="G6" s="35">
        <v>5.9504320987654324</v>
      </c>
      <c r="H6" s="32" t="s">
        <v>56</v>
      </c>
      <c r="I6" s="36">
        <v>0.27445597327598409</v>
      </c>
      <c r="J6" s="35">
        <v>5.0568518518518522</v>
      </c>
      <c r="K6" s="32" t="s">
        <v>56</v>
      </c>
      <c r="L6" s="36">
        <v>0.23721651499833016</v>
      </c>
      <c r="M6" s="31">
        <v>0.89358024691358029</v>
      </c>
      <c r="N6" s="34">
        <v>0.58106106841724059</v>
      </c>
      <c r="O6" s="31">
        <v>3.5384212000158587E-2</v>
      </c>
      <c r="P6" s="48">
        <v>2</v>
      </c>
      <c r="Q6" s="48">
        <v>1</v>
      </c>
      <c r="R6" s="48">
        <v>60.333333333333336</v>
      </c>
      <c r="S6" s="48">
        <v>63.333333333333336</v>
      </c>
      <c r="T6" s="24"/>
    </row>
    <row r="7" spans="1:20" x14ac:dyDescent="0.25">
      <c r="A7" s="43" t="s">
        <v>21</v>
      </c>
      <c r="B7" s="25">
        <v>85.87</v>
      </c>
      <c r="C7" s="26" t="s">
        <v>56</v>
      </c>
      <c r="D7" s="27">
        <v>6.2646273277470819</v>
      </c>
      <c r="E7" s="25">
        <v>76.13</v>
      </c>
      <c r="F7" s="28">
        <v>0.53006172839506172</v>
      </c>
      <c r="G7" s="29">
        <v>5.9933333333333332</v>
      </c>
      <c r="H7" s="26" t="s">
        <v>56</v>
      </c>
      <c r="I7" s="30">
        <v>0.27561220951939724</v>
      </c>
      <c r="J7" s="29">
        <v>5.5805555555555557</v>
      </c>
      <c r="K7" s="26" t="s">
        <v>56</v>
      </c>
      <c r="L7" s="30">
        <v>0.25203318021406862</v>
      </c>
      <c r="M7" s="25">
        <v>0.41277777777777747</v>
      </c>
      <c r="N7" s="28">
        <v>0.53580374202841352</v>
      </c>
      <c r="O7" s="25">
        <v>0.86528359052353465</v>
      </c>
      <c r="P7" s="47">
        <v>0</v>
      </c>
      <c r="Q7" s="47">
        <v>0</v>
      </c>
      <c r="R7" s="47">
        <v>9.5</v>
      </c>
      <c r="S7" s="47">
        <v>9.5</v>
      </c>
      <c r="T7" s="24"/>
    </row>
    <row r="8" spans="1:20" x14ac:dyDescent="0.25">
      <c r="A8" s="44" t="s">
        <v>22</v>
      </c>
      <c r="B8" s="31">
        <v>72.55</v>
      </c>
      <c r="C8" s="32" t="s">
        <v>56</v>
      </c>
      <c r="D8" s="33">
        <v>6.2285997258978316</v>
      </c>
      <c r="E8" s="31">
        <v>89.45</v>
      </c>
      <c r="F8" s="34">
        <v>0.44783950617283946</v>
      </c>
      <c r="G8" s="35">
        <v>5.5162962962962965</v>
      </c>
      <c r="H8" s="32" t="s">
        <v>56</v>
      </c>
      <c r="I8" s="36">
        <v>0.2609941419068858</v>
      </c>
      <c r="J8" s="35">
        <v>6.0456172839506168</v>
      </c>
      <c r="K8" s="32" t="s">
        <v>56</v>
      </c>
      <c r="L8" s="36">
        <v>0.27681644211101109</v>
      </c>
      <c r="M8" s="31">
        <v>-0.52932098765432034</v>
      </c>
      <c r="N8" s="34">
        <v>0.45407823041123013</v>
      </c>
      <c r="O8" s="31">
        <v>1.0214605731396886</v>
      </c>
      <c r="P8" s="48">
        <v>0</v>
      </c>
      <c r="Q8" s="48">
        <v>0</v>
      </c>
      <c r="R8" s="48">
        <v>0</v>
      </c>
      <c r="S8" s="48">
        <v>0</v>
      </c>
      <c r="T8" s="24"/>
    </row>
    <row r="9" spans="1:20" x14ac:dyDescent="0.25">
      <c r="A9" s="43" t="s">
        <v>23</v>
      </c>
      <c r="B9" s="25">
        <v>54.86</v>
      </c>
      <c r="C9" s="26" t="s">
        <v>56</v>
      </c>
      <c r="D9" s="27">
        <v>6.3213922517116261</v>
      </c>
      <c r="E9" s="25">
        <v>107.14</v>
      </c>
      <c r="F9" s="28">
        <v>0.33864197530864198</v>
      </c>
      <c r="G9" s="29">
        <v>4.7755555555555551</v>
      </c>
      <c r="H9" s="26" t="s">
        <v>56</v>
      </c>
      <c r="I9" s="30">
        <v>0.25194328472901606</v>
      </c>
      <c r="J9" s="29">
        <v>6.5967901234567909</v>
      </c>
      <c r="K9" s="26" t="s">
        <v>56</v>
      </c>
      <c r="L9" s="30">
        <v>0.31721341475557702</v>
      </c>
      <c r="M9" s="25">
        <v>-1.8212345679012358</v>
      </c>
      <c r="N9" s="28">
        <v>0.34310138733577034</v>
      </c>
      <c r="O9" s="25">
        <v>0.52189751709328058</v>
      </c>
      <c r="P9" s="47">
        <v>0</v>
      </c>
      <c r="Q9" s="47">
        <v>0</v>
      </c>
      <c r="R9" s="47">
        <v>0</v>
      </c>
      <c r="S9" s="47">
        <v>0</v>
      </c>
      <c r="T9" s="24"/>
    </row>
    <row r="10" spans="1:20" x14ac:dyDescent="0.25">
      <c r="A10" s="17" t="s">
        <v>31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49"/>
      <c r="Q10" s="49"/>
      <c r="R10" s="49"/>
      <c r="S10" s="49"/>
      <c r="T10" s="24"/>
    </row>
    <row r="11" spans="1:20" x14ac:dyDescent="0.25">
      <c r="A11" s="43" t="s">
        <v>14</v>
      </c>
      <c r="B11" s="25">
        <v>108.75</v>
      </c>
      <c r="C11" s="26" t="s">
        <v>56</v>
      </c>
      <c r="D11" s="27">
        <v>5.8506237257063436</v>
      </c>
      <c r="E11" s="25">
        <v>53.25</v>
      </c>
      <c r="F11" s="28">
        <v>0.67129629629629628</v>
      </c>
      <c r="G11" s="29">
        <v>6.1329629629629627</v>
      </c>
      <c r="H11" s="26" t="s">
        <v>56</v>
      </c>
      <c r="I11" s="30">
        <v>0.27538272733120456</v>
      </c>
      <c r="J11" s="29">
        <v>4.2754320987654317</v>
      </c>
      <c r="K11" s="26" t="s">
        <v>56</v>
      </c>
      <c r="L11" s="30">
        <v>0.23244783947939224</v>
      </c>
      <c r="M11" s="25">
        <v>1.857530864197531</v>
      </c>
      <c r="N11" s="28">
        <v>0.67378087597260061</v>
      </c>
      <c r="O11" s="25">
        <v>0.16200778559048662</v>
      </c>
      <c r="P11" s="47">
        <v>83</v>
      </c>
      <c r="Q11" s="47">
        <v>17</v>
      </c>
      <c r="R11" s="47">
        <v>0</v>
      </c>
      <c r="S11" s="47">
        <v>100</v>
      </c>
      <c r="T11" s="24"/>
    </row>
    <row r="12" spans="1:20" x14ac:dyDescent="0.25">
      <c r="A12" s="44" t="s">
        <v>15</v>
      </c>
      <c r="B12" s="31">
        <v>71.73</v>
      </c>
      <c r="C12" s="32" t="s">
        <v>56</v>
      </c>
      <c r="D12" s="33">
        <v>6.409990623860522</v>
      </c>
      <c r="E12" s="31">
        <v>90.27</v>
      </c>
      <c r="F12" s="34">
        <v>0.44277777777777783</v>
      </c>
      <c r="G12" s="35">
        <v>6.1378395061728401</v>
      </c>
      <c r="H12" s="32" t="s">
        <v>56</v>
      </c>
      <c r="I12" s="36">
        <v>0.28790553901028049</v>
      </c>
      <c r="J12" s="35">
        <v>7.2288888888888883</v>
      </c>
      <c r="K12" s="32" t="s">
        <v>56</v>
      </c>
      <c r="L12" s="36">
        <v>0.35381775232206902</v>
      </c>
      <c r="M12" s="31">
        <v>-1.0910493827160481</v>
      </c>
      <c r="N12" s="34">
        <v>0.41850205814349395</v>
      </c>
      <c r="O12" s="31">
        <v>15.465866435379265</v>
      </c>
      <c r="P12" s="48">
        <v>0</v>
      </c>
      <c r="Q12" s="48">
        <v>0</v>
      </c>
      <c r="R12" s="48">
        <v>0</v>
      </c>
      <c r="S12" s="48">
        <v>0</v>
      </c>
      <c r="T12" s="24"/>
    </row>
    <row r="13" spans="1:20" x14ac:dyDescent="0.25">
      <c r="A13" s="43" t="s">
        <v>16</v>
      </c>
      <c r="B13" s="25">
        <v>71.28</v>
      </c>
      <c r="C13" s="26" t="s">
        <v>56</v>
      </c>
      <c r="D13" s="27">
        <v>6.1250932790258537</v>
      </c>
      <c r="E13" s="25">
        <v>90.72</v>
      </c>
      <c r="F13" s="28">
        <v>0.44</v>
      </c>
      <c r="G13" s="29">
        <v>4.7093827160493822</v>
      </c>
      <c r="H13" s="26" t="s">
        <v>56</v>
      </c>
      <c r="I13" s="30">
        <v>0.22749031289392505</v>
      </c>
      <c r="J13" s="29">
        <v>5.3647530864197535</v>
      </c>
      <c r="K13" s="26" t="s">
        <v>56</v>
      </c>
      <c r="L13" s="30">
        <v>0.27118812891985605</v>
      </c>
      <c r="M13" s="25">
        <v>-0.65537037037037127</v>
      </c>
      <c r="N13" s="28">
        <v>0.43488656241230661</v>
      </c>
      <c r="O13" s="25">
        <v>0.68620827057114808</v>
      </c>
      <c r="P13" s="47">
        <v>0</v>
      </c>
      <c r="Q13" s="47">
        <v>0</v>
      </c>
      <c r="R13" s="47">
        <v>0</v>
      </c>
      <c r="S13" s="47">
        <v>0</v>
      </c>
      <c r="T13" s="24"/>
    </row>
    <row r="14" spans="1:20" x14ac:dyDescent="0.25">
      <c r="A14" s="44" t="s">
        <v>17</v>
      </c>
      <c r="B14" s="31">
        <v>64.290000000000006</v>
      </c>
      <c r="C14" s="32" t="s">
        <v>56</v>
      </c>
      <c r="D14" s="33">
        <v>5.787996984355563</v>
      </c>
      <c r="E14" s="31">
        <v>97.71</v>
      </c>
      <c r="F14" s="34">
        <v>0.3968518518518519</v>
      </c>
      <c r="G14" s="35">
        <v>5.0973456790123457</v>
      </c>
      <c r="H14" s="32" t="s">
        <v>56</v>
      </c>
      <c r="I14" s="36">
        <v>0.19412248160119799</v>
      </c>
      <c r="J14" s="35">
        <v>6.1084567901234568</v>
      </c>
      <c r="K14" s="32" t="s">
        <v>56</v>
      </c>
      <c r="L14" s="36">
        <v>0.24973024786966611</v>
      </c>
      <c r="M14" s="31">
        <v>-1.0111111111111111</v>
      </c>
      <c r="N14" s="34">
        <v>0.4100426078763631</v>
      </c>
      <c r="O14" s="31">
        <v>4.5663521918101955</v>
      </c>
      <c r="P14" s="48">
        <v>0</v>
      </c>
      <c r="Q14" s="48">
        <v>0</v>
      </c>
      <c r="R14" s="48">
        <v>0</v>
      </c>
      <c r="S14" s="48">
        <v>0</v>
      </c>
      <c r="T14" s="24"/>
    </row>
    <row r="15" spans="1:20" x14ac:dyDescent="0.25">
      <c r="A15" s="43" t="s">
        <v>18</v>
      </c>
      <c r="B15" s="25">
        <v>45</v>
      </c>
      <c r="C15" s="26" t="s">
        <v>56</v>
      </c>
      <c r="D15" s="27">
        <v>5.6318000423640502</v>
      </c>
      <c r="E15" s="25">
        <v>117</v>
      </c>
      <c r="F15" s="28">
        <v>0.27777777777777779</v>
      </c>
      <c r="G15" s="29">
        <v>4.0550617283950618</v>
      </c>
      <c r="H15" s="26" t="s">
        <v>56</v>
      </c>
      <c r="I15" s="30">
        <v>0.23756086381457156</v>
      </c>
      <c r="J15" s="29">
        <v>6.3919753086419755</v>
      </c>
      <c r="K15" s="26" t="s">
        <v>56</v>
      </c>
      <c r="L15" s="30">
        <v>0.29893386361604457</v>
      </c>
      <c r="M15" s="25">
        <v>-2.3369135802469136</v>
      </c>
      <c r="N15" s="28">
        <v>0.286001287038532</v>
      </c>
      <c r="O15" s="25">
        <v>1.7747794881175225</v>
      </c>
      <c r="P15" s="47">
        <v>0</v>
      </c>
      <c r="Q15" s="47">
        <v>0</v>
      </c>
      <c r="R15" s="47">
        <v>0</v>
      </c>
      <c r="S15" s="47">
        <v>0</v>
      </c>
      <c r="T15" s="24"/>
    </row>
    <row r="16" spans="1:20" x14ac:dyDescent="0.25">
      <c r="A16" s="17" t="s">
        <v>33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9"/>
      <c r="Q16" s="49"/>
      <c r="R16" s="49"/>
      <c r="S16" s="49"/>
      <c r="T16" s="24"/>
    </row>
    <row r="17" spans="1:20" x14ac:dyDescent="0.25">
      <c r="A17" s="43" t="s">
        <v>24</v>
      </c>
      <c r="B17" s="25">
        <v>101.78</v>
      </c>
      <c r="C17" s="26" t="s">
        <v>56</v>
      </c>
      <c r="D17" s="27">
        <v>5.7534881821922808</v>
      </c>
      <c r="E17" s="25">
        <v>60.22</v>
      </c>
      <c r="F17" s="28">
        <v>0.62827160493827161</v>
      </c>
      <c r="G17" s="29">
        <v>5.719074074074074</v>
      </c>
      <c r="H17" s="26" t="s">
        <v>56</v>
      </c>
      <c r="I17" s="30">
        <v>0.2575321408244029</v>
      </c>
      <c r="J17" s="29">
        <v>4.3683333333333332</v>
      </c>
      <c r="K17" s="26" t="s">
        <v>56</v>
      </c>
      <c r="L17" s="30">
        <v>0.24409958877114959</v>
      </c>
      <c r="M17" s="25">
        <v>1.3507407407407408</v>
      </c>
      <c r="N17" s="28">
        <v>0.63219641923295455</v>
      </c>
      <c r="O17" s="25">
        <v>0.40426696524988698</v>
      </c>
      <c r="P17" s="47">
        <v>28.5</v>
      </c>
      <c r="Q17" s="47">
        <v>61</v>
      </c>
      <c r="R17" s="47">
        <v>6.5</v>
      </c>
      <c r="S17" s="47">
        <v>96</v>
      </c>
      <c r="T17" s="24"/>
    </row>
    <row r="18" spans="1:20" x14ac:dyDescent="0.25">
      <c r="A18" s="44" t="s">
        <v>25</v>
      </c>
      <c r="B18" s="31">
        <v>90.48</v>
      </c>
      <c r="C18" s="32" t="s">
        <v>56</v>
      </c>
      <c r="D18" s="33">
        <v>6.36194494115938</v>
      </c>
      <c r="E18" s="31">
        <v>71.52</v>
      </c>
      <c r="F18" s="34">
        <v>0.55851851851851853</v>
      </c>
      <c r="G18" s="35">
        <v>5.1169135802469139</v>
      </c>
      <c r="H18" s="32" t="s">
        <v>56</v>
      </c>
      <c r="I18" s="36">
        <v>0.24578683556377537</v>
      </c>
      <c r="J18" s="35">
        <v>4.4723456790123457</v>
      </c>
      <c r="K18" s="32" t="s">
        <v>56</v>
      </c>
      <c r="L18" s="36">
        <v>0.26645239020522227</v>
      </c>
      <c r="M18" s="31">
        <v>0.6445679012345682</v>
      </c>
      <c r="N18" s="34">
        <v>0.56725890895862674</v>
      </c>
      <c r="O18" s="31">
        <v>2.0048952908950324</v>
      </c>
      <c r="P18" s="48">
        <v>1</v>
      </c>
      <c r="Q18" s="48">
        <v>7.5</v>
      </c>
      <c r="R18" s="48">
        <v>32.5</v>
      </c>
      <c r="S18" s="48">
        <v>41</v>
      </c>
      <c r="T18" s="24"/>
    </row>
    <row r="19" spans="1:20" x14ac:dyDescent="0.25">
      <c r="A19" s="43" t="s">
        <v>26</v>
      </c>
      <c r="B19" s="25">
        <v>84.74</v>
      </c>
      <c r="C19" s="26" t="s">
        <v>56</v>
      </c>
      <c r="D19" s="27">
        <v>6.2127597602340812</v>
      </c>
      <c r="E19" s="25">
        <v>77.260000000000005</v>
      </c>
      <c r="F19" s="28">
        <v>0.52308641975308634</v>
      </c>
      <c r="G19" s="29">
        <v>5.221111111111111</v>
      </c>
      <c r="H19" s="26" t="s">
        <v>56</v>
      </c>
      <c r="I19" s="30">
        <v>0.25134503825288962</v>
      </c>
      <c r="J19" s="29">
        <v>4.992962962962963</v>
      </c>
      <c r="K19" s="26" t="s">
        <v>56</v>
      </c>
      <c r="L19" s="30">
        <v>0.24110741051416393</v>
      </c>
      <c r="M19" s="25">
        <v>0.22814814814814799</v>
      </c>
      <c r="N19" s="28">
        <v>0.52244137418909198</v>
      </c>
      <c r="O19" s="25">
        <v>1.0919702712580387E-2</v>
      </c>
      <c r="P19" s="47">
        <v>0</v>
      </c>
      <c r="Q19" s="47">
        <v>2</v>
      </c>
      <c r="R19" s="47">
        <v>13</v>
      </c>
      <c r="S19" s="47">
        <v>15</v>
      </c>
      <c r="T19" s="24"/>
    </row>
    <row r="20" spans="1:20" x14ac:dyDescent="0.25">
      <c r="A20" s="44" t="s">
        <v>27</v>
      </c>
      <c r="B20" s="31">
        <v>71.16</v>
      </c>
      <c r="C20" s="32" t="s">
        <v>56</v>
      </c>
      <c r="D20" s="33">
        <v>5.5736030092795907</v>
      </c>
      <c r="E20" s="31">
        <v>90.84</v>
      </c>
      <c r="F20" s="34">
        <v>0.43925925925925924</v>
      </c>
      <c r="G20" s="35">
        <v>4.8954320987654318</v>
      </c>
      <c r="H20" s="32" t="s">
        <v>56</v>
      </c>
      <c r="I20" s="36">
        <v>0.23928999697155995</v>
      </c>
      <c r="J20" s="35">
        <v>5.4812345679012351</v>
      </c>
      <c r="K20" s="32" t="s">
        <v>56</v>
      </c>
      <c r="L20" s="36">
        <v>0.28358293669236873</v>
      </c>
      <c r="M20" s="31">
        <v>-0.58580246913580325</v>
      </c>
      <c r="N20" s="34">
        <v>0.44343557170055581</v>
      </c>
      <c r="O20" s="31">
        <v>0.45773697267872604</v>
      </c>
      <c r="P20" s="48">
        <v>0</v>
      </c>
      <c r="Q20" s="48">
        <v>0</v>
      </c>
      <c r="R20" s="48">
        <v>0</v>
      </c>
      <c r="S20" s="48">
        <v>0</v>
      </c>
      <c r="T20" s="24"/>
    </row>
    <row r="21" spans="1:20" x14ac:dyDescent="0.25">
      <c r="A21" s="43" t="s">
        <v>28</v>
      </c>
      <c r="B21" s="25">
        <v>52.58</v>
      </c>
      <c r="C21" s="26" t="s">
        <v>56</v>
      </c>
      <c r="D21" s="27">
        <v>6.0036689119271278</v>
      </c>
      <c r="E21" s="25">
        <v>109.42</v>
      </c>
      <c r="F21" s="28">
        <v>0.32456790123456791</v>
      </c>
      <c r="G21" s="29">
        <v>4.4464814814814817</v>
      </c>
      <c r="H21" s="26" t="s">
        <v>56</v>
      </c>
      <c r="I21" s="30">
        <v>0.2491095993831591</v>
      </c>
      <c r="J21" s="29">
        <v>6.3328395061728395</v>
      </c>
      <c r="K21" s="26" t="s">
        <v>56</v>
      </c>
      <c r="L21" s="30">
        <v>0.35112276046537139</v>
      </c>
      <c r="M21" s="25">
        <v>-1.8863580246913578</v>
      </c>
      <c r="N21" s="28">
        <v>0.3293896585629128</v>
      </c>
      <c r="O21" s="25">
        <v>0.61015577694060752</v>
      </c>
      <c r="P21" s="47">
        <v>0</v>
      </c>
      <c r="Q21" s="47">
        <v>0</v>
      </c>
      <c r="R21" s="47">
        <v>0</v>
      </c>
      <c r="S21" s="47">
        <v>0</v>
      </c>
      <c r="T21" s="24"/>
    </row>
    <row r="22" spans="1:20" x14ac:dyDescent="0.25">
      <c r="A22" s="17" t="s">
        <v>30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9"/>
      <c r="Q22" s="49"/>
      <c r="R22" s="49"/>
      <c r="S22" s="49"/>
      <c r="T22" s="24"/>
    </row>
    <row r="23" spans="1:20" x14ac:dyDescent="0.25">
      <c r="A23" s="43" t="s">
        <v>8</v>
      </c>
      <c r="B23" s="25">
        <v>96.75</v>
      </c>
      <c r="C23" s="26" t="s">
        <v>56</v>
      </c>
      <c r="D23" s="27">
        <v>5.8970545635302143</v>
      </c>
      <c r="E23" s="25">
        <v>65.25</v>
      </c>
      <c r="F23" s="28">
        <v>0.59722222222222221</v>
      </c>
      <c r="G23" s="29">
        <v>5.3874691358024691</v>
      </c>
      <c r="H23" s="26" t="s">
        <v>56</v>
      </c>
      <c r="I23" s="30">
        <v>0.26134537846292749</v>
      </c>
      <c r="J23" s="29">
        <v>4.2440123456790122</v>
      </c>
      <c r="K23" s="26" t="s">
        <v>56</v>
      </c>
      <c r="L23" s="30">
        <v>0.19973296901443233</v>
      </c>
      <c r="M23" s="25">
        <v>1.1434567901234569</v>
      </c>
      <c r="N23" s="28">
        <v>0.617656439941068</v>
      </c>
      <c r="O23" s="25">
        <v>10.958372568233582</v>
      </c>
      <c r="P23" s="47">
        <v>6.5</v>
      </c>
      <c r="Q23" s="47">
        <v>49.333333333333329</v>
      </c>
      <c r="R23" s="47">
        <v>20.666666666666664</v>
      </c>
      <c r="S23" s="47">
        <v>76.5</v>
      </c>
      <c r="T23" s="24"/>
    </row>
    <row r="24" spans="1:20" x14ac:dyDescent="0.25">
      <c r="A24" s="44" t="s">
        <v>10</v>
      </c>
      <c r="B24" s="31">
        <v>93.33</v>
      </c>
      <c r="C24" s="32" t="s">
        <v>56</v>
      </c>
      <c r="D24" s="33">
        <v>5.4957375586113377</v>
      </c>
      <c r="E24" s="31">
        <v>68.67</v>
      </c>
      <c r="F24" s="34">
        <v>0.57611111111111113</v>
      </c>
      <c r="G24" s="35">
        <v>6.0603086419753085</v>
      </c>
      <c r="H24" s="32" t="s">
        <v>56</v>
      </c>
      <c r="I24" s="36">
        <v>0.27629588368122093</v>
      </c>
      <c r="J24" s="35">
        <v>5.2169753086419748</v>
      </c>
      <c r="K24" s="32" t="s">
        <v>56</v>
      </c>
      <c r="L24" s="36">
        <v>0.26593750188288873</v>
      </c>
      <c r="M24" s="31">
        <v>0.84333333333333371</v>
      </c>
      <c r="N24" s="34">
        <v>0.5747464268207263</v>
      </c>
      <c r="O24" s="31">
        <v>4.887586014683018E-2</v>
      </c>
      <c r="P24" s="48">
        <v>1.5</v>
      </c>
      <c r="Q24" s="48">
        <v>19.333333333333332</v>
      </c>
      <c r="R24" s="48">
        <v>29.166666666666664</v>
      </c>
      <c r="S24" s="48">
        <v>50</v>
      </c>
      <c r="T24" s="24"/>
    </row>
    <row r="25" spans="1:20" x14ac:dyDescent="0.25">
      <c r="A25" s="43" t="s">
        <v>12</v>
      </c>
      <c r="B25" s="25">
        <v>90.61</v>
      </c>
      <c r="C25" s="26" t="s">
        <v>56</v>
      </c>
      <c r="D25" s="27">
        <v>6.1</v>
      </c>
      <c r="E25" s="25">
        <v>71.39</v>
      </c>
      <c r="F25" s="28">
        <v>0.55932098765432103</v>
      </c>
      <c r="G25" s="29">
        <v>5.8806172839506168</v>
      </c>
      <c r="H25" s="26" t="s">
        <v>56</v>
      </c>
      <c r="I25" s="30">
        <v>0.28945368744621763</v>
      </c>
      <c r="J25" s="29">
        <v>5.2481481481481485</v>
      </c>
      <c r="K25" s="26" t="s">
        <v>56</v>
      </c>
      <c r="L25" s="30">
        <v>0.23173843659170903</v>
      </c>
      <c r="M25" s="25">
        <v>0.63246913580246833</v>
      </c>
      <c r="N25" s="28">
        <v>0.55694080715136185</v>
      </c>
      <c r="O25" s="25">
        <v>0.14867906314464363</v>
      </c>
      <c r="P25" s="47">
        <v>3.5</v>
      </c>
      <c r="Q25" s="47">
        <v>14.833333333333332</v>
      </c>
      <c r="R25" s="47">
        <v>12.833333333333334</v>
      </c>
      <c r="S25" s="47">
        <v>31.166666666666664</v>
      </c>
      <c r="T25" s="24"/>
    </row>
    <row r="26" spans="1:20" x14ac:dyDescent="0.25">
      <c r="A26" s="44" t="s">
        <v>11</v>
      </c>
      <c r="B26" s="31">
        <v>87.07</v>
      </c>
      <c r="C26" s="32" t="s">
        <v>56</v>
      </c>
      <c r="D26" s="33">
        <v>6.3504632774612446</v>
      </c>
      <c r="E26" s="31">
        <v>74.930000000000007</v>
      </c>
      <c r="F26" s="34">
        <v>0.53746913580246913</v>
      </c>
      <c r="G26" s="35">
        <v>5.3432098765432103</v>
      </c>
      <c r="H26" s="32" t="s">
        <v>56</v>
      </c>
      <c r="I26" s="36">
        <v>0.28483977313576453</v>
      </c>
      <c r="J26" s="35">
        <v>4.8932716049382714</v>
      </c>
      <c r="K26" s="32" t="s">
        <v>56</v>
      </c>
      <c r="L26" s="36">
        <v>0.21544246072547196</v>
      </c>
      <c r="M26" s="31">
        <v>0.44993827160493893</v>
      </c>
      <c r="N26" s="34">
        <v>0.54409643652939832</v>
      </c>
      <c r="O26" s="31">
        <v>1.1526657400958062</v>
      </c>
      <c r="P26" s="48">
        <v>1</v>
      </c>
      <c r="Q26" s="48">
        <v>4</v>
      </c>
      <c r="R26" s="48">
        <v>13.5</v>
      </c>
      <c r="S26" s="48">
        <v>18.5</v>
      </c>
      <c r="T26" s="24"/>
    </row>
    <row r="27" spans="1:20" x14ac:dyDescent="0.25">
      <c r="A27" s="43" t="s">
        <v>13</v>
      </c>
      <c r="B27" s="25">
        <v>74.92</v>
      </c>
      <c r="C27" s="26" t="s">
        <v>56</v>
      </c>
      <c r="D27" s="27">
        <v>5.2602569357687301</v>
      </c>
      <c r="E27" s="25">
        <v>87.08</v>
      </c>
      <c r="F27" s="28">
        <v>0.46246913580246912</v>
      </c>
      <c r="G27" s="29">
        <v>5.0320987654320994</v>
      </c>
      <c r="H27" s="26" t="s">
        <v>56</v>
      </c>
      <c r="I27" s="30">
        <v>0.22885381442686589</v>
      </c>
      <c r="J27" s="29">
        <v>5.3529012345679012</v>
      </c>
      <c r="K27" s="26" t="s">
        <v>56</v>
      </c>
      <c r="L27" s="30">
        <v>0.25166897055705689</v>
      </c>
      <c r="M27" s="25">
        <v>-0.32080246913580179</v>
      </c>
      <c r="N27" s="28">
        <v>0.46897853100793041</v>
      </c>
      <c r="O27" s="25">
        <v>1.1120166975924966</v>
      </c>
      <c r="P27" s="47">
        <v>0</v>
      </c>
      <c r="Q27" s="47">
        <v>0</v>
      </c>
      <c r="R27" s="47">
        <v>0</v>
      </c>
      <c r="S27" s="47">
        <v>0</v>
      </c>
      <c r="T27" s="24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</sheetData>
  <sortState ref="A22:N26">
    <sortCondition ref="E22:E26"/>
  </sortState>
  <mergeCells count="6">
    <mergeCell ref="B2:M2"/>
    <mergeCell ref="N2:O2"/>
    <mergeCell ref="B3:D3"/>
    <mergeCell ref="P2:S2"/>
    <mergeCell ref="G3:I3"/>
    <mergeCell ref="J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B2" sqref="B2"/>
    </sheetView>
  </sheetViews>
  <sheetFormatPr defaultRowHeight="15" x14ac:dyDescent="0.25"/>
  <cols>
    <col min="1" max="1" width="5.28515625" bestFit="1" customWidth="1"/>
    <col min="2" max="2" width="9.7109375" bestFit="1" customWidth="1"/>
    <col min="3" max="3" width="26.28515625" bestFit="1" customWidth="1"/>
    <col min="4" max="5" width="4" bestFit="1" customWidth="1"/>
    <col min="6" max="6" width="6" bestFit="1" customWidth="1"/>
    <col min="7" max="7" width="3.42578125" bestFit="1" customWidth="1"/>
    <col min="8" max="9" width="5" bestFit="1" customWidth="1"/>
    <col min="10" max="10" width="4.85546875" bestFit="1" customWidth="1"/>
  </cols>
  <sheetData>
    <row r="1" spans="1:10" x14ac:dyDescent="0.25">
      <c r="A1" t="s">
        <v>34</v>
      </c>
      <c r="B1" t="s">
        <v>29</v>
      </c>
      <c r="C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1</v>
      </c>
      <c r="B2" t="s">
        <v>30</v>
      </c>
      <c r="C2" t="s">
        <v>8</v>
      </c>
      <c r="D2">
        <v>99</v>
      </c>
      <c r="E2">
        <v>63</v>
      </c>
      <c r="F2">
        <v>0.61099999999999999</v>
      </c>
      <c r="G2">
        <v>0</v>
      </c>
      <c r="H2">
        <v>821</v>
      </c>
      <c r="I2">
        <v>651</v>
      </c>
      <c r="J2">
        <v>170</v>
      </c>
    </row>
    <row r="3" spans="1:10" x14ac:dyDescent="0.25">
      <c r="A3">
        <v>1</v>
      </c>
      <c r="B3" t="s">
        <v>30</v>
      </c>
      <c r="C3" t="s">
        <v>10</v>
      </c>
      <c r="D3">
        <v>97</v>
      </c>
      <c r="E3">
        <v>65</v>
      </c>
      <c r="F3">
        <v>0.59899999999999998</v>
      </c>
      <c r="G3">
        <v>2</v>
      </c>
      <c r="H3">
        <v>953</v>
      </c>
      <c r="I3">
        <v>815</v>
      </c>
      <c r="J3">
        <v>138</v>
      </c>
    </row>
    <row r="4" spans="1:10" x14ac:dyDescent="0.25">
      <c r="A4">
        <v>1</v>
      </c>
      <c r="B4" t="s">
        <v>30</v>
      </c>
      <c r="C4" t="s">
        <v>11</v>
      </c>
      <c r="D4">
        <v>90</v>
      </c>
      <c r="E4">
        <v>72</v>
      </c>
      <c r="F4">
        <v>0.55600000000000005</v>
      </c>
      <c r="G4">
        <v>9</v>
      </c>
      <c r="H4">
        <v>909</v>
      </c>
      <c r="I4">
        <v>784</v>
      </c>
      <c r="J4">
        <v>125</v>
      </c>
    </row>
    <row r="5" spans="1:10" x14ac:dyDescent="0.25">
      <c r="A5">
        <v>1</v>
      </c>
      <c r="B5" t="s">
        <v>30</v>
      </c>
      <c r="C5" t="s">
        <v>12</v>
      </c>
      <c r="D5">
        <v>89</v>
      </c>
      <c r="E5">
        <v>73</v>
      </c>
      <c r="F5">
        <v>0.54900000000000004</v>
      </c>
      <c r="G5">
        <v>10</v>
      </c>
      <c r="H5">
        <v>986</v>
      </c>
      <c r="I5">
        <v>842</v>
      </c>
      <c r="J5">
        <v>144</v>
      </c>
    </row>
    <row r="6" spans="1:10" x14ac:dyDescent="0.25">
      <c r="A6">
        <v>1</v>
      </c>
      <c r="B6" t="s">
        <v>30</v>
      </c>
      <c r="C6" t="s">
        <v>13</v>
      </c>
      <c r="D6">
        <v>69</v>
      </c>
      <c r="E6">
        <v>93</v>
      </c>
      <c r="F6">
        <v>0.42599999999999999</v>
      </c>
      <c r="G6">
        <v>30</v>
      </c>
      <c r="H6">
        <v>815</v>
      </c>
      <c r="I6">
        <v>909</v>
      </c>
      <c r="J6">
        <v>-94</v>
      </c>
    </row>
    <row r="7" spans="1:10" x14ac:dyDescent="0.25">
      <c r="A7">
        <v>1</v>
      </c>
      <c r="B7" t="s">
        <v>31</v>
      </c>
      <c r="C7" t="s">
        <v>14</v>
      </c>
      <c r="D7">
        <v>112</v>
      </c>
      <c r="E7">
        <v>50</v>
      </c>
      <c r="F7">
        <v>0.69099999999999995</v>
      </c>
      <c r="G7">
        <v>0</v>
      </c>
      <c r="H7">
        <v>984</v>
      </c>
      <c r="I7">
        <v>599</v>
      </c>
      <c r="J7">
        <v>385</v>
      </c>
    </row>
    <row r="8" spans="1:10" x14ac:dyDescent="0.25">
      <c r="A8">
        <v>1</v>
      </c>
      <c r="B8" t="s">
        <v>31</v>
      </c>
      <c r="C8" t="s">
        <v>15</v>
      </c>
      <c r="D8">
        <v>76</v>
      </c>
      <c r="E8">
        <v>86</v>
      </c>
      <c r="F8">
        <v>0.46899999999999997</v>
      </c>
      <c r="G8">
        <v>36</v>
      </c>
      <c r="H8">
        <v>1010</v>
      </c>
      <c r="I8">
        <v>1156</v>
      </c>
      <c r="J8">
        <v>-146</v>
      </c>
    </row>
    <row r="9" spans="1:10" x14ac:dyDescent="0.25">
      <c r="A9">
        <v>1</v>
      </c>
      <c r="B9" t="s">
        <v>31</v>
      </c>
      <c r="C9" t="s">
        <v>16</v>
      </c>
      <c r="D9">
        <v>72</v>
      </c>
      <c r="E9">
        <v>90</v>
      </c>
      <c r="F9">
        <v>0.44400000000000001</v>
      </c>
      <c r="G9">
        <v>40</v>
      </c>
      <c r="H9">
        <v>778</v>
      </c>
      <c r="I9">
        <v>909</v>
      </c>
      <c r="J9">
        <v>-131</v>
      </c>
    </row>
    <row r="10" spans="1:10" x14ac:dyDescent="0.25">
      <c r="A10">
        <v>1</v>
      </c>
      <c r="B10" t="s">
        <v>31</v>
      </c>
      <c r="C10" t="s">
        <v>17</v>
      </c>
      <c r="D10">
        <v>71</v>
      </c>
      <c r="E10">
        <v>91</v>
      </c>
      <c r="F10">
        <v>0.438</v>
      </c>
      <c r="G10">
        <v>41</v>
      </c>
      <c r="H10">
        <v>828</v>
      </c>
      <c r="I10">
        <v>998</v>
      </c>
      <c r="J10">
        <v>-170</v>
      </c>
    </row>
    <row r="11" spans="1:10" x14ac:dyDescent="0.25">
      <c r="A11">
        <v>1</v>
      </c>
      <c r="B11" t="s">
        <v>31</v>
      </c>
      <c r="C11" t="s">
        <v>18</v>
      </c>
      <c r="D11">
        <v>52</v>
      </c>
      <c r="E11">
        <v>110</v>
      </c>
      <c r="F11">
        <v>0.32100000000000001</v>
      </c>
      <c r="G11">
        <v>60</v>
      </c>
      <c r="H11">
        <v>715</v>
      </c>
      <c r="I11">
        <v>1073</v>
      </c>
      <c r="J11">
        <v>-358</v>
      </c>
    </row>
    <row r="12" spans="1:10" x14ac:dyDescent="0.25">
      <c r="A12">
        <v>1</v>
      </c>
      <c r="B12" t="s">
        <v>32</v>
      </c>
      <c r="C12" t="s">
        <v>19</v>
      </c>
      <c r="D12">
        <v>107</v>
      </c>
      <c r="E12">
        <v>55</v>
      </c>
      <c r="F12">
        <v>0.66</v>
      </c>
      <c r="G12">
        <v>0</v>
      </c>
      <c r="H12">
        <v>1028</v>
      </c>
      <c r="I12">
        <v>750</v>
      </c>
      <c r="J12">
        <v>278</v>
      </c>
    </row>
    <row r="13" spans="1:10" x14ac:dyDescent="0.25">
      <c r="A13">
        <v>1</v>
      </c>
      <c r="B13" t="s">
        <v>32</v>
      </c>
      <c r="C13" t="s">
        <v>20</v>
      </c>
      <c r="D13">
        <v>95</v>
      </c>
      <c r="E13">
        <v>67</v>
      </c>
      <c r="F13">
        <v>0.58599999999999997</v>
      </c>
      <c r="G13">
        <v>12</v>
      </c>
      <c r="H13">
        <v>982</v>
      </c>
      <c r="I13">
        <v>835</v>
      </c>
      <c r="J13">
        <v>147</v>
      </c>
    </row>
    <row r="14" spans="1:10" x14ac:dyDescent="0.25">
      <c r="A14">
        <v>1</v>
      </c>
      <c r="B14" t="s">
        <v>32</v>
      </c>
      <c r="C14" t="s">
        <v>21</v>
      </c>
      <c r="D14">
        <v>80</v>
      </c>
      <c r="E14">
        <v>82</v>
      </c>
      <c r="F14">
        <v>0.49399999999999999</v>
      </c>
      <c r="G14">
        <v>27</v>
      </c>
      <c r="H14">
        <v>1012</v>
      </c>
      <c r="I14">
        <v>955</v>
      </c>
      <c r="J14">
        <v>57</v>
      </c>
    </row>
    <row r="15" spans="1:10" x14ac:dyDescent="0.25">
      <c r="A15">
        <v>1</v>
      </c>
      <c r="B15" t="s">
        <v>32</v>
      </c>
      <c r="C15" t="s">
        <v>22</v>
      </c>
      <c r="D15">
        <v>66</v>
      </c>
      <c r="E15">
        <v>96</v>
      </c>
      <c r="F15">
        <v>0.40699999999999997</v>
      </c>
      <c r="G15">
        <v>41</v>
      </c>
      <c r="H15">
        <v>832</v>
      </c>
      <c r="I15">
        <v>888</v>
      </c>
      <c r="J15">
        <v>-56</v>
      </c>
    </row>
    <row r="16" spans="1:10" x14ac:dyDescent="0.25">
      <c r="A16">
        <v>1</v>
      </c>
      <c r="B16" t="s">
        <v>32</v>
      </c>
      <c r="C16" t="s">
        <v>23</v>
      </c>
      <c r="D16">
        <v>46</v>
      </c>
      <c r="E16">
        <v>116</v>
      </c>
      <c r="F16">
        <v>0.28399999999999997</v>
      </c>
      <c r="G16">
        <v>61</v>
      </c>
      <c r="H16">
        <v>727</v>
      </c>
      <c r="I16">
        <v>1213</v>
      </c>
      <c r="J16">
        <v>-486</v>
      </c>
    </row>
    <row r="17" spans="1:10" x14ac:dyDescent="0.25">
      <c r="A17">
        <v>1</v>
      </c>
      <c r="B17" t="s">
        <v>33</v>
      </c>
      <c r="C17" t="s">
        <v>24</v>
      </c>
      <c r="D17">
        <v>106</v>
      </c>
      <c r="E17">
        <v>56</v>
      </c>
      <c r="F17">
        <v>0.65400000000000003</v>
      </c>
      <c r="G17">
        <v>0</v>
      </c>
      <c r="H17">
        <v>936</v>
      </c>
      <c r="I17">
        <v>700</v>
      </c>
      <c r="J17">
        <v>236</v>
      </c>
    </row>
    <row r="18" spans="1:10" x14ac:dyDescent="0.25">
      <c r="A18">
        <v>1</v>
      </c>
      <c r="B18" t="s">
        <v>33</v>
      </c>
      <c r="C18" t="s">
        <v>25</v>
      </c>
      <c r="D18">
        <v>86</v>
      </c>
      <c r="E18">
        <v>76</v>
      </c>
      <c r="F18">
        <v>0.53100000000000003</v>
      </c>
      <c r="G18">
        <v>20</v>
      </c>
      <c r="H18">
        <v>829</v>
      </c>
      <c r="I18">
        <v>757</v>
      </c>
      <c r="J18">
        <v>72</v>
      </c>
    </row>
    <row r="19" spans="1:10" x14ac:dyDescent="0.25">
      <c r="A19">
        <v>1</v>
      </c>
      <c r="B19" t="s">
        <v>33</v>
      </c>
      <c r="C19" t="s">
        <v>26</v>
      </c>
      <c r="D19">
        <v>80</v>
      </c>
      <c r="E19">
        <v>82</v>
      </c>
      <c r="F19">
        <v>0.49399999999999999</v>
      </c>
      <c r="G19">
        <v>26</v>
      </c>
      <c r="H19">
        <v>836</v>
      </c>
      <c r="I19">
        <v>829</v>
      </c>
      <c r="J19">
        <v>7</v>
      </c>
    </row>
    <row r="20" spans="1:10" x14ac:dyDescent="0.25">
      <c r="A20">
        <v>1</v>
      </c>
      <c r="B20" t="s">
        <v>33</v>
      </c>
      <c r="C20" t="s">
        <v>27</v>
      </c>
      <c r="D20">
        <v>67</v>
      </c>
      <c r="E20">
        <v>95</v>
      </c>
      <c r="F20">
        <v>0.41399999999999998</v>
      </c>
      <c r="G20">
        <v>39</v>
      </c>
      <c r="H20">
        <v>789</v>
      </c>
      <c r="I20">
        <v>867</v>
      </c>
      <c r="J20">
        <v>-78</v>
      </c>
    </row>
    <row r="21" spans="1:10" x14ac:dyDescent="0.25">
      <c r="A21">
        <v>1</v>
      </c>
      <c r="B21" t="s">
        <v>33</v>
      </c>
      <c r="C21" t="s">
        <v>28</v>
      </c>
      <c r="D21">
        <v>60</v>
      </c>
      <c r="E21">
        <v>102</v>
      </c>
      <c r="F21">
        <v>0.37</v>
      </c>
      <c r="G21">
        <v>46</v>
      </c>
      <c r="H21">
        <v>746</v>
      </c>
      <c r="I21">
        <v>986</v>
      </c>
      <c r="J21">
        <v>-240</v>
      </c>
    </row>
    <row r="22" spans="1:10" x14ac:dyDescent="0.25">
      <c r="A22">
        <v>2</v>
      </c>
      <c r="B22" t="s">
        <v>30</v>
      </c>
      <c r="C22" t="s">
        <v>10</v>
      </c>
      <c r="D22">
        <v>101</v>
      </c>
      <c r="E22">
        <v>61</v>
      </c>
      <c r="F22">
        <v>0.623</v>
      </c>
      <c r="G22">
        <v>0</v>
      </c>
      <c r="H22">
        <v>987</v>
      </c>
      <c r="I22">
        <v>776</v>
      </c>
      <c r="J22">
        <v>211</v>
      </c>
    </row>
    <row r="23" spans="1:10" x14ac:dyDescent="0.25">
      <c r="A23">
        <v>2</v>
      </c>
      <c r="B23" t="s">
        <v>30</v>
      </c>
      <c r="C23" t="s">
        <v>8</v>
      </c>
      <c r="D23">
        <v>100</v>
      </c>
      <c r="E23">
        <v>62</v>
      </c>
      <c r="F23">
        <v>0.61699999999999999</v>
      </c>
      <c r="G23">
        <v>1</v>
      </c>
      <c r="H23">
        <v>937</v>
      </c>
      <c r="I23">
        <v>685</v>
      </c>
      <c r="J23">
        <v>252</v>
      </c>
    </row>
    <row r="24" spans="1:10" x14ac:dyDescent="0.25">
      <c r="A24">
        <v>2</v>
      </c>
      <c r="B24" t="s">
        <v>30</v>
      </c>
      <c r="C24" t="s">
        <v>12</v>
      </c>
      <c r="D24">
        <v>96</v>
      </c>
      <c r="E24">
        <v>66</v>
      </c>
      <c r="F24">
        <v>0.59299999999999997</v>
      </c>
      <c r="G24">
        <v>5</v>
      </c>
      <c r="H24">
        <v>965</v>
      </c>
      <c r="I24">
        <v>790</v>
      </c>
      <c r="J24">
        <v>175</v>
      </c>
    </row>
    <row r="25" spans="1:10" x14ac:dyDescent="0.25">
      <c r="A25">
        <v>2</v>
      </c>
      <c r="B25" t="s">
        <v>30</v>
      </c>
      <c r="C25" t="s">
        <v>11</v>
      </c>
      <c r="D25">
        <v>94</v>
      </c>
      <c r="E25">
        <v>68</v>
      </c>
      <c r="F25">
        <v>0.57999999999999996</v>
      </c>
      <c r="G25">
        <v>7</v>
      </c>
      <c r="H25">
        <v>901</v>
      </c>
      <c r="I25">
        <v>747</v>
      </c>
      <c r="J25">
        <v>154</v>
      </c>
    </row>
    <row r="26" spans="1:10" x14ac:dyDescent="0.25">
      <c r="A26">
        <v>2</v>
      </c>
      <c r="B26" t="s">
        <v>30</v>
      </c>
      <c r="C26" t="s">
        <v>13</v>
      </c>
      <c r="D26">
        <v>69</v>
      </c>
      <c r="E26">
        <v>93</v>
      </c>
      <c r="F26">
        <v>0.42599999999999999</v>
      </c>
      <c r="G26">
        <v>32</v>
      </c>
      <c r="H26">
        <v>838</v>
      </c>
      <c r="I26">
        <v>902</v>
      </c>
      <c r="J26">
        <v>-64</v>
      </c>
    </row>
    <row r="27" spans="1:10" x14ac:dyDescent="0.25">
      <c r="A27">
        <v>2</v>
      </c>
      <c r="B27" t="s">
        <v>31</v>
      </c>
      <c r="C27" t="s">
        <v>14</v>
      </c>
      <c r="D27">
        <v>110</v>
      </c>
      <c r="E27">
        <v>52</v>
      </c>
      <c r="F27">
        <v>0.67900000000000005</v>
      </c>
      <c r="G27">
        <v>0</v>
      </c>
      <c r="H27">
        <v>1020</v>
      </c>
      <c r="I27">
        <v>688</v>
      </c>
      <c r="J27">
        <v>332</v>
      </c>
    </row>
    <row r="28" spans="1:10" x14ac:dyDescent="0.25">
      <c r="A28">
        <v>2</v>
      </c>
      <c r="B28" t="s">
        <v>31</v>
      </c>
      <c r="C28" t="s">
        <v>16</v>
      </c>
      <c r="D28">
        <v>78</v>
      </c>
      <c r="E28">
        <v>84</v>
      </c>
      <c r="F28">
        <v>0.48099999999999998</v>
      </c>
      <c r="G28">
        <v>32</v>
      </c>
      <c r="H28">
        <v>755</v>
      </c>
      <c r="I28">
        <v>813</v>
      </c>
      <c r="J28">
        <v>-58</v>
      </c>
    </row>
    <row r="29" spans="1:10" x14ac:dyDescent="0.25">
      <c r="A29">
        <v>2</v>
      </c>
      <c r="B29" t="s">
        <v>31</v>
      </c>
      <c r="C29" t="s">
        <v>15</v>
      </c>
      <c r="D29">
        <v>70</v>
      </c>
      <c r="E29">
        <v>92</v>
      </c>
      <c r="F29">
        <v>0.432</v>
      </c>
      <c r="G29">
        <v>40</v>
      </c>
      <c r="H29">
        <v>945</v>
      </c>
      <c r="I29">
        <v>1114</v>
      </c>
      <c r="J29">
        <v>-169</v>
      </c>
    </row>
    <row r="30" spans="1:10" x14ac:dyDescent="0.25">
      <c r="A30">
        <v>2</v>
      </c>
      <c r="B30" t="s">
        <v>31</v>
      </c>
      <c r="C30" t="s">
        <v>17</v>
      </c>
      <c r="D30">
        <v>67</v>
      </c>
      <c r="E30">
        <v>95</v>
      </c>
      <c r="F30">
        <v>0.41399999999999998</v>
      </c>
      <c r="G30">
        <v>43</v>
      </c>
      <c r="H30">
        <v>818</v>
      </c>
      <c r="I30">
        <v>994</v>
      </c>
      <c r="J30">
        <v>-176</v>
      </c>
    </row>
    <row r="31" spans="1:10" x14ac:dyDescent="0.25">
      <c r="A31">
        <v>2</v>
      </c>
      <c r="B31" t="s">
        <v>31</v>
      </c>
      <c r="C31" t="s">
        <v>18</v>
      </c>
      <c r="D31">
        <v>48</v>
      </c>
      <c r="E31">
        <v>114</v>
      </c>
      <c r="F31">
        <v>0.29599999999999999</v>
      </c>
      <c r="G31">
        <v>62</v>
      </c>
      <c r="H31">
        <v>699</v>
      </c>
      <c r="I31">
        <v>1054</v>
      </c>
      <c r="J31">
        <v>-355</v>
      </c>
    </row>
    <row r="32" spans="1:10" x14ac:dyDescent="0.25">
      <c r="A32">
        <v>2</v>
      </c>
      <c r="B32" t="s">
        <v>32</v>
      </c>
      <c r="C32" t="s">
        <v>19</v>
      </c>
      <c r="D32">
        <v>101</v>
      </c>
      <c r="E32">
        <v>61</v>
      </c>
      <c r="F32">
        <v>0.623</v>
      </c>
      <c r="G32">
        <v>0</v>
      </c>
      <c r="H32">
        <v>1046</v>
      </c>
      <c r="I32">
        <v>854</v>
      </c>
      <c r="J32">
        <v>192</v>
      </c>
    </row>
    <row r="33" spans="1:10" x14ac:dyDescent="0.25">
      <c r="A33">
        <v>2</v>
      </c>
      <c r="B33" t="s">
        <v>32</v>
      </c>
      <c r="C33" t="s">
        <v>20</v>
      </c>
      <c r="D33">
        <v>96</v>
      </c>
      <c r="E33">
        <v>66</v>
      </c>
      <c r="F33">
        <v>0.59299999999999997</v>
      </c>
      <c r="G33">
        <v>5</v>
      </c>
      <c r="H33">
        <v>891</v>
      </c>
      <c r="I33">
        <v>819</v>
      </c>
      <c r="J33">
        <v>72</v>
      </c>
    </row>
    <row r="34" spans="1:10" x14ac:dyDescent="0.25">
      <c r="A34">
        <v>2</v>
      </c>
      <c r="B34" t="s">
        <v>32</v>
      </c>
      <c r="C34" t="s">
        <v>21</v>
      </c>
      <c r="D34">
        <v>93</v>
      </c>
      <c r="E34">
        <v>69</v>
      </c>
      <c r="F34">
        <v>0.57399999999999995</v>
      </c>
      <c r="G34">
        <v>8</v>
      </c>
      <c r="H34">
        <v>996</v>
      </c>
      <c r="I34">
        <v>895</v>
      </c>
      <c r="J34">
        <v>101</v>
      </c>
    </row>
    <row r="35" spans="1:10" x14ac:dyDescent="0.25">
      <c r="A35">
        <v>2</v>
      </c>
      <c r="B35" t="s">
        <v>32</v>
      </c>
      <c r="C35" t="s">
        <v>22</v>
      </c>
      <c r="D35">
        <v>67</v>
      </c>
      <c r="E35">
        <v>95</v>
      </c>
      <c r="F35">
        <v>0.41399999999999998</v>
      </c>
      <c r="G35">
        <v>34</v>
      </c>
      <c r="H35">
        <v>878</v>
      </c>
      <c r="I35">
        <v>1001</v>
      </c>
      <c r="J35">
        <v>-123</v>
      </c>
    </row>
    <row r="36" spans="1:10" x14ac:dyDescent="0.25">
      <c r="A36">
        <v>2</v>
      </c>
      <c r="B36" t="s">
        <v>32</v>
      </c>
      <c r="C36" t="s">
        <v>23</v>
      </c>
      <c r="D36">
        <v>57</v>
      </c>
      <c r="E36">
        <v>105</v>
      </c>
      <c r="F36">
        <v>0.35199999999999998</v>
      </c>
      <c r="G36">
        <v>44</v>
      </c>
      <c r="H36">
        <v>806</v>
      </c>
      <c r="I36">
        <v>1129</v>
      </c>
      <c r="J36">
        <v>-323</v>
      </c>
    </row>
    <row r="37" spans="1:10" x14ac:dyDescent="0.25">
      <c r="A37">
        <v>2</v>
      </c>
      <c r="B37" t="s">
        <v>33</v>
      </c>
      <c r="C37" t="s">
        <v>24</v>
      </c>
      <c r="D37">
        <v>96</v>
      </c>
      <c r="E37">
        <v>66</v>
      </c>
      <c r="F37">
        <v>0.59299999999999997</v>
      </c>
      <c r="G37">
        <v>0</v>
      </c>
      <c r="H37">
        <v>935</v>
      </c>
      <c r="I37">
        <v>739</v>
      </c>
      <c r="J37">
        <v>196</v>
      </c>
    </row>
    <row r="38" spans="1:10" x14ac:dyDescent="0.25">
      <c r="A38">
        <v>2</v>
      </c>
      <c r="B38" t="s">
        <v>33</v>
      </c>
      <c r="C38" t="s">
        <v>26</v>
      </c>
      <c r="D38">
        <v>86</v>
      </c>
      <c r="E38">
        <v>76</v>
      </c>
      <c r="F38">
        <v>0.53100000000000003</v>
      </c>
      <c r="G38">
        <v>10</v>
      </c>
      <c r="H38">
        <v>900</v>
      </c>
      <c r="I38">
        <v>819</v>
      </c>
      <c r="J38">
        <v>81</v>
      </c>
    </row>
    <row r="39" spans="1:10" x14ac:dyDescent="0.25">
      <c r="A39">
        <v>2</v>
      </c>
      <c r="B39" t="s">
        <v>33</v>
      </c>
      <c r="C39" t="s">
        <v>25</v>
      </c>
      <c r="D39">
        <v>82</v>
      </c>
      <c r="E39">
        <v>80</v>
      </c>
      <c r="F39">
        <v>0.50600000000000001</v>
      </c>
      <c r="G39">
        <v>14</v>
      </c>
      <c r="H39">
        <v>800</v>
      </c>
      <c r="I39">
        <v>756</v>
      </c>
      <c r="J39">
        <v>44</v>
      </c>
    </row>
    <row r="40" spans="1:10" x14ac:dyDescent="0.25">
      <c r="A40">
        <v>2</v>
      </c>
      <c r="B40" t="s">
        <v>33</v>
      </c>
      <c r="C40" t="s">
        <v>27</v>
      </c>
      <c r="D40">
        <v>65</v>
      </c>
      <c r="E40">
        <v>97</v>
      </c>
      <c r="F40">
        <v>0.40100000000000002</v>
      </c>
      <c r="G40">
        <v>31</v>
      </c>
      <c r="H40">
        <v>806</v>
      </c>
      <c r="I40">
        <v>945</v>
      </c>
      <c r="J40">
        <v>-139</v>
      </c>
    </row>
    <row r="41" spans="1:10" x14ac:dyDescent="0.25">
      <c r="A41">
        <v>2</v>
      </c>
      <c r="B41" t="s">
        <v>33</v>
      </c>
      <c r="C41" t="s">
        <v>28</v>
      </c>
      <c r="D41">
        <v>44</v>
      </c>
      <c r="E41">
        <v>118</v>
      </c>
      <c r="F41">
        <v>0.27200000000000002</v>
      </c>
      <c r="G41">
        <v>52</v>
      </c>
      <c r="H41">
        <v>699</v>
      </c>
      <c r="I41">
        <v>1102</v>
      </c>
      <c r="J41">
        <v>-403</v>
      </c>
    </row>
    <row r="42" spans="1:10" x14ac:dyDescent="0.25">
      <c r="A42">
        <v>3</v>
      </c>
      <c r="B42" t="s">
        <v>30</v>
      </c>
      <c r="C42" t="s">
        <v>8</v>
      </c>
      <c r="D42">
        <v>111</v>
      </c>
      <c r="E42">
        <v>51</v>
      </c>
      <c r="F42">
        <v>0.68500000000000005</v>
      </c>
      <c r="G42">
        <v>0</v>
      </c>
      <c r="H42">
        <v>878</v>
      </c>
      <c r="I42">
        <v>633</v>
      </c>
      <c r="J42">
        <v>245</v>
      </c>
    </row>
    <row r="43" spans="1:10" x14ac:dyDescent="0.25">
      <c r="A43">
        <v>3</v>
      </c>
      <c r="B43" t="s">
        <v>30</v>
      </c>
      <c r="C43" t="s">
        <v>10</v>
      </c>
      <c r="D43">
        <v>96</v>
      </c>
      <c r="E43">
        <v>66</v>
      </c>
      <c r="F43">
        <v>0.59299999999999997</v>
      </c>
      <c r="G43">
        <v>15</v>
      </c>
      <c r="H43">
        <v>1032</v>
      </c>
      <c r="I43">
        <v>856</v>
      </c>
      <c r="J43">
        <v>176</v>
      </c>
    </row>
    <row r="44" spans="1:10" x14ac:dyDescent="0.25">
      <c r="A44">
        <v>3</v>
      </c>
      <c r="B44" t="s">
        <v>30</v>
      </c>
      <c r="C44" t="s">
        <v>12</v>
      </c>
      <c r="D44">
        <v>91</v>
      </c>
      <c r="E44">
        <v>71</v>
      </c>
      <c r="F44">
        <v>0.56200000000000006</v>
      </c>
      <c r="G44">
        <v>20</v>
      </c>
      <c r="H44">
        <v>1020</v>
      </c>
      <c r="I44">
        <v>841</v>
      </c>
      <c r="J44">
        <v>179</v>
      </c>
    </row>
    <row r="45" spans="1:10" x14ac:dyDescent="0.25">
      <c r="A45">
        <v>3</v>
      </c>
      <c r="B45" t="s">
        <v>30</v>
      </c>
      <c r="C45" t="s">
        <v>11</v>
      </c>
      <c r="D45">
        <v>86</v>
      </c>
      <c r="E45">
        <v>76</v>
      </c>
      <c r="F45">
        <v>0.53100000000000003</v>
      </c>
      <c r="G45">
        <v>25</v>
      </c>
      <c r="H45">
        <v>844</v>
      </c>
      <c r="I45">
        <v>770</v>
      </c>
      <c r="J45">
        <v>74</v>
      </c>
    </row>
    <row r="46" spans="1:10" x14ac:dyDescent="0.25">
      <c r="A46">
        <v>3</v>
      </c>
      <c r="B46" t="s">
        <v>30</v>
      </c>
      <c r="C46" t="s">
        <v>13</v>
      </c>
      <c r="D46">
        <v>80</v>
      </c>
      <c r="E46">
        <v>82</v>
      </c>
      <c r="F46">
        <v>0.49399999999999999</v>
      </c>
      <c r="G46">
        <v>31</v>
      </c>
      <c r="H46">
        <v>825</v>
      </c>
      <c r="I46">
        <v>790</v>
      </c>
      <c r="J46">
        <v>35</v>
      </c>
    </row>
    <row r="47" spans="1:10" x14ac:dyDescent="0.25">
      <c r="A47">
        <v>3</v>
      </c>
      <c r="B47" t="s">
        <v>31</v>
      </c>
      <c r="C47" t="s">
        <v>14</v>
      </c>
      <c r="D47">
        <v>106</v>
      </c>
      <c r="E47">
        <v>56</v>
      </c>
      <c r="F47">
        <v>0.65400000000000003</v>
      </c>
      <c r="G47">
        <v>0</v>
      </c>
      <c r="H47">
        <v>1059</v>
      </c>
      <c r="I47">
        <v>742</v>
      </c>
      <c r="J47">
        <v>317</v>
      </c>
    </row>
    <row r="48" spans="1:10" x14ac:dyDescent="0.25">
      <c r="A48">
        <v>3</v>
      </c>
      <c r="B48" t="s">
        <v>31</v>
      </c>
      <c r="C48" t="s">
        <v>16</v>
      </c>
      <c r="D48">
        <v>71</v>
      </c>
      <c r="E48">
        <v>91</v>
      </c>
      <c r="F48">
        <v>0.438</v>
      </c>
      <c r="G48">
        <v>35</v>
      </c>
      <c r="H48">
        <v>789</v>
      </c>
      <c r="I48">
        <v>840</v>
      </c>
      <c r="J48">
        <v>-51</v>
      </c>
    </row>
    <row r="49" spans="1:10" x14ac:dyDescent="0.25">
      <c r="A49">
        <v>3</v>
      </c>
      <c r="B49" t="s">
        <v>31</v>
      </c>
      <c r="C49" t="s">
        <v>15</v>
      </c>
      <c r="D49">
        <v>69</v>
      </c>
      <c r="E49">
        <v>93</v>
      </c>
      <c r="F49">
        <v>0.42599999999999999</v>
      </c>
      <c r="G49">
        <v>37</v>
      </c>
      <c r="H49">
        <v>1037</v>
      </c>
      <c r="I49">
        <v>1214</v>
      </c>
      <c r="J49">
        <v>-177</v>
      </c>
    </row>
    <row r="50" spans="1:10" x14ac:dyDescent="0.25">
      <c r="A50">
        <v>3</v>
      </c>
      <c r="B50" t="s">
        <v>31</v>
      </c>
      <c r="C50" t="s">
        <v>17</v>
      </c>
      <c r="D50">
        <v>65</v>
      </c>
      <c r="E50">
        <v>97</v>
      </c>
      <c r="F50">
        <v>0.40100000000000002</v>
      </c>
      <c r="G50">
        <v>41</v>
      </c>
      <c r="H50">
        <v>823</v>
      </c>
      <c r="I50">
        <v>1018</v>
      </c>
      <c r="J50">
        <v>-195</v>
      </c>
    </row>
    <row r="51" spans="1:10" x14ac:dyDescent="0.25">
      <c r="A51">
        <v>3</v>
      </c>
      <c r="B51" t="s">
        <v>31</v>
      </c>
      <c r="C51" t="s">
        <v>18</v>
      </c>
      <c r="D51">
        <v>35</v>
      </c>
      <c r="E51">
        <v>127</v>
      </c>
      <c r="F51">
        <v>0.216</v>
      </c>
      <c r="G51">
        <v>71</v>
      </c>
      <c r="H51">
        <v>627</v>
      </c>
      <c r="I51">
        <v>1145</v>
      </c>
      <c r="J51">
        <v>-518</v>
      </c>
    </row>
    <row r="52" spans="1:10" x14ac:dyDescent="0.25">
      <c r="A52">
        <v>3</v>
      </c>
      <c r="B52" t="s">
        <v>32</v>
      </c>
      <c r="C52" t="s">
        <v>19</v>
      </c>
      <c r="D52">
        <v>108</v>
      </c>
      <c r="E52">
        <v>54</v>
      </c>
      <c r="F52">
        <v>0.66700000000000004</v>
      </c>
      <c r="G52">
        <v>0</v>
      </c>
      <c r="H52">
        <v>1070</v>
      </c>
      <c r="I52">
        <v>737</v>
      </c>
      <c r="J52">
        <v>333</v>
      </c>
    </row>
    <row r="53" spans="1:10" x14ac:dyDescent="0.25">
      <c r="A53">
        <v>3</v>
      </c>
      <c r="B53" t="s">
        <v>32</v>
      </c>
      <c r="C53" t="s">
        <v>20</v>
      </c>
      <c r="D53">
        <v>106</v>
      </c>
      <c r="E53">
        <v>56</v>
      </c>
      <c r="F53">
        <v>0.65400000000000003</v>
      </c>
      <c r="G53">
        <v>2</v>
      </c>
      <c r="H53">
        <v>970</v>
      </c>
      <c r="I53">
        <v>810</v>
      </c>
      <c r="J53">
        <v>160</v>
      </c>
    </row>
    <row r="54" spans="1:10" x14ac:dyDescent="0.25">
      <c r="A54">
        <v>3</v>
      </c>
      <c r="B54" t="s">
        <v>32</v>
      </c>
      <c r="C54" t="s">
        <v>21</v>
      </c>
      <c r="D54">
        <v>78</v>
      </c>
      <c r="E54">
        <v>84</v>
      </c>
      <c r="F54">
        <v>0.48099999999999998</v>
      </c>
      <c r="G54">
        <v>30</v>
      </c>
      <c r="H54">
        <v>971</v>
      </c>
      <c r="I54">
        <v>945</v>
      </c>
      <c r="J54">
        <v>26</v>
      </c>
    </row>
    <row r="55" spans="1:10" x14ac:dyDescent="0.25">
      <c r="A55">
        <v>3</v>
      </c>
      <c r="B55" t="s">
        <v>32</v>
      </c>
      <c r="C55" t="s">
        <v>22</v>
      </c>
      <c r="D55">
        <v>70</v>
      </c>
      <c r="E55">
        <v>92</v>
      </c>
      <c r="F55">
        <v>0.432</v>
      </c>
      <c r="G55">
        <v>38</v>
      </c>
      <c r="H55">
        <v>937</v>
      </c>
      <c r="I55">
        <v>1030</v>
      </c>
      <c r="J55">
        <v>-93</v>
      </c>
    </row>
    <row r="56" spans="1:10" x14ac:dyDescent="0.25">
      <c r="A56">
        <v>3</v>
      </c>
      <c r="B56" t="s">
        <v>32</v>
      </c>
      <c r="C56" t="s">
        <v>23</v>
      </c>
      <c r="D56">
        <v>53</v>
      </c>
      <c r="E56">
        <v>109</v>
      </c>
      <c r="F56">
        <v>0.32700000000000001</v>
      </c>
      <c r="G56">
        <v>55</v>
      </c>
      <c r="H56">
        <v>831</v>
      </c>
      <c r="I56">
        <v>1179</v>
      </c>
      <c r="J56">
        <v>-348</v>
      </c>
    </row>
    <row r="57" spans="1:10" x14ac:dyDescent="0.25">
      <c r="A57">
        <v>3</v>
      </c>
      <c r="B57" t="s">
        <v>33</v>
      </c>
      <c r="C57" t="s">
        <v>24</v>
      </c>
      <c r="D57">
        <v>107</v>
      </c>
      <c r="E57">
        <v>55</v>
      </c>
      <c r="F57">
        <v>0.66</v>
      </c>
      <c r="G57">
        <v>0</v>
      </c>
      <c r="H57">
        <v>941</v>
      </c>
      <c r="I57">
        <v>682</v>
      </c>
      <c r="J57">
        <v>259</v>
      </c>
    </row>
    <row r="58" spans="1:10" x14ac:dyDescent="0.25">
      <c r="A58">
        <v>3</v>
      </c>
      <c r="B58" t="s">
        <v>33</v>
      </c>
      <c r="C58" t="s">
        <v>25</v>
      </c>
      <c r="D58">
        <v>92</v>
      </c>
      <c r="E58">
        <v>70</v>
      </c>
      <c r="F58">
        <v>0.56799999999999995</v>
      </c>
      <c r="G58">
        <v>15</v>
      </c>
      <c r="H58">
        <v>842</v>
      </c>
      <c r="I58">
        <v>741</v>
      </c>
      <c r="J58">
        <v>101</v>
      </c>
    </row>
    <row r="59" spans="1:10" x14ac:dyDescent="0.25">
      <c r="A59">
        <v>3</v>
      </c>
      <c r="B59" t="s">
        <v>33</v>
      </c>
      <c r="C59" t="s">
        <v>26</v>
      </c>
      <c r="D59">
        <v>81</v>
      </c>
      <c r="E59">
        <v>81</v>
      </c>
      <c r="F59">
        <v>0.5</v>
      </c>
      <c r="G59">
        <v>26</v>
      </c>
      <c r="H59">
        <v>813</v>
      </c>
      <c r="I59">
        <v>789</v>
      </c>
      <c r="J59">
        <v>24</v>
      </c>
    </row>
    <row r="60" spans="1:10" x14ac:dyDescent="0.25">
      <c r="A60">
        <v>3</v>
      </c>
      <c r="B60" t="s">
        <v>33</v>
      </c>
      <c r="C60" t="s">
        <v>27</v>
      </c>
      <c r="D60">
        <v>67</v>
      </c>
      <c r="E60">
        <v>95</v>
      </c>
      <c r="F60">
        <v>0.41399999999999998</v>
      </c>
      <c r="G60">
        <v>40</v>
      </c>
      <c r="H60">
        <v>787</v>
      </c>
      <c r="I60">
        <v>943</v>
      </c>
      <c r="J60">
        <v>-156</v>
      </c>
    </row>
    <row r="61" spans="1:10" x14ac:dyDescent="0.25">
      <c r="A61">
        <v>3</v>
      </c>
      <c r="B61" t="s">
        <v>33</v>
      </c>
      <c r="C61" t="s">
        <v>28</v>
      </c>
      <c r="D61">
        <v>48</v>
      </c>
      <c r="E61">
        <v>114</v>
      </c>
      <c r="F61">
        <v>0.29599999999999999</v>
      </c>
      <c r="G61">
        <v>59</v>
      </c>
      <c r="H61">
        <v>745</v>
      </c>
      <c r="I61">
        <v>1136</v>
      </c>
      <c r="J61">
        <v>-391</v>
      </c>
    </row>
    <row r="62" spans="1:10" x14ac:dyDescent="0.25">
      <c r="A62">
        <v>4</v>
      </c>
      <c r="B62" t="s">
        <v>30</v>
      </c>
      <c r="C62" t="s">
        <v>8</v>
      </c>
      <c r="D62">
        <v>97</v>
      </c>
      <c r="E62">
        <v>65</v>
      </c>
      <c r="F62">
        <v>0.59899999999999998</v>
      </c>
      <c r="G62">
        <v>0</v>
      </c>
      <c r="H62">
        <v>927</v>
      </c>
      <c r="I62">
        <v>709</v>
      </c>
      <c r="J62">
        <v>218</v>
      </c>
    </row>
    <row r="63" spans="1:10" x14ac:dyDescent="0.25">
      <c r="A63">
        <v>4</v>
      </c>
      <c r="B63" t="s">
        <v>30</v>
      </c>
      <c r="C63" t="s">
        <v>11</v>
      </c>
      <c r="D63">
        <v>95</v>
      </c>
      <c r="E63">
        <v>67</v>
      </c>
      <c r="F63">
        <v>0.58599999999999997</v>
      </c>
      <c r="G63">
        <v>2</v>
      </c>
      <c r="H63">
        <v>866</v>
      </c>
      <c r="I63">
        <v>736</v>
      </c>
      <c r="J63">
        <v>130</v>
      </c>
    </row>
    <row r="64" spans="1:10" x14ac:dyDescent="0.25">
      <c r="A64">
        <v>4</v>
      </c>
      <c r="B64" t="s">
        <v>30</v>
      </c>
      <c r="C64" t="s">
        <v>10</v>
      </c>
      <c r="D64">
        <v>89</v>
      </c>
      <c r="E64">
        <v>73</v>
      </c>
      <c r="F64">
        <v>0.54900000000000004</v>
      </c>
      <c r="G64">
        <v>8</v>
      </c>
      <c r="H64">
        <v>927</v>
      </c>
      <c r="I64">
        <v>851</v>
      </c>
      <c r="J64">
        <v>76</v>
      </c>
    </row>
    <row r="65" spans="1:10" x14ac:dyDescent="0.25">
      <c r="A65">
        <v>4</v>
      </c>
      <c r="B65" t="s">
        <v>30</v>
      </c>
      <c r="C65" t="s">
        <v>12</v>
      </c>
      <c r="D65">
        <v>87</v>
      </c>
      <c r="E65">
        <v>75</v>
      </c>
      <c r="F65">
        <v>0.53700000000000003</v>
      </c>
      <c r="G65">
        <v>10</v>
      </c>
      <c r="H65">
        <v>978</v>
      </c>
      <c r="I65">
        <v>901</v>
      </c>
      <c r="J65">
        <v>77</v>
      </c>
    </row>
    <row r="66" spans="1:10" x14ac:dyDescent="0.25">
      <c r="A66">
        <v>4</v>
      </c>
      <c r="B66" t="s">
        <v>30</v>
      </c>
      <c r="C66" t="s">
        <v>13</v>
      </c>
      <c r="D66">
        <v>76</v>
      </c>
      <c r="E66">
        <v>86</v>
      </c>
      <c r="F66">
        <v>0.46899999999999997</v>
      </c>
      <c r="G66">
        <v>21</v>
      </c>
      <c r="H66">
        <v>866</v>
      </c>
      <c r="I66">
        <v>845</v>
      </c>
      <c r="J66">
        <v>21</v>
      </c>
    </row>
    <row r="67" spans="1:10" x14ac:dyDescent="0.25">
      <c r="A67">
        <v>4</v>
      </c>
      <c r="B67" t="s">
        <v>31</v>
      </c>
      <c r="C67" t="s">
        <v>14</v>
      </c>
      <c r="D67">
        <v>110</v>
      </c>
      <c r="E67">
        <v>52</v>
      </c>
      <c r="F67">
        <v>0.67900000000000005</v>
      </c>
      <c r="G67">
        <v>0</v>
      </c>
      <c r="H67">
        <v>1028</v>
      </c>
      <c r="I67">
        <v>692</v>
      </c>
      <c r="J67">
        <v>336</v>
      </c>
    </row>
    <row r="68" spans="1:10" x14ac:dyDescent="0.25">
      <c r="A68">
        <v>4</v>
      </c>
      <c r="B68" t="s">
        <v>31</v>
      </c>
      <c r="C68" t="s">
        <v>15</v>
      </c>
      <c r="D68">
        <v>72</v>
      </c>
      <c r="E68">
        <v>90</v>
      </c>
      <c r="F68">
        <v>0.44400000000000001</v>
      </c>
      <c r="G68">
        <v>38</v>
      </c>
      <c r="H68">
        <v>995</v>
      </c>
      <c r="I68">
        <v>1212</v>
      </c>
      <c r="J68">
        <v>-217</v>
      </c>
    </row>
    <row r="69" spans="1:10" x14ac:dyDescent="0.25">
      <c r="A69">
        <v>4</v>
      </c>
      <c r="B69" t="s">
        <v>31</v>
      </c>
      <c r="C69" t="s">
        <v>16</v>
      </c>
      <c r="D69">
        <v>67</v>
      </c>
      <c r="E69">
        <v>95</v>
      </c>
      <c r="F69">
        <v>0.41399999999999998</v>
      </c>
      <c r="G69">
        <v>43</v>
      </c>
      <c r="H69">
        <v>728</v>
      </c>
      <c r="I69">
        <v>869</v>
      </c>
      <c r="J69">
        <v>-141</v>
      </c>
    </row>
    <row r="70" spans="1:10" x14ac:dyDescent="0.25">
      <c r="A70">
        <v>4</v>
      </c>
      <c r="B70" t="s">
        <v>31</v>
      </c>
      <c r="C70" t="s">
        <v>17</v>
      </c>
      <c r="D70">
        <v>59</v>
      </c>
      <c r="E70">
        <v>103</v>
      </c>
      <c r="F70">
        <v>0.36399999999999999</v>
      </c>
      <c r="G70">
        <v>51</v>
      </c>
      <c r="H70">
        <v>826</v>
      </c>
      <c r="I70">
        <v>1017</v>
      </c>
      <c r="J70">
        <v>-191</v>
      </c>
    </row>
    <row r="71" spans="1:10" x14ac:dyDescent="0.25">
      <c r="A71">
        <v>4</v>
      </c>
      <c r="B71" t="s">
        <v>31</v>
      </c>
      <c r="C71" t="s">
        <v>18</v>
      </c>
      <c r="D71">
        <v>53</v>
      </c>
      <c r="E71">
        <v>109</v>
      </c>
      <c r="F71">
        <v>0.32700000000000001</v>
      </c>
      <c r="G71">
        <v>57</v>
      </c>
      <c r="H71">
        <v>696</v>
      </c>
      <c r="I71">
        <v>1053</v>
      </c>
      <c r="J71">
        <v>-357</v>
      </c>
    </row>
    <row r="72" spans="1:10" x14ac:dyDescent="0.25">
      <c r="A72">
        <v>4</v>
      </c>
      <c r="B72" t="s">
        <v>32</v>
      </c>
      <c r="C72" t="s">
        <v>19</v>
      </c>
      <c r="D72">
        <v>110</v>
      </c>
      <c r="E72">
        <v>52</v>
      </c>
      <c r="F72">
        <v>0.67900000000000005</v>
      </c>
      <c r="G72">
        <v>0</v>
      </c>
      <c r="H72">
        <v>1068</v>
      </c>
      <c r="I72">
        <v>781</v>
      </c>
      <c r="J72">
        <v>287</v>
      </c>
    </row>
    <row r="73" spans="1:10" x14ac:dyDescent="0.25">
      <c r="A73">
        <v>4</v>
      </c>
      <c r="B73" t="s">
        <v>32</v>
      </c>
      <c r="C73" t="s">
        <v>20</v>
      </c>
      <c r="D73">
        <v>95</v>
      </c>
      <c r="E73">
        <v>67</v>
      </c>
      <c r="F73">
        <v>0.58599999999999997</v>
      </c>
      <c r="G73">
        <v>15</v>
      </c>
      <c r="H73">
        <v>959</v>
      </c>
      <c r="I73">
        <v>784</v>
      </c>
      <c r="J73">
        <v>175</v>
      </c>
    </row>
    <row r="74" spans="1:10" x14ac:dyDescent="0.25">
      <c r="A74">
        <v>4</v>
      </c>
      <c r="B74" t="s">
        <v>32</v>
      </c>
      <c r="C74" t="s">
        <v>21</v>
      </c>
      <c r="D74">
        <v>87</v>
      </c>
      <c r="E74">
        <v>75</v>
      </c>
      <c r="F74">
        <v>0.53700000000000003</v>
      </c>
      <c r="G74">
        <v>23</v>
      </c>
      <c r="H74">
        <v>898</v>
      </c>
      <c r="I74">
        <v>894</v>
      </c>
      <c r="J74">
        <v>4</v>
      </c>
    </row>
    <row r="75" spans="1:10" x14ac:dyDescent="0.25">
      <c r="A75">
        <v>4</v>
      </c>
      <c r="B75" t="s">
        <v>32</v>
      </c>
      <c r="C75" t="s">
        <v>22</v>
      </c>
      <c r="D75">
        <v>75</v>
      </c>
      <c r="E75">
        <v>87</v>
      </c>
      <c r="F75">
        <v>0.46300000000000002</v>
      </c>
      <c r="G75">
        <v>35</v>
      </c>
      <c r="H75">
        <v>949</v>
      </c>
      <c r="I75">
        <v>1015</v>
      </c>
      <c r="J75">
        <v>-66</v>
      </c>
    </row>
    <row r="76" spans="1:10" x14ac:dyDescent="0.25">
      <c r="A76">
        <v>4</v>
      </c>
      <c r="B76" t="s">
        <v>32</v>
      </c>
      <c r="C76" t="s">
        <v>23</v>
      </c>
      <c r="D76">
        <v>55</v>
      </c>
      <c r="E76">
        <v>107</v>
      </c>
      <c r="F76">
        <v>0.34</v>
      </c>
      <c r="G76">
        <v>55</v>
      </c>
      <c r="H76">
        <v>785</v>
      </c>
      <c r="I76">
        <v>1098</v>
      </c>
      <c r="J76">
        <v>-313</v>
      </c>
    </row>
    <row r="77" spans="1:10" x14ac:dyDescent="0.25">
      <c r="A77">
        <v>4</v>
      </c>
      <c r="B77" t="s">
        <v>33</v>
      </c>
      <c r="C77" t="s">
        <v>24</v>
      </c>
      <c r="D77">
        <v>100</v>
      </c>
      <c r="E77">
        <v>62</v>
      </c>
      <c r="F77">
        <v>0.61699999999999999</v>
      </c>
      <c r="G77">
        <v>0</v>
      </c>
      <c r="H77">
        <v>992</v>
      </c>
      <c r="I77">
        <v>687</v>
      </c>
      <c r="J77">
        <v>305</v>
      </c>
    </row>
    <row r="78" spans="1:10" x14ac:dyDescent="0.25">
      <c r="A78">
        <v>4</v>
      </c>
      <c r="B78" t="s">
        <v>33</v>
      </c>
      <c r="C78" t="s">
        <v>26</v>
      </c>
      <c r="D78">
        <v>91</v>
      </c>
      <c r="E78">
        <v>71</v>
      </c>
      <c r="F78">
        <v>0.56200000000000006</v>
      </c>
      <c r="G78">
        <v>9</v>
      </c>
      <c r="H78">
        <v>867</v>
      </c>
      <c r="I78">
        <v>824</v>
      </c>
      <c r="J78">
        <v>43</v>
      </c>
    </row>
    <row r="79" spans="1:10" x14ac:dyDescent="0.25">
      <c r="A79">
        <v>4</v>
      </c>
      <c r="B79" t="s">
        <v>33</v>
      </c>
      <c r="C79" t="s">
        <v>25</v>
      </c>
      <c r="D79">
        <v>87</v>
      </c>
      <c r="E79">
        <v>75</v>
      </c>
      <c r="F79">
        <v>0.53700000000000003</v>
      </c>
      <c r="G79">
        <v>13</v>
      </c>
      <c r="H79">
        <v>749</v>
      </c>
      <c r="I79">
        <v>715</v>
      </c>
      <c r="J79">
        <v>34</v>
      </c>
    </row>
    <row r="80" spans="1:10" x14ac:dyDescent="0.25">
      <c r="A80">
        <v>4</v>
      </c>
      <c r="B80" t="s">
        <v>33</v>
      </c>
      <c r="C80" t="s">
        <v>27</v>
      </c>
      <c r="D80">
        <v>70</v>
      </c>
      <c r="E80">
        <v>92</v>
      </c>
      <c r="F80">
        <v>0.432</v>
      </c>
      <c r="G80">
        <v>30</v>
      </c>
      <c r="H80">
        <v>778</v>
      </c>
      <c r="I80">
        <v>884</v>
      </c>
      <c r="J80">
        <v>-106</v>
      </c>
    </row>
    <row r="81" spans="1:10" x14ac:dyDescent="0.25">
      <c r="A81">
        <v>4</v>
      </c>
      <c r="B81" t="s">
        <v>33</v>
      </c>
      <c r="C81" t="s">
        <v>28</v>
      </c>
      <c r="D81">
        <v>45</v>
      </c>
      <c r="E81">
        <v>117</v>
      </c>
      <c r="F81">
        <v>0.27800000000000002</v>
      </c>
      <c r="G81">
        <v>55</v>
      </c>
      <c r="H81">
        <v>671</v>
      </c>
      <c r="I81">
        <v>986</v>
      </c>
      <c r="J81">
        <v>-315</v>
      </c>
    </row>
    <row r="82" spans="1:10" x14ac:dyDescent="0.25">
      <c r="A82">
        <v>5</v>
      </c>
      <c r="B82" t="s">
        <v>30</v>
      </c>
      <c r="C82" t="s">
        <v>12</v>
      </c>
      <c r="D82">
        <v>92</v>
      </c>
      <c r="E82">
        <v>70</v>
      </c>
      <c r="F82">
        <v>0.56799999999999995</v>
      </c>
      <c r="G82">
        <v>0</v>
      </c>
      <c r="H82">
        <v>1028</v>
      </c>
      <c r="I82">
        <v>795</v>
      </c>
      <c r="J82">
        <v>233</v>
      </c>
    </row>
    <row r="83" spans="1:10" x14ac:dyDescent="0.25">
      <c r="A83">
        <v>5</v>
      </c>
      <c r="B83" t="s">
        <v>30</v>
      </c>
      <c r="C83" t="s">
        <v>8</v>
      </c>
      <c r="D83">
        <v>89</v>
      </c>
      <c r="E83">
        <v>73</v>
      </c>
      <c r="F83">
        <v>0.54900000000000004</v>
      </c>
      <c r="G83">
        <v>3</v>
      </c>
      <c r="H83">
        <v>871</v>
      </c>
      <c r="I83">
        <v>698</v>
      </c>
      <c r="J83">
        <v>173</v>
      </c>
    </row>
    <row r="84" spans="1:10" x14ac:dyDescent="0.25">
      <c r="A84">
        <v>5</v>
      </c>
      <c r="B84" t="s">
        <v>30</v>
      </c>
      <c r="C84" t="s">
        <v>10</v>
      </c>
      <c r="D84">
        <v>86</v>
      </c>
      <c r="E84">
        <v>76</v>
      </c>
      <c r="F84">
        <v>0.53100000000000003</v>
      </c>
      <c r="G84">
        <v>6</v>
      </c>
      <c r="H84">
        <v>953</v>
      </c>
      <c r="I84">
        <v>871</v>
      </c>
      <c r="J84">
        <v>82</v>
      </c>
    </row>
    <row r="85" spans="1:10" x14ac:dyDescent="0.25">
      <c r="A85">
        <v>5</v>
      </c>
      <c r="B85" t="s">
        <v>30</v>
      </c>
      <c r="C85" t="s">
        <v>11</v>
      </c>
      <c r="D85">
        <v>85</v>
      </c>
      <c r="E85">
        <v>77</v>
      </c>
      <c r="F85">
        <v>0.52500000000000002</v>
      </c>
      <c r="G85">
        <v>7</v>
      </c>
      <c r="H85">
        <v>896</v>
      </c>
      <c r="I85">
        <v>799</v>
      </c>
      <c r="J85">
        <v>97</v>
      </c>
    </row>
    <row r="86" spans="1:10" x14ac:dyDescent="0.25">
      <c r="A86">
        <v>5</v>
      </c>
      <c r="B86" t="s">
        <v>30</v>
      </c>
      <c r="C86" t="s">
        <v>13</v>
      </c>
      <c r="D86">
        <v>75</v>
      </c>
      <c r="E86">
        <v>87</v>
      </c>
      <c r="F86">
        <v>0.46300000000000002</v>
      </c>
      <c r="G86">
        <v>17</v>
      </c>
      <c r="H86">
        <v>799</v>
      </c>
      <c r="I86">
        <v>875</v>
      </c>
      <c r="J86">
        <v>-76</v>
      </c>
    </row>
    <row r="87" spans="1:10" x14ac:dyDescent="0.25">
      <c r="A87">
        <v>5</v>
      </c>
      <c r="B87" t="s">
        <v>31</v>
      </c>
      <c r="C87" t="s">
        <v>14</v>
      </c>
      <c r="D87">
        <v>115</v>
      </c>
      <c r="E87">
        <v>47</v>
      </c>
      <c r="F87">
        <v>0.71</v>
      </c>
      <c r="G87">
        <v>0</v>
      </c>
      <c r="H87">
        <v>1053</v>
      </c>
      <c r="I87">
        <v>728</v>
      </c>
      <c r="J87">
        <v>325</v>
      </c>
    </row>
    <row r="88" spans="1:10" x14ac:dyDescent="0.25">
      <c r="A88">
        <v>5</v>
      </c>
      <c r="B88" t="s">
        <v>31</v>
      </c>
      <c r="C88" t="s">
        <v>15</v>
      </c>
      <c r="D88">
        <v>79</v>
      </c>
      <c r="E88">
        <v>83</v>
      </c>
      <c r="F88">
        <v>0.48799999999999999</v>
      </c>
      <c r="G88">
        <v>36</v>
      </c>
      <c r="H88">
        <v>1011</v>
      </c>
      <c r="I88">
        <v>1132</v>
      </c>
      <c r="J88">
        <v>-121</v>
      </c>
    </row>
    <row r="89" spans="1:10" x14ac:dyDescent="0.25">
      <c r="A89">
        <v>5</v>
      </c>
      <c r="B89" t="s">
        <v>31</v>
      </c>
      <c r="C89" t="s">
        <v>16</v>
      </c>
      <c r="D89">
        <v>77</v>
      </c>
      <c r="E89">
        <v>85</v>
      </c>
      <c r="F89">
        <v>0.47499999999999998</v>
      </c>
      <c r="G89">
        <v>38</v>
      </c>
      <c r="H89">
        <v>840</v>
      </c>
      <c r="I89">
        <v>906</v>
      </c>
      <c r="J89">
        <v>-66</v>
      </c>
    </row>
    <row r="90" spans="1:10" x14ac:dyDescent="0.25">
      <c r="A90">
        <v>5</v>
      </c>
      <c r="B90" t="s">
        <v>31</v>
      </c>
      <c r="C90" t="s">
        <v>17</v>
      </c>
      <c r="D90">
        <v>74</v>
      </c>
      <c r="E90">
        <v>88</v>
      </c>
      <c r="F90">
        <v>0.45700000000000002</v>
      </c>
      <c r="G90">
        <v>41</v>
      </c>
      <c r="H90">
        <v>815</v>
      </c>
      <c r="I90">
        <v>930</v>
      </c>
      <c r="J90">
        <v>-115</v>
      </c>
    </row>
    <row r="91" spans="1:10" x14ac:dyDescent="0.25">
      <c r="A91">
        <v>5</v>
      </c>
      <c r="B91" t="s">
        <v>31</v>
      </c>
      <c r="C91" t="s">
        <v>18</v>
      </c>
      <c r="D91">
        <v>52</v>
      </c>
      <c r="E91">
        <v>110</v>
      </c>
      <c r="F91">
        <v>0.32100000000000001</v>
      </c>
      <c r="G91">
        <v>63</v>
      </c>
      <c r="H91">
        <v>662</v>
      </c>
      <c r="I91">
        <v>1070</v>
      </c>
      <c r="J91">
        <v>-408</v>
      </c>
    </row>
    <row r="92" spans="1:10" x14ac:dyDescent="0.25">
      <c r="A92">
        <v>5</v>
      </c>
      <c r="B92" t="s">
        <v>32</v>
      </c>
      <c r="C92" t="s">
        <v>19</v>
      </c>
      <c r="D92">
        <v>101</v>
      </c>
      <c r="E92">
        <v>61</v>
      </c>
      <c r="F92">
        <v>0.623</v>
      </c>
      <c r="G92">
        <v>0</v>
      </c>
      <c r="H92">
        <v>975</v>
      </c>
      <c r="I92">
        <v>718</v>
      </c>
      <c r="J92">
        <v>257</v>
      </c>
    </row>
    <row r="93" spans="1:10" x14ac:dyDescent="0.25">
      <c r="A93">
        <v>5</v>
      </c>
      <c r="B93" t="s">
        <v>32</v>
      </c>
      <c r="C93" t="s">
        <v>20</v>
      </c>
      <c r="D93">
        <v>96</v>
      </c>
      <c r="E93">
        <v>66</v>
      </c>
      <c r="F93">
        <v>0.59299999999999997</v>
      </c>
      <c r="G93">
        <v>5</v>
      </c>
      <c r="H93">
        <v>1034</v>
      </c>
      <c r="I93">
        <v>842</v>
      </c>
      <c r="J93">
        <v>192</v>
      </c>
    </row>
    <row r="94" spans="1:10" x14ac:dyDescent="0.25">
      <c r="A94">
        <v>5</v>
      </c>
      <c r="B94" t="s">
        <v>32</v>
      </c>
      <c r="C94" t="s">
        <v>21</v>
      </c>
      <c r="D94">
        <v>86</v>
      </c>
      <c r="E94">
        <v>76</v>
      </c>
      <c r="F94">
        <v>0.53100000000000003</v>
      </c>
      <c r="G94">
        <v>15</v>
      </c>
      <c r="H94">
        <v>989</v>
      </c>
      <c r="I94">
        <v>917</v>
      </c>
      <c r="J94">
        <v>72</v>
      </c>
    </row>
    <row r="95" spans="1:10" x14ac:dyDescent="0.25">
      <c r="A95">
        <v>5</v>
      </c>
      <c r="B95" t="s">
        <v>32</v>
      </c>
      <c r="C95" t="s">
        <v>22</v>
      </c>
      <c r="D95">
        <v>70</v>
      </c>
      <c r="E95">
        <v>92</v>
      </c>
      <c r="F95">
        <v>0.432</v>
      </c>
      <c r="G95">
        <v>31</v>
      </c>
      <c r="H95">
        <v>892</v>
      </c>
      <c r="I95">
        <v>988</v>
      </c>
      <c r="J95">
        <v>-96</v>
      </c>
    </row>
    <row r="96" spans="1:10" x14ac:dyDescent="0.25">
      <c r="A96">
        <v>5</v>
      </c>
      <c r="B96" t="s">
        <v>32</v>
      </c>
      <c r="C96" t="s">
        <v>23</v>
      </c>
      <c r="D96">
        <v>51</v>
      </c>
      <c r="E96">
        <v>111</v>
      </c>
      <c r="F96">
        <v>0.315</v>
      </c>
      <c r="G96">
        <v>50</v>
      </c>
      <c r="H96">
        <v>709</v>
      </c>
      <c r="I96">
        <v>1079</v>
      </c>
      <c r="J96">
        <v>-370</v>
      </c>
    </row>
    <row r="97" spans="1:10" x14ac:dyDescent="0.25">
      <c r="A97">
        <v>5</v>
      </c>
      <c r="B97" t="s">
        <v>33</v>
      </c>
      <c r="C97" t="s">
        <v>24</v>
      </c>
      <c r="D97">
        <v>101</v>
      </c>
      <c r="E97">
        <v>61</v>
      </c>
      <c r="F97">
        <v>0.623</v>
      </c>
      <c r="G97">
        <v>0</v>
      </c>
      <c r="H97">
        <v>893</v>
      </c>
      <c r="I97">
        <v>706</v>
      </c>
      <c r="J97">
        <v>187</v>
      </c>
    </row>
    <row r="98" spans="1:10" x14ac:dyDescent="0.25">
      <c r="A98">
        <v>5</v>
      </c>
      <c r="B98" t="s">
        <v>33</v>
      </c>
      <c r="C98" t="s">
        <v>25</v>
      </c>
      <c r="D98">
        <v>89</v>
      </c>
      <c r="E98">
        <v>73</v>
      </c>
      <c r="F98">
        <v>0.54900000000000004</v>
      </c>
      <c r="G98">
        <v>12</v>
      </c>
      <c r="H98">
        <v>819</v>
      </c>
      <c r="I98">
        <v>786</v>
      </c>
      <c r="J98">
        <v>33</v>
      </c>
    </row>
    <row r="99" spans="1:10" x14ac:dyDescent="0.25">
      <c r="A99">
        <v>5</v>
      </c>
      <c r="B99" t="s">
        <v>33</v>
      </c>
      <c r="C99" t="s">
        <v>26</v>
      </c>
      <c r="D99">
        <v>84</v>
      </c>
      <c r="E99">
        <v>78</v>
      </c>
      <c r="F99">
        <v>0.51900000000000002</v>
      </c>
      <c r="G99">
        <v>17</v>
      </c>
      <c r="H99">
        <v>875</v>
      </c>
      <c r="I99">
        <v>801</v>
      </c>
      <c r="J99">
        <v>74</v>
      </c>
    </row>
    <row r="100" spans="1:10" x14ac:dyDescent="0.25">
      <c r="A100">
        <v>5</v>
      </c>
      <c r="B100" t="s">
        <v>33</v>
      </c>
      <c r="C100" t="s">
        <v>27</v>
      </c>
      <c r="D100">
        <v>68</v>
      </c>
      <c r="E100">
        <v>94</v>
      </c>
      <c r="F100">
        <v>0.42</v>
      </c>
      <c r="G100">
        <v>33</v>
      </c>
      <c r="H100">
        <v>788</v>
      </c>
      <c r="I100">
        <v>967</v>
      </c>
      <c r="J100">
        <v>-179</v>
      </c>
    </row>
    <row r="101" spans="1:10" x14ac:dyDescent="0.25">
      <c r="A101">
        <v>5</v>
      </c>
      <c r="B101" t="s">
        <v>33</v>
      </c>
      <c r="C101" t="s">
        <v>28</v>
      </c>
      <c r="D101">
        <v>50</v>
      </c>
      <c r="E101">
        <v>112</v>
      </c>
      <c r="F101">
        <v>0.309</v>
      </c>
      <c r="G101">
        <v>51</v>
      </c>
      <c r="H101">
        <v>739</v>
      </c>
      <c r="I101">
        <v>1033</v>
      </c>
      <c r="J101">
        <v>-294</v>
      </c>
    </row>
    <row r="102" spans="1:10" x14ac:dyDescent="0.25">
      <c r="A102">
        <v>6</v>
      </c>
      <c r="B102" t="s">
        <v>30</v>
      </c>
      <c r="C102" t="s">
        <v>10</v>
      </c>
      <c r="D102">
        <v>103</v>
      </c>
      <c r="E102">
        <v>59</v>
      </c>
      <c r="F102">
        <v>0.63600000000000001</v>
      </c>
      <c r="G102">
        <v>0</v>
      </c>
      <c r="H102">
        <v>1032</v>
      </c>
      <c r="I102">
        <v>767</v>
      </c>
      <c r="J102">
        <v>265</v>
      </c>
    </row>
    <row r="103" spans="1:10" x14ac:dyDescent="0.25">
      <c r="A103">
        <v>6</v>
      </c>
      <c r="B103" t="s">
        <v>30</v>
      </c>
      <c r="C103" t="s">
        <v>8</v>
      </c>
      <c r="D103">
        <v>97</v>
      </c>
      <c r="E103">
        <v>65</v>
      </c>
      <c r="F103">
        <v>0.59899999999999998</v>
      </c>
      <c r="G103">
        <v>6</v>
      </c>
      <c r="H103">
        <v>936</v>
      </c>
      <c r="I103">
        <v>724</v>
      </c>
      <c r="J103">
        <v>212</v>
      </c>
    </row>
    <row r="104" spans="1:10" x14ac:dyDescent="0.25">
      <c r="A104">
        <v>6</v>
      </c>
      <c r="B104" t="s">
        <v>30</v>
      </c>
      <c r="C104" t="s">
        <v>11</v>
      </c>
      <c r="D104">
        <v>92</v>
      </c>
      <c r="E104">
        <v>70</v>
      </c>
      <c r="F104">
        <v>0.56799999999999995</v>
      </c>
      <c r="G104">
        <v>11</v>
      </c>
      <c r="H104">
        <v>906</v>
      </c>
      <c r="I104">
        <v>805</v>
      </c>
      <c r="J104">
        <v>101</v>
      </c>
    </row>
    <row r="105" spans="1:10" x14ac:dyDescent="0.25">
      <c r="A105">
        <v>6</v>
      </c>
      <c r="B105" t="s">
        <v>30</v>
      </c>
      <c r="C105" t="s">
        <v>12</v>
      </c>
      <c r="D105">
        <v>91</v>
      </c>
      <c r="E105">
        <v>71</v>
      </c>
      <c r="F105">
        <v>0.56200000000000006</v>
      </c>
      <c r="G105">
        <v>12</v>
      </c>
      <c r="H105">
        <v>967</v>
      </c>
      <c r="I105">
        <v>838</v>
      </c>
      <c r="J105">
        <v>129</v>
      </c>
    </row>
    <row r="106" spans="1:10" x14ac:dyDescent="0.25">
      <c r="A106">
        <v>6</v>
      </c>
      <c r="B106" t="s">
        <v>30</v>
      </c>
      <c r="C106" t="s">
        <v>13</v>
      </c>
      <c r="D106">
        <v>75</v>
      </c>
      <c r="E106">
        <v>87</v>
      </c>
      <c r="F106">
        <v>0.46300000000000002</v>
      </c>
      <c r="G106">
        <v>28</v>
      </c>
      <c r="H106">
        <v>763</v>
      </c>
      <c r="I106">
        <v>851</v>
      </c>
      <c r="J106">
        <v>-88</v>
      </c>
    </row>
    <row r="107" spans="1:10" x14ac:dyDescent="0.25">
      <c r="A107">
        <v>6</v>
      </c>
      <c r="B107" t="s">
        <v>31</v>
      </c>
      <c r="C107" t="s">
        <v>14</v>
      </c>
      <c r="D107">
        <v>108</v>
      </c>
      <c r="E107">
        <v>54</v>
      </c>
      <c r="F107">
        <v>0.66700000000000004</v>
      </c>
      <c r="G107">
        <v>0</v>
      </c>
      <c r="H107">
        <v>1048</v>
      </c>
      <c r="I107">
        <v>694</v>
      </c>
      <c r="J107">
        <v>354</v>
      </c>
    </row>
    <row r="108" spans="1:10" x14ac:dyDescent="0.25">
      <c r="A108">
        <v>6</v>
      </c>
      <c r="B108" t="s">
        <v>31</v>
      </c>
      <c r="C108" t="s">
        <v>15</v>
      </c>
      <c r="D108">
        <v>72</v>
      </c>
      <c r="E108">
        <v>90</v>
      </c>
      <c r="F108">
        <v>0.44400000000000001</v>
      </c>
      <c r="G108">
        <v>36</v>
      </c>
      <c r="H108">
        <v>995</v>
      </c>
      <c r="I108">
        <v>1088</v>
      </c>
      <c r="J108">
        <v>-93</v>
      </c>
    </row>
    <row r="109" spans="1:10" x14ac:dyDescent="0.25">
      <c r="A109">
        <v>6</v>
      </c>
      <c r="B109" t="s">
        <v>31</v>
      </c>
      <c r="C109" t="s">
        <v>17</v>
      </c>
      <c r="D109">
        <v>68</v>
      </c>
      <c r="E109">
        <v>94</v>
      </c>
      <c r="F109">
        <v>0.42</v>
      </c>
      <c r="G109">
        <v>40</v>
      </c>
      <c r="H109">
        <v>788</v>
      </c>
      <c r="I109">
        <v>949</v>
      </c>
      <c r="J109">
        <v>-161</v>
      </c>
    </row>
    <row r="110" spans="1:10" x14ac:dyDescent="0.25">
      <c r="A110">
        <v>6</v>
      </c>
      <c r="B110" t="s">
        <v>31</v>
      </c>
      <c r="C110" t="s">
        <v>16</v>
      </c>
      <c r="D110">
        <v>64</v>
      </c>
      <c r="E110">
        <v>98</v>
      </c>
      <c r="F110">
        <v>0.39500000000000002</v>
      </c>
      <c r="G110">
        <v>44</v>
      </c>
      <c r="H110">
        <v>733</v>
      </c>
      <c r="I110">
        <v>885</v>
      </c>
      <c r="J110">
        <v>-152</v>
      </c>
    </row>
    <row r="111" spans="1:10" x14ac:dyDescent="0.25">
      <c r="A111">
        <v>6</v>
      </c>
      <c r="B111" t="s">
        <v>31</v>
      </c>
      <c r="C111" t="s">
        <v>18</v>
      </c>
      <c r="D111">
        <v>38</v>
      </c>
      <c r="E111">
        <v>124</v>
      </c>
      <c r="F111">
        <v>0.23499999999999999</v>
      </c>
      <c r="G111">
        <v>70</v>
      </c>
      <c r="H111">
        <v>634</v>
      </c>
      <c r="I111">
        <v>1137</v>
      </c>
      <c r="J111">
        <v>-503</v>
      </c>
    </row>
    <row r="112" spans="1:10" x14ac:dyDescent="0.25">
      <c r="A112">
        <v>6</v>
      </c>
      <c r="B112" t="s">
        <v>32</v>
      </c>
      <c r="C112" t="s">
        <v>19</v>
      </c>
      <c r="D112">
        <v>101</v>
      </c>
      <c r="E112">
        <v>61</v>
      </c>
      <c r="F112">
        <v>0.623</v>
      </c>
      <c r="G112">
        <v>0</v>
      </c>
      <c r="H112">
        <v>1063</v>
      </c>
      <c r="I112">
        <v>795</v>
      </c>
      <c r="J112">
        <v>268</v>
      </c>
    </row>
    <row r="113" spans="1:10" x14ac:dyDescent="0.25">
      <c r="A113">
        <v>6</v>
      </c>
      <c r="B113" t="s">
        <v>32</v>
      </c>
      <c r="C113" t="s">
        <v>20</v>
      </c>
      <c r="D113">
        <v>95</v>
      </c>
      <c r="E113">
        <v>67</v>
      </c>
      <c r="F113">
        <v>0.58599999999999997</v>
      </c>
      <c r="G113">
        <v>6</v>
      </c>
      <c r="H113">
        <v>961</v>
      </c>
      <c r="I113">
        <v>827</v>
      </c>
      <c r="J113">
        <v>134</v>
      </c>
    </row>
    <row r="114" spans="1:10" x14ac:dyDescent="0.25">
      <c r="A114">
        <v>6</v>
      </c>
      <c r="B114" t="s">
        <v>32</v>
      </c>
      <c r="C114" t="s">
        <v>21</v>
      </c>
      <c r="D114">
        <v>83</v>
      </c>
      <c r="E114">
        <v>79</v>
      </c>
      <c r="F114">
        <v>0.51200000000000001</v>
      </c>
      <c r="G114">
        <v>18</v>
      </c>
      <c r="H114">
        <v>921</v>
      </c>
      <c r="I114">
        <v>897</v>
      </c>
      <c r="J114">
        <v>24</v>
      </c>
    </row>
    <row r="115" spans="1:10" x14ac:dyDescent="0.25">
      <c r="A115">
        <v>6</v>
      </c>
      <c r="B115" t="s">
        <v>32</v>
      </c>
      <c r="C115" t="s">
        <v>22</v>
      </c>
      <c r="D115">
        <v>74</v>
      </c>
      <c r="E115">
        <v>88</v>
      </c>
      <c r="F115">
        <v>0.45700000000000002</v>
      </c>
      <c r="G115">
        <v>27</v>
      </c>
      <c r="H115">
        <v>905</v>
      </c>
      <c r="I115">
        <v>944</v>
      </c>
      <c r="J115">
        <v>-39</v>
      </c>
    </row>
    <row r="116" spans="1:10" x14ac:dyDescent="0.25">
      <c r="A116">
        <v>6</v>
      </c>
      <c r="B116" t="s">
        <v>32</v>
      </c>
      <c r="C116" t="s">
        <v>23</v>
      </c>
      <c r="D116">
        <v>54</v>
      </c>
      <c r="E116">
        <v>108</v>
      </c>
      <c r="F116">
        <v>0.33300000000000002</v>
      </c>
      <c r="G116">
        <v>47</v>
      </c>
      <c r="H116">
        <v>770</v>
      </c>
      <c r="I116">
        <v>1111</v>
      </c>
      <c r="J116">
        <v>-341</v>
      </c>
    </row>
    <row r="117" spans="1:10" x14ac:dyDescent="0.25">
      <c r="A117">
        <v>6</v>
      </c>
      <c r="B117" t="s">
        <v>33</v>
      </c>
      <c r="C117" t="s">
        <v>24</v>
      </c>
      <c r="D117">
        <v>102</v>
      </c>
      <c r="E117">
        <v>60</v>
      </c>
      <c r="F117">
        <v>0.63</v>
      </c>
      <c r="G117">
        <v>0</v>
      </c>
      <c r="H117">
        <v>950</v>
      </c>
      <c r="I117">
        <v>745</v>
      </c>
      <c r="J117">
        <v>205</v>
      </c>
    </row>
    <row r="118" spans="1:10" x14ac:dyDescent="0.25">
      <c r="A118">
        <v>6</v>
      </c>
      <c r="B118" t="s">
        <v>33</v>
      </c>
      <c r="C118" t="s">
        <v>25</v>
      </c>
      <c r="D118">
        <v>92</v>
      </c>
      <c r="E118">
        <v>70</v>
      </c>
      <c r="F118">
        <v>0.56799999999999995</v>
      </c>
      <c r="G118">
        <v>10</v>
      </c>
      <c r="H118">
        <v>775</v>
      </c>
      <c r="I118">
        <v>700</v>
      </c>
      <c r="J118">
        <v>75</v>
      </c>
    </row>
    <row r="119" spans="1:10" x14ac:dyDescent="0.25">
      <c r="A119">
        <v>6</v>
      </c>
      <c r="B119" t="s">
        <v>33</v>
      </c>
      <c r="C119" t="s">
        <v>26</v>
      </c>
      <c r="D119">
        <v>76</v>
      </c>
      <c r="E119">
        <v>86</v>
      </c>
      <c r="F119">
        <v>0.46899999999999997</v>
      </c>
      <c r="G119">
        <v>26</v>
      </c>
      <c r="H119">
        <v>811</v>
      </c>
      <c r="I119">
        <v>895</v>
      </c>
      <c r="J119">
        <v>-84</v>
      </c>
    </row>
    <row r="120" spans="1:10" x14ac:dyDescent="0.25">
      <c r="A120">
        <v>6</v>
      </c>
      <c r="B120" t="s">
        <v>33</v>
      </c>
      <c r="C120" t="s">
        <v>27</v>
      </c>
      <c r="D120">
        <v>70</v>
      </c>
      <c r="E120">
        <v>92</v>
      </c>
      <c r="F120">
        <v>0.432</v>
      </c>
      <c r="G120">
        <v>32</v>
      </c>
      <c r="H120">
        <v>815</v>
      </c>
      <c r="I120">
        <v>904</v>
      </c>
      <c r="J120">
        <v>-89</v>
      </c>
    </row>
    <row r="121" spans="1:10" x14ac:dyDescent="0.25">
      <c r="A121">
        <v>6</v>
      </c>
      <c r="B121" t="s">
        <v>33</v>
      </c>
      <c r="C121" t="s">
        <v>28</v>
      </c>
      <c r="D121">
        <v>65</v>
      </c>
      <c r="E121">
        <v>97</v>
      </c>
      <c r="F121">
        <v>0.40100000000000002</v>
      </c>
      <c r="G121">
        <v>37</v>
      </c>
      <c r="H121">
        <v>705</v>
      </c>
      <c r="I121">
        <v>922</v>
      </c>
      <c r="J121">
        <v>-217</v>
      </c>
    </row>
    <row r="122" spans="1:10" x14ac:dyDescent="0.25">
      <c r="A122">
        <v>7</v>
      </c>
      <c r="B122" t="s">
        <v>30</v>
      </c>
      <c r="C122" t="s">
        <v>10</v>
      </c>
      <c r="D122">
        <v>102</v>
      </c>
      <c r="E122">
        <v>60</v>
      </c>
      <c r="F122">
        <v>0.63</v>
      </c>
      <c r="G122">
        <v>0</v>
      </c>
      <c r="H122">
        <v>1048</v>
      </c>
      <c r="I122">
        <v>846</v>
      </c>
      <c r="J122">
        <v>202</v>
      </c>
    </row>
    <row r="123" spans="1:10" x14ac:dyDescent="0.25">
      <c r="A123">
        <v>7</v>
      </c>
      <c r="B123" t="s">
        <v>30</v>
      </c>
      <c r="C123" t="s">
        <v>8</v>
      </c>
      <c r="D123">
        <v>93</v>
      </c>
      <c r="E123">
        <v>69</v>
      </c>
      <c r="F123">
        <v>0.57399999999999995</v>
      </c>
      <c r="G123">
        <v>9</v>
      </c>
      <c r="H123">
        <v>813</v>
      </c>
      <c r="I123">
        <v>649</v>
      </c>
      <c r="J123">
        <v>164</v>
      </c>
    </row>
    <row r="124" spans="1:10" x14ac:dyDescent="0.25">
      <c r="A124">
        <v>7</v>
      </c>
      <c r="B124" t="s">
        <v>30</v>
      </c>
      <c r="C124" t="s">
        <v>11</v>
      </c>
      <c r="D124">
        <v>90</v>
      </c>
      <c r="E124">
        <v>72</v>
      </c>
      <c r="F124">
        <v>0.55600000000000005</v>
      </c>
      <c r="G124">
        <v>12</v>
      </c>
      <c r="H124">
        <v>831</v>
      </c>
      <c r="I124">
        <v>830</v>
      </c>
      <c r="J124">
        <v>1</v>
      </c>
    </row>
    <row r="125" spans="1:10" x14ac:dyDescent="0.25">
      <c r="A125">
        <v>7</v>
      </c>
      <c r="B125" t="s">
        <v>30</v>
      </c>
      <c r="C125" t="s">
        <v>12</v>
      </c>
      <c r="D125">
        <v>84</v>
      </c>
      <c r="E125">
        <v>78</v>
      </c>
      <c r="F125">
        <v>0.51900000000000002</v>
      </c>
      <c r="G125">
        <v>18</v>
      </c>
      <c r="H125">
        <v>913</v>
      </c>
      <c r="I125">
        <v>886</v>
      </c>
      <c r="J125">
        <v>27</v>
      </c>
    </row>
    <row r="126" spans="1:10" x14ac:dyDescent="0.25">
      <c r="A126">
        <v>7</v>
      </c>
      <c r="B126" t="s">
        <v>30</v>
      </c>
      <c r="C126" t="s">
        <v>13</v>
      </c>
      <c r="D126">
        <v>77</v>
      </c>
      <c r="E126">
        <v>85</v>
      </c>
      <c r="F126">
        <v>0.47499999999999998</v>
      </c>
      <c r="G126">
        <v>25</v>
      </c>
      <c r="H126">
        <v>824</v>
      </c>
      <c r="I126">
        <v>827</v>
      </c>
      <c r="J126">
        <v>-3</v>
      </c>
    </row>
    <row r="127" spans="1:10" x14ac:dyDescent="0.25">
      <c r="A127">
        <v>7</v>
      </c>
      <c r="B127" t="s">
        <v>31</v>
      </c>
      <c r="C127" t="s">
        <v>14</v>
      </c>
      <c r="D127">
        <v>108</v>
      </c>
      <c r="E127">
        <v>54</v>
      </c>
      <c r="F127">
        <v>0.66700000000000004</v>
      </c>
      <c r="G127">
        <v>0</v>
      </c>
      <c r="H127">
        <v>975</v>
      </c>
      <c r="I127">
        <v>675</v>
      </c>
      <c r="J127">
        <v>300</v>
      </c>
    </row>
    <row r="128" spans="1:10" x14ac:dyDescent="0.25">
      <c r="A128">
        <v>7</v>
      </c>
      <c r="B128" t="s">
        <v>31</v>
      </c>
      <c r="C128" t="s">
        <v>16</v>
      </c>
      <c r="D128">
        <v>75</v>
      </c>
      <c r="E128">
        <v>87</v>
      </c>
      <c r="F128">
        <v>0.46300000000000002</v>
      </c>
      <c r="G128">
        <v>33</v>
      </c>
      <c r="H128">
        <v>793</v>
      </c>
      <c r="I128">
        <v>858</v>
      </c>
      <c r="J128">
        <v>-65</v>
      </c>
    </row>
    <row r="129" spans="1:10" x14ac:dyDescent="0.25">
      <c r="A129">
        <v>7</v>
      </c>
      <c r="B129" t="s">
        <v>31</v>
      </c>
      <c r="C129" t="s">
        <v>17</v>
      </c>
      <c r="D129">
        <v>66</v>
      </c>
      <c r="E129">
        <v>96</v>
      </c>
      <c r="F129">
        <v>0.40699999999999997</v>
      </c>
      <c r="G129">
        <v>42</v>
      </c>
      <c r="H129">
        <v>845</v>
      </c>
      <c r="I129">
        <v>980</v>
      </c>
      <c r="J129">
        <v>-135</v>
      </c>
    </row>
    <row r="130" spans="1:10" x14ac:dyDescent="0.25">
      <c r="A130">
        <v>7</v>
      </c>
      <c r="B130" t="s">
        <v>31</v>
      </c>
      <c r="C130" t="s">
        <v>15</v>
      </c>
      <c r="D130">
        <v>66</v>
      </c>
      <c r="E130">
        <v>96</v>
      </c>
      <c r="F130">
        <v>0.40699999999999997</v>
      </c>
      <c r="G130">
        <v>42</v>
      </c>
      <c r="H130">
        <v>1052</v>
      </c>
      <c r="I130">
        <v>1203</v>
      </c>
      <c r="J130">
        <v>-151</v>
      </c>
    </row>
    <row r="131" spans="1:10" x14ac:dyDescent="0.25">
      <c r="A131">
        <v>7</v>
      </c>
      <c r="B131" t="s">
        <v>31</v>
      </c>
      <c r="C131" t="s">
        <v>18</v>
      </c>
      <c r="D131">
        <v>42</v>
      </c>
      <c r="E131">
        <v>120</v>
      </c>
      <c r="F131">
        <v>0.25900000000000001</v>
      </c>
      <c r="G131">
        <v>66</v>
      </c>
      <c r="H131">
        <v>633</v>
      </c>
      <c r="I131">
        <v>1020</v>
      </c>
      <c r="J131">
        <v>-387</v>
      </c>
    </row>
    <row r="132" spans="1:10" x14ac:dyDescent="0.25">
      <c r="A132">
        <v>7</v>
      </c>
      <c r="B132" t="s">
        <v>32</v>
      </c>
      <c r="C132" t="s">
        <v>19</v>
      </c>
      <c r="D132">
        <v>110</v>
      </c>
      <c r="E132">
        <v>52</v>
      </c>
      <c r="F132">
        <v>0.67900000000000005</v>
      </c>
      <c r="G132">
        <v>0</v>
      </c>
      <c r="H132">
        <v>1052</v>
      </c>
      <c r="I132">
        <v>729</v>
      </c>
      <c r="J132">
        <v>323</v>
      </c>
    </row>
    <row r="133" spans="1:10" x14ac:dyDescent="0.25">
      <c r="A133">
        <v>7</v>
      </c>
      <c r="B133" t="s">
        <v>32</v>
      </c>
      <c r="C133" t="s">
        <v>20</v>
      </c>
      <c r="D133">
        <v>93</v>
      </c>
      <c r="E133">
        <v>69</v>
      </c>
      <c r="F133">
        <v>0.57399999999999995</v>
      </c>
      <c r="G133">
        <v>17</v>
      </c>
      <c r="H133">
        <v>914</v>
      </c>
      <c r="I133">
        <v>854</v>
      </c>
      <c r="J133">
        <v>60</v>
      </c>
    </row>
    <row r="134" spans="1:10" x14ac:dyDescent="0.25">
      <c r="A134">
        <v>7</v>
      </c>
      <c r="B134" t="s">
        <v>32</v>
      </c>
      <c r="C134" t="s">
        <v>21</v>
      </c>
      <c r="D134">
        <v>84</v>
      </c>
      <c r="E134">
        <v>78</v>
      </c>
      <c r="F134">
        <v>0.51900000000000002</v>
      </c>
      <c r="G134">
        <v>26</v>
      </c>
      <c r="H134">
        <v>1030</v>
      </c>
      <c r="I134">
        <v>921</v>
      </c>
      <c r="J134">
        <v>109</v>
      </c>
    </row>
    <row r="135" spans="1:10" x14ac:dyDescent="0.25">
      <c r="A135">
        <v>7</v>
      </c>
      <c r="B135" t="s">
        <v>32</v>
      </c>
      <c r="C135" t="s">
        <v>22</v>
      </c>
      <c r="D135">
        <v>74</v>
      </c>
      <c r="E135">
        <v>88</v>
      </c>
      <c r="F135">
        <v>0.45700000000000002</v>
      </c>
      <c r="G135">
        <v>36</v>
      </c>
      <c r="H135">
        <v>870</v>
      </c>
      <c r="I135">
        <v>954</v>
      </c>
      <c r="J135">
        <v>-84</v>
      </c>
    </row>
    <row r="136" spans="1:10" x14ac:dyDescent="0.25">
      <c r="A136">
        <v>7</v>
      </c>
      <c r="B136" t="s">
        <v>32</v>
      </c>
      <c r="C136" t="s">
        <v>23</v>
      </c>
      <c r="D136">
        <v>40</v>
      </c>
      <c r="E136">
        <v>122</v>
      </c>
      <c r="F136">
        <v>0.247</v>
      </c>
      <c r="G136">
        <v>70</v>
      </c>
      <c r="H136">
        <v>724</v>
      </c>
      <c r="I136">
        <v>1112</v>
      </c>
      <c r="J136">
        <v>-388</v>
      </c>
    </row>
    <row r="137" spans="1:10" x14ac:dyDescent="0.25">
      <c r="A137">
        <v>7</v>
      </c>
      <c r="B137" t="s">
        <v>33</v>
      </c>
      <c r="C137" t="s">
        <v>24</v>
      </c>
      <c r="D137">
        <v>96</v>
      </c>
      <c r="E137">
        <v>66</v>
      </c>
      <c r="F137">
        <v>0.59299999999999997</v>
      </c>
      <c r="G137">
        <v>0</v>
      </c>
      <c r="H137">
        <v>906</v>
      </c>
      <c r="I137">
        <v>702</v>
      </c>
      <c r="J137">
        <v>204</v>
      </c>
    </row>
    <row r="138" spans="1:10" x14ac:dyDescent="0.25">
      <c r="A138">
        <v>7</v>
      </c>
      <c r="B138" t="s">
        <v>33</v>
      </c>
      <c r="C138" t="s">
        <v>25</v>
      </c>
      <c r="D138">
        <v>91</v>
      </c>
      <c r="E138">
        <v>71</v>
      </c>
      <c r="F138">
        <v>0.56200000000000006</v>
      </c>
      <c r="G138">
        <v>5</v>
      </c>
      <c r="H138">
        <v>809</v>
      </c>
      <c r="I138">
        <v>752</v>
      </c>
      <c r="J138">
        <v>57</v>
      </c>
    </row>
    <row r="139" spans="1:10" x14ac:dyDescent="0.25">
      <c r="A139">
        <v>7</v>
      </c>
      <c r="B139" t="s">
        <v>33</v>
      </c>
      <c r="C139" t="s">
        <v>27</v>
      </c>
      <c r="D139">
        <v>85</v>
      </c>
      <c r="E139">
        <v>77</v>
      </c>
      <c r="F139">
        <v>0.52500000000000002</v>
      </c>
      <c r="G139">
        <v>11</v>
      </c>
      <c r="H139">
        <v>830</v>
      </c>
      <c r="I139">
        <v>808</v>
      </c>
      <c r="J139">
        <v>22</v>
      </c>
    </row>
    <row r="140" spans="1:10" x14ac:dyDescent="0.25">
      <c r="A140">
        <v>7</v>
      </c>
      <c r="B140" t="s">
        <v>33</v>
      </c>
      <c r="C140" t="s">
        <v>26</v>
      </c>
      <c r="D140">
        <v>83</v>
      </c>
      <c r="E140">
        <v>79</v>
      </c>
      <c r="F140">
        <v>0.51200000000000001</v>
      </c>
      <c r="G140">
        <v>13</v>
      </c>
      <c r="H140">
        <v>803</v>
      </c>
      <c r="I140">
        <v>814</v>
      </c>
      <c r="J140">
        <v>-11</v>
      </c>
    </row>
    <row r="141" spans="1:10" x14ac:dyDescent="0.25">
      <c r="A141">
        <v>7</v>
      </c>
      <c r="B141" t="s">
        <v>33</v>
      </c>
      <c r="C141" t="s">
        <v>28</v>
      </c>
      <c r="D141">
        <v>61</v>
      </c>
      <c r="E141">
        <v>101</v>
      </c>
      <c r="F141">
        <v>0.377</v>
      </c>
      <c r="G141">
        <v>35</v>
      </c>
      <c r="H141">
        <v>715</v>
      </c>
      <c r="I141">
        <v>960</v>
      </c>
      <c r="J141">
        <v>-245</v>
      </c>
    </row>
    <row r="142" spans="1:10" x14ac:dyDescent="0.25">
      <c r="A142">
        <v>8</v>
      </c>
      <c r="B142" t="s">
        <v>30</v>
      </c>
      <c r="C142" t="s">
        <v>8</v>
      </c>
      <c r="D142">
        <v>117</v>
      </c>
      <c r="E142">
        <v>45</v>
      </c>
      <c r="F142">
        <v>0.72199999999999998</v>
      </c>
      <c r="G142">
        <v>0</v>
      </c>
      <c r="H142">
        <v>900</v>
      </c>
      <c r="I142">
        <v>597</v>
      </c>
      <c r="J142">
        <v>303</v>
      </c>
    </row>
    <row r="143" spans="1:10" x14ac:dyDescent="0.25">
      <c r="A143">
        <v>8</v>
      </c>
      <c r="B143" t="s">
        <v>30</v>
      </c>
      <c r="C143" t="s">
        <v>10</v>
      </c>
      <c r="D143">
        <v>90</v>
      </c>
      <c r="E143">
        <v>72</v>
      </c>
      <c r="F143">
        <v>0.55600000000000005</v>
      </c>
      <c r="G143">
        <v>27</v>
      </c>
      <c r="H143">
        <v>1063</v>
      </c>
      <c r="I143">
        <v>910</v>
      </c>
      <c r="J143">
        <v>153</v>
      </c>
    </row>
    <row r="144" spans="1:10" x14ac:dyDescent="0.25">
      <c r="A144">
        <v>8</v>
      </c>
      <c r="B144" t="s">
        <v>30</v>
      </c>
      <c r="C144" t="s">
        <v>12</v>
      </c>
      <c r="D144">
        <v>88</v>
      </c>
      <c r="E144">
        <v>74</v>
      </c>
      <c r="F144">
        <v>0.54300000000000004</v>
      </c>
      <c r="G144">
        <v>29</v>
      </c>
      <c r="H144">
        <v>926</v>
      </c>
      <c r="I144">
        <v>789</v>
      </c>
      <c r="J144">
        <v>137</v>
      </c>
    </row>
    <row r="145" spans="1:10" x14ac:dyDescent="0.25">
      <c r="A145">
        <v>8</v>
      </c>
      <c r="B145" t="s">
        <v>30</v>
      </c>
      <c r="C145" t="s">
        <v>11</v>
      </c>
      <c r="D145">
        <v>82</v>
      </c>
      <c r="E145">
        <v>80</v>
      </c>
      <c r="F145">
        <v>0.50600000000000001</v>
      </c>
      <c r="G145">
        <v>35</v>
      </c>
      <c r="H145">
        <v>879</v>
      </c>
      <c r="I145">
        <v>812</v>
      </c>
      <c r="J145">
        <v>67</v>
      </c>
    </row>
    <row r="146" spans="1:10" x14ac:dyDescent="0.25">
      <c r="A146">
        <v>8</v>
      </c>
      <c r="B146" t="s">
        <v>30</v>
      </c>
      <c r="C146" t="s">
        <v>13</v>
      </c>
      <c r="D146">
        <v>65</v>
      </c>
      <c r="E146">
        <v>97</v>
      </c>
      <c r="F146">
        <v>0.40100000000000002</v>
      </c>
      <c r="G146">
        <v>52</v>
      </c>
      <c r="H146">
        <v>805</v>
      </c>
      <c r="I146">
        <v>886</v>
      </c>
      <c r="J146">
        <v>-81</v>
      </c>
    </row>
    <row r="147" spans="1:10" x14ac:dyDescent="0.25">
      <c r="A147">
        <v>8</v>
      </c>
      <c r="B147" t="s">
        <v>31</v>
      </c>
      <c r="C147" t="s">
        <v>14</v>
      </c>
      <c r="D147">
        <v>106</v>
      </c>
      <c r="E147">
        <v>56</v>
      </c>
      <c r="F147">
        <v>0.65400000000000003</v>
      </c>
      <c r="G147">
        <v>0</v>
      </c>
      <c r="H147">
        <v>947</v>
      </c>
      <c r="I147">
        <v>698</v>
      </c>
      <c r="J147">
        <v>249</v>
      </c>
    </row>
    <row r="148" spans="1:10" x14ac:dyDescent="0.25">
      <c r="A148">
        <v>8</v>
      </c>
      <c r="B148" t="s">
        <v>31</v>
      </c>
      <c r="C148" t="s">
        <v>15</v>
      </c>
      <c r="D148">
        <v>79</v>
      </c>
      <c r="E148">
        <v>83</v>
      </c>
      <c r="F148">
        <v>0.48799999999999999</v>
      </c>
      <c r="G148">
        <v>27</v>
      </c>
      <c r="H148">
        <v>948</v>
      </c>
      <c r="I148">
        <v>1102</v>
      </c>
      <c r="J148">
        <v>-154</v>
      </c>
    </row>
    <row r="149" spans="1:10" x14ac:dyDescent="0.25">
      <c r="A149">
        <v>8</v>
      </c>
      <c r="B149" t="s">
        <v>31</v>
      </c>
      <c r="C149" t="s">
        <v>17</v>
      </c>
      <c r="D149">
        <v>66</v>
      </c>
      <c r="E149">
        <v>96</v>
      </c>
      <c r="F149">
        <v>0.40699999999999997</v>
      </c>
      <c r="G149">
        <v>40</v>
      </c>
      <c r="H149">
        <v>815</v>
      </c>
      <c r="I149">
        <v>943</v>
      </c>
      <c r="J149">
        <v>-128</v>
      </c>
    </row>
    <row r="150" spans="1:10" x14ac:dyDescent="0.25">
      <c r="A150">
        <v>8</v>
      </c>
      <c r="B150" t="s">
        <v>31</v>
      </c>
      <c r="C150" t="s">
        <v>16</v>
      </c>
      <c r="D150">
        <v>66</v>
      </c>
      <c r="E150">
        <v>96</v>
      </c>
      <c r="F150">
        <v>0.40699999999999997</v>
      </c>
      <c r="G150">
        <v>40</v>
      </c>
      <c r="H150">
        <v>728</v>
      </c>
      <c r="I150">
        <v>897</v>
      </c>
      <c r="J150">
        <v>-169</v>
      </c>
    </row>
    <row r="151" spans="1:10" x14ac:dyDescent="0.25">
      <c r="A151">
        <v>8</v>
      </c>
      <c r="B151" t="s">
        <v>31</v>
      </c>
      <c r="C151" t="s">
        <v>18</v>
      </c>
      <c r="D151">
        <v>40</v>
      </c>
      <c r="E151">
        <v>122</v>
      </c>
      <c r="F151">
        <v>0.247</v>
      </c>
      <c r="G151">
        <v>66</v>
      </c>
      <c r="H151">
        <v>638</v>
      </c>
      <c r="I151">
        <v>1005</v>
      </c>
      <c r="J151">
        <v>-367</v>
      </c>
    </row>
    <row r="152" spans="1:10" x14ac:dyDescent="0.25">
      <c r="A152">
        <v>8</v>
      </c>
      <c r="B152" t="s">
        <v>32</v>
      </c>
      <c r="C152" t="s">
        <v>19</v>
      </c>
      <c r="D152">
        <v>108</v>
      </c>
      <c r="E152">
        <v>54</v>
      </c>
      <c r="F152">
        <v>0.66700000000000004</v>
      </c>
      <c r="G152">
        <v>0</v>
      </c>
      <c r="H152">
        <v>1042</v>
      </c>
      <c r="I152">
        <v>815</v>
      </c>
      <c r="J152">
        <v>227</v>
      </c>
    </row>
    <row r="153" spans="1:10" x14ac:dyDescent="0.25">
      <c r="A153">
        <v>8</v>
      </c>
      <c r="B153" t="s">
        <v>32</v>
      </c>
      <c r="C153" t="s">
        <v>21</v>
      </c>
      <c r="D153">
        <v>96</v>
      </c>
      <c r="E153">
        <v>66</v>
      </c>
      <c r="F153">
        <v>0.59299999999999997</v>
      </c>
      <c r="G153">
        <v>12</v>
      </c>
      <c r="H153">
        <v>981</v>
      </c>
      <c r="I153">
        <v>832</v>
      </c>
      <c r="J153">
        <v>149</v>
      </c>
    </row>
    <row r="154" spans="1:10" x14ac:dyDescent="0.25">
      <c r="A154">
        <v>8</v>
      </c>
      <c r="B154" t="s">
        <v>32</v>
      </c>
      <c r="C154" t="s">
        <v>20</v>
      </c>
      <c r="D154">
        <v>92</v>
      </c>
      <c r="E154">
        <v>70</v>
      </c>
      <c r="F154">
        <v>0.56799999999999995</v>
      </c>
      <c r="G154">
        <v>16</v>
      </c>
      <c r="H154">
        <v>895</v>
      </c>
      <c r="I154">
        <v>829</v>
      </c>
      <c r="J154">
        <v>66</v>
      </c>
    </row>
    <row r="155" spans="1:10" x14ac:dyDescent="0.25">
      <c r="A155">
        <v>8</v>
      </c>
      <c r="B155" t="s">
        <v>32</v>
      </c>
      <c r="C155" t="s">
        <v>22</v>
      </c>
      <c r="D155">
        <v>75</v>
      </c>
      <c r="E155">
        <v>87</v>
      </c>
      <c r="F155">
        <v>0.46300000000000002</v>
      </c>
      <c r="G155">
        <v>33</v>
      </c>
      <c r="H155">
        <v>924</v>
      </c>
      <c r="I155">
        <v>1017</v>
      </c>
      <c r="J155">
        <v>-93</v>
      </c>
    </row>
    <row r="156" spans="1:10" x14ac:dyDescent="0.25">
      <c r="A156">
        <v>8</v>
      </c>
      <c r="B156" t="s">
        <v>32</v>
      </c>
      <c r="C156" t="s">
        <v>23</v>
      </c>
      <c r="D156">
        <v>55</v>
      </c>
      <c r="E156">
        <v>107</v>
      </c>
      <c r="F156">
        <v>0.34</v>
      </c>
      <c r="G156">
        <v>53</v>
      </c>
      <c r="H156">
        <v>774</v>
      </c>
      <c r="I156">
        <v>1053</v>
      </c>
      <c r="J156">
        <v>-279</v>
      </c>
    </row>
    <row r="157" spans="1:10" x14ac:dyDescent="0.25">
      <c r="A157">
        <v>8</v>
      </c>
      <c r="B157" t="s">
        <v>33</v>
      </c>
      <c r="C157" t="s">
        <v>24</v>
      </c>
      <c r="D157">
        <v>104</v>
      </c>
      <c r="E157">
        <v>58</v>
      </c>
      <c r="F157">
        <v>0.64200000000000002</v>
      </c>
      <c r="G157">
        <v>0</v>
      </c>
      <c r="H157">
        <v>916</v>
      </c>
      <c r="I157">
        <v>709</v>
      </c>
      <c r="J157">
        <v>207</v>
      </c>
    </row>
    <row r="158" spans="1:10" x14ac:dyDescent="0.25">
      <c r="A158">
        <v>8</v>
      </c>
      <c r="B158" t="s">
        <v>33</v>
      </c>
      <c r="C158" t="s">
        <v>26</v>
      </c>
      <c r="D158">
        <v>89</v>
      </c>
      <c r="E158">
        <v>73</v>
      </c>
      <c r="F158">
        <v>0.54900000000000004</v>
      </c>
      <c r="G158">
        <v>15</v>
      </c>
      <c r="H158">
        <v>842</v>
      </c>
      <c r="I158">
        <v>789</v>
      </c>
      <c r="J158">
        <v>53</v>
      </c>
    </row>
    <row r="159" spans="1:10" x14ac:dyDescent="0.25">
      <c r="A159">
        <v>8</v>
      </c>
      <c r="B159" t="s">
        <v>33</v>
      </c>
      <c r="C159" t="s">
        <v>25</v>
      </c>
      <c r="D159">
        <v>85</v>
      </c>
      <c r="E159">
        <v>77</v>
      </c>
      <c r="F159">
        <v>0.52500000000000002</v>
      </c>
      <c r="G159">
        <v>19</v>
      </c>
      <c r="H159">
        <v>811</v>
      </c>
      <c r="I159">
        <v>711</v>
      </c>
      <c r="J159">
        <v>100</v>
      </c>
    </row>
    <row r="160" spans="1:10" x14ac:dyDescent="0.25">
      <c r="A160">
        <v>8</v>
      </c>
      <c r="B160" t="s">
        <v>33</v>
      </c>
      <c r="C160" t="s">
        <v>27</v>
      </c>
      <c r="D160">
        <v>70</v>
      </c>
      <c r="E160">
        <v>92</v>
      </c>
      <c r="F160">
        <v>0.432</v>
      </c>
      <c r="G160">
        <v>34</v>
      </c>
      <c r="H160">
        <v>804</v>
      </c>
      <c r="I160">
        <v>870</v>
      </c>
      <c r="J160">
        <v>-66</v>
      </c>
    </row>
    <row r="161" spans="1:10" x14ac:dyDescent="0.25">
      <c r="A161">
        <v>8</v>
      </c>
      <c r="B161" t="s">
        <v>33</v>
      </c>
      <c r="C161" t="s">
        <v>28</v>
      </c>
      <c r="D161">
        <v>47</v>
      </c>
      <c r="E161">
        <v>115</v>
      </c>
      <c r="F161">
        <v>0.28999999999999998</v>
      </c>
      <c r="G161">
        <v>57</v>
      </c>
      <c r="H161">
        <v>726</v>
      </c>
      <c r="I161">
        <v>1100</v>
      </c>
      <c r="J161">
        <v>-374</v>
      </c>
    </row>
    <row r="162" spans="1:10" x14ac:dyDescent="0.25">
      <c r="A162">
        <v>9</v>
      </c>
      <c r="B162" t="s">
        <v>30</v>
      </c>
      <c r="C162" t="s">
        <v>11</v>
      </c>
      <c r="D162">
        <v>103</v>
      </c>
      <c r="E162">
        <v>59</v>
      </c>
      <c r="F162">
        <v>0.63600000000000001</v>
      </c>
      <c r="G162">
        <v>0</v>
      </c>
      <c r="H162">
        <v>961</v>
      </c>
      <c r="I162">
        <v>772</v>
      </c>
      <c r="J162">
        <v>189</v>
      </c>
    </row>
    <row r="163" spans="1:10" x14ac:dyDescent="0.25">
      <c r="A163">
        <v>9</v>
      </c>
      <c r="B163" t="s">
        <v>30</v>
      </c>
      <c r="C163" t="s">
        <v>10</v>
      </c>
      <c r="D163">
        <v>99</v>
      </c>
      <c r="E163">
        <v>63</v>
      </c>
      <c r="F163">
        <v>0.61099999999999999</v>
      </c>
      <c r="G163">
        <v>4</v>
      </c>
      <c r="H163">
        <v>1052</v>
      </c>
      <c r="I163">
        <v>842</v>
      </c>
      <c r="J163">
        <v>210</v>
      </c>
    </row>
    <row r="164" spans="1:10" x14ac:dyDescent="0.25">
      <c r="A164">
        <v>9</v>
      </c>
      <c r="B164" t="s">
        <v>30</v>
      </c>
      <c r="C164" t="s">
        <v>8</v>
      </c>
      <c r="D164">
        <v>97</v>
      </c>
      <c r="E164">
        <v>65</v>
      </c>
      <c r="F164">
        <v>0.59899999999999998</v>
      </c>
      <c r="G164">
        <v>6</v>
      </c>
      <c r="H164">
        <v>902</v>
      </c>
      <c r="I164">
        <v>681</v>
      </c>
      <c r="J164">
        <v>221</v>
      </c>
    </row>
    <row r="165" spans="1:10" x14ac:dyDescent="0.25">
      <c r="A165">
        <v>9</v>
      </c>
      <c r="B165" t="s">
        <v>30</v>
      </c>
      <c r="C165" t="s">
        <v>12</v>
      </c>
      <c r="D165">
        <v>91</v>
      </c>
      <c r="E165">
        <v>71</v>
      </c>
      <c r="F165">
        <v>0.56200000000000006</v>
      </c>
      <c r="G165">
        <v>12</v>
      </c>
      <c r="H165">
        <v>999</v>
      </c>
      <c r="I165">
        <v>845</v>
      </c>
      <c r="J165">
        <v>154</v>
      </c>
    </row>
    <row r="166" spans="1:10" x14ac:dyDescent="0.25">
      <c r="A166">
        <v>9</v>
      </c>
      <c r="B166" t="s">
        <v>30</v>
      </c>
      <c r="C166" t="s">
        <v>13</v>
      </c>
      <c r="D166">
        <v>68</v>
      </c>
      <c r="E166">
        <v>94</v>
      </c>
      <c r="F166">
        <v>0.42</v>
      </c>
      <c r="G166">
        <v>35</v>
      </c>
      <c r="H166">
        <v>782</v>
      </c>
      <c r="I166">
        <v>899</v>
      </c>
      <c r="J166">
        <v>-117</v>
      </c>
    </row>
    <row r="167" spans="1:10" x14ac:dyDescent="0.25">
      <c r="A167">
        <v>9</v>
      </c>
      <c r="B167" t="s">
        <v>31</v>
      </c>
      <c r="C167" t="s">
        <v>14</v>
      </c>
      <c r="D167">
        <v>100</v>
      </c>
      <c r="E167">
        <v>62</v>
      </c>
      <c r="F167">
        <v>0.61699999999999999</v>
      </c>
      <c r="G167">
        <v>0</v>
      </c>
      <c r="H167">
        <v>920</v>
      </c>
      <c r="I167">
        <v>689</v>
      </c>
      <c r="J167">
        <v>231</v>
      </c>
    </row>
    <row r="168" spans="1:10" x14ac:dyDescent="0.25">
      <c r="A168">
        <v>9</v>
      </c>
      <c r="B168" t="s">
        <v>31</v>
      </c>
      <c r="C168" t="s">
        <v>15</v>
      </c>
      <c r="D168">
        <v>76</v>
      </c>
      <c r="E168">
        <v>86</v>
      </c>
      <c r="F168">
        <v>0.46899999999999997</v>
      </c>
      <c r="G168">
        <v>24</v>
      </c>
      <c r="H168">
        <v>1024</v>
      </c>
      <c r="I168">
        <v>1161</v>
      </c>
      <c r="J168">
        <v>-137</v>
      </c>
    </row>
    <row r="169" spans="1:10" x14ac:dyDescent="0.25">
      <c r="A169">
        <v>9</v>
      </c>
      <c r="B169" t="s">
        <v>31</v>
      </c>
      <c r="C169" t="s">
        <v>17</v>
      </c>
      <c r="D169">
        <v>70</v>
      </c>
      <c r="E169">
        <v>92</v>
      </c>
      <c r="F169">
        <v>0.432</v>
      </c>
      <c r="G169">
        <v>30</v>
      </c>
      <c r="H169">
        <v>841</v>
      </c>
      <c r="I169">
        <v>969</v>
      </c>
      <c r="J169">
        <v>-128</v>
      </c>
    </row>
    <row r="170" spans="1:10" x14ac:dyDescent="0.25">
      <c r="A170">
        <v>9</v>
      </c>
      <c r="B170" t="s">
        <v>31</v>
      </c>
      <c r="C170" t="s">
        <v>16</v>
      </c>
      <c r="D170">
        <v>65</v>
      </c>
      <c r="E170">
        <v>97</v>
      </c>
      <c r="F170">
        <v>0.40100000000000002</v>
      </c>
      <c r="G170">
        <v>35</v>
      </c>
      <c r="H170">
        <v>785</v>
      </c>
      <c r="I170">
        <v>963</v>
      </c>
      <c r="J170">
        <v>-178</v>
      </c>
    </row>
    <row r="171" spans="1:10" x14ac:dyDescent="0.25">
      <c r="A171">
        <v>9</v>
      </c>
      <c r="B171" t="s">
        <v>31</v>
      </c>
      <c r="C171" t="s">
        <v>18</v>
      </c>
      <c r="D171">
        <v>53</v>
      </c>
      <c r="E171">
        <v>109</v>
      </c>
      <c r="F171">
        <v>0.32700000000000001</v>
      </c>
      <c r="G171">
        <v>47</v>
      </c>
      <c r="H171">
        <v>740</v>
      </c>
      <c r="I171">
        <v>1092</v>
      </c>
      <c r="J171">
        <v>-352</v>
      </c>
    </row>
    <row r="172" spans="1:10" x14ac:dyDescent="0.25">
      <c r="A172">
        <v>9</v>
      </c>
      <c r="B172" t="s">
        <v>32</v>
      </c>
      <c r="C172" t="s">
        <v>20</v>
      </c>
      <c r="D172">
        <v>97</v>
      </c>
      <c r="E172">
        <v>65</v>
      </c>
      <c r="F172">
        <v>0.59899999999999998</v>
      </c>
      <c r="G172">
        <v>0</v>
      </c>
      <c r="H172">
        <v>932</v>
      </c>
      <c r="I172">
        <v>869</v>
      </c>
      <c r="J172">
        <v>63</v>
      </c>
    </row>
    <row r="173" spans="1:10" x14ac:dyDescent="0.25">
      <c r="A173">
        <v>9</v>
      </c>
      <c r="B173" t="s">
        <v>32</v>
      </c>
      <c r="C173" t="s">
        <v>19</v>
      </c>
      <c r="D173">
        <v>94</v>
      </c>
      <c r="E173">
        <v>68</v>
      </c>
      <c r="F173">
        <v>0.57999999999999996</v>
      </c>
      <c r="G173">
        <v>3</v>
      </c>
      <c r="H173">
        <v>941</v>
      </c>
      <c r="I173">
        <v>773</v>
      </c>
      <c r="J173">
        <v>168</v>
      </c>
    </row>
    <row r="174" spans="1:10" x14ac:dyDescent="0.25">
      <c r="A174">
        <v>9</v>
      </c>
      <c r="B174" t="s">
        <v>32</v>
      </c>
      <c r="C174" t="s">
        <v>21</v>
      </c>
      <c r="D174">
        <v>82</v>
      </c>
      <c r="E174">
        <v>80</v>
      </c>
      <c r="F174">
        <v>0.50600000000000001</v>
      </c>
      <c r="G174">
        <v>15</v>
      </c>
      <c r="H174">
        <v>988</v>
      </c>
      <c r="I174">
        <v>935</v>
      </c>
      <c r="J174">
        <v>53</v>
      </c>
    </row>
    <row r="175" spans="1:10" x14ac:dyDescent="0.25">
      <c r="A175">
        <v>9</v>
      </c>
      <c r="B175" t="s">
        <v>32</v>
      </c>
      <c r="C175" t="s">
        <v>22</v>
      </c>
      <c r="D175">
        <v>77</v>
      </c>
      <c r="E175">
        <v>85</v>
      </c>
      <c r="F175">
        <v>0.47499999999999998</v>
      </c>
      <c r="G175">
        <v>20</v>
      </c>
      <c r="H175">
        <v>932</v>
      </c>
      <c r="I175">
        <v>935</v>
      </c>
      <c r="J175">
        <v>-3</v>
      </c>
    </row>
    <row r="176" spans="1:10" x14ac:dyDescent="0.25">
      <c r="A176">
        <v>9</v>
      </c>
      <c r="B176" t="s">
        <v>32</v>
      </c>
      <c r="C176" t="s">
        <v>23</v>
      </c>
      <c r="D176">
        <v>52</v>
      </c>
      <c r="E176">
        <v>110</v>
      </c>
      <c r="F176">
        <v>0.32100000000000001</v>
      </c>
      <c r="G176">
        <v>45</v>
      </c>
      <c r="H176">
        <v>811</v>
      </c>
      <c r="I176">
        <v>1127</v>
      </c>
      <c r="J176">
        <v>-316</v>
      </c>
    </row>
    <row r="177" spans="1:10" x14ac:dyDescent="0.25">
      <c r="A177">
        <v>9</v>
      </c>
      <c r="B177" t="s">
        <v>33</v>
      </c>
      <c r="C177" t="s">
        <v>24</v>
      </c>
      <c r="D177">
        <v>98</v>
      </c>
      <c r="E177">
        <v>64</v>
      </c>
      <c r="F177">
        <v>0.60499999999999998</v>
      </c>
      <c r="G177">
        <v>0</v>
      </c>
      <c r="H177">
        <v>956</v>
      </c>
      <c r="I177">
        <v>716</v>
      </c>
      <c r="J177">
        <v>240</v>
      </c>
    </row>
    <row r="178" spans="1:10" x14ac:dyDescent="0.25">
      <c r="A178">
        <v>9</v>
      </c>
      <c r="B178" t="s">
        <v>33</v>
      </c>
      <c r="C178" t="s">
        <v>26</v>
      </c>
      <c r="D178">
        <v>89</v>
      </c>
      <c r="E178">
        <v>73</v>
      </c>
      <c r="F178">
        <v>0.54900000000000004</v>
      </c>
      <c r="G178">
        <v>9</v>
      </c>
      <c r="H178">
        <v>854</v>
      </c>
      <c r="I178">
        <v>815</v>
      </c>
      <c r="J178">
        <v>39</v>
      </c>
    </row>
    <row r="179" spans="1:10" x14ac:dyDescent="0.25">
      <c r="A179">
        <v>9</v>
      </c>
      <c r="B179" t="s">
        <v>33</v>
      </c>
      <c r="C179" t="s">
        <v>25</v>
      </c>
      <c r="D179">
        <v>83</v>
      </c>
      <c r="E179">
        <v>79</v>
      </c>
      <c r="F179">
        <v>0.51200000000000001</v>
      </c>
      <c r="G179">
        <v>15</v>
      </c>
      <c r="H179">
        <v>874</v>
      </c>
      <c r="I179">
        <v>784</v>
      </c>
      <c r="J179">
        <v>90</v>
      </c>
    </row>
    <row r="180" spans="1:10" x14ac:dyDescent="0.25">
      <c r="A180">
        <v>9</v>
      </c>
      <c r="B180" t="s">
        <v>33</v>
      </c>
      <c r="C180" t="s">
        <v>27</v>
      </c>
      <c r="D180">
        <v>76</v>
      </c>
      <c r="E180">
        <v>86</v>
      </c>
      <c r="F180">
        <v>0.46899999999999997</v>
      </c>
      <c r="G180">
        <v>22</v>
      </c>
      <c r="H180">
        <v>814</v>
      </c>
      <c r="I180">
        <v>903</v>
      </c>
      <c r="J180">
        <v>-89</v>
      </c>
    </row>
    <row r="181" spans="1:10" x14ac:dyDescent="0.25">
      <c r="A181">
        <v>9</v>
      </c>
      <c r="B181" t="s">
        <v>33</v>
      </c>
      <c r="C181" t="s">
        <v>28</v>
      </c>
      <c r="D181">
        <v>50</v>
      </c>
      <c r="E181">
        <v>112</v>
      </c>
      <c r="F181">
        <v>0.309</v>
      </c>
      <c r="G181">
        <v>48</v>
      </c>
      <c r="H181">
        <v>679</v>
      </c>
      <c r="I181">
        <v>1017</v>
      </c>
      <c r="J181">
        <v>-338</v>
      </c>
    </row>
    <row r="182" spans="1:10" x14ac:dyDescent="0.25">
      <c r="A182">
        <v>10</v>
      </c>
      <c r="B182" t="s">
        <v>30</v>
      </c>
      <c r="C182" t="s">
        <v>8</v>
      </c>
      <c r="D182">
        <v>110</v>
      </c>
      <c r="E182">
        <v>52</v>
      </c>
      <c r="F182">
        <v>0.67900000000000005</v>
      </c>
      <c r="G182">
        <v>0</v>
      </c>
      <c r="H182">
        <v>924</v>
      </c>
      <c r="I182">
        <v>645</v>
      </c>
      <c r="J182">
        <v>279</v>
      </c>
    </row>
    <row r="183" spans="1:10" x14ac:dyDescent="0.25">
      <c r="A183">
        <v>10</v>
      </c>
      <c r="B183" t="s">
        <v>30</v>
      </c>
      <c r="C183" t="s">
        <v>12</v>
      </c>
      <c r="D183">
        <v>94</v>
      </c>
      <c r="E183">
        <v>68</v>
      </c>
      <c r="F183">
        <v>0.57999999999999996</v>
      </c>
      <c r="G183">
        <v>16</v>
      </c>
      <c r="H183">
        <v>954</v>
      </c>
      <c r="I183">
        <v>838</v>
      </c>
      <c r="J183">
        <v>116</v>
      </c>
    </row>
    <row r="184" spans="1:10" x14ac:dyDescent="0.25">
      <c r="A184">
        <v>10</v>
      </c>
      <c r="B184" t="s">
        <v>30</v>
      </c>
      <c r="C184" t="s">
        <v>10</v>
      </c>
      <c r="D184">
        <v>93</v>
      </c>
      <c r="E184">
        <v>69</v>
      </c>
      <c r="F184">
        <v>0.57399999999999995</v>
      </c>
      <c r="G184">
        <v>17</v>
      </c>
      <c r="H184">
        <v>913</v>
      </c>
      <c r="I184">
        <v>840</v>
      </c>
      <c r="J184">
        <v>73</v>
      </c>
    </row>
    <row r="185" spans="1:10" x14ac:dyDescent="0.25">
      <c r="A185">
        <v>10</v>
      </c>
      <c r="B185" t="s">
        <v>30</v>
      </c>
      <c r="C185" t="s">
        <v>11</v>
      </c>
      <c r="D185">
        <v>78</v>
      </c>
      <c r="E185">
        <v>84</v>
      </c>
      <c r="F185">
        <v>0.48099999999999998</v>
      </c>
      <c r="G185">
        <v>32</v>
      </c>
      <c r="H185">
        <v>840</v>
      </c>
      <c r="I185">
        <v>813</v>
      </c>
      <c r="J185">
        <v>27</v>
      </c>
    </row>
    <row r="186" spans="1:10" x14ac:dyDescent="0.25">
      <c r="A186">
        <v>10</v>
      </c>
      <c r="B186" t="s">
        <v>30</v>
      </c>
      <c r="C186" t="s">
        <v>13</v>
      </c>
      <c r="D186">
        <v>68</v>
      </c>
      <c r="E186">
        <v>94</v>
      </c>
      <c r="F186">
        <v>0.42</v>
      </c>
      <c r="G186">
        <v>42</v>
      </c>
      <c r="H186">
        <v>855</v>
      </c>
      <c r="I186">
        <v>907</v>
      </c>
      <c r="J186">
        <v>-52</v>
      </c>
    </row>
    <row r="187" spans="1:10" x14ac:dyDescent="0.25">
      <c r="A187">
        <v>10</v>
      </c>
      <c r="B187" t="s">
        <v>31</v>
      </c>
      <c r="C187" t="s">
        <v>14</v>
      </c>
      <c r="D187">
        <v>101</v>
      </c>
      <c r="E187">
        <v>61</v>
      </c>
      <c r="F187">
        <v>0.623</v>
      </c>
      <c r="G187">
        <v>0</v>
      </c>
      <c r="H187">
        <v>973</v>
      </c>
      <c r="I187">
        <v>713</v>
      </c>
      <c r="J187">
        <v>260</v>
      </c>
    </row>
    <row r="188" spans="1:10" x14ac:dyDescent="0.25">
      <c r="A188">
        <v>10</v>
      </c>
      <c r="B188" t="s">
        <v>31</v>
      </c>
      <c r="C188" t="s">
        <v>15</v>
      </c>
      <c r="D188">
        <v>68</v>
      </c>
      <c r="E188">
        <v>94</v>
      </c>
      <c r="F188">
        <v>0.42</v>
      </c>
      <c r="G188">
        <v>33</v>
      </c>
      <c r="H188">
        <v>1026</v>
      </c>
      <c r="I188">
        <v>1233</v>
      </c>
      <c r="J188">
        <v>-207</v>
      </c>
    </row>
    <row r="189" spans="1:10" x14ac:dyDescent="0.25">
      <c r="A189">
        <v>10</v>
      </c>
      <c r="B189" t="s">
        <v>31</v>
      </c>
      <c r="C189" t="s">
        <v>16</v>
      </c>
      <c r="D189">
        <v>64</v>
      </c>
      <c r="E189">
        <v>98</v>
      </c>
      <c r="F189">
        <v>0.39500000000000002</v>
      </c>
      <c r="G189">
        <v>37</v>
      </c>
      <c r="H189">
        <v>744</v>
      </c>
      <c r="I189">
        <v>909</v>
      </c>
      <c r="J189">
        <v>-165</v>
      </c>
    </row>
    <row r="190" spans="1:10" x14ac:dyDescent="0.25">
      <c r="A190">
        <v>10</v>
      </c>
      <c r="B190" t="s">
        <v>31</v>
      </c>
      <c r="C190" t="s">
        <v>17</v>
      </c>
      <c r="D190">
        <v>62</v>
      </c>
      <c r="E190">
        <v>100</v>
      </c>
      <c r="F190">
        <v>0.38300000000000001</v>
      </c>
      <c r="G190">
        <v>39</v>
      </c>
      <c r="H190">
        <v>842</v>
      </c>
      <c r="I190">
        <v>1002</v>
      </c>
      <c r="J190">
        <v>-160</v>
      </c>
    </row>
    <row r="191" spans="1:10" x14ac:dyDescent="0.25">
      <c r="A191">
        <v>10</v>
      </c>
      <c r="B191" t="s">
        <v>31</v>
      </c>
      <c r="C191" t="s">
        <v>18</v>
      </c>
      <c r="D191">
        <v>56</v>
      </c>
      <c r="E191">
        <v>106</v>
      </c>
      <c r="F191">
        <v>0.34599999999999997</v>
      </c>
      <c r="G191">
        <v>45</v>
      </c>
      <c r="H191">
        <v>757</v>
      </c>
      <c r="I191">
        <v>1003</v>
      </c>
      <c r="J191">
        <v>-246</v>
      </c>
    </row>
    <row r="192" spans="1:10" x14ac:dyDescent="0.25">
      <c r="A192">
        <v>10</v>
      </c>
      <c r="B192" t="s">
        <v>32</v>
      </c>
      <c r="C192" t="s">
        <v>19</v>
      </c>
      <c r="D192">
        <v>97</v>
      </c>
      <c r="E192">
        <v>65</v>
      </c>
      <c r="F192">
        <v>0.59899999999999998</v>
      </c>
      <c r="G192">
        <v>0</v>
      </c>
      <c r="H192">
        <v>1037</v>
      </c>
      <c r="I192">
        <v>818</v>
      </c>
      <c r="J192">
        <v>219</v>
      </c>
    </row>
    <row r="193" spans="1:10" x14ac:dyDescent="0.25">
      <c r="A193">
        <v>10</v>
      </c>
      <c r="B193" t="s">
        <v>32</v>
      </c>
      <c r="C193" t="s">
        <v>20</v>
      </c>
      <c r="D193">
        <v>96</v>
      </c>
      <c r="E193">
        <v>66</v>
      </c>
      <c r="F193">
        <v>0.59299999999999997</v>
      </c>
      <c r="G193">
        <v>1</v>
      </c>
      <c r="H193">
        <v>981</v>
      </c>
      <c r="I193">
        <v>862</v>
      </c>
      <c r="J193">
        <v>119</v>
      </c>
    </row>
    <row r="194" spans="1:10" x14ac:dyDescent="0.25">
      <c r="A194">
        <v>10</v>
      </c>
      <c r="B194" t="s">
        <v>32</v>
      </c>
      <c r="C194" t="s">
        <v>21</v>
      </c>
      <c r="D194">
        <v>85</v>
      </c>
      <c r="E194">
        <v>77</v>
      </c>
      <c r="F194">
        <v>0.52500000000000002</v>
      </c>
      <c r="G194">
        <v>12</v>
      </c>
      <c r="H194">
        <v>982</v>
      </c>
      <c r="I194">
        <v>926</v>
      </c>
      <c r="J194">
        <v>56</v>
      </c>
    </row>
    <row r="195" spans="1:10" x14ac:dyDescent="0.25">
      <c r="A195">
        <v>10</v>
      </c>
      <c r="B195" t="s">
        <v>32</v>
      </c>
      <c r="C195" t="s">
        <v>22</v>
      </c>
      <c r="D195">
        <v>72</v>
      </c>
      <c r="E195">
        <v>90</v>
      </c>
      <c r="F195">
        <v>0.44400000000000001</v>
      </c>
      <c r="G195">
        <v>25</v>
      </c>
      <c r="H195">
        <v>938</v>
      </c>
      <c r="I195">
        <v>1021</v>
      </c>
      <c r="J195">
        <v>-83</v>
      </c>
    </row>
    <row r="196" spans="1:10" x14ac:dyDescent="0.25">
      <c r="A196">
        <v>10</v>
      </c>
      <c r="B196" t="s">
        <v>32</v>
      </c>
      <c r="C196" t="s">
        <v>23</v>
      </c>
      <c r="D196">
        <v>53</v>
      </c>
      <c r="E196">
        <v>109</v>
      </c>
      <c r="F196">
        <v>0.32700000000000001</v>
      </c>
      <c r="G196">
        <v>44</v>
      </c>
      <c r="H196">
        <v>778</v>
      </c>
      <c r="I196">
        <v>1091</v>
      </c>
      <c r="J196">
        <v>-313</v>
      </c>
    </row>
    <row r="197" spans="1:10" x14ac:dyDescent="0.25">
      <c r="A197">
        <v>10</v>
      </c>
      <c r="B197" t="s">
        <v>33</v>
      </c>
      <c r="C197" t="s">
        <v>24</v>
      </c>
      <c r="D197">
        <v>112</v>
      </c>
      <c r="E197">
        <v>50</v>
      </c>
      <c r="F197">
        <v>0.69099999999999995</v>
      </c>
      <c r="G197">
        <v>0</v>
      </c>
      <c r="H197">
        <v>911</v>
      </c>
      <c r="I197">
        <v>675</v>
      </c>
      <c r="J197">
        <v>236</v>
      </c>
    </row>
    <row r="198" spans="1:10" x14ac:dyDescent="0.25">
      <c r="A198">
        <v>10</v>
      </c>
      <c r="B198" t="s">
        <v>33</v>
      </c>
      <c r="C198" t="s">
        <v>25</v>
      </c>
      <c r="D198">
        <v>97</v>
      </c>
      <c r="E198">
        <v>65</v>
      </c>
      <c r="F198">
        <v>0.59899999999999998</v>
      </c>
      <c r="G198">
        <v>15</v>
      </c>
      <c r="H198">
        <v>880</v>
      </c>
      <c r="I198">
        <v>752</v>
      </c>
      <c r="J198">
        <v>128</v>
      </c>
    </row>
    <row r="199" spans="1:10" x14ac:dyDescent="0.25">
      <c r="A199">
        <v>10</v>
      </c>
      <c r="B199" t="s">
        <v>33</v>
      </c>
      <c r="C199" t="s">
        <v>26</v>
      </c>
      <c r="D199">
        <v>90</v>
      </c>
      <c r="E199">
        <v>72</v>
      </c>
      <c r="F199">
        <v>0.55600000000000005</v>
      </c>
      <c r="G199">
        <v>22</v>
      </c>
      <c r="H199">
        <v>930</v>
      </c>
      <c r="I199">
        <v>808</v>
      </c>
      <c r="J199">
        <v>122</v>
      </c>
    </row>
    <row r="200" spans="1:10" x14ac:dyDescent="0.25">
      <c r="A200">
        <v>10</v>
      </c>
      <c r="B200" t="s">
        <v>33</v>
      </c>
      <c r="C200" t="s">
        <v>27</v>
      </c>
      <c r="D200">
        <v>67</v>
      </c>
      <c r="E200">
        <v>95</v>
      </c>
      <c r="F200">
        <v>0.41399999999999998</v>
      </c>
      <c r="G200">
        <v>45</v>
      </c>
      <c r="H200">
        <v>807</v>
      </c>
      <c r="I200">
        <v>928</v>
      </c>
      <c r="J200">
        <v>-121</v>
      </c>
    </row>
    <row r="201" spans="1:10" x14ac:dyDescent="0.25">
      <c r="A201">
        <v>10</v>
      </c>
      <c r="B201" t="s">
        <v>33</v>
      </c>
      <c r="C201" t="s">
        <v>28</v>
      </c>
      <c r="D201">
        <v>57</v>
      </c>
      <c r="E201">
        <v>105</v>
      </c>
      <c r="F201">
        <v>0.35199999999999998</v>
      </c>
      <c r="G201">
        <v>55</v>
      </c>
      <c r="H201">
        <v>698</v>
      </c>
      <c r="I201">
        <v>986</v>
      </c>
      <c r="J201">
        <v>-288</v>
      </c>
    </row>
    <row r="202" spans="1:10" x14ac:dyDescent="0.25">
      <c r="A202">
        <v>11</v>
      </c>
      <c r="B202" t="s">
        <v>30</v>
      </c>
      <c r="C202" t="s">
        <v>8</v>
      </c>
      <c r="D202">
        <v>99</v>
      </c>
      <c r="E202">
        <v>63</v>
      </c>
      <c r="F202">
        <v>0.61099999999999999</v>
      </c>
      <c r="G202">
        <v>0</v>
      </c>
      <c r="H202">
        <v>960</v>
      </c>
      <c r="I202">
        <v>732</v>
      </c>
      <c r="J202">
        <v>228</v>
      </c>
    </row>
    <row r="203" spans="1:10" x14ac:dyDescent="0.25">
      <c r="A203">
        <v>11</v>
      </c>
      <c r="B203" t="s">
        <v>30</v>
      </c>
      <c r="C203" t="s">
        <v>10</v>
      </c>
      <c r="D203">
        <v>91</v>
      </c>
      <c r="E203">
        <v>71</v>
      </c>
      <c r="F203">
        <v>0.56200000000000006</v>
      </c>
      <c r="G203">
        <v>8</v>
      </c>
      <c r="H203">
        <v>960</v>
      </c>
      <c r="I203">
        <v>843</v>
      </c>
      <c r="J203">
        <v>117</v>
      </c>
    </row>
    <row r="204" spans="1:10" x14ac:dyDescent="0.25">
      <c r="A204">
        <v>11</v>
      </c>
      <c r="B204" t="s">
        <v>30</v>
      </c>
      <c r="C204" t="s">
        <v>13</v>
      </c>
      <c r="D204">
        <v>80</v>
      </c>
      <c r="E204">
        <v>82</v>
      </c>
      <c r="F204">
        <v>0.49399999999999999</v>
      </c>
      <c r="G204">
        <v>19</v>
      </c>
      <c r="H204">
        <v>846</v>
      </c>
      <c r="I204">
        <v>800</v>
      </c>
      <c r="J204">
        <v>46</v>
      </c>
    </row>
    <row r="205" spans="1:10" x14ac:dyDescent="0.25">
      <c r="A205">
        <v>11</v>
      </c>
      <c r="B205" t="s">
        <v>30</v>
      </c>
      <c r="C205" t="s">
        <v>12</v>
      </c>
      <c r="D205">
        <v>79</v>
      </c>
      <c r="E205">
        <v>83</v>
      </c>
      <c r="F205">
        <v>0.48799999999999999</v>
      </c>
      <c r="G205">
        <v>20</v>
      </c>
      <c r="H205">
        <v>893</v>
      </c>
      <c r="I205">
        <v>907</v>
      </c>
      <c r="J205">
        <v>-14</v>
      </c>
    </row>
    <row r="206" spans="1:10" x14ac:dyDescent="0.25">
      <c r="A206">
        <v>11</v>
      </c>
      <c r="B206" t="s">
        <v>30</v>
      </c>
      <c r="C206" t="s">
        <v>11</v>
      </c>
      <c r="D206">
        <v>76</v>
      </c>
      <c r="E206">
        <v>86</v>
      </c>
      <c r="F206">
        <v>0.46899999999999997</v>
      </c>
      <c r="G206">
        <v>23</v>
      </c>
      <c r="H206">
        <v>789</v>
      </c>
      <c r="I206">
        <v>852</v>
      </c>
      <c r="J206">
        <v>-63</v>
      </c>
    </row>
    <row r="207" spans="1:10" x14ac:dyDescent="0.25">
      <c r="A207">
        <v>11</v>
      </c>
      <c r="B207" t="s">
        <v>31</v>
      </c>
      <c r="C207" t="s">
        <v>14</v>
      </c>
      <c r="D207">
        <v>113</v>
      </c>
      <c r="E207">
        <v>49</v>
      </c>
      <c r="F207">
        <v>0.69799999999999995</v>
      </c>
      <c r="G207">
        <v>0</v>
      </c>
      <c r="H207">
        <v>1010</v>
      </c>
      <c r="I207">
        <v>646</v>
      </c>
      <c r="J207">
        <v>364</v>
      </c>
    </row>
    <row r="208" spans="1:10" x14ac:dyDescent="0.25">
      <c r="A208">
        <v>11</v>
      </c>
      <c r="B208" t="s">
        <v>31</v>
      </c>
      <c r="C208" t="s">
        <v>16</v>
      </c>
      <c r="D208">
        <v>76</v>
      </c>
      <c r="E208">
        <v>86</v>
      </c>
      <c r="F208">
        <v>0.46899999999999997</v>
      </c>
      <c r="G208">
        <v>37</v>
      </c>
      <c r="H208">
        <v>712</v>
      </c>
      <c r="I208">
        <v>782</v>
      </c>
      <c r="J208">
        <v>-70</v>
      </c>
    </row>
    <row r="209" spans="1:10" x14ac:dyDescent="0.25">
      <c r="A209">
        <v>11</v>
      </c>
      <c r="B209" t="s">
        <v>31</v>
      </c>
      <c r="C209" t="s">
        <v>15</v>
      </c>
      <c r="D209">
        <v>72</v>
      </c>
      <c r="E209">
        <v>90</v>
      </c>
      <c r="F209">
        <v>0.44400000000000001</v>
      </c>
      <c r="G209">
        <v>41</v>
      </c>
      <c r="H209">
        <v>1046</v>
      </c>
      <c r="I209">
        <v>1236</v>
      </c>
      <c r="J209">
        <v>-190</v>
      </c>
    </row>
    <row r="210" spans="1:10" x14ac:dyDescent="0.25">
      <c r="A210">
        <v>11</v>
      </c>
      <c r="B210" t="s">
        <v>31</v>
      </c>
      <c r="C210" t="s">
        <v>17</v>
      </c>
      <c r="D210">
        <v>69</v>
      </c>
      <c r="E210">
        <v>93</v>
      </c>
      <c r="F210">
        <v>0.42599999999999999</v>
      </c>
      <c r="G210">
        <v>44</v>
      </c>
      <c r="H210">
        <v>834</v>
      </c>
      <c r="I210">
        <v>970</v>
      </c>
      <c r="J210">
        <v>-136</v>
      </c>
    </row>
    <row r="211" spans="1:10" x14ac:dyDescent="0.25">
      <c r="A211">
        <v>11</v>
      </c>
      <c r="B211" t="s">
        <v>31</v>
      </c>
      <c r="C211" t="s">
        <v>18</v>
      </c>
      <c r="D211">
        <v>50</v>
      </c>
      <c r="E211">
        <v>112</v>
      </c>
      <c r="F211">
        <v>0.309</v>
      </c>
      <c r="G211">
        <v>63</v>
      </c>
      <c r="H211">
        <v>645</v>
      </c>
      <c r="I211">
        <v>970</v>
      </c>
      <c r="J211">
        <v>-325</v>
      </c>
    </row>
    <row r="212" spans="1:10" x14ac:dyDescent="0.25">
      <c r="A212">
        <v>11</v>
      </c>
      <c r="B212" t="s">
        <v>32</v>
      </c>
      <c r="C212" t="s">
        <v>19</v>
      </c>
      <c r="D212">
        <v>117</v>
      </c>
      <c r="E212">
        <v>45</v>
      </c>
      <c r="F212">
        <v>0.72199999999999998</v>
      </c>
      <c r="G212">
        <v>0</v>
      </c>
      <c r="H212">
        <v>1130</v>
      </c>
      <c r="I212">
        <v>771</v>
      </c>
      <c r="J212">
        <v>359</v>
      </c>
    </row>
    <row r="213" spans="1:10" x14ac:dyDescent="0.25">
      <c r="A213">
        <v>11</v>
      </c>
      <c r="B213" t="s">
        <v>32</v>
      </c>
      <c r="C213" t="s">
        <v>20</v>
      </c>
      <c r="D213">
        <v>104</v>
      </c>
      <c r="E213">
        <v>58</v>
      </c>
      <c r="F213">
        <v>0.64200000000000002</v>
      </c>
      <c r="G213">
        <v>13</v>
      </c>
      <c r="H213">
        <v>1015</v>
      </c>
      <c r="I213">
        <v>779</v>
      </c>
      <c r="J213">
        <v>236</v>
      </c>
    </row>
    <row r="214" spans="1:10" x14ac:dyDescent="0.25">
      <c r="A214">
        <v>11</v>
      </c>
      <c r="B214" t="s">
        <v>32</v>
      </c>
      <c r="C214" t="s">
        <v>21</v>
      </c>
      <c r="D214">
        <v>96</v>
      </c>
      <c r="E214">
        <v>66</v>
      </c>
      <c r="F214">
        <v>0.59299999999999997</v>
      </c>
      <c r="G214">
        <v>21</v>
      </c>
      <c r="H214">
        <v>1048</v>
      </c>
      <c r="I214">
        <v>903</v>
      </c>
      <c r="J214">
        <v>145</v>
      </c>
    </row>
    <row r="215" spans="1:10" x14ac:dyDescent="0.25">
      <c r="A215">
        <v>11</v>
      </c>
      <c r="B215" t="s">
        <v>32</v>
      </c>
      <c r="C215" t="s">
        <v>22</v>
      </c>
      <c r="D215">
        <v>69</v>
      </c>
      <c r="E215">
        <v>93</v>
      </c>
      <c r="F215">
        <v>0.42599999999999999</v>
      </c>
      <c r="G215">
        <v>48</v>
      </c>
      <c r="H215">
        <v>858</v>
      </c>
      <c r="I215">
        <v>994</v>
      </c>
      <c r="J215">
        <v>-136</v>
      </c>
    </row>
    <row r="216" spans="1:10" x14ac:dyDescent="0.25">
      <c r="A216">
        <v>11</v>
      </c>
      <c r="B216" t="s">
        <v>32</v>
      </c>
      <c r="C216" t="s">
        <v>23</v>
      </c>
      <c r="D216">
        <v>55</v>
      </c>
      <c r="E216">
        <v>107</v>
      </c>
      <c r="F216">
        <v>0.34</v>
      </c>
      <c r="G216">
        <v>62</v>
      </c>
      <c r="H216">
        <v>722</v>
      </c>
      <c r="I216">
        <v>1013</v>
      </c>
      <c r="J216">
        <v>-291</v>
      </c>
    </row>
    <row r="217" spans="1:10" x14ac:dyDescent="0.25">
      <c r="A217">
        <v>11</v>
      </c>
      <c r="B217" t="s">
        <v>33</v>
      </c>
      <c r="C217" t="s">
        <v>24</v>
      </c>
      <c r="D217">
        <v>98</v>
      </c>
      <c r="E217">
        <v>64</v>
      </c>
      <c r="F217">
        <v>0.60499999999999998</v>
      </c>
      <c r="G217">
        <v>0</v>
      </c>
      <c r="H217">
        <v>826</v>
      </c>
      <c r="I217">
        <v>674</v>
      </c>
      <c r="J217">
        <v>152</v>
      </c>
    </row>
    <row r="218" spans="1:10" x14ac:dyDescent="0.25">
      <c r="A218">
        <v>11</v>
      </c>
      <c r="B218" t="s">
        <v>33</v>
      </c>
      <c r="C218" t="s">
        <v>25</v>
      </c>
      <c r="D218">
        <v>80</v>
      </c>
      <c r="E218">
        <v>82</v>
      </c>
      <c r="F218">
        <v>0.49399999999999999</v>
      </c>
      <c r="G218">
        <v>18</v>
      </c>
      <c r="H218">
        <v>819</v>
      </c>
      <c r="I218">
        <v>727</v>
      </c>
      <c r="J218">
        <v>92</v>
      </c>
    </row>
    <row r="219" spans="1:10" x14ac:dyDescent="0.25">
      <c r="A219">
        <v>11</v>
      </c>
      <c r="B219" t="s">
        <v>33</v>
      </c>
      <c r="C219" t="s">
        <v>26</v>
      </c>
      <c r="D219">
        <v>78</v>
      </c>
      <c r="E219">
        <v>84</v>
      </c>
      <c r="F219">
        <v>0.48099999999999998</v>
      </c>
      <c r="G219">
        <v>20</v>
      </c>
      <c r="H219">
        <v>752</v>
      </c>
      <c r="I219">
        <v>815</v>
      </c>
      <c r="J219">
        <v>-63</v>
      </c>
    </row>
    <row r="220" spans="1:10" x14ac:dyDescent="0.25">
      <c r="A220">
        <v>11</v>
      </c>
      <c r="B220" t="s">
        <v>33</v>
      </c>
      <c r="C220" t="s">
        <v>27</v>
      </c>
      <c r="D220">
        <v>72</v>
      </c>
      <c r="E220">
        <v>90</v>
      </c>
      <c r="F220">
        <v>0.44400000000000001</v>
      </c>
      <c r="G220">
        <v>26</v>
      </c>
      <c r="H220">
        <v>733</v>
      </c>
      <c r="I220">
        <v>834</v>
      </c>
      <c r="J220">
        <v>-101</v>
      </c>
    </row>
    <row r="221" spans="1:10" x14ac:dyDescent="0.25">
      <c r="A221">
        <v>11</v>
      </c>
      <c r="B221" t="s">
        <v>33</v>
      </c>
      <c r="C221" t="s">
        <v>28</v>
      </c>
      <c r="D221">
        <v>46</v>
      </c>
      <c r="E221">
        <v>116</v>
      </c>
      <c r="F221">
        <v>0.28399999999999997</v>
      </c>
      <c r="G221">
        <v>52</v>
      </c>
      <c r="H221">
        <v>724</v>
      </c>
      <c r="I221">
        <v>1074</v>
      </c>
      <c r="J221">
        <v>-350</v>
      </c>
    </row>
    <row r="222" spans="1:10" x14ac:dyDescent="0.25">
      <c r="A222">
        <v>12</v>
      </c>
      <c r="B222" t="s">
        <v>30</v>
      </c>
      <c r="C222" t="s">
        <v>10</v>
      </c>
      <c r="D222">
        <v>100</v>
      </c>
      <c r="E222">
        <v>62</v>
      </c>
      <c r="F222">
        <v>0.61699999999999999</v>
      </c>
      <c r="G222">
        <v>0</v>
      </c>
      <c r="H222">
        <v>973</v>
      </c>
      <c r="I222">
        <v>790</v>
      </c>
      <c r="J222">
        <v>183</v>
      </c>
    </row>
    <row r="223" spans="1:10" x14ac:dyDescent="0.25">
      <c r="A223">
        <v>12</v>
      </c>
      <c r="B223" t="s">
        <v>30</v>
      </c>
      <c r="C223" t="s">
        <v>12</v>
      </c>
      <c r="D223">
        <v>96</v>
      </c>
      <c r="E223">
        <v>66</v>
      </c>
      <c r="F223">
        <v>0.59299999999999997</v>
      </c>
      <c r="G223">
        <v>4</v>
      </c>
      <c r="H223">
        <v>991</v>
      </c>
      <c r="I223">
        <v>850</v>
      </c>
      <c r="J223">
        <v>141</v>
      </c>
    </row>
    <row r="224" spans="1:10" x14ac:dyDescent="0.25">
      <c r="A224">
        <v>12</v>
      </c>
      <c r="B224" t="s">
        <v>30</v>
      </c>
      <c r="C224" t="s">
        <v>8</v>
      </c>
      <c r="D224">
        <v>91</v>
      </c>
      <c r="E224">
        <v>71</v>
      </c>
      <c r="F224">
        <v>0.56200000000000006</v>
      </c>
      <c r="G224">
        <v>9</v>
      </c>
      <c r="H224">
        <v>852</v>
      </c>
      <c r="I224">
        <v>682</v>
      </c>
      <c r="J224">
        <v>170</v>
      </c>
    </row>
    <row r="225" spans="1:10" x14ac:dyDescent="0.25">
      <c r="A225">
        <v>12</v>
      </c>
      <c r="B225" t="s">
        <v>30</v>
      </c>
      <c r="C225" t="s">
        <v>11</v>
      </c>
      <c r="D225">
        <v>79</v>
      </c>
      <c r="E225">
        <v>83</v>
      </c>
      <c r="F225">
        <v>0.48799999999999999</v>
      </c>
      <c r="G225">
        <v>21</v>
      </c>
      <c r="H225">
        <v>793</v>
      </c>
      <c r="I225">
        <v>784</v>
      </c>
      <c r="J225">
        <v>9</v>
      </c>
    </row>
    <row r="226" spans="1:10" x14ac:dyDescent="0.25">
      <c r="A226">
        <v>12</v>
      </c>
      <c r="B226" t="s">
        <v>30</v>
      </c>
      <c r="C226" t="s">
        <v>13</v>
      </c>
      <c r="D226">
        <v>65</v>
      </c>
      <c r="E226">
        <v>97</v>
      </c>
      <c r="F226">
        <v>0.40100000000000002</v>
      </c>
      <c r="G226">
        <v>35</v>
      </c>
      <c r="H226">
        <v>818</v>
      </c>
      <c r="I226">
        <v>907</v>
      </c>
      <c r="J226">
        <v>-89</v>
      </c>
    </row>
    <row r="227" spans="1:10" x14ac:dyDescent="0.25">
      <c r="A227">
        <v>12</v>
      </c>
      <c r="B227" t="s">
        <v>31</v>
      </c>
      <c r="C227" t="s">
        <v>14</v>
      </c>
      <c r="D227">
        <v>101</v>
      </c>
      <c r="E227">
        <v>61</v>
      </c>
      <c r="F227">
        <v>0.623</v>
      </c>
      <c r="G227">
        <v>0</v>
      </c>
      <c r="H227">
        <v>879</v>
      </c>
      <c r="I227">
        <v>666</v>
      </c>
      <c r="J227">
        <v>213</v>
      </c>
    </row>
    <row r="228" spans="1:10" x14ac:dyDescent="0.25">
      <c r="A228">
        <v>12</v>
      </c>
      <c r="B228" t="s">
        <v>31</v>
      </c>
      <c r="C228" t="s">
        <v>15</v>
      </c>
      <c r="D228">
        <v>75</v>
      </c>
      <c r="E228">
        <v>87</v>
      </c>
      <c r="F228">
        <v>0.46300000000000002</v>
      </c>
      <c r="G228">
        <v>26</v>
      </c>
      <c r="H228">
        <v>1037</v>
      </c>
      <c r="I228">
        <v>1140</v>
      </c>
      <c r="J228">
        <v>-103</v>
      </c>
    </row>
    <row r="229" spans="1:10" x14ac:dyDescent="0.25">
      <c r="A229">
        <v>12</v>
      </c>
      <c r="B229" t="s">
        <v>31</v>
      </c>
      <c r="C229" t="s">
        <v>16</v>
      </c>
      <c r="D229">
        <v>75</v>
      </c>
      <c r="E229">
        <v>87</v>
      </c>
      <c r="F229">
        <v>0.46300000000000002</v>
      </c>
      <c r="G229">
        <v>26</v>
      </c>
      <c r="H229">
        <v>788</v>
      </c>
      <c r="I229">
        <v>862</v>
      </c>
      <c r="J229">
        <v>-74</v>
      </c>
    </row>
    <row r="230" spans="1:10" x14ac:dyDescent="0.25">
      <c r="A230">
        <v>12</v>
      </c>
      <c r="B230" t="s">
        <v>31</v>
      </c>
      <c r="C230" t="s">
        <v>17</v>
      </c>
      <c r="D230">
        <v>59</v>
      </c>
      <c r="E230">
        <v>103</v>
      </c>
      <c r="F230">
        <v>0.36399999999999999</v>
      </c>
      <c r="G230">
        <v>42</v>
      </c>
      <c r="H230">
        <v>852</v>
      </c>
      <c r="I230">
        <v>1053</v>
      </c>
      <c r="J230">
        <v>-201</v>
      </c>
    </row>
    <row r="231" spans="1:10" x14ac:dyDescent="0.25">
      <c r="A231">
        <v>12</v>
      </c>
      <c r="B231" t="s">
        <v>31</v>
      </c>
      <c r="C231" t="s">
        <v>18</v>
      </c>
      <c r="D231">
        <v>49</v>
      </c>
      <c r="E231">
        <v>113</v>
      </c>
      <c r="F231">
        <v>0.30199999999999999</v>
      </c>
      <c r="G231">
        <v>52</v>
      </c>
      <c r="H231">
        <v>677</v>
      </c>
      <c r="I231">
        <v>995</v>
      </c>
      <c r="J231">
        <v>-318</v>
      </c>
    </row>
    <row r="232" spans="1:10" x14ac:dyDescent="0.25">
      <c r="A232">
        <v>12</v>
      </c>
      <c r="B232" t="s">
        <v>32</v>
      </c>
      <c r="C232" t="s">
        <v>19</v>
      </c>
      <c r="D232">
        <v>115</v>
      </c>
      <c r="E232">
        <v>47</v>
      </c>
      <c r="F232">
        <v>0.71</v>
      </c>
      <c r="G232">
        <v>0</v>
      </c>
      <c r="H232">
        <v>1061</v>
      </c>
      <c r="I232">
        <v>738</v>
      </c>
      <c r="J232">
        <v>323</v>
      </c>
    </row>
    <row r="233" spans="1:10" x14ac:dyDescent="0.25">
      <c r="A233">
        <v>12</v>
      </c>
      <c r="B233" t="s">
        <v>32</v>
      </c>
      <c r="C233" t="s">
        <v>20</v>
      </c>
      <c r="D233">
        <v>102</v>
      </c>
      <c r="E233">
        <v>60</v>
      </c>
      <c r="F233">
        <v>0.63</v>
      </c>
      <c r="G233">
        <v>13</v>
      </c>
      <c r="H233">
        <v>1029</v>
      </c>
      <c r="I233">
        <v>792</v>
      </c>
      <c r="J233">
        <v>237</v>
      </c>
    </row>
    <row r="234" spans="1:10" x14ac:dyDescent="0.25">
      <c r="A234">
        <v>12</v>
      </c>
      <c r="B234" t="s">
        <v>32</v>
      </c>
      <c r="C234" t="s">
        <v>21</v>
      </c>
      <c r="D234">
        <v>82</v>
      </c>
      <c r="E234">
        <v>80</v>
      </c>
      <c r="F234">
        <v>0.50600000000000001</v>
      </c>
      <c r="G234">
        <v>33</v>
      </c>
      <c r="H234">
        <v>947</v>
      </c>
      <c r="I234">
        <v>935</v>
      </c>
      <c r="J234">
        <v>12</v>
      </c>
    </row>
    <row r="235" spans="1:10" x14ac:dyDescent="0.25">
      <c r="A235">
        <v>12</v>
      </c>
      <c r="B235" t="s">
        <v>32</v>
      </c>
      <c r="C235" t="s">
        <v>22</v>
      </c>
      <c r="D235">
        <v>78</v>
      </c>
      <c r="E235">
        <v>84</v>
      </c>
      <c r="F235">
        <v>0.48099999999999998</v>
      </c>
      <c r="G235">
        <v>37</v>
      </c>
      <c r="H235">
        <v>887</v>
      </c>
      <c r="I235">
        <v>939</v>
      </c>
      <c r="J235">
        <v>-52</v>
      </c>
    </row>
    <row r="236" spans="1:10" x14ac:dyDescent="0.25">
      <c r="A236">
        <v>12</v>
      </c>
      <c r="B236" t="s">
        <v>32</v>
      </c>
      <c r="C236" t="s">
        <v>23</v>
      </c>
      <c r="D236">
        <v>54</v>
      </c>
      <c r="E236">
        <v>108</v>
      </c>
      <c r="F236">
        <v>0.33300000000000002</v>
      </c>
      <c r="G236">
        <v>61</v>
      </c>
      <c r="H236">
        <v>744</v>
      </c>
      <c r="I236">
        <v>1069</v>
      </c>
      <c r="J236">
        <v>-325</v>
      </c>
    </row>
    <row r="237" spans="1:10" x14ac:dyDescent="0.25">
      <c r="A237">
        <v>12</v>
      </c>
      <c r="B237" t="s">
        <v>33</v>
      </c>
      <c r="C237" t="s">
        <v>24</v>
      </c>
      <c r="D237">
        <v>117</v>
      </c>
      <c r="E237">
        <v>45</v>
      </c>
      <c r="F237">
        <v>0.72199999999999998</v>
      </c>
      <c r="G237">
        <v>0</v>
      </c>
      <c r="H237">
        <v>982</v>
      </c>
      <c r="I237">
        <v>707</v>
      </c>
      <c r="J237">
        <v>275</v>
      </c>
    </row>
    <row r="238" spans="1:10" x14ac:dyDescent="0.25">
      <c r="A238">
        <v>12</v>
      </c>
      <c r="B238" t="s">
        <v>33</v>
      </c>
      <c r="C238" t="s">
        <v>26</v>
      </c>
      <c r="D238">
        <v>82</v>
      </c>
      <c r="E238">
        <v>80</v>
      </c>
      <c r="F238">
        <v>0.50600000000000001</v>
      </c>
      <c r="G238">
        <v>35</v>
      </c>
      <c r="H238">
        <v>840</v>
      </c>
      <c r="I238">
        <v>815</v>
      </c>
      <c r="J238">
        <v>25</v>
      </c>
    </row>
    <row r="239" spans="1:10" x14ac:dyDescent="0.25">
      <c r="A239">
        <v>12</v>
      </c>
      <c r="B239" t="s">
        <v>33</v>
      </c>
      <c r="C239" t="s">
        <v>25</v>
      </c>
      <c r="D239">
        <v>76</v>
      </c>
      <c r="E239">
        <v>86</v>
      </c>
      <c r="F239">
        <v>0.46899999999999997</v>
      </c>
      <c r="G239">
        <v>41</v>
      </c>
      <c r="H239">
        <v>794</v>
      </c>
      <c r="I239">
        <v>780</v>
      </c>
      <c r="J239">
        <v>14</v>
      </c>
    </row>
    <row r="240" spans="1:10" x14ac:dyDescent="0.25">
      <c r="A240">
        <v>12</v>
      </c>
      <c r="B240" t="s">
        <v>33</v>
      </c>
      <c r="C240" t="s">
        <v>27</v>
      </c>
      <c r="D240">
        <v>75</v>
      </c>
      <c r="E240">
        <v>87</v>
      </c>
      <c r="F240">
        <v>0.46300000000000002</v>
      </c>
      <c r="G240">
        <v>42</v>
      </c>
      <c r="H240">
        <v>842</v>
      </c>
      <c r="I240">
        <v>873</v>
      </c>
      <c r="J240">
        <v>-31</v>
      </c>
    </row>
    <row r="241" spans="1:10" x14ac:dyDescent="0.25">
      <c r="A241">
        <v>12</v>
      </c>
      <c r="B241" t="s">
        <v>33</v>
      </c>
      <c r="C241" t="s">
        <v>28</v>
      </c>
      <c r="D241">
        <v>49</v>
      </c>
      <c r="E241">
        <v>113</v>
      </c>
      <c r="F241">
        <v>0.30199999999999999</v>
      </c>
      <c r="G241">
        <v>68</v>
      </c>
      <c r="H241">
        <v>682</v>
      </c>
      <c r="I241">
        <v>1091</v>
      </c>
      <c r="J241">
        <v>-409</v>
      </c>
    </row>
    <row r="242" spans="1:10" x14ac:dyDescent="0.25">
      <c r="A242">
        <v>13</v>
      </c>
      <c r="B242" t="s">
        <v>30</v>
      </c>
      <c r="C242" t="s">
        <v>10</v>
      </c>
      <c r="D242">
        <v>100</v>
      </c>
      <c r="E242">
        <v>62</v>
      </c>
      <c r="F242">
        <v>0.61699999999999999</v>
      </c>
      <c r="G242">
        <v>0</v>
      </c>
      <c r="H242">
        <v>1055</v>
      </c>
      <c r="I242">
        <v>841</v>
      </c>
      <c r="J242">
        <v>214</v>
      </c>
    </row>
    <row r="243" spans="1:10" x14ac:dyDescent="0.25">
      <c r="A243">
        <v>13</v>
      </c>
      <c r="B243" t="s">
        <v>30</v>
      </c>
      <c r="C243" t="s">
        <v>12</v>
      </c>
      <c r="D243">
        <v>90</v>
      </c>
      <c r="E243">
        <v>72</v>
      </c>
      <c r="F243">
        <v>0.55600000000000005</v>
      </c>
      <c r="G243">
        <v>10</v>
      </c>
      <c r="H243">
        <v>1004</v>
      </c>
      <c r="I243">
        <v>891</v>
      </c>
      <c r="J243">
        <v>113</v>
      </c>
    </row>
    <row r="244" spans="1:10" x14ac:dyDescent="0.25">
      <c r="A244">
        <v>13</v>
      </c>
      <c r="B244" t="s">
        <v>30</v>
      </c>
      <c r="C244" t="s">
        <v>8</v>
      </c>
      <c r="D244">
        <v>90</v>
      </c>
      <c r="E244">
        <v>72</v>
      </c>
      <c r="F244">
        <v>0.55600000000000005</v>
      </c>
      <c r="G244">
        <v>10</v>
      </c>
      <c r="H244">
        <v>928</v>
      </c>
      <c r="I244">
        <v>720</v>
      </c>
      <c r="J244">
        <v>208</v>
      </c>
    </row>
    <row r="245" spans="1:10" x14ac:dyDescent="0.25">
      <c r="A245">
        <v>13</v>
      </c>
      <c r="B245" t="s">
        <v>30</v>
      </c>
      <c r="C245" t="s">
        <v>11</v>
      </c>
      <c r="D245">
        <v>89</v>
      </c>
      <c r="E245">
        <v>73</v>
      </c>
      <c r="F245">
        <v>0.54900000000000004</v>
      </c>
      <c r="G245">
        <v>11</v>
      </c>
      <c r="H245">
        <v>880</v>
      </c>
      <c r="I245">
        <v>824</v>
      </c>
      <c r="J245">
        <v>56</v>
      </c>
    </row>
    <row r="246" spans="1:10" x14ac:dyDescent="0.25">
      <c r="A246">
        <v>13</v>
      </c>
      <c r="B246" t="s">
        <v>30</v>
      </c>
      <c r="C246" t="s">
        <v>13</v>
      </c>
      <c r="D246">
        <v>72</v>
      </c>
      <c r="E246">
        <v>90</v>
      </c>
      <c r="F246">
        <v>0.44400000000000001</v>
      </c>
      <c r="G246">
        <v>28</v>
      </c>
      <c r="H246">
        <v>772</v>
      </c>
      <c r="I246">
        <v>827</v>
      </c>
      <c r="J246">
        <v>-55</v>
      </c>
    </row>
    <row r="247" spans="1:10" x14ac:dyDescent="0.25">
      <c r="A247">
        <v>13</v>
      </c>
      <c r="B247" t="s">
        <v>31</v>
      </c>
      <c r="C247" t="s">
        <v>14</v>
      </c>
      <c r="D247">
        <v>107</v>
      </c>
      <c r="E247">
        <v>55</v>
      </c>
      <c r="F247">
        <v>0.66</v>
      </c>
      <c r="G247">
        <v>0</v>
      </c>
      <c r="H247">
        <v>956</v>
      </c>
      <c r="I247">
        <v>680</v>
      </c>
      <c r="J247">
        <v>276</v>
      </c>
    </row>
    <row r="248" spans="1:10" x14ac:dyDescent="0.25">
      <c r="A248">
        <v>13</v>
      </c>
      <c r="B248" t="s">
        <v>31</v>
      </c>
      <c r="C248" t="s">
        <v>16</v>
      </c>
      <c r="D248">
        <v>79</v>
      </c>
      <c r="E248">
        <v>83</v>
      </c>
      <c r="F248">
        <v>0.48799999999999999</v>
      </c>
      <c r="G248">
        <v>28</v>
      </c>
      <c r="H248">
        <v>854</v>
      </c>
      <c r="I248">
        <v>904</v>
      </c>
      <c r="J248">
        <v>-50</v>
      </c>
    </row>
    <row r="249" spans="1:10" x14ac:dyDescent="0.25">
      <c r="A249">
        <v>13</v>
      </c>
      <c r="B249" t="s">
        <v>31</v>
      </c>
      <c r="C249" t="s">
        <v>15</v>
      </c>
      <c r="D249">
        <v>63</v>
      </c>
      <c r="E249">
        <v>99</v>
      </c>
      <c r="F249">
        <v>0.38900000000000001</v>
      </c>
      <c r="G249">
        <v>44</v>
      </c>
      <c r="H249">
        <v>983</v>
      </c>
      <c r="I249">
        <v>1272</v>
      </c>
      <c r="J249">
        <v>-289</v>
      </c>
    </row>
    <row r="250" spans="1:10" x14ac:dyDescent="0.25">
      <c r="A250">
        <v>13</v>
      </c>
      <c r="B250" t="s">
        <v>31</v>
      </c>
      <c r="C250" t="s">
        <v>17</v>
      </c>
      <c r="D250">
        <v>61</v>
      </c>
      <c r="E250">
        <v>101</v>
      </c>
      <c r="F250">
        <v>0.377</v>
      </c>
      <c r="G250">
        <v>46</v>
      </c>
      <c r="H250">
        <v>778</v>
      </c>
      <c r="I250">
        <v>952</v>
      </c>
      <c r="J250">
        <v>-174</v>
      </c>
    </row>
    <row r="251" spans="1:10" x14ac:dyDescent="0.25">
      <c r="A251">
        <v>13</v>
      </c>
      <c r="B251" t="s">
        <v>31</v>
      </c>
      <c r="C251" t="s">
        <v>18</v>
      </c>
      <c r="D251">
        <v>49</v>
      </c>
      <c r="E251">
        <v>113</v>
      </c>
      <c r="F251">
        <v>0.30199999999999999</v>
      </c>
      <c r="G251">
        <v>58</v>
      </c>
      <c r="H251">
        <v>717</v>
      </c>
      <c r="I251">
        <v>987</v>
      </c>
      <c r="J251">
        <v>-270</v>
      </c>
    </row>
    <row r="252" spans="1:10" x14ac:dyDescent="0.25">
      <c r="A252">
        <v>13</v>
      </c>
      <c r="B252" t="s">
        <v>32</v>
      </c>
      <c r="C252" t="s">
        <v>19</v>
      </c>
      <c r="D252">
        <v>111</v>
      </c>
      <c r="E252">
        <v>51</v>
      </c>
      <c r="F252">
        <v>0.68500000000000005</v>
      </c>
      <c r="G252">
        <v>0</v>
      </c>
      <c r="H252">
        <v>1024</v>
      </c>
      <c r="I252">
        <v>745</v>
      </c>
      <c r="J252">
        <v>279</v>
      </c>
    </row>
    <row r="253" spans="1:10" x14ac:dyDescent="0.25">
      <c r="A253">
        <v>13</v>
      </c>
      <c r="B253" t="s">
        <v>32</v>
      </c>
      <c r="C253" t="s">
        <v>20</v>
      </c>
      <c r="D253">
        <v>91</v>
      </c>
      <c r="E253">
        <v>71</v>
      </c>
      <c r="F253">
        <v>0.56200000000000006</v>
      </c>
      <c r="G253">
        <v>20</v>
      </c>
      <c r="H253">
        <v>948</v>
      </c>
      <c r="I253">
        <v>853</v>
      </c>
      <c r="J253">
        <v>95</v>
      </c>
    </row>
    <row r="254" spans="1:10" x14ac:dyDescent="0.25">
      <c r="A254">
        <v>13</v>
      </c>
      <c r="B254" t="s">
        <v>32</v>
      </c>
      <c r="C254" t="s">
        <v>21</v>
      </c>
      <c r="D254">
        <v>83</v>
      </c>
      <c r="E254">
        <v>79</v>
      </c>
      <c r="F254">
        <v>0.51200000000000001</v>
      </c>
      <c r="G254">
        <v>28</v>
      </c>
      <c r="H254">
        <v>907</v>
      </c>
      <c r="I254">
        <v>936</v>
      </c>
      <c r="J254">
        <v>-29</v>
      </c>
    </row>
    <row r="255" spans="1:10" x14ac:dyDescent="0.25">
      <c r="A255">
        <v>13</v>
      </c>
      <c r="B255" t="s">
        <v>32</v>
      </c>
      <c r="C255" t="s">
        <v>22</v>
      </c>
      <c r="D255">
        <v>77</v>
      </c>
      <c r="E255">
        <v>85</v>
      </c>
      <c r="F255">
        <v>0.47499999999999998</v>
      </c>
      <c r="G255">
        <v>34</v>
      </c>
      <c r="H255">
        <v>863</v>
      </c>
      <c r="I255">
        <v>922</v>
      </c>
      <c r="J255">
        <v>-59</v>
      </c>
    </row>
    <row r="256" spans="1:10" x14ac:dyDescent="0.25">
      <c r="A256">
        <v>13</v>
      </c>
      <c r="B256" t="s">
        <v>32</v>
      </c>
      <c r="C256" t="s">
        <v>23</v>
      </c>
      <c r="D256">
        <v>71</v>
      </c>
      <c r="E256">
        <v>91</v>
      </c>
      <c r="F256">
        <v>0.438</v>
      </c>
      <c r="G256">
        <v>40</v>
      </c>
      <c r="H256">
        <v>841</v>
      </c>
      <c r="I256">
        <v>1054</v>
      </c>
      <c r="J256">
        <v>-213</v>
      </c>
    </row>
    <row r="257" spans="1:10" x14ac:dyDescent="0.25">
      <c r="A257">
        <v>13</v>
      </c>
      <c r="B257" t="s">
        <v>33</v>
      </c>
      <c r="C257" t="s">
        <v>24</v>
      </c>
      <c r="D257">
        <v>104</v>
      </c>
      <c r="E257">
        <v>58</v>
      </c>
      <c r="F257">
        <v>0.64200000000000002</v>
      </c>
      <c r="G257">
        <v>0</v>
      </c>
      <c r="H257">
        <v>910</v>
      </c>
      <c r="I257">
        <v>700</v>
      </c>
      <c r="J257">
        <v>210</v>
      </c>
    </row>
    <row r="258" spans="1:10" x14ac:dyDescent="0.25">
      <c r="A258">
        <v>13</v>
      </c>
      <c r="B258" t="s">
        <v>33</v>
      </c>
      <c r="C258" t="s">
        <v>25</v>
      </c>
      <c r="D258">
        <v>85</v>
      </c>
      <c r="E258">
        <v>77</v>
      </c>
      <c r="F258">
        <v>0.52500000000000002</v>
      </c>
      <c r="G258">
        <v>19</v>
      </c>
      <c r="H258">
        <v>858</v>
      </c>
      <c r="I258">
        <v>755</v>
      </c>
      <c r="J258">
        <v>103</v>
      </c>
    </row>
    <row r="259" spans="1:10" x14ac:dyDescent="0.25">
      <c r="A259">
        <v>13</v>
      </c>
      <c r="B259" t="s">
        <v>33</v>
      </c>
      <c r="C259" t="s">
        <v>26</v>
      </c>
      <c r="D259">
        <v>83</v>
      </c>
      <c r="E259">
        <v>79</v>
      </c>
      <c r="F259">
        <v>0.51200000000000001</v>
      </c>
      <c r="G259">
        <v>21</v>
      </c>
      <c r="H259">
        <v>893</v>
      </c>
      <c r="I259">
        <v>844</v>
      </c>
      <c r="J259">
        <v>49</v>
      </c>
    </row>
    <row r="260" spans="1:10" x14ac:dyDescent="0.25">
      <c r="A260">
        <v>13</v>
      </c>
      <c r="B260" t="s">
        <v>33</v>
      </c>
      <c r="C260" t="s">
        <v>27</v>
      </c>
      <c r="D260">
        <v>67</v>
      </c>
      <c r="E260">
        <v>95</v>
      </c>
      <c r="F260">
        <v>0.41399999999999998</v>
      </c>
      <c r="G260">
        <v>37</v>
      </c>
      <c r="H260">
        <v>825</v>
      </c>
      <c r="I260">
        <v>908</v>
      </c>
      <c r="J260">
        <v>-83</v>
      </c>
    </row>
    <row r="261" spans="1:10" x14ac:dyDescent="0.25">
      <c r="A261">
        <v>13</v>
      </c>
      <c r="B261" t="s">
        <v>33</v>
      </c>
      <c r="C261" t="s">
        <v>28</v>
      </c>
      <c r="D261">
        <v>48</v>
      </c>
      <c r="E261">
        <v>114</v>
      </c>
      <c r="F261">
        <v>0.29599999999999999</v>
      </c>
      <c r="G261">
        <v>56</v>
      </c>
      <c r="H261">
        <v>662</v>
      </c>
      <c r="I261">
        <v>1043</v>
      </c>
      <c r="J261">
        <v>-381</v>
      </c>
    </row>
    <row r="262" spans="1:10" x14ac:dyDescent="0.25">
      <c r="A262">
        <v>14</v>
      </c>
      <c r="B262" t="s">
        <v>30</v>
      </c>
      <c r="C262" t="s">
        <v>8</v>
      </c>
      <c r="D262">
        <v>94</v>
      </c>
      <c r="E262">
        <v>68</v>
      </c>
      <c r="F262">
        <v>0.57999999999999996</v>
      </c>
      <c r="G262">
        <v>0</v>
      </c>
      <c r="H262">
        <v>847</v>
      </c>
      <c r="I262">
        <v>723</v>
      </c>
      <c r="J262">
        <v>124</v>
      </c>
    </row>
    <row r="263" spans="1:10" x14ac:dyDescent="0.25">
      <c r="A263">
        <v>14</v>
      </c>
      <c r="B263" t="s">
        <v>30</v>
      </c>
      <c r="C263" t="s">
        <v>12</v>
      </c>
      <c r="D263">
        <v>91</v>
      </c>
      <c r="E263">
        <v>71</v>
      </c>
      <c r="F263">
        <v>0.56200000000000006</v>
      </c>
      <c r="G263">
        <v>3</v>
      </c>
      <c r="H263">
        <v>954</v>
      </c>
      <c r="I263">
        <v>877</v>
      </c>
      <c r="J263">
        <v>77</v>
      </c>
    </row>
    <row r="264" spans="1:10" x14ac:dyDescent="0.25">
      <c r="A264">
        <v>14</v>
      </c>
      <c r="B264" t="s">
        <v>30</v>
      </c>
      <c r="C264" t="s">
        <v>10</v>
      </c>
      <c r="D264">
        <v>87</v>
      </c>
      <c r="E264">
        <v>75</v>
      </c>
      <c r="F264">
        <v>0.53700000000000003</v>
      </c>
      <c r="G264">
        <v>7</v>
      </c>
      <c r="H264">
        <v>994</v>
      </c>
      <c r="I264">
        <v>874</v>
      </c>
      <c r="J264">
        <v>120</v>
      </c>
    </row>
    <row r="265" spans="1:10" x14ac:dyDescent="0.25">
      <c r="A265">
        <v>14</v>
      </c>
      <c r="B265" t="s">
        <v>30</v>
      </c>
      <c r="C265" t="s">
        <v>11</v>
      </c>
      <c r="D265">
        <v>84</v>
      </c>
      <c r="E265">
        <v>78</v>
      </c>
      <c r="F265">
        <v>0.51900000000000002</v>
      </c>
      <c r="G265">
        <v>10</v>
      </c>
      <c r="H265">
        <v>824</v>
      </c>
      <c r="I265">
        <v>768</v>
      </c>
      <c r="J265">
        <v>56</v>
      </c>
    </row>
    <row r="266" spans="1:10" x14ac:dyDescent="0.25">
      <c r="A266">
        <v>14</v>
      </c>
      <c r="B266" t="s">
        <v>30</v>
      </c>
      <c r="C266" t="s">
        <v>13</v>
      </c>
      <c r="D266">
        <v>70</v>
      </c>
      <c r="E266">
        <v>92</v>
      </c>
      <c r="F266">
        <v>0.432</v>
      </c>
      <c r="G266">
        <v>24</v>
      </c>
      <c r="H266">
        <v>858</v>
      </c>
      <c r="I266">
        <v>900</v>
      </c>
      <c r="J266">
        <v>-42</v>
      </c>
    </row>
    <row r="267" spans="1:10" x14ac:dyDescent="0.25">
      <c r="A267">
        <v>14</v>
      </c>
      <c r="B267" t="s">
        <v>31</v>
      </c>
      <c r="C267" t="s">
        <v>14</v>
      </c>
      <c r="D267">
        <v>102</v>
      </c>
      <c r="E267">
        <v>60</v>
      </c>
      <c r="F267">
        <v>0.63</v>
      </c>
      <c r="G267">
        <v>0</v>
      </c>
      <c r="H267">
        <v>964</v>
      </c>
      <c r="I267">
        <v>684</v>
      </c>
      <c r="J267">
        <v>280</v>
      </c>
    </row>
    <row r="268" spans="1:10" x14ac:dyDescent="0.25">
      <c r="A268">
        <v>14</v>
      </c>
      <c r="B268" t="s">
        <v>31</v>
      </c>
      <c r="C268" t="s">
        <v>15</v>
      </c>
      <c r="D268">
        <v>67</v>
      </c>
      <c r="E268">
        <v>95</v>
      </c>
      <c r="F268">
        <v>0.41399999999999998</v>
      </c>
      <c r="G268">
        <v>35</v>
      </c>
      <c r="H268">
        <v>985</v>
      </c>
      <c r="I268">
        <v>1207</v>
      </c>
      <c r="J268">
        <v>-222</v>
      </c>
    </row>
    <row r="269" spans="1:10" x14ac:dyDescent="0.25">
      <c r="A269">
        <v>14</v>
      </c>
      <c r="B269" t="s">
        <v>31</v>
      </c>
      <c r="C269" t="s">
        <v>16</v>
      </c>
      <c r="D269">
        <v>64</v>
      </c>
      <c r="E269">
        <v>98</v>
      </c>
      <c r="F269">
        <v>0.39500000000000002</v>
      </c>
      <c r="G269">
        <v>38</v>
      </c>
      <c r="H269">
        <v>723</v>
      </c>
      <c r="I269">
        <v>874</v>
      </c>
      <c r="J269">
        <v>-151</v>
      </c>
    </row>
    <row r="270" spans="1:10" x14ac:dyDescent="0.25">
      <c r="A270">
        <v>14</v>
      </c>
      <c r="B270" t="s">
        <v>31</v>
      </c>
      <c r="C270" t="s">
        <v>17</v>
      </c>
      <c r="D270">
        <v>59</v>
      </c>
      <c r="E270">
        <v>103</v>
      </c>
      <c r="F270">
        <v>0.36399999999999999</v>
      </c>
      <c r="G270">
        <v>43</v>
      </c>
      <c r="H270">
        <v>810</v>
      </c>
      <c r="I270">
        <v>1029</v>
      </c>
      <c r="J270">
        <v>-219</v>
      </c>
    </row>
    <row r="271" spans="1:10" x14ac:dyDescent="0.25">
      <c r="A271">
        <v>14</v>
      </c>
      <c r="B271" t="s">
        <v>31</v>
      </c>
      <c r="C271" t="s">
        <v>18</v>
      </c>
      <c r="D271">
        <v>52</v>
      </c>
      <c r="E271">
        <v>110</v>
      </c>
      <c r="F271">
        <v>0.32100000000000001</v>
      </c>
      <c r="G271">
        <v>50</v>
      </c>
      <c r="H271">
        <v>647</v>
      </c>
      <c r="I271">
        <v>1002</v>
      </c>
      <c r="J271">
        <v>-355</v>
      </c>
    </row>
    <row r="272" spans="1:10" x14ac:dyDescent="0.25">
      <c r="A272">
        <v>14</v>
      </c>
      <c r="B272" t="s">
        <v>32</v>
      </c>
      <c r="C272" t="s">
        <v>19</v>
      </c>
      <c r="D272">
        <v>115</v>
      </c>
      <c r="E272">
        <v>47</v>
      </c>
      <c r="F272">
        <v>0.71</v>
      </c>
      <c r="G272">
        <v>0</v>
      </c>
      <c r="H272">
        <v>1085</v>
      </c>
      <c r="I272">
        <v>783</v>
      </c>
      <c r="J272">
        <v>302</v>
      </c>
    </row>
    <row r="273" spans="1:10" x14ac:dyDescent="0.25">
      <c r="A273">
        <v>14</v>
      </c>
      <c r="B273" t="s">
        <v>32</v>
      </c>
      <c r="C273" t="s">
        <v>20</v>
      </c>
      <c r="D273">
        <v>103</v>
      </c>
      <c r="E273">
        <v>59</v>
      </c>
      <c r="F273">
        <v>0.63600000000000001</v>
      </c>
      <c r="G273">
        <v>12</v>
      </c>
      <c r="H273">
        <v>1046</v>
      </c>
      <c r="I273">
        <v>834</v>
      </c>
      <c r="J273">
        <v>212</v>
      </c>
    </row>
    <row r="274" spans="1:10" x14ac:dyDescent="0.25">
      <c r="A274">
        <v>14</v>
      </c>
      <c r="B274" t="s">
        <v>32</v>
      </c>
      <c r="C274" t="s">
        <v>21</v>
      </c>
      <c r="D274">
        <v>91</v>
      </c>
      <c r="E274">
        <v>71</v>
      </c>
      <c r="F274">
        <v>0.56200000000000006</v>
      </c>
      <c r="G274">
        <v>24</v>
      </c>
      <c r="H274">
        <v>989</v>
      </c>
      <c r="I274">
        <v>837</v>
      </c>
      <c r="J274">
        <v>152</v>
      </c>
    </row>
    <row r="275" spans="1:10" x14ac:dyDescent="0.25">
      <c r="A275">
        <v>14</v>
      </c>
      <c r="B275" t="s">
        <v>32</v>
      </c>
      <c r="C275" t="s">
        <v>22</v>
      </c>
      <c r="D275">
        <v>85</v>
      </c>
      <c r="E275">
        <v>77</v>
      </c>
      <c r="F275">
        <v>0.52500000000000002</v>
      </c>
      <c r="G275">
        <v>30</v>
      </c>
      <c r="H275">
        <v>922</v>
      </c>
      <c r="I275">
        <v>877</v>
      </c>
      <c r="J275">
        <v>45</v>
      </c>
    </row>
    <row r="276" spans="1:10" x14ac:dyDescent="0.25">
      <c r="A276">
        <v>14</v>
      </c>
      <c r="B276" t="s">
        <v>32</v>
      </c>
      <c r="C276" t="s">
        <v>23</v>
      </c>
      <c r="D276">
        <v>59</v>
      </c>
      <c r="E276">
        <v>103</v>
      </c>
      <c r="F276">
        <v>0.36399999999999999</v>
      </c>
      <c r="G276">
        <v>56</v>
      </c>
      <c r="H276">
        <v>797</v>
      </c>
      <c r="I276">
        <v>1058</v>
      </c>
      <c r="J276">
        <v>-261</v>
      </c>
    </row>
    <row r="277" spans="1:10" x14ac:dyDescent="0.25">
      <c r="A277">
        <v>14</v>
      </c>
      <c r="B277" t="s">
        <v>33</v>
      </c>
      <c r="C277" t="s">
        <v>24</v>
      </c>
      <c r="D277">
        <v>94</v>
      </c>
      <c r="E277">
        <v>68</v>
      </c>
      <c r="F277">
        <v>0.57999999999999996</v>
      </c>
      <c r="G277">
        <v>0</v>
      </c>
      <c r="H277">
        <v>913</v>
      </c>
      <c r="I277">
        <v>722</v>
      </c>
      <c r="J277">
        <v>191</v>
      </c>
    </row>
    <row r="278" spans="1:10" x14ac:dyDescent="0.25">
      <c r="A278">
        <v>14</v>
      </c>
      <c r="B278" t="s">
        <v>33</v>
      </c>
      <c r="C278" t="s">
        <v>25</v>
      </c>
      <c r="D278">
        <v>94</v>
      </c>
      <c r="E278">
        <v>68</v>
      </c>
      <c r="F278">
        <v>0.57999999999999996</v>
      </c>
      <c r="G278">
        <v>0</v>
      </c>
      <c r="H278">
        <v>833</v>
      </c>
      <c r="I278">
        <v>724</v>
      </c>
      <c r="J278">
        <v>109</v>
      </c>
    </row>
    <row r="279" spans="1:10" x14ac:dyDescent="0.25">
      <c r="A279">
        <v>14</v>
      </c>
      <c r="B279" t="s">
        <v>33</v>
      </c>
      <c r="C279" t="s">
        <v>26</v>
      </c>
      <c r="D279">
        <v>92</v>
      </c>
      <c r="E279">
        <v>70</v>
      </c>
      <c r="F279">
        <v>0.56799999999999995</v>
      </c>
      <c r="G279">
        <v>2</v>
      </c>
      <c r="H279">
        <v>893</v>
      </c>
      <c r="I279">
        <v>833</v>
      </c>
      <c r="J279">
        <v>60</v>
      </c>
    </row>
    <row r="280" spans="1:10" x14ac:dyDescent="0.25">
      <c r="A280">
        <v>14</v>
      </c>
      <c r="B280" t="s">
        <v>33</v>
      </c>
      <c r="C280" t="s">
        <v>27</v>
      </c>
      <c r="D280">
        <v>62</v>
      </c>
      <c r="E280">
        <v>100</v>
      </c>
      <c r="F280">
        <v>0.38300000000000001</v>
      </c>
      <c r="G280">
        <v>32</v>
      </c>
      <c r="H280">
        <v>719</v>
      </c>
      <c r="I280">
        <v>906</v>
      </c>
      <c r="J280">
        <v>-187</v>
      </c>
    </row>
    <row r="281" spans="1:10" x14ac:dyDescent="0.25">
      <c r="A281">
        <v>14</v>
      </c>
      <c r="B281" t="s">
        <v>33</v>
      </c>
      <c r="C281" t="s">
        <v>28</v>
      </c>
      <c r="D281">
        <v>55</v>
      </c>
      <c r="E281">
        <v>107</v>
      </c>
      <c r="F281">
        <v>0.34</v>
      </c>
      <c r="G281">
        <v>39</v>
      </c>
      <c r="H281">
        <v>690</v>
      </c>
      <c r="I281">
        <v>981</v>
      </c>
      <c r="J281">
        <v>-291</v>
      </c>
    </row>
    <row r="282" spans="1:10" x14ac:dyDescent="0.25">
      <c r="A282">
        <v>15</v>
      </c>
      <c r="B282" t="s">
        <v>30</v>
      </c>
      <c r="C282" t="s">
        <v>8</v>
      </c>
      <c r="D282">
        <v>99</v>
      </c>
      <c r="E282">
        <v>63</v>
      </c>
      <c r="F282">
        <v>0.61099999999999999</v>
      </c>
      <c r="G282">
        <v>0</v>
      </c>
      <c r="H282">
        <v>908</v>
      </c>
      <c r="I282">
        <v>666</v>
      </c>
      <c r="J282">
        <v>242</v>
      </c>
    </row>
    <row r="283" spans="1:10" x14ac:dyDescent="0.25">
      <c r="A283">
        <v>15</v>
      </c>
      <c r="B283" t="s">
        <v>30</v>
      </c>
      <c r="C283" t="s">
        <v>10</v>
      </c>
      <c r="D283">
        <v>97</v>
      </c>
      <c r="E283">
        <v>65</v>
      </c>
      <c r="F283">
        <v>0.59899999999999998</v>
      </c>
      <c r="G283">
        <v>2</v>
      </c>
      <c r="H283">
        <v>1017</v>
      </c>
      <c r="I283">
        <v>825</v>
      </c>
      <c r="J283">
        <v>192</v>
      </c>
    </row>
    <row r="284" spans="1:10" x14ac:dyDescent="0.25">
      <c r="A284">
        <v>15</v>
      </c>
      <c r="B284" t="s">
        <v>30</v>
      </c>
      <c r="C284" t="s">
        <v>11</v>
      </c>
      <c r="D284">
        <v>88</v>
      </c>
      <c r="E284">
        <v>74</v>
      </c>
      <c r="F284">
        <v>0.54300000000000004</v>
      </c>
      <c r="G284">
        <v>11</v>
      </c>
      <c r="H284">
        <v>854</v>
      </c>
      <c r="I284">
        <v>777</v>
      </c>
      <c r="J284">
        <v>77</v>
      </c>
    </row>
    <row r="285" spans="1:10" x14ac:dyDescent="0.25">
      <c r="A285">
        <v>15</v>
      </c>
      <c r="B285" t="s">
        <v>30</v>
      </c>
      <c r="C285" t="s">
        <v>12</v>
      </c>
      <c r="D285">
        <v>87</v>
      </c>
      <c r="E285">
        <v>75</v>
      </c>
      <c r="F285">
        <v>0.53700000000000003</v>
      </c>
      <c r="G285">
        <v>12</v>
      </c>
      <c r="H285">
        <v>882</v>
      </c>
      <c r="I285">
        <v>874</v>
      </c>
      <c r="J285">
        <v>8</v>
      </c>
    </row>
    <row r="286" spans="1:10" x14ac:dyDescent="0.25">
      <c r="A286">
        <v>15</v>
      </c>
      <c r="B286" t="s">
        <v>30</v>
      </c>
      <c r="C286" t="s">
        <v>13</v>
      </c>
      <c r="D286">
        <v>73</v>
      </c>
      <c r="E286">
        <v>89</v>
      </c>
      <c r="F286">
        <v>0.45100000000000001</v>
      </c>
      <c r="G286">
        <v>26</v>
      </c>
      <c r="H286">
        <v>742</v>
      </c>
      <c r="I286">
        <v>831</v>
      </c>
      <c r="J286">
        <v>-89</v>
      </c>
    </row>
    <row r="287" spans="1:10" x14ac:dyDescent="0.25">
      <c r="A287">
        <v>15</v>
      </c>
      <c r="B287" t="s">
        <v>31</v>
      </c>
      <c r="C287" t="s">
        <v>14</v>
      </c>
      <c r="D287">
        <v>98</v>
      </c>
      <c r="E287">
        <v>64</v>
      </c>
      <c r="F287">
        <v>0.60499999999999998</v>
      </c>
      <c r="G287">
        <v>0</v>
      </c>
      <c r="H287">
        <v>991</v>
      </c>
      <c r="I287">
        <v>697</v>
      </c>
      <c r="J287">
        <v>294</v>
      </c>
    </row>
    <row r="288" spans="1:10" x14ac:dyDescent="0.25">
      <c r="A288">
        <v>15</v>
      </c>
      <c r="B288" t="s">
        <v>31</v>
      </c>
      <c r="C288" t="s">
        <v>17</v>
      </c>
      <c r="D288">
        <v>75</v>
      </c>
      <c r="E288">
        <v>87</v>
      </c>
      <c r="F288">
        <v>0.46300000000000002</v>
      </c>
      <c r="G288">
        <v>23</v>
      </c>
      <c r="H288">
        <v>857</v>
      </c>
      <c r="I288">
        <v>968</v>
      </c>
      <c r="J288">
        <v>-111</v>
      </c>
    </row>
    <row r="289" spans="1:10" x14ac:dyDescent="0.25">
      <c r="A289">
        <v>15</v>
      </c>
      <c r="B289" t="s">
        <v>31</v>
      </c>
      <c r="C289" t="s">
        <v>15</v>
      </c>
      <c r="D289">
        <v>73</v>
      </c>
      <c r="E289">
        <v>89</v>
      </c>
      <c r="F289">
        <v>0.45100000000000001</v>
      </c>
      <c r="G289">
        <v>25</v>
      </c>
      <c r="H289">
        <v>1027</v>
      </c>
      <c r="I289">
        <v>1220</v>
      </c>
      <c r="J289">
        <v>-193</v>
      </c>
    </row>
    <row r="290" spans="1:10" x14ac:dyDescent="0.25">
      <c r="A290">
        <v>15</v>
      </c>
      <c r="B290" t="s">
        <v>31</v>
      </c>
      <c r="C290" t="s">
        <v>16</v>
      </c>
      <c r="D290">
        <v>71</v>
      </c>
      <c r="E290">
        <v>91</v>
      </c>
      <c r="F290">
        <v>0.438</v>
      </c>
      <c r="G290">
        <v>27</v>
      </c>
      <c r="H290">
        <v>753</v>
      </c>
      <c r="I290">
        <v>869</v>
      </c>
      <c r="J290">
        <v>-116</v>
      </c>
    </row>
    <row r="291" spans="1:10" x14ac:dyDescent="0.25">
      <c r="A291">
        <v>15</v>
      </c>
      <c r="B291" t="s">
        <v>31</v>
      </c>
      <c r="C291" t="s">
        <v>18</v>
      </c>
      <c r="D291">
        <v>38</v>
      </c>
      <c r="E291">
        <v>124</v>
      </c>
      <c r="F291">
        <v>0.23499999999999999</v>
      </c>
      <c r="G291">
        <v>60</v>
      </c>
      <c r="H291">
        <v>611</v>
      </c>
      <c r="I291">
        <v>1072</v>
      </c>
      <c r="J291">
        <v>-461</v>
      </c>
    </row>
    <row r="292" spans="1:10" x14ac:dyDescent="0.25">
      <c r="A292">
        <v>15</v>
      </c>
      <c r="B292" t="s">
        <v>32</v>
      </c>
      <c r="C292" t="s">
        <v>19</v>
      </c>
      <c r="D292">
        <v>115</v>
      </c>
      <c r="E292">
        <v>47</v>
      </c>
      <c r="F292">
        <v>0.71</v>
      </c>
      <c r="G292">
        <v>0</v>
      </c>
      <c r="H292">
        <v>1146</v>
      </c>
      <c r="I292">
        <v>721</v>
      </c>
      <c r="J292">
        <v>425</v>
      </c>
    </row>
    <row r="293" spans="1:10" x14ac:dyDescent="0.25">
      <c r="A293">
        <v>15</v>
      </c>
      <c r="B293" t="s">
        <v>32</v>
      </c>
      <c r="C293" t="s">
        <v>20</v>
      </c>
      <c r="D293">
        <v>96</v>
      </c>
      <c r="E293">
        <v>66</v>
      </c>
      <c r="F293">
        <v>0.59299999999999997</v>
      </c>
      <c r="G293">
        <v>19</v>
      </c>
      <c r="H293">
        <v>1030</v>
      </c>
      <c r="I293">
        <v>818</v>
      </c>
      <c r="J293">
        <v>212</v>
      </c>
    </row>
    <row r="294" spans="1:10" x14ac:dyDescent="0.25">
      <c r="A294">
        <v>15</v>
      </c>
      <c r="B294" t="s">
        <v>32</v>
      </c>
      <c r="C294" t="s">
        <v>21</v>
      </c>
      <c r="D294">
        <v>81</v>
      </c>
      <c r="E294">
        <v>81</v>
      </c>
      <c r="F294">
        <v>0.5</v>
      </c>
      <c r="G294">
        <v>34</v>
      </c>
      <c r="H294">
        <v>909</v>
      </c>
      <c r="I294">
        <v>887</v>
      </c>
      <c r="J294">
        <v>22</v>
      </c>
    </row>
    <row r="295" spans="1:10" x14ac:dyDescent="0.25">
      <c r="A295">
        <v>15</v>
      </c>
      <c r="B295" t="s">
        <v>32</v>
      </c>
      <c r="C295" t="s">
        <v>22</v>
      </c>
      <c r="D295">
        <v>69</v>
      </c>
      <c r="E295">
        <v>93</v>
      </c>
      <c r="F295">
        <v>0.42599999999999999</v>
      </c>
      <c r="G295">
        <v>46</v>
      </c>
      <c r="H295">
        <v>989</v>
      </c>
      <c r="I295">
        <v>1055</v>
      </c>
      <c r="J295">
        <v>-66</v>
      </c>
    </row>
    <row r="296" spans="1:10" x14ac:dyDescent="0.25">
      <c r="A296">
        <v>15</v>
      </c>
      <c r="B296" t="s">
        <v>32</v>
      </c>
      <c r="C296" t="s">
        <v>23</v>
      </c>
      <c r="D296">
        <v>51</v>
      </c>
      <c r="E296">
        <v>111</v>
      </c>
      <c r="F296">
        <v>0.315</v>
      </c>
      <c r="G296">
        <v>64</v>
      </c>
      <c r="H296">
        <v>763</v>
      </c>
      <c r="I296">
        <v>1137</v>
      </c>
      <c r="J296">
        <v>-374</v>
      </c>
    </row>
    <row r="297" spans="1:10" x14ac:dyDescent="0.25">
      <c r="A297">
        <v>15</v>
      </c>
      <c r="B297" t="s">
        <v>33</v>
      </c>
      <c r="C297" t="s">
        <v>24</v>
      </c>
      <c r="D297">
        <v>104</v>
      </c>
      <c r="E297">
        <v>58</v>
      </c>
      <c r="F297">
        <v>0.64200000000000002</v>
      </c>
      <c r="G297">
        <v>0</v>
      </c>
      <c r="H297">
        <v>896</v>
      </c>
      <c r="I297">
        <v>707</v>
      </c>
      <c r="J297">
        <v>189</v>
      </c>
    </row>
    <row r="298" spans="1:10" x14ac:dyDescent="0.25">
      <c r="A298">
        <v>15</v>
      </c>
      <c r="B298" t="s">
        <v>33</v>
      </c>
      <c r="C298" t="s">
        <v>25</v>
      </c>
      <c r="D298">
        <v>94</v>
      </c>
      <c r="E298">
        <v>68</v>
      </c>
      <c r="F298">
        <v>0.57999999999999996</v>
      </c>
      <c r="G298">
        <v>10</v>
      </c>
      <c r="H298">
        <v>769</v>
      </c>
      <c r="I298">
        <v>655</v>
      </c>
      <c r="J298">
        <v>114</v>
      </c>
    </row>
    <row r="299" spans="1:10" x14ac:dyDescent="0.25">
      <c r="A299">
        <v>15</v>
      </c>
      <c r="B299" t="s">
        <v>33</v>
      </c>
      <c r="C299" t="s">
        <v>26</v>
      </c>
      <c r="D299">
        <v>85</v>
      </c>
      <c r="E299">
        <v>77</v>
      </c>
      <c r="F299">
        <v>0.52500000000000002</v>
      </c>
      <c r="G299">
        <v>19</v>
      </c>
      <c r="H299">
        <v>887</v>
      </c>
      <c r="I299">
        <v>853</v>
      </c>
      <c r="J299">
        <v>34</v>
      </c>
    </row>
    <row r="300" spans="1:10" x14ac:dyDescent="0.25">
      <c r="A300">
        <v>15</v>
      </c>
      <c r="B300" t="s">
        <v>33</v>
      </c>
      <c r="C300" t="s">
        <v>27</v>
      </c>
      <c r="D300">
        <v>72</v>
      </c>
      <c r="E300">
        <v>90</v>
      </c>
      <c r="F300">
        <v>0.44400000000000001</v>
      </c>
      <c r="G300">
        <v>32</v>
      </c>
      <c r="H300">
        <v>767</v>
      </c>
      <c r="I300">
        <v>915</v>
      </c>
      <c r="J300">
        <v>-148</v>
      </c>
    </row>
    <row r="301" spans="1:10" x14ac:dyDescent="0.25">
      <c r="A301">
        <v>15</v>
      </c>
      <c r="B301" t="s">
        <v>33</v>
      </c>
      <c r="C301" t="s">
        <v>28</v>
      </c>
      <c r="D301">
        <v>54</v>
      </c>
      <c r="E301">
        <v>108</v>
      </c>
      <c r="F301">
        <v>0.33300000000000002</v>
      </c>
      <c r="G301">
        <v>50</v>
      </c>
      <c r="H301">
        <v>816</v>
      </c>
      <c r="I301">
        <v>1067</v>
      </c>
      <c r="J301">
        <v>-251</v>
      </c>
    </row>
    <row r="302" spans="1:10" x14ac:dyDescent="0.25">
      <c r="A302">
        <v>16</v>
      </c>
      <c r="B302" t="s">
        <v>30</v>
      </c>
      <c r="C302" t="s">
        <v>8</v>
      </c>
      <c r="D302">
        <v>100</v>
      </c>
      <c r="E302">
        <v>62</v>
      </c>
      <c r="F302">
        <v>0.61699999999999999</v>
      </c>
      <c r="G302">
        <v>0</v>
      </c>
      <c r="H302">
        <v>948</v>
      </c>
      <c r="I302">
        <v>739</v>
      </c>
      <c r="J302">
        <v>209</v>
      </c>
    </row>
    <row r="303" spans="1:10" x14ac:dyDescent="0.25">
      <c r="A303">
        <v>16</v>
      </c>
      <c r="B303" t="s">
        <v>30</v>
      </c>
      <c r="C303" t="s">
        <v>10</v>
      </c>
      <c r="D303">
        <v>93</v>
      </c>
      <c r="E303">
        <v>69</v>
      </c>
      <c r="F303">
        <v>0.57399999999999995</v>
      </c>
      <c r="G303">
        <v>7</v>
      </c>
      <c r="H303">
        <v>1050</v>
      </c>
      <c r="I303">
        <v>859</v>
      </c>
      <c r="J303">
        <v>191</v>
      </c>
    </row>
    <row r="304" spans="1:10" x14ac:dyDescent="0.25">
      <c r="A304">
        <v>16</v>
      </c>
      <c r="B304" t="s">
        <v>30</v>
      </c>
      <c r="C304" t="s">
        <v>12</v>
      </c>
      <c r="D304">
        <v>92</v>
      </c>
      <c r="E304">
        <v>70</v>
      </c>
      <c r="F304">
        <v>0.56799999999999995</v>
      </c>
      <c r="G304">
        <v>8</v>
      </c>
      <c r="H304">
        <v>979</v>
      </c>
      <c r="I304">
        <v>843</v>
      </c>
      <c r="J304">
        <v>136</v>
      </c>
    </row>
    <row r="305" spans="1:10" x14ac:dyDescent="0.25">
      <c r="A305">
        <v>16</v>
      </c>
      <c r="B305" t="s">
        <v>30</v>
      </c>
      <c r="C305" t="s">
        <v>13</v>
      </c>
      <c r="D305">
        <v>76</v>
      </c>
      <c r="E305">
        <v>86</v>
      </c>
      <c r="F305">
        <v>0.46899999999999997</v>
      </c>
      <c r="G305">
        <v>24</v>
      </c>
      <c r="H305">
        <v>767</v>
      </c>
      <c r="I305">
        <v>824</v>
      </c>
      <c r="J305">
        <v>-57</v>
      </c>
    </row>
    <row r="306" spans="1:10" x14ac:dyDescent="0.25">
      <c r="A306">
        <v>16</v>
      </c>
      <c r="B306" t="s">
        <v>30</v>
      </c>
      <c r="C306" t="s">
        <v>11</v>
      </c>
      <c r="D306">
        <v>73</v>
      </c>
      <c r="E306">
        <v>89</v>
      </c>
      <c r="F306">
        <v>0.45100000000000001</v>
      </c>
      <c r="G306">
        <v>27</v>
      </c>
      <c r="H306">
        <v>775</v>
      </c>
      <c r="I306">
        <v>826</v>
      </c>
      <c r="J306">
        <v>-51</v>
      </c>
    </row>
    <row r="307" spans="1:10" x14ac:dyDescent="0.25">
      <c r="A307">
        <v>16</v>
      </c>
      <c r="B307" t="s">
        <v>31</v>
      </c>
      <c r="C307" t="s">
        <v>14</v>
      </c>
      <c r="D307">
        <v>118</v>
      </c>
      <c r="E307">
        <v>44</v>
      </c>
      <c r="F307">
        <v>0.72799999999999998</v>
      </c>
      <c r="G307">
        <v>0</v>
      </c>
      <c r="H307">
        <v>1056</v>
      </c>
      <c r="I307">
        <v>683</v>
      </c>
      <c r="J307">
        <v>373</v>
      </c>
    </row>
    <row r="308" spans="1:10" x14ac:dyDescent="0.25">
      <c r="A308">
        <v>16</v>
      </c>
      <c r="B308" t="s">
        <v>31</v>
      </c>
      <c r="C308" t="s">
        <v>15</v>
      </c>
      <c r="D308">
        <v>73</v>
      </c>
      <c r="E308">
        <v>89</v>
      </c>
      <c r="F308">
        <v>0.45100000000000001</v>
      </c>
      <c r="G308">
        <v>45</v>
      </c>
      <c r="H308">
        <v>1083</v>
      </c>
      <c r="I308">
        <v>1220</v>
      </c>
      <c r="J308">
        <v>-137</v>
      </c>
    </row>
    <row r="309" spans="1:10" x14ac:dyDescent="0.25">
      <c r="A309">
        <v>16</v>
      </c>
      <c r="B309" t="s">
        <v>31</v>
      </c>
      <c r="C309" t="s">
        <v>16</v>
      </c>
      <c r="D309">
        <v>69</v>
      </c>
      <c r="E309">
        <v>93</v>
      </c>
      <c r="F309">
        <v>0.42599999999999999</v>
      </c>
      <c r="G309">
        <v>49</v>
      </c>
      <c r="H309">
        <v>782</v>
      </c>
      <c r="I309">
        <v>883</v>
      </c>
      <c r="J309">
        <v>-101</v>
      </c>
    </row>
    <row r="310" spans="1:10" x14ac:dyDescent="0.25">
      <c r="A310">
        <v>16</v>
      </c>
      <c r="B310" t="s">
        <v>31</v>
      </c>
      <c r="C310" t="s">
        <v>17</v>
      </c>
      <c r="D310">
        <v>61</v>
      </c>
      <c r="E310">
        <v>101</v>
      </c>
      <c r="F310">
        <v>0.377</v>
      </c>
      <c r="G310">
        <v>57</v>
      </c>
      <c r="H310">
        <v>850</v>
      </c>
      <c r="I310">
        <v>1042</v>
      </c>
      <c r="J310">
        <v>-192</v>
      </c>
    </row>
    <row r="311" spans="1:10" x14ac:dyDescent="0.25">
      <c r="A311">
        <v>16</v>
      </c>
      <c r="B311" t="s">
        <v>31</v>
      </c>
      <c r="C311" t="s">
        <v>18</v>
      </c>
      <c r="D311">
        <v>51</v>
      </c>
      <c r="E311">
        <v>111</v>
      </c>
      <c r="F311">
        <v>0.315</v>
      </c>
      <c r="G311">
        <v>67</v>
      </c>
      <c r="H311">
        <v>665</v>
      </c>
      <c r="I311">
        <v>1080</v>
      </c>
      <c r="J311">
        <v>-415</v>
      </c>
    </row>
    <row r="312" spans="1:10" x14ac:dyDescent="0.25">
      <c r="A312">
        <v>16</v>
      </c>
      <c r="B312" t="s">
        <v>32</v>
      </c>
      <c r="C312" t="s">
        <v>19</v>
      </c>
      <c r="D312">
        <v>107</v>
      </c>
      <c r="E312">
        <v>55</v>
      </c>
      <c r="F312">
        <v>0.66</v>
      </c>
      <c r="G312">
        <v>0</v>
      </c>
      <c r="H312">
        <v>1036</v>
      </c>
      <c r="I312">
        <v>725</v>
      </c>
      <c r="J312">
        <v>311</v>
      </c>
    </row>
    <row r="313" spans="1:10" x14ac:dyDescent="0.25">
      <c r="A313">
        <v>16</v>
      </c>
      <c r="B313" t="s">
        <v>32</v>
      </c>
      <c r="C313" t="s">
        <v>20</v>
      </c>
      <c r="D313">
        <v>88</v>
      </c>
      <c r="E313">
        <v>74</v>
      </c>
      <c r="F313">
        <v>0.54300000000000004</v>
      </c>
      <c r="G313">
        <v>19</v>
      </c>
      <c r="H313">
        <v>936</v>
      </c>
      <c r="I313">
        <v>848</v>
      </c>
      <c r="J313">
        <v>88</v>
      </c>
    </row>
    <row r="314" spans="1:10" x14ac:dyDescent="0.25">
      <c r="A314">
        <v>16</v>
      </c>
      <c r="B314" t="s">
        <v>32</v>
      </c>
      <c r="C314" t="s">
        <v>21</v>
      </c>
      <c r="D314">
        <v>84</v>
      </c>
      <c r="E314">
        <v>78</v>
      </c>
      <c r="F314">
        <v>0.51900000000000002</v>
      </c>
      <c r="G314">
        <v>23</v>
      </c>
      <c r="H314">
        <v>908</v>
      </c>
      <c r="I314">
        <v>900</v>
      </c>
      <c r="J314">
        <v>8</v>
      </c>
    </row>
    <row r="315" spans="1:10" x14ac:dyDescent="0.25">
      <c r="A315">
        <v>16</v>
      </c>
      <c r="B315" t="s">
        <v>32</v>
      </c>
      <c r="C315" t="s">
        <v>22</v>
      </c>
      <c r="D315">
        <v>62</v>
      </c>
      <c r="E315">
        <v>100</v>
      </c>
      <c r="F315">
        <v>0.38300000000000001</v>
      </c>
      <c r="G315">
        <v>45</v>
      </c>
      <c r="H315">
        <v>883</v>
      </c>
      <c r="I315">
        <v>1029</v>
      </c>
      <c r="J315">
        <v>-146</v>
      </c>
    </row>
    <row r="316" spans="1:10" x14ac:dyDescent="0.25">
      <c r="A316">
        <v>16</v>
      </c>
      <c r="B316" t="s">
        <v>32</v>
      </c>
      <c r="C316" t="s">
        <v>23</v>
      </c>
      <c r="D316">
        <v>57</v>
      </c>
      <c r="E316">
        <v>105</v>
      </c>
      <c r="F316">
        <v>0.35199999999999998</v>
      </c>
      <c r="G316">
        <v>50</v>
      </c>
      <c r="H316">
        <v>812</v>
      </c>
      <c r="I316">
        <v>1104</v>
      </c>
      <c r="J316">
        <v>-292</v>
      </c>
    </row>
    <row r="317" spans="1:10" x14ac:dyDescent="0.25">
      <c r="A317">
        <v>16</v>
      </c>
      <c r="B317" t="s">
        <v>33</v>
      </c>
      <c r="C317" t="s">
        <v>24</v>
      </c>
      <c r="D317">
        <v>115</v>
      </c>
      <c r="E317">
        <v>47</v>
      </c>
      <c r="F317">
        <v>0.71</v>
      </c>
      <c r="G317">
        <v>0</v>
      </c>
      <c r="H317">
        <v>923</v>
      </c>
      <c r="I317">
        <v>653</v>
      </c>
      <c r="J317">
        <v>270</v>
      </c>
    </row>
    <row r="318" spans="1:10" x14ac:dyDescent="0.25">
      <c r="A318">
        <v>16</v>
      </c>
      <c r="B318" t="s">
        <v>33</v>
      </c>
      <c r="C318" t="s">
        <v>25</v>
      </c>
      <c r="D318">
        <v>90</v>
      </c>
      <c r="E318">
        <v>72</v>
      </c>
      <c r="F318">
        <v>0.55600000000000005</v>
      </c>
      <c r="G318">
        <v>25</v>
      </c>
      <c r="H318">
        <v>744</v>
      </c>
      <c r="I318">
        <v>668</v>
      </c>
      <c r="J318">
        <v>76</v>
      </c>
    </row>
    <row r="319" spans="1:10" x14ac:dyDescent="0.25">
      <c r="A319">
        <v>16</v>
      </c>
      <c r="B319" t="s">
        <v>33</v>
      </c>
      <c r="C319" t="s">
        <v>26</v>
      </c>
      <c r="D319">
        <v>82</v>
      </c>
      <c r="E319">
        <v>80</v>
      </c>
      <c r="F319">
        <v>0.50600000000000001</v>
      </c>
      <c r="G319">
        <v>33</v>
      </c>
      <c r="H319">
        <v>842</v>
      </c>
      <c r="I319">
        <v>777</v>
      </c>
      <c r="J319">
        <v>65</v>
      </c>
    </row>
    <row r="320" spans="1:10" x14ac:dyDescent="0.25">
      <c r="A320">
        <v>16</v>
      </c>
      <c r="B320" t="s">
        <v>33</v>
      </c>
      <c r="C320" t="s">
        <v>27</v>
      </c>
      <c r="D320">
        <v>79</v>
      </c>
      <c r="E320">
        <v>83</v>
      </c>
      <c r="F320">
        <v>0.48799999999999999</v>
      </c>
      <c r="G320">
        <v>36</v>
      </c>
      <c r="H320">
        <v>779</v>
      </c>
      <c r="I320">
        <v>786</v>
      </c>
      <c r="J320">
        <v>-7</v>
      </c>
    </row>
    <row r="321" spans="1:10" x14ac:dyDescent="0.25">
      <c r="A321">
        <v>16</v>
      </c>
      <c r="B321" t="s">
        <v>33</v>
      </c>
      <c r="C321" t="s">
        <v>28</v>
      </c>
      <c r="D321">
        <v>50</v>
      </c>
      <c r="E321">
        <v>112</v>
      </c>
      <c r="F321">
        <v>0.309</v>
      </c>
      <c r="G321">
        <v>65</v>
      </c>
      <c r="H321">
        <v>679</v>
      </c>
      <c r="I321">
        <v>1008</v>
      </c>
      <c r="J321">
        <v>-329</v>
      </c>
    </row>
    <row r="322" spans="1:10" x14ac:dyDescent="0.25">
      <c r="A322">
        <v>17</v>
      </c>
      <c r="B322" t="s">
        <v>30</v>
      </c>
      <c r="C322" t="s">
        <v>8</v>
      </c>
      <c r="D322">
        <v>101</v>
      </c>
      <c r="E322">
        <v>61</v>
      </c>
      <c r="F322">
        <v>0.623</v>
      </c>
      <c r="G322">
        <v>0</v>
      </c>
      <c r="H322">
        <v>859</v>
      </c>
      <c r="I322">
        <v>647</v>
      </c>
      <c r="J322">
        <v>212</v>
      </c>
    </row>
    <row r="323" spans="1:10" x14ac:dyDescent="0.25">
      <c r="A323">
        <v>17</v>
      </c>
      <c r="B323" t="s">
        <v>30</v>
      </c>
      <c r="C323" t="s">
        <v>12</v>
      </c>
      <c r="D323">
        <v>90</v>
      </c>
      <c r="E323">
        <v>72</v>
      </c>
      <c r="F323">
        <v>0.55600000000000005</v>
      </c>
      <c r="G323">
        <v>11</v>
      </c>
      <c r="H323">
        <v>926</v>
      </c>
      <c r="I323">
        <v>871</v>
      </c>
      <c r="J323">
        <v>55</v>
      </c>
    </row>
    <row r="324" spans="1:10" x14ac:dyDescent="0.25">
      <c r="A324">
        <v>17</v>
      </c>
      <c r="B324" t="s">
        <v>30</v>
      </c>
      <c r="C324" t="s">
        <v>10</v>
      </c>
      <c r="D324">
        <v>90</v>
      </c>
      <c r="E324">
        <v>72</v>
      </c>
      <c r="F324">
        <v>0.55600000000000005</v>
      </c>
      <c r="G324">
        <v>11</v>
      </c>
      <c r="H324">
        <v>941</v>
      </c>
      <c r="I324">
        <v>834</v>
      </c>
      <c r="J324">
        <v>107</v>
      </c>
    </row>
    <row r="325" spans="1:10" x14ac:dyDescent="0.25">
      <c r="A325">
        <v>17</v>
      </c>
      <c r="B325" t="s">
        <v>30</v>
      </c>
      <c r="C325" t="s">
        <v>11</v>
      </c>
      <c r="D325">
        <v>79</v>
      </c>
      <c r="E325">
        <v>83</v>
      </c>
      <c r="F325">
        <v>0.48799999999999999</v>
      </c>
      <c r="G325">
        <v>22</v>
      </c>
      <c r="H325">
        <v>862</v>
      </c>
      <c r="I325">
        <v>858</v>
      </c>
      <c r="J325">
        <v>4</v>
      </c>
    </row>
    <row r="326" spans="1:10" x14ac:dyDescent="0.25">
      <c r="A326">
        <v>17</v>
      </c>
      <c r="B326" t="s">
        <v>30</v>
      </c>
      <c r="C326" t="s">
        <v>13</v>
      </c>
      <c r="D326">
        <v>78</v>
      </c>
      <c r="E326">
        <v>84</v>
      </c>
      <c r="F326">
        <v>0.48099999999999998</v>
      </c>
      <c r="G326">
        <v>23</v>
      </c>
      <c r="H326">
        <v>793</v>
      </c>
      <c r="I326">
        <v>825</v>
      </c>
      <c r="J326">
        <v>-32</v>
      </c>
    </row>
    <row r="327" spans="1:10" x14ac:dyDescent="0.25">
      <c r="A327">
        <v>17</v>
      </c>
      <c r="B327" t="s">
        <v>31</v>
      </c>
      <c r="C327" t="s">
        <v>14</v>
      </c>
      <c r="D327">
        <v>110</v>
      </c>
      <c r="E327">
        <v>52</v>
      </c>
      <c r="F327">
        <v>0.67900000000000005</v>
      </c>
      <c r="G327">
        <v>0</v>
      </c>
      <c r="H327">
        <v>1036</v>
      </c>
      <c r="I327">
        <v>676</v>
      </c>
      <c r="J327">
        <v>360</v>
      </c>
    </row>
    <row r="328" spans="1:10" x14ac:dyDescent="0.25">
      <c r="A328">
        <v>17</v>
      </c>
      <c r="B328" t="s">
        <v>31</v>
      </c>
      <c r="C328" t="s">
        <v>15</v>
      </c>
      <c r="D328">
        <v>67</v>
      </c>
      <c r="E328">
        <v>95</v>
      </c>
      <c r="F328">
        <v>0.41399999999999998</v>
      </c>
      <c r="G328">
        <v>43</v>
      </c>
      <c r="H328">
        <v>929</v>
      </c>
      <c r="I328">
        <v>1158</v>
      </c>
      <c r="J328">
        <v>-229</v>
      </c>
    </row>
    <row r="329" spans="1:10" x14ac:dyDescent="0.25">
      <c r="A329">
        <v>17</v>
      </c>
      <c r="B329" t="s">
        <v>31</v>
      </c>
      <c r="C329" t="s">
        <v>16</v>
      </c>
      <c r="D329">
        <v>57</v>
      </c>
      <c r="E329">
        <v>105</v>
      </c>
      <c r="F329">
        <v>0.35199999999999998</v>
      </c>
      <c r="G329">
        <v>53</v>
      </c>
      <c r="H329">
        <v>738</v>
      </c>
      <c r="I329">
        <v>882</v>
      </c>
      <c r="J329">
        <v>-144</v>
      </c>
    </row>
    <row r="330" spans="1:10" x14ac:dyDescent="0.25">
      <c r="A330">
        <v>17</v>
      </c>
      <c r="B330" t="s">
        <v>31</v>
      </c>
      <c r="C330" t="s">
        <v>17</v>
      </c>
      <c r="D330">
        <v>54</v>
      </c>
      <c r="E330">
        <v>108</v>
      </c>
      <c r="F330">
        <v>0.33300000000000002</v>
      </c>
      <c r="G330">
        <v>56</v>
      </c>
      <c r="H330">
        <v>772</v>
      </c>
      <c r="I330">
        <v>1034</v>
      </c>
      <c r="J330">
        <v>-262</v>
      </c>
    </row>
    <row r="331" spans="1:10" x14ac:dyDescent="0.25">
      <c r="A331">
        <v>17</v>
      </c>
      <c r="B331" t="s">
        <v>31</v>
      </c>
      <c r="C331" t="s">
        <v>18</v>
      </c>
      <c r="D331">
        <v>52</v>
      </c>
      <c r="E331">
        <v>110</v>
      </c>
      <c r="F331">
        <v>0.32100000000000001</v>
      </c>
      <c r="G331">
        <v>58</v>
      </c>
      <c r="H331">
        <v>653</v>
      </c>
      <c r="I331">
        <v>971</v>
      </c>
      <c r="J331">
        <v>-318</v>
      </c>
    </row>
    <row r="332" spans="1:10" x14ac:dyDescent="0.25">
      <c r="A332">
        <v>17</v>
      </c>
      <c r="B332" t="s">
        <v>32</v>
      </c>
      <c r="C332" t="s">
        <v>19</v>
      </c>
      <c r="D332">
        <v>96</v>
      </c>
      <c r="E332">
        <v>66</v>
      </c>
      <c r="F332">
        <v>0.59299999999999997</v>
      </c>
      <c r="G332">
        <v>0</v>
      </c>
      <c r="H332">
        <v>1082</v>
      </c>
      <c r="I332">
        <v>825</v>
      </c>
      <c r="J332">
        <v>257</v>
      </c>
    </row>
    <row r="333" spans="1:10" x14ac:dyDescent="0.25">
      <c r="A333">
        <v>17</v>
      </c>
      <c r="B333" t="s">
        <v>32</v>
      </c>
      <c r="C333" t="s">
        <v>21</v>
      </c>
      <c r="D333">
        <v>92</v>
      </c>
      <c r="E333">
        <v>70</v>
      </c>
      <c r="F333">
        <v>0.56799999999999995</v>
      </c>
      <c r="G333">
        <v>4</v>
      </c>
      <c r="H333">
        <v>950</v>
      </c>
      <c r="I333">
        <v>833</v>
      </c>
      <c r="J333">
        <v>117</v>
      </c>
    </row>
    <row r="334" spans="1:10" x14ac:dyDescent="0.25">
      <c r="A334">
        <v>17</v>
      </c>
      <c r="B334" t="s">
        <v>32</v>
      </c>
      <c r="C334" t="s">
        <v>20</v>
      </c>
      <c r="D334">
        <v>90</v>
      </c>
      <c r="E334">
        <v>72</v>
      </c>
      <c r="F334">
        <v>0.55600000000000005</v>
      </c>
      <c r="G334">
        <v>6</v>
      </c>
      <c r="H334">
        <v>982</v>
      </c>
      <c r="I334">
        <v>865</v>
      </c>
      <c r="J334">
        <v>117</v>
      </c>
    </row>
    <row r="335" spans="1:10" x14ac:dyDescent="0.25">
      <c r="A335">
        <v>17</v>
      </c>
      <c r="B335" t="s">
        <v>32</v>
      </c>
      <c r="C335" t="s">
        <v>22</v>
      </c>
      <c r="D335">
        <v>84</v>
      </c>
      <c r="E335">
        <v>78</v>
      </c>
      <c r="F335">
        <v>0.51900000000000002</v>
      </c>
      <c r="G335">
        <v>12</v>
      </c>
      <c r="H335">
        <v>927</v>
      </c>
      <c r="I335">
        <v>922</v>
      </c>
      <c r="J335">
        <v>5</v>
      </c>
    </row>
    <row r="336" spans="1:10" x14ac:dyDescent="0.25">
      <c r="A336">
        <v>17</v>
      </c>
      <c r="B336" t="s">
        <v>32</v>
      </c>
      <c r="C336" t="s">
        <v>23</v>
      </c>
      <c r="D336">
        <v>48</v>
      </c>
      <c r="E336">
        <v>114</v>
      </c>
      <c r="F336">
        <v>0.29599999999999999</v>
      </c>
      <c r="G336">
        <v>48</v>
      </c>
      <c r="H336">
        <v>700</v>
      </c>
      <c r="I336">
        <v>1066</v>
      </c>
      <c r="J336">
        <v>-366</v>
      </c>
    </row>
    <row r="337" spans="1:10" x14ac:dyDescent="0.25">
      <c r="A337">
        <v>17</v>
      </c>
      <c r="B337" t="s">
        <v>33</v>
      </c>
      <c r="C337" t="s">
        <v>24</v>
      </c>
      <c r="D337">
        <v>105</v>
      </c>
      <c r="E337">
        <v>57</v>
      </c>
      <c r="F337">
        <v>0.64800000000000002</v>
      </c>
      <c r="G337">
        <v>0</v>
      </c>
      <c r="H337">
        <v>931</v>
      </c>
      <c r="I337">
        <v>656</v>
      </c>
      <c r="J337">
        <v>275</v>
      </c>
    </row>
    <row r="338" spans="1:10" x14ac:dyDescent="0.25">
      <c r="A338">
        <v>17</v>
      </c>
      <c r="B338" t="s">
        <v>33</v>
      </c>
      <c r="C338" t="s">
        <v>25</v>
      </c>
      <c r="D338">
        <v>101</v>
      </c>
      <c r="E338">
        <v>61</v>
      </c>
      <c r="F338">
        <v>0.623</v>
      </c>
      <c r="G338">
        <v>4</v>
      </c>
      <c r="H338">
        <v>810</v>
      </c>
      <c r="I338">
        <v>679</v>
      </c>
      <c r="J338">
        <v>131</v>
      </c>
    </row>
    <row r="339" spans="1:10" x14ac:dyDescent="0.25">
      <c r="A339">
        <v>17</v>
      </c>
      <c r="B339" t="s">
        <v>33</v>
      </c>
      <c r="C339" t="s">
        <v>26</v>
      </c>
      <c r="D339">
        <v>90</v>
      </c>
      <c r="E339">
        <v>72</v>
      </c>
      <c r="F339">
        <v>0.55600000000000005</v>
      </c>
      <c r="G339">
        <v>15</v>
      </c>
      <c r="H339">
        <v>810</v>
      </c>
      <c r="I339">
        <v>794</v>
      </c>
      <c r="J339">
        <v>16</v>
      </c>
    </row>
    <row r="340" spans="1:10" x14ac:dyDescent="0.25">
      <c r="A340">
        <v>17</v>
      </c>
      <c r="B340" t="s">
        <v>33</v>
      </c>
      <c r="C340" t="s">
        <v>27</v>
      </c>
      <c r="D340">
        <v>81</v>
      </c>
      <c r="E340">
        <v>81</v>
      </c>
      <c r="F340">
        <v>0.5</v>
      </c>
      <c r="G340">
        <v>24</v>
      </c>
      <c r="H340">
        <v>765</v>
      </c>
      <c r="I340">
        <v>779</v>
      </c>
      <c r="J340">
        <v>-14</v>
      </c>
    </row>
    <row r="341" spans="1:10" x14ac:dyDescent="0.25">
      <c r="A341">
        <v>17</v>
      </c>
      <c r="B341" t="s">
        <v>33</v>
      </c>
      <c r="C341" t="s">
        <v>28</v>
      </c>
      <c r="D341">
        <v>55</v>
      </c>
      <c r="E341">
        <v>107</v>
      </c>
      <c r="F341">
        <v>0.34</v>
      </c>
      <c r="G341">
        <v>50</v>
      </c>
      <c r="H341">
        <v>747</v>
      </c>
      <c r="I341">
        <v>1038</v>
      </c>
      <c r="J341">
        <v>-291</v>
      </c>
    </row>
    <row r="342" spans="1:10" x14ac:dyDescent="0.25">
      <c r="A342">
        <v>18</v>
      </c>
      <c r="B342" t="s">
        <v>30</v>
      </c>
      <c r="C342" t="s">
        <v>10</v>
      </c>
      <c r="D342">
        <v>102</v>
      </c>
      <c r="E342">
        <v>60</v>
      </c>
      <c r="F342">
        <v>0.63</v>
      </c>
      <c r="G342">
        <v>0</v>
      </c>
      <c r="H342">
        <v>992</v>
      </c>
      <c r="I342">
        <v>815</v>
      </c>
      <c r="J342">
        <v>177</v>
      </c>
    </row>
    <row r="343" spans="1:10" x14ac:dyDescent="0.25">
      <c r="A343">
        <v>18</v>
      </c>
      <c r="B343" t="s">
        <v>30</v>
      </c>
      <c r="C343" t="s">
        <v>8</v>
      </c>
      <c r="D343">
        <v>92</v>
      </c>
      <c r="E343">
        <v>70</v>
      </c>
      <c r="F343">
        <v>0.56799999999999995</v>
      </c>
      <c r="G343">
        <v>10</v>
      </c>
      <c r="H343">
        <v>856</v>
      </c>
      <c r="I343">
        <v>680</v>
      </c>
      <c r="J343">
        <v>176</v>
      </c>
    </row>
    <row r="344" spans="1:10" x14ac:dyDescent="0.25">
      <c r="A344">
        <v>18</v>
      </c>
      <c r="B344" t="s">
        <v>30</v>
      </c>
      <c r="C344" t="s">
        <v>12</v>
      </c>
      <c r="D344">
        <v>89</v>
      </c>
      <c r="E344">
        <v>73</v>
      </c>
      <c r="F344">
        <v>0.54900000000000004</v>
      </c>
      <c r="G344">
        <v>13</v>
      </c>
      <c r="H344">
        <v>974</v>
      </c>
      <c r="I344">
        <v>843</v>
      </c>
      <c r="J344">
        <v>131</v>
      </c>
    </row>
    <row r="345" spans="1:10" x14ac:dyDescent="0.25">
      <c r="A345">
        <v>18</v>
      </c>
      <c r="B345" t="s">
        <v>30</v>
      </c>
      <c r="C345" t="s">
        <v>11</v>
      </c>
      <c r="D345">
        <v>84</v>
      </c>
      <c r="E345">
        <v>78</v>
      </c>
      <c r="F345">
        <v>0.51900000000000002</v>
      </c>
      <c r="G345">
        <v>18</v>
      </c>
      <c r="H345">
        <v>839</v>
      </c>
      <c r="I345">
        <v>789</v>
      </c>
      <c r="J345">
        <v>50</v>
      </c>
    </row>
    <row r="346" spans="1:10" x14ac:dyDescent="0.25">
      <c r="A346">
        <v>18</v>
      </c>
      <c r="B346" t="s">
        <v>30</v>
      </c>
      <c r="C346" t="s">
        <v>13</v>
      </c>
      <c r="D346">
        <v>75</v>
      </c>
      <c r="E346">
        <v>87</v>
      </c>
      <c r="F346">
        <v>0.46300000000000002</v>
      </c>
      <c r="G346">
        <v>27</v>
      </c>
      <c r="H346">
        <v>846</v>
      </c>
      <c r="I346">
        <v>880</v>
      </c>
      <c r="J346">
        <v>-34</v>
      </c>
    </row>
    <row r="347" spans="1:10" x14ac:dyDescent="0.25">
      <c r="A347">
        <v>18</v>
      </c>
      <c r="B347" t="s">
        <v>31</v>
      </c>
      <c r="C347" t="s">
        <v>14</v>
      </c>
      <c r="D347">
        <v>117</v>
      </c>
      <c r="E347">
        <v>45</v>
      </c>
      <c r="F347">
        <v>0.72199999999999998</v>
      </c>
      <c r="G347">
        <v>0</v>
      </c>
      <c r="H347">
        <v>991</v>
      </c>
      <c r="I347">
        <v>696</v>
      </c>
      <c r="J347">
        <v>295</v>
      </c>
    </row>
    <row r="348" spans="1:10" x14ac:dyDescent="0.25">
      <c r="A348">
        <v>18</v>
      </c>
      <c r="B348" t="s">
        <v>31</v>
      </c>
      <c r="C348" t="s">
        <v>15</v>
      </c>
      <c r="D348">
        <v>71</v>
      </c>
      <c r="E348">
        <v>91</v>
      </c>
      <c r="F348">
        <v>0.438</v>
      </c>
      <c r="G348">
        <v>46</v>
      </c>
      <c r="H348">
        <v>975</v>
      </c>
      <c r="I348">
        <v>1192</v>
      </c>
      <c r="J348">
        <v>-217</v>
      </c>
    </row>
    <row r="349" spans="1:10" x14ac:dyDescent="0.25">
      <c r="A349">
        <v>18</v>
      </c>
      <c r="B349" t="s">
        <v>31</v>
      </c>
      <c r="C349" t="s">
        <v>16</v>
      </c>
      <c r="D349">
        <v>68</v>
      </c>
      <c r="E349">
        <v>94</v>
      </c>
      <c r="F349">
        <v>0.42</v>
      </c>
      <c r="G349">
        <v>49</v>
      </c>
      <c r="H349">
        <v>739</v>
      </c>
      <c r="I349">
        <v>907</v>
      </c>
      <c r="J349">
        <v>-168</v>
      </c>
    </row>
    <row r="350" spans="1:10" x14ac:dyDescent="0.25">
      <c r="A350">
        <v>18</v>
      </c>
      <c r="B350" t="s">
        <v>31</v>
      </c>
      <c r="C350" t="s">
        <v>17</v>
      </c>
      <c r="D350">
        <v>67</v>
      </c>
      <c r="E350">
        <v>95</v>
      </c>
      <c r="F350">
        <v>0.41399999999999998</v>
      </c>
      <c r="G350">
        <v>50</v>
      </c>
      <c r="H350">
        <v>879</v>
      </c>
      <c r="I350">
        <v>963</v>
      </c>
      <c r="J350">
        <v>-84</v>
      </c>
    </row>
    <row r="351" spans="1:10" x14ac:dyDescent="0.25">
      <c r="A351">
        <v>18</v>
      </c>
      <c r="B351" t="s">
        <v>31</v>
      </c>
      <c r="C351" t="s">
        <v>18</v>
      </c>
      <c r="D351">
        <v>42</v>
      </c>
      <c r="E351">
        <v>120</v>
      </c>
      <c r="F351">
        <v>0.25900000000000001</v>
      </c>
      <c r="G351">
        <v>75</v>
      </c>
      <c r="H351">
        <v>660</v>
      </c>
      <c r="I351">
        <v>1036</v>
      </c>
      <c r="J351">
        <v>-376</v>
      </c>
    </row>
    <row r="352" spans="1:10" x14ac:dyDescent="0.25">
      <c r="A352">
        <v>18</v>
      </c>
      <c r="B352" t="s">
        <v>32</v>
      </c>
      <c r="C352" t="s">
        <v>19</v>
      </c>
      <c r="D352">
        <v>107</v>
      </c>
      <c r="E352">
        <v>55</v>
      </c>
      <c r="F352">
        <v>0.66</v>
      </c>
      <c r="G352">
        <v>0</v>
      </c>
      <c r="H352">
        <v>1033</v>
      </c>
      <c r="I352">
        <v>756</v>
      </c>
      <c r="J352">
        <v>277</v>
      </c>
    </row>
    <row r="353" spans="1:10" x14ac:dyDescent="0.25">
      <c r="A353">
        <v>18</v>
      </c>
      <c r="B353" t="s">
        <v>32</v>
      </c>
      <c r="C353" t="s">
        <v>20</v>
      </c>
      <c r="D353">
        <v>99</v>
      </c>
      <c r="E353">
        <v>63</v>
      </c>
      <c r="F353">
        <v>0.61099999999999999</v>
      </c>
      <c r="G353">
        <v>8</v>
      </c>
      <c r="H353">
        <v>976</v>
      </c>
      <c r="I353">
        <v>784</v>
      </c>
      <c r="J353">
        <v>192</v>
      </c>
    </row>
    <row r="354" spans="1:10" x14ac:dyDescent="0.25">
      <c r="A354">
        <v>18</v>
      </c>
      <c r="B354" t="s">
        <v>32</v>
      </c>
      <c r="C354" t="s">
        <v>21</v>
      </c>
      <c r="D354">
        <v>91</v>
      </c>
      <c r="E354">
        <v>71</v>
      </c>
      <c r="F354">
        <v>0.56200000000000006</v>
      </c>
      <c r="G354">
        <v>16</v>
      </c>
      <c r="H354">
        <v>1031</v>
      </c>
      <c r="I354">
        <v>852</v>
      </c>
      <c r="J354">
        <v>179</v>
      </c>
    </row>
    <row r="355" spans="1:10" x14ac:dyDescent="0.25">
      <c r="A355">
        <v>18</v>
      </c>
      <c r="B355" t="s">
        <v>32</v>
      </c>
      <c r="C355" t="s">
        <v>22</v>
      </c>
      <c r="D355">
        <v>82</v>
      </c>
      <c r="E355">
        <v>80</v>
      </c>
      <c r="F355">
        <v>0.50600000000000001</v>
      </c>
      <c r="G355">
        <v>25</v>
      </c>
      <c r="H355">
        <v>914</v>
      </c>
      <c r="I355">
        <v>951</v>
      </c>
      <c r="J355">
        <v>-37</v>
      </c>
    </row>
    <row r="356" spans="1:10" x14ac:dyDescent="0.25">
      <c r="A356">
        <v>18</v>
      </c>
      <c r="B356" t="s">
        <v>32</v>
      </c>
      <c r="C356" t="s">
        <v>23</v>
      </c>
      <c r="D356">
        <v>58</v>
      </c>
      <c r="E356">
        <v>104</v>
      </c>
      <c r="F356">
        <v>0.35799999999999998</v>
      </c>
      <c r="G356">
        <v>49</v>
      </c>
      <c r="H356">
        <v>820</v>
      </c>
      <c r="I356">
        <v>1113</v>
      </c>
      <c r="J356">
        <v>-293</v>
      </c>
    </row>
    <row r="357" spans="1:10" x14ac:dyDescent="0.25">
      <c r="A357">
        <v>18</v>
      </c>
      <c r="B357" t="s">
        <v>33</v>
      </c>
      <c r="C357" t="s">
        <v>24</v>
      </c>
      <c r="D357">
        <v>98</v>
      </c>
      <c r="E357">
        <v>64</v>
      </c>
      <c r="F357">
        <v>0.60499999999999998</v>
      </c>
      <c r="G357">
        <v>0</v>
      </c>
      <c r="H357">
        <v>898</v>
      </c>
      <c r="I357">
        <v>717</v>
      </c>
      <c r="J357">
        <v>181</v>
      </c>
    </row>
    <row r="358" spans="1:10" x14ac:dyDescent="0.25">
      <c r="A358">
        <v>18</v>
      </c>
      <c r="B358" t="s">
        <v>33</v>
      </c>
      <c r="C358" t="s">
        <v>25</v>
      </c>
      <c r="D358">
        <v>95</v>
      </c>
      <c r="E358">
        <v>67</v>
      </c>
      <c r="F358">
        <v>0.58599999999999997</v>
      </c>
      <c r="G358">
        <v>3</v>
      </c>
      <c r="H358">
        <v>813</v>
      </c>
      <c r="I358">
        <v>664</v>
      </c>
      <c r="J358">
        <v>149</v>
      </c>
    </row>
    <row r="359" spans="1:10" x14ac:dyDescent="0.25">
      <c r="A359">
        <v>18</v>
      </c>
      <c r="B359" t="s">
        <v>33</v>
      </c>
      <c r="C359" t="s">
        <v>26</v>
      </c>
      <c r="D359">
        <v>72</v>
      </c>
      <c r="E359">
        <v>90</v>
      </c>
      <c r="F359">
        <v>0.44400000000000001</v>
      </c>
      <c r="G359">
        <v>26</v>
      </c>
      <c r="H359">
        <v>799</v>
      </c>
      <c r="I359">
        <v>854</v>
      </c>
      <c r="J359">
        <v>-55</v>
      </c>
    </row>
    <row r="360" spans="1:10" x14ac:dyDescent="0.25">
      <c r="A360">
        <v>18</v>
      </c>
      <c r="B360" t="s">
        <v>33</v>
      </c>
      <c r="C360" t="s">
        <v>27</v>
      </c>
      <c r="D360">
        <v>61</v>
      </c>
      <c r="E360">
        <v>101</v>
      </c>
      <c r="F360">
        <v>0.377</v>
      </c>
      <c r="G360">
        <v>37</v>
      </c>
      <c r="H360">
        <v>758</v>
      </c>
      <c r="I360">
        <v>896</v>
      </c>
      <c r="J360">
        <v>-138</v>
      </c>
    </row>
    <row r="361" spans="1:10" x14ac:dyDescent="0.25">
      <c r="A361">
        <v>18</v>
      </c>
      <c r="B361" t="s">
        <v>33</v>
      </c>
      <c r="C361" t="s">
        <v>28</v>
      </c>
      <c r="D361">
        <v>50</v>
      </c>
      <c r="E361">
        <v>112</v>
      </c>
      <c r="F361">
        <v>0.309</v>
      </c>
      <c r="G361">
        <v>48</v>
      </c>
      <c r="H361">
        <v>634</v>
      </c>
      <c r="I361">
        <v>1039</v>
      </c>
      <c r="J361">
        <v>-405</v>
      </c>
    </row>
    <row r="362" spans="1:10" x14ac:dyDescent="0.25">
      <c r="A362">
        <v>19</v>
      </c>
      <c r="B362" t="s">
        <v>30</v>
      </c>
      <c r="C362" t="s">
        <v>8</v>
      </c>
      <c r="D362">
        <v>96</v>
      </c>
      <c r="E362">
        <v>66</v>
      </c>
      <c r="F362">
        <v>0.59299999999999997</v>
      </c>
      <c r="G362">
        <v>0</v>
      </c>
      <c r="H362">
        <v>827</v>
      </c>
      <c r="I362">
        <v>689</v>
      </c>
      <c r="J362">
        <v>138</v>
      </c>
    </row>
    <row r="363" spans="1:10" x14ac:dyDescent="0.25">
      <c r="A363">
        <v>19</v>
      </c>
      <c r="B363" t="s">
        <v>30</v>
      </c>
      <c r="C363" t="s">
        <v>12</v>
      </c>
      <c r="D363">
        <v>89</v>
      </c>
      <c r="E363">
        <v>73</v>
      </c>
      <c r="F363">
        <v>0.54900000000000004</v>
      </c>
      <c r="G363">
        <v>7</v>
      </c>
      <c r="H363">
        <v>925</v>
      </c>
      <c r="I363">
        <v>866</v>
      </c>
      <c r="J363">
        <v>59</v>
      </c>
    </row>
    <row r="364" spans="1:10" x14ac:dyDescent="0.25">
      <c r="A364">
        <v>19</v>
      </c>
      <c r="B364" t="s">
        <v>30</v>
      </c>
      <c r="C364" t="s">
        <v>11</v>
      </c>
      <c r="D364">
        <v>89</v>
      </c>
      <c r="E364">
        <v>73</v>
      </c>
      <c r="F364">
        <v>0.54900000000000004</v>
      </c>
      <c r="G364">
        <v>7</v>
      </c>
      <c r="H364">
        <v>826</v>
      </c>
      <c r="I364">
        <v>758</v>
      </c>
      <c r="J364">
        <v>68</v>
      </c>
    </row>
    <row r="365" spans="1:10" x14ac:dyDescent="0.25">
      <c r="A365">
        <v>19</v>
      </c>
      <c r="B365" t="s">
        <v>30</v>
      </c>
      <c r="C365" t="s">
        <v>10</v>
      </c>
      <c r="D365">
        <v>88</v>
      </c>
      <c r="E365">
        <v>74</v>
      </c>
      <c r="F365">
        <v>0.54300000000000004</v>
      </c>
      <c r="G365">
        <v>8</v>
      </c>
      <c r="H365">
        <v>919</v>
      </c>
      <c r="I365">
        <v>813</v>
      </c>
      <c r="J365">
        <v>106</v>
      </c>
    </row>
    <row r="366" spans="1:10" x14ac:dyDescent="0.25">
      <c r="A366">
        <v>19</v>
      </c>
      <c r="B366" t="s">
        <v>30</v>
      </c>
      <c r="C366" t="s">
        <v>13</v>
      </c>
      <c r="D366">
        <v>77</v>
      </c>
      <c r="E366">
        <v>85</v>
      </c>
      <c r="F366">
        <v>0.47499999999999998</v>
      </c>
      <c r="G366">
        <v>19</v>
      </c>
      <c r="H366">
        <v>817</v>
      </c>
      <c r="I366">
        <v>852</v>
      </c>
      <c r="J366">
        <v>-35</v>
      </c>
    </row>
    <row r="367" spans="1:10" x14ac:dyDescent="0.25">
      <c r="A367">
        <v>19</v>
      </c>
      <c r="B367" t="s">
        <v>31</v>
      </c>
      <c r="C367" t="s">
        <v>14</v>
      </c>
      <c r="D367">
        <v>105</v>
      </c>
      <c r="E367">
        <v>57</v>
      </c>
      <c r="F367">
        <v>0.64800000000000002</v>
      </c>
      <c r="G367">
        <v>0</v>
      </c>
      <c r="H367">
        <v>896</v>
      </c>
      <c r="I367">
        <v>731</v>
      </c>
      <c r="J367">
        <v>165</v>
      </c>
    </row>
    <row r="368" spans="1:10" x14ac:dyDescent="0.25">
      <c r="A368">
        <v>19</v>
      </c>
      <c r="B368" t="s">
        <v>31</v>
      </c>
      <c r="C368" t="s">
        <v>15</v>
      </c>
      <c r="D368">
        <v>85</v>
      </c>
      <c r="E368">
        <v>77</v>
      </c>
      <c r="F368">
        <v>0.52500000000000002</v>
      </c>
      <c r="G368">
        <v>20</v>
      </c>
      <c r="H368">
        <v>1065</v>
      </c>
      <c r="I368">
        <v>1139</v>
      </c>
      <c r="J368">
        <v>-74</v>
      </c>
    </row>
    <row r="369" spans="1:10" x14ac:dyDescent="0.25">
      <c r="A369">
        <v>19</v>
      </c>
      <c r="B369" t="s">
        <v>31</v>
      </c>
      <c r="C369" t="s">
        <v>16</v>
      </c>
      <c r="D369">
        <v>72</v>
      </c>
      <c r="E369">
        <v>90</v>
      </c>
      <c r="F369">
        <v>0.44400000000000001</v>
      </c>
      <c r="G369">
        <v>33</v>
      </c>
      <c r="H369">
        <v>731</v>
      </c>
      <c r="I369">
        <v>817</v>
      </c>
      <c r="J369">
        <v>-86</v>
      </c>
    </row>
    <row r="370" spans="1:10" x14ac:dyDescent="0.25">
      <c r="A370">
        <v>19</v>
      </c>
      <c r="B370" t="s">
        <v>31</v>
      </c>
      <c r="C370" t="s">
        <v>17</v>
      </c>
      <c r="D370">
        <v>63</v>
      </c>
      <c r="E370">
        <v>99</v>
      </c>
      <c r="F370">
        <v>0.38900000000000001</v>
      </c>
      <c r="G370">
        <v>42</v>
      </c>
      <c r="H370">
        <v>818</v>
      </c>
      <c r="I370">
        <v>920</v>
      </c>
      <c r="J370">
        <v>-102</v>
      </c>
    </row>
    <row r="371" spans="1:10" x14ac:dyDescent="0.25">
      <c r="A371">
        <v>19</v>
      </c>
      <c r="B371" t="s">
        <v>31</v>
      </c>
      <c r="C371" t="s">
        <v>18</v>
      </c>
      <c r="D371">
        <v>48</v>
      </c>
      <c r="E371">
        <v>114</v>
      </c>
      <c r="F371">
        <v>0.29599999999999999</v>
      </c>
      <c r="G371">
        <v>57</v>
      </c>
      <c r="H371">
        <v>683</v>
      </c>
      <c r="I371">
        <v>1049</v>
      </c>
      <c r="J371">
        <v>-366</v>
      </c>
    </row>
    <row r="372" spans="1:10" x14ac:dyDescent="0.25">
      <c r="A372">
        <v>19</v>
      </c>
      <c r="B372" t="s">
        <v>32</v>
      </c>
      <c r="C372" t="s">
        <v>19</v>
      </c>
      <c r="D372">
        <v>101</v>
      </c>
      <c r="E372">
        <v>61</v>
      </c>
      <c r="F372">
        <v>0.623</v>
      </c>
      <c r="G372">
        <v>0</v>
      </c>
      <c r="H372">
        <v>976</v>
      </c>
      <c r="I372">
        <v>739</v>
      </c>
      <c r="J372">
        <v>237</v>
      </c>
    </row>
    <row r="373" spans="1:10" x14ac:dyDescent="0.25">
      <c r="A373">
        <v>19</v>
      </c>
      <c r="B373" t="s">
        <v>32</v>
      </c>
      <c r="C373" t="s">
        <v>20</v>
      </c>
      <c r="D373">
        <v>94</v>
      </c>
      <c r="E373">
        <v>68</v>
      </c>
      <c r="F373">
        <v>0.57999999999999996</v>
      </c>
      <c r="G373">
        <v>7</v>
      </c>
      <c r="H373">
        <v>968</v>
      </c>
      <c r="I373">
        <v>831</v>
      </c>
      <c r="J373">
        <v>137</v>
      </c>
    </row>
    <row r="374" spans="1:10" x14ac:dyDescent="0.25">
      <c r="A374">
        <v>19</v>
      </c>
      <c r="B374" t="s">
        <v>32</v>
      </c>
      <c r="C374" t="s">
        <v>21</v>
      </c>
      <c r="D374">
        <v>79</v>
      </c>
      <c r="E374">
        <v>83</v>
      </c>
      <c r="F374">
        <v>0.48799999999999999</v>
      </c>
      <c r="G374">
        <v>22</v>
      </c>
      <c r="H374">
        <v>970</v>
      </c>
      <c r="I374">
        <v>919</v>
      </c>
      <c r="J374">
        <v>51</v>
      </c>
    </row>
    <row r="375" spans="1:10" x14ac:dyDescent="0.25">
      <c r="A375">
        <v>19</v>
      </c>
      <c r="B375" t="s">
        <v>32</v>
      </c>
      <c r="C375" t="s">
        <v>22</v>
      </c>
      <c r="D375">
        <v>64</v>
      </c>
      <c r="E375">
        <v>98</v>
      </c>
      <c r="F375">
        <v>0.39500000000000002</v>
      </c>
      <c r="G375">
        <v>37</v>
      </c>
      <c r="H375">
        <v>835</v>
      </c>
      <c r="I375">
        <v>1005</v>
      </c>
      <c r="J375">
        <v>-170</v>
      </c>
    </row>
    <row r="376" spans="1:10" x14ac:dyDescent="0.25">
      <c r="A376">
        <v>19</v>
      </c>
      <c r="B376" t="s">
        <v>32</v>
      </c>
      <c r="C376" t="s">
        <v>23</v>
      </c>
      <c r="D376">
        <v>57</v>
      </c>
      <c r="E376">
        <v>105</v>
      </c>
      <c r="F376">
        <v>0.35199999999999998</v>
      </c>
      <c r="G376">
        <v>44</v>
      </c>
      <c r="H376">
        <v>779</v>
      </c>
      <c r="I376">
        <v>1062</v>
      </c>
      <c r="J376">
        <v>-283</v>
      </c>
    </row>
    <row r="377" spans="1:10" x14ac:dyDescent="0.25">
      <c r="A377">
        <v>19</v>
      </c>
      <c r="B377" t="s">
        <v>33</v>
      </c>
      <c r="C377" t="s">
        <v>24</v>
      </c>
      <c r="D377">
        <v>102</v>
      </c>
      <c r="E377">
        <v>60</v>
      </c>
      <c r="F377">
        <v>0.63</v>
      </c>
      <c r="G377">
        <v>0</v>
      </c>
      <c r="H377">
        <v>949</v>
      </c>
      <c r="I377">
        <v>711</v>
      </c>
      <c r="J377">
        <v>238</v>
      </c>
    </row>
    <row r="378" spans="1:10" x14ac:dyDescent="0.25">
      <c r="A378">
        <v>19</v>
      </c>
      <c r="B378" t="s">
        <v>33</v>
      </c>
      <c r="C378" t="s">
        <v>26</v>
      </c>
      <c r="D378">
        <v>90</v>
      </c>
      <c r="E378">
        <v>72</v>
      </c>
      <c r="F378">
        <v>0.55600000000000005</v>
      </c>
      <c r="G378">
        <v>12</v>
      </c>
      <c r="H378">
        <v>867</v>
      </c>
      <c r="I378">
        <v>774</v>
      </c>
      <c r="J378">
        <v>93</v>
      </c>
    </row>
    <row r="379" spans="1:10" x14ac:dyDescent="0.25">
      <c r="A379">
        <v>19</v>
      </c>
      <c r="B379" t="s">
        <v>33</v>
      </c>
      <c r="C379" t="s">
        <v>25</v>
      </c>
      <c r="D379">
        <v>88</v>
      </c>
      <c r="E379">
        <v>74</v>
      </c>
      <c r="F379">
        <v>0.54300000000000004</v>
      </c>
      <c r="G379">
        <v>14</v>
      </c>
      <c r="H379">
        <v>818</v>
      </c>
      <c r="I379">
        <v>689</v>
      </c>
      <c r="J379">
        <v>129</v>
      </c>
    </row>
    <row r="380" spans="1:10" x14ac:dyDescent="0.25">
      <c r="A380">
        <v>19</v>
      </c>
      <c r="B380" t="s">
        <v>33</v>
      </c>
      <c r="C380" t="s">
        <v>27</v>
      </c>
      <c r="D380">
        <v>74</v>
      </c>
      <c r="E380">
        <v>88</v>
      </c>
      <c r="F380">
        <v>0.45700000000000002</v>
      </c>
      <c r="G380">
        <v>28</v>
      </c>
      <c r="H380">
        <v>826</v>
      </c>
      <c r="I380">
        <v>873</v>
      </c>
      <c r="J380">
        <v>-47</v>
      </c>
    </row>
    <row r="381" spans="1:10" x14ac:dyDescent="0.25">
      <c r="A381">
        <v>19</v>
      </c>
      <c r="B381" t="s">
        <v>33</v>
      </c>
      <c r="C381" t="s">
        <v>28</v>
      </c>
      <c r="D381">
        <v>59</v>
      </c>
      <c r="E381">
        <v>103</v>
      </c>
      <c r="F381">
        <v>0.36399999999999999</v>
      </c>
      <c r="G381">
        <v>43</v>
      </c>
      <c r="H381">
        <v>770</v>
      </c>
      <c r="I381">
        <v>1028</v>
      </c>
      <c r="J381">
        <v>-258</v>
      </c>
    </row>
    <row r="382" spans="1:10" x14ac:dyDescent="0.25">
      <c r="A382">
        <v>20</v>
      </c>
      <c r="B382" t="s">
        <v>30</v>
      </c>
      <c r="C382" t="s">
        <v>8</v>
      </c>
      <c r="D382">
        <v>106</v>
      </c>
      <c r="E382">
        <v>56</v>
      </c>
      <c r="F382">
        <v>0.65400000000000003</v>
      </c>
      <c r="G382">
        <v>0</v>
      </c>
      <c r="H382">
        <v>866</v>
      </c>
      <c r="I382">
        <v>656</v>
      </c>
      <c r="J382">
        <v>210</v>
      </c>
    </row>
    <row r="383" spans="1:10" x14ac:dyDescent="0.25">
      <c r="A383">
        <v>20</v>
      </c>
      <c r="B383" t="s">
        <v>30</v>
      </c>
      <c r="C383" t="s">
        <v>10</v>
      </c>
      <c r="D383">
        <v>97</v>
      </c>
      <c r="E383">
        <v>65</v>
      </c>
      <c r="F383">
        <v>0.59899999999999998</v>
      </c>
      <c r="G383">
        <v>9</v>
      </c>
      <c r="H383">
        <v>994</v>
      </c>
      <c r="I383">
        <v>879</v>
      </c>
      <c r="J383">
        <v>115</v>
      </c>
    </row>
    <row r="384" spans="1:10" x14ac:dyDescent="0.25">
      <c r="A384">
        <v>20</v>
      </c>
      <c r="B384" t="s">
        <v>30</v>
      </c>
      <c r="C384" t="s">
        <v>12</v>
      </c>
      <c r="D384">
        <v>91</v>
      </c>
      <c r="E384">
        <v>71</v>
      </c>
      <c r="F384">
        <v>0.56200000000000006</v>
      </c>
      <c r="G384">
        <v>15</v>
      </c>
      <c r="H384">
        <v>979</v>
      </c>
      <c r="I384">
        <v>856</v>
      </c>
      <c r="J384">
        <v>123</v>
      </c>
    </row>
    <row r="385" spans="1:10" x14ac:dyDescent="0.25">
      <c r="A385">
        <v>20</v>
      </c>
      <c r="B385" t="s">
        <v>30</v>
      </c>
      <c r="C385" t="s">
        <v>11</v>
      </c>
      <c r="D385">
        <v>91</v>
      </c>
      <c r="E385">
        <v>71</v>
      </c>
      <c r="F385">
        <v>0.56200000000000006</v>
      </c>
      <c r="G385">
        <v>15</v>
      </c>
      <c r="H385">
        <v>864</v>
      </c>
      <c r="I385">
        <v>786</v>
      </c>
      <c r="J385">
        <v>78</v>
      </c>
    </row>
    <row r="386" spans="1:10" x14ac:dyDescent="0.25">
      <c r="A386">
        <v>20</v>
      </c>
      <c r="B386" t="s">
        <v>30</v>
      </c>
      <c r="C386" t="s">
        <v>13</v>
      </c>
      <c r="D386">
        <v>77</v>
      </c>
      <c r="E386">
        <v>85</v>
      </c>
      <c r="F386">
        <v>0.47499999999999998</v>
      </c>
      <c r="G386">
        <v>29</v>
      </c>
      <c r="H386">
        <v>825</v>
      </c>
      <c r="I386">
        <v>851</v>
      </c>
      <c r="J386">
        <v>-26</v>
      </c>
    </row>
    <row r="387" spans="1:10" x14ac:dyDescent="0.25">
      <c r="A387">
        <v>20</v>
      </c>
      <c r="B387" t="s">
        <v>31</v>
      </c>
      <c r="C387" t="s">
        <v>14</v>
      </c>
      <c r="D387">
        <v>114</v>
      </c>
      <c r="E387">
        <v>48</v>
      </c>
      <c r="F387">
        <v>0.70399999999999996</v>
      </c>
      <c r="G387">
        <v>0</v>
      </c>
      <c r="H387">
        <v>1046</v>
      </c>
      <c r="I387">
        <v>722</v>
      </c>
      <c r="J387">
        <v>324</v>
      </c>
    </row>
    <row r="388" spans="1:10" x14ac:dyDescent="0.25">
      <c r="A388">
        <v>20</v>
      </c>
      <c r="B388" t="s">
        <v>31</v>
      </c>
      <c r="C388" t="s">
        <v>16</v>
      </c>
      <c r="D388">
        <v>71</v>
      </c>
      <c r="E388">
        <v>91</v>
      </c>
      <c r="F388">
        <v>0.438</v>
      </c>
      <c r="G388">
        <v>43</v>
      </c>
      <c r="H388">
        <v>769</v>
      </c>
      <c r="I388">
        <v>872</v>
      </c>
      <c r="J388">
        <v>-103</v>
      </c>
    </row>
    <row r="389" spans="1:10" x14ac:dyDescent="0.25">
      <c r="A389">
        <v>20</v>
      </c>
      <c r="B389" t="s">
        <v>31</v>
      </c>
      <c r="C389" t="s">
        <v>15</v>
      </c>
      <c r="D389">
        <v>69</v>
      </c>
      <c r="E389">
        <v>93</v>
      </c>
      <c r="F389">
        <v>0.42599999999999999</v>
      </c>
      <c r="G389">
        <v>45</v>
      </c>
      <c r="H389">
        <v>1088</v>
      </c>
      <c r="I389">
        <v>1247</v>
      </c>
      <c r="J389">
        <v>-159</v>
      </c>
    </row>
    <row r="390" spans="1:10" x14ac:dyDescent="0.25">
      <c r="A390">
        <v>20</v>
      </c>
      <c r="B390" t="s">
        <v>31</v>
      </c>
      <c r="C390" t="s">
        <v>17</v>
      </c>
      <c r="D390">
        <v>67</v>
      </c>
      <c r="E390">
        <v>95</v>
      </c>
      <c r="F390">
        <v>0.41399999999999998</v>
      </c>
      <c r="G390">
        <v>47</v>
      </c>
      <c r="H390">
        <v>830</v>
      </c>
      <c r="I390">
        <v>930</v>
      </c>
      <c r="J390">
        <v>-100</v>
      </c>
    </row>
    <row r="391" spans="1:10" x14ac:dyDescent="0.25">
      <c r="A391">
        <v>20</v>
      </c>
      <c r="B391" t="s">
        <v>31</v>
      </c>
      <c r="C391" t="s">
        <v>18</v>
      </c>
      <c r="D391">
        <v>40</v>
      </c>
      <c r="E391">
        <v>122</v>
      </c>
      <c r="F391">
        <v>0.247</v>
      </c>
      <c r="G391">
        <v>74</v>
      </c>
      <c r="H391">
        <v>645</v>
      </c>
      <c r="I391">
        <v>1020</v>
      </c>
      <c r="J391">
        <v>-375</v>
      </c>
    </row>
    <row r="392" spans="1:10" x14ac:dyDescent="0.25">
      <c r="A392">
        <v>20</v>
      </c>
      <c r="B392" t="s">
        <v>32</v>
      </c>
      <c r="C392" t="s">
        <v>19</v>
      </c>
      <c r="D392">
        <v>102</v>
      </c>
      <c r="E392">
        <v>60</v>
      </c>
      <c r="F392">
        <v>0.63</v>
      </c>
      <c r="G392">
        <v>0</v>
      </c>
      <c r="H392">
        <v>997</v>
      </c>
      <c r="I392">
        <v>775</v>
      </c>
      <c r="J392">
        <v>222</v>
      </c>
    </row>
    <row r="393" spans="1:10" x14ac:dyDescent="0.25">
      <c r="A393">
        <v>20</v>
      </c>
      <c r="B393" t="s">
        <v>32</v>
      </c>
      <c r="C393" t="s">
        <v>20</v>
      </c>
      <c r="D393">
        <v>93</v>
      </c>
      <c r="E393">
        <v>69</v>
      </c>
      <c r="F393">
        <v>0.57399999999999995</v>
      </c>
      <c r="G393">
        <v>9</v>
      </c>
      <c r="H393">
        <v>946</v>
      </c>
      <c r="I393">
        <v>842</v>
      </c>
      <c r="J393">
        <v>104</v>
      </c>
    </row>
    <row r="394" spans="1:10" x14ac:dyDescent="0.25">
      <c r="A394">
        <v>20</v>
      </c>
      <c r="B394" t="s">
        <v>32</v>
      </c>
      <c r="C394" t="s">
        <v>21</v>
      </c>
      <c r="D394">
        <v>83</v>
      </c>
      <c r="E394">
        <v>79</v>
      </c>
      <c r="F394">
        <v>0.51200000000000001</v>
      </c>
      <c r="G394">
        <v>19</v>
      </c>
      <c r="H394">
        <v>969</v>
      </c>
      <c r="I394">
        <v>891</v>
      </c>
      <c r="J394">
        <v>78</v>
      </c>
    </row>
    <row r="395" spans="1:10" x14ac:dyDescent="0.25">
      <c r="A395">
        <v>20</v>
      </c>
      <c r="B395" t="s">
        <v>32</v>
      </c>
      <c r="C395" t="s">
        <v>22</v>
      </c>
      <c r="D395">
        <v>67</v>
      </c>
      <c r="E395">
        <v>95</v>
      </c>
      <c r="F395">
        <v>0.41399999999999998</v>
      </c>
      <c r="G395">
        <v>35</v>
      </c>
      <c r="H395">
        <v>919</v>
      </c>
      <c r="I395">
        <v>1042</v>
      </c>
      <c r="J395">
        <v>-123</v>
      </c>
    </row>
    <row r="396" spans="1:10" x14ac:dyDescent="0.25">
      <c r="A396">
        <v>20</v>
      </c>
      <c r="B396" t="s">
        <v>32</v>
      </c>
      <c r="C396" t="s">
        <v>23</v>
      </c>
      <c r="D396">
        <v>37</v>
      </c>
      <c r="E396">
        <v>125</v>
      </c>
      <c r="F396">
        <v>0.22800000000000001</v>
      </c>
      <c r="G396">
        <v>65</v>
      </c>
      <c r="H396">
        <v>755</v>
      </c>
      <c r="I396">
        <v>1151</v>
      </c>
      <c r="J396">
        <v>-396</v>
      </c>
    </row>
    <row r="397" spans="1:10" x14ac:dyDescent="0.25">
      <c r="A397">
        <v>20</v>
      </c>
      <c r="B397" t="s">
        <v>33</v>
      </c>
      <c r="C397" t="s">
        <v>24</v>
      </c>
      <c r="D397">
        <v>111</v>
      </c>
      <c r="E397">
        <v>51</v>
      </c>
      <c r="F397">
        <v>0.68500000000000005</v>
      </c>
      <c r="G397">
        <v>0</v>
      </c>
      <c r="H397">
        <v>958</v>
      </c>
      <c r="I397">
        <v>778</v>
      </c>
      <c r="J397">
        <v>180</v>
      </c>
    </row>
    <row r="398" spans="1:10" x14ac:dyDescent="0.25">
      <c r="A398">
        <v>20</v>
      </c>
      <c r="B398" t="s">
        <v>33</v>
      </c>
      <c r="C398" t="s">
        <v>25</v>
      </c>
      <c r="D398">
        <v>93</v>
      </c>
      <c r="E398">
        <v>69</v>
      </c>
      <c r="F398">
        <v>0.57399999999999995</v>
      </c>
      <c r="G398">
        <v>18</v>
      </c>
      <c r="H398">
        <v>822</v>
      </c>
      <c r="I398">
        <v>709</v>
      </c>
      <c r="J398">
        <v>113</v>
      </c>
    </row>
    <row r="399" spans="1:10" x14ac:dyDescent="0.25">
      <c r="A399">
        <v>20</v>
      </c>
      <c r="B399" t="s">
        <v>33</v>
      </c>
      <c r="C399" t="s">
        <v>26</v>
      </c>
      <c r="D399">
        <v>81</v>
      </c>
      <c r="E399">
        <v>81</v>
      </c>
      <c r="F399">
        <v>0.5</v>
      </c>
      <c r="G399">
        <v>30</v>
      </c>
      <c r="H399">
        <v>779</v>
      </c>
      <c r="I399">
        <v>830</v>
      </c>
      <c r="J399">
        <v>-51</v>
      </c>
    </row>
    <row r="400" spans="1:10" x14ac:dyDescent="0.25">
      <c r="A400">
        <v>20</v>
      </c>
      <c r="B400" t="s">
        <v>33</v>
      </c>
      <c r="C400" t="s">
        <v>27</v>
      </c>
      <c r="D400">
        <v>79</v>
      </c>
      <c r="E400">
        <v>83</v>
      </c>
      <c r="F400">
        <v>0.48799999999999999</v>
      </c>
      <c r="G400">
        <v>32</v>
      </c>
      <c r="H400">
        <v>856</v>
      </c>
      <c r="I400">
        <v>847</v>
      </c>
      <c r="J400">
        <v>9</v>
      </c>
    </row>
    <row r="401" spans="1:10" x14ac:dyDescent="0.25">
      <c r="A401">
        <v>20</v>
      </c>
      <c r="B401" t="s">
        <v>33</v>
      </c>
      <c r="C401" t="s">
        <v>28</v>
      </c>
      <c r="D401">
        <v>51</v>
      </c>
      <c r="E401">
        <v>111</v>
      </c>
      <c r="F401">
        <v>0.315</v>
      </c>
      <c r="G401">
        <v>60</v>
      </c>
      <c r="H401">
        <v>736</v>
      </c>
      <c r="I401">
        <v>959</v>
      </c>
      <c r="J401">
        <v>-223</v>
      </c>
    </row>
    <row r="402" spans="1:10" x14ac:dyDescent="0.25">
      <c r="A402">
        <v>21</v>
      </c>
      <c r="B402" t="s">
        <v>30</v>
      </c>
      <c r="C402" t="s">
        <v>10</v>
      </c>
      <c r="D402">
        <v>97</v>
      </c>
      <c r="E402">
        <v>65</v>
      </c>
      <c r="F402">
        <v>0.59899999999999998</v>
      </c>
      <c r="G402">
        <v>0</v>
      </c>
      <c r="H402">
        <v>998</v>
      </c>
      <c r="I402">
        <v>776</v>
      </c>
      <c r="J402">
        <v>222</v>
      </c>
    </row>
    <row r="403" spans="1:10" x14ac:dyDescent="0.25">
      <c r="A403">
        <v>21</v>
      </c>
      <c r="B403" t="s">
        <v>30</v>
      </c>
      <c r="C403" t="s">
        <v>8</v>
      </c>
      <c r="D403">
        <v>96</v>
      </c>
      <c r="E403">
        <v>66</v>
      </c>
      <c r="F403">
        <v>0.59299999999999997</v>
      </c>
      <c r="G403">
        <v>1</v>
      </c>
      <c r="H403">
        <v>898</v>
      </c>
      <c r="I403">
        <v>707</v>
      </c>
      <c r="J403">
        <v>191</v>
      </c>
    </row>
    <row r="404" spans="1:10" x14ac:dyDescent="0.25">
      <c r="A404">
        <v>21</v>
      </c>
      <c r="B404" t="s">
        <v>30</v>
      </c>
      <c r="C404" t="s">
        <v>12</v>
      </c>
      <c r="D404">
        <v>89</v>
      </c>
      <c r="E404">
        <v>73</v>
      </c>
      <c r="F404">
        <v>0.54900000000000004</v>
      </c>
      <c r="G404">
        <v>8</v>
      </c>
      <c r="H404">
        <v>969</v>
      </c>
      <c r="I404">
        <v>853</v>
      </c>
      <c r="J404">
        <v>116</v>
      </c>
    </row>
    <row r="405" spans="1:10" x14ac:dyDescent="0.25">
      <c r="A405">
        <v>21</v>
      </c>
      <c r="B405" t="s">
        <v>30</v>
      </c>
      <c r="C405" t="s">
        <v>11</v>
      </c>
      <c r="D405">
        <v>84</v>
      </c>
      <c r="E405">
        <v>78</v>
      </c>
      <c r="F405">
        <v>0.51900000000000002</v>
      </c>
      <c r="G405">
        <v>13</v>
      </c>
      <c r="H405">
        <v>844</v>
      </c>
      <c r="I405">
        <v>765</v>
      </c>
      <c r="J405">
        <v>79</v>
      </c>
    </row>
    <row r="406" spans="1:10" x14ac:dyDescent="0.25">
      <c r="A406">
        <v>21</v>
      </c>
      <c r="B406" t="s">
        <v>30</v>
      </c>
      <c r="C406" t="s">
        <v>13</v>
      </c>
      <c r="D406">
        <v>79</v>
      </c>
      <c r="E406">
        <v>83</v>
      </c>
      <c r="F406">
        <v>0.48799999999999999</v>
      </c>
      <c r="G406">
        <v>18</v>
      </c>
      <c r="H406">
        <v>839</v>
      </c>
      <c r="I406">
        <v>871</v>
      </c>
      <c r="J406">
        <v>-32</v>
      </c>
    </row>
    <row r="407" spans="1:10" x14ac:dyDescent="0.25">
      <c r="A407">
        <v>21</v>
      </c>
      <c r="B407" t="s">
        <v>31</v>
      </c>
      <c r="C407" t="s">
        <v>14</v>
      </c>
      <c r="D407">
        <v>112</v>
      </c>
      <c r="E407">
        <v>50</v>
      </c>
      <c r="F407">
        <v>0.69099999999999995</v>
      </c>
      <c r="G407">
        <v>0</v>
      </c>
      <c r="H407">
        <v>1007</v>
      </c>
      <c r="I407">
        <v>695</v>
      </c>
      <c r="J407">
        <v>312</v>
      </c>
    </row>
    <row r="408" spans="1:10" x14ac:dyDescent="0.25">
      <c r="A408">
        <v>21</v>
      </c>
      <c r="B408" t="s">
        <v>31</v>
      </c>
      <c r="C408" t="s">
        <v>17</v>
      </c>
      <c r="D408">
        <v>63</v>
      </c>
      <c r="E408">
        <v>99</v>
      </c>
      <c r="F408">
        <v>0.38900000000000001</v>
      </c>
      <c r="G408">
        <v>49</v>
      </c>
      <c r="H408">
        <v>804</v>
      </c>
      <c r="I408">
        <v>1030</v>
      </c>
      <c r="J408">
        <v>-226</v>
      </c>
    </row>
    <row r="409" spans="1:10" x14ac:dyDescent="0.25">
      <c r="A409">
        <v>21</v>
      </c>
      <c r="B409" t="s">
        <v>31</v>
      </c>
      <c r="C409" t="s">
        <v>16</v>
      </c>
      <c r="D409">
        <v>63</v>
      </c>
      <c r="E409">
        <v>99</v>
      </c>
      <c r="F409">
        <v>0.38900000000000001</v>
      </c>
      <c r="G409">
        <v>49</v>
      </c>
      <c r="H409">
        <v>773</v>
      </c>
      <c r="I409">
        <v>897</v>
      </c>
      <c r="J409">
        <v>-124</v>
      </c>
    </row>
    <row r="410" spans="1:10" x14ac:dyDescent="0.25">
      <c r="A410">
        <v>21</v>
      </c>
      <c r="B410" t="s">
        <v>31</v>
      </c>
      <c r="C410" t="s">
        <v>15</v>
      </c>
      <c r="D410">
        <v>58</v>
      </c>
      <c r="E410">
        <v>104</v>
      </c>
      <c r="F410">
        <v>0.35799999999999998</v>
      </c>
      <c r="G410">
        <v>54</v>
      </c>
      <c r="H410">
        <v>910</v>
      </c>
      <c r="I410">
        <v>1252</v>
      </c>
      <c r="J410">
        <v>-342</v>
      </c>
    </row>
    <row r="411" spans="1:10" x14ac:dyDescent="0.25">
      <c r="A411">
        <v>21</v>
      </c>
      <c r="B411" t="s">
        <v>31</v>
      </c>
      <c r="C411" t="s">
        <v>18</v>
      </c>
      <c r="D411">
        <v>48</v>
      </c>
      <c r="E411">
        <v>114</v>
      </c>
      <c r="F411">
        <v>0.29599999999999999</v>
      </c>
      <c r="G411">
        <v>64</v>
      </c>
      <c r="H411">
        <v>644</v>
      </c>
      <c r="I411">
        <v>986</v>
      </c>
      <c r="J411">
        <v>-342</v>
      </c>
    </row>
    <row r="412" spans="1:10" x14ac:dyDescent="0.25">
      <c r="A412">
        <v>21</v>
      </c>
      <c r="B412" t="s">
        <v>32</v>
      </c>
      <c r="C412" t="s">
        <v>19</v>
      </c>
      <c r="D412">
        <v>120</v>
      </c>
      <c r="E412">
        <v>42</v>
      </c>
      <c r="F412">
        <v>0.74099999999999999</v>
      </c>
      <c r="G412">
        <v>0</v>
      </c>
      <c r="H412">
        <v>1048</v>
      </c>
      <c r="I412">
        <v>694</v>
      </c>
      <c r="J412">
        <v>354</v>
      </c>
    </row>
    <row r="413" spans="1:10" x14ac:dyDescent="0.25">
      <c r="A413">
        <v>21</v>
      </c>
      <c r="B413" t="s">
        <v>32</v>
      </c>
      <c r="C413" t="s">
        <v>20</v>
      </c>
      <c r="D413">
        <v>95</v>
      </c>
      <c r="E413">
        <v>67</v>
      </c>
      <c r="F413">
        <v>0.58599999999999997</v>
      </c>
      <c r="G413">
        <v>25</v>
      </c>
      <c r="H413">
        <v>1003</v>
      </c>
      <c r="I413">
        <v>835</v>
      </c>
      <c r="J413">
        <v>168</v>
      </c>
    </row>
    <row r="414" spans="1:10" x14ac:dyDescent="0.25">
      <c r="A414">
        <v>21</v>
      </c>
      <c r="B414" t="s">
        <v>32</v>
      </c>
      <c r="C414" t="s">
        <v>21</v>
      </c>
      <c r="D414">
        <v>88</v>
      </c>
      <c r="E414">
        <v>74</v>
      </c>
      <c r="F414">
        <v>0.54300000000000004</v>
      </c>
      <c r="G414">
        <v>32</v>
      </c>
      <c r="H414">
        <v>972</v>
      </c>
      <c r="I414">
        <v>871</v>
      </c>
      <c r="J414">
        <v>101</v>
      </c>
    </row>
    <row r="415" spans="1:10" x14ac:dyDescent="0.25">
      <c r="A415">
        <v>21</v>
      </c>
      <c r="B415" t="s">
        <v>32</v>
      </c>
      <c r="C415" t="s">
        <v>22</v>
      </c>
      <c r="D415">
        <v>72</v>
      </c>
      <c r="E415">
        <v>90</v>
      </c>
      <c r="F415">
        <v>0.44400000000000001</v>
      </c>
      <c r="G415">
        <v>48</v>
      </c>
      <c r="H415">
        <v>865</v>
      </c>
      <c r="I415">
        <v>970</v>
      </c>
      <c r="J415">
        <v>-105</v>
      </c>
    </row>
    <row r="416" spans="1:10" x14ac:dyDescent="0.25">
      <c r="A416">
        <v>21</v>
      </c>
      <c r="B416" t="s">
        <v>32</v>
      </c>
      <c r="C416" t="s">
        <v>23</v>
      </c>
      <c r="D416">
        <v>59</v>
      </c>
      <c r="E416">
        <v>103</v>
      </c>
      <c r="F416">
        <v>0.36399999999999999</v>
      </c>
      <c r="G416">
        <v>61</v>
      </c>
      <c r="H416">
        <v>808</v>
      </c>
      <c r="I416">
        <v>1081</v>
      </c>
      <c r="J416">
        <v>-273</v>
      </c>
    </row>
    <row r="417" spans="1:10" x14ac:dyDescent="0.25">
      <c r="A417">
        <v>21</v>
      </c>
      <c r="B417" t="s">
        <v>33</v>
      </c>
      <c r="C417" t="s">
        <v>24</v>
      </c>
      <c r="D417">
        <v>107</v>
      </c>
      <c r="E417">
        <v>55</v>
      </c>
      <c r="F417">
        <v>0.66</v>
      </c>
      <c r="G417">
        <v>0</v>
      </c>
      <c r="H417">
        <v>950</v>
      </c>
      <c r="I417">
        <v>712</v>
      </c>
      <c r="J417">
        <v>238</v>
      </c>
    </row>
    <row r="418" spans="1:10" x14ac:dyDescent="0.25">
      <c r="A418">
        <v>21</v>
      </c>
      <c r="B418" t="s">
        <v>33</v>
      </c>
      <c r="C418" t="s">
        <v>26</v>
      </c>
      <c r="D418">
        <v>87</v>
      </c>
      <c r="E418">
        <v>75</v>
      </c>
      <c r="F418">
        <v>0.53700000000000003</v>
      </c>
      <c r="G418">
        <v>20</v>
      </c>
      <c r="H418">
        <v>883</v>
      </c>
      <c r="I418">
        <v>767</v>
      </c>
      <c r="J418">
        <v>116</v>
      </c>
    </row>
    <row r="419" spans="1:10" x14ac:dyDescent="0.25">
      <c r="A419">
        <v>21</v>
      </c>
      <c r="B419" t="s">
        <v>33</v>
      </c>
      <c r="C419" t="s">
        <v>25</v>
      </c>
      <c r="D419">
        <v>75</v>
      </c>
      <c r="E419">
        <v>87</v>
      </c>
      <c r="F419">
        <v>0.46300000000000002</v>
      </c>
      <c r="G419">
        <v>32</v>
      </c>
      <c r="H419">
        <v>733</v>
      </c>
      <c r="I419">
        <v>779</v>
      </c>
      <c r="J419">
        <v>-46</v>
      </c>
    </row>
    <row r="420" spans="1:10" x14ac:dyDescent="0.25">
      <c r="A420">
        <v>21</v>
      </c>
      <c r="B420" t="s">
        <v>33</v>
      </c>
      <c r="C420" t="s">
        <v>27</v>
      </c>
      <c r="D420">
        <v>74</v>
      </c>
      <c r="E420">
        <v>88</v>
      </c>
      <c r="F420">
        <v>0.45700000000000002</v>
      </c>
      <c r="G420">
        <v>33</v>
      </c>
      <c r="H420">
        <v>796</v>
      </c>
      <c r="I420">
        <v>857</v>
      </c>
      <c r="J420">
        <v>-61</v>
      </c>
    </row>
    <row r="421" spans="1:10" x14ac:dyDescent="0.25">
      <c r="A421">
        <v>21</v>
      </c>
      <c r="B421" t="s">
        <v>33</v>
      </c>
      <c r="C421" t="s">
        <v>28</v>
      </c>
      <c r="D421">
        <v>54</v>
      </c>
      <c r="E421">
        <v>108</v>
      </c>
      <c r="F421">
        <v>0.33300000000000002</v>
      </c>
      <c r="G421">
        <v>53</v>
      </c>
      <c r="H421">
        <v>733</v>
      </c>
      <c r="I421">
        <v>1079</v>
      </c>
      <c r="J421">
        <v>-346</v>
      </c>
    </row>
    <row r="422" spans="1:10" x14ac:dyDescent="0.25">
      <c r="A422">
        <v>22</v>
      </c>
      <c r="B422" t="s">
        <v>30</v>
      </c>
      <c r="C422" t="s">
        <v>8</v>
      </c>
      <c r="D422">
        <v>102</v>
      </c>
      <c r="E422">
        <v>60</v>
      </c>
      <c r="F422">
        <v>0.63</v>
      </c>
      <c r="G422">
        <v>0</v>
      </c>
      <c r="H422">
        <v>928</v>
      </c>
      <c r="I422">
        <v>738</v>
      </c>
      <c r="J422">
        <v>190</v>
      </c>
    </row>
    <row r="423" spans="1:10" x14ac:dyDescent="0.25">
      <c r="A423">
        <v>22</v>
      </c>
      <c r="B423" t="s">
        <v>30</v>
      </c>
      <c r="C423" t="s">
        <v>10</v>
      </c>
      <c r="D423">
        <v>93</v>
      </c>
      <c r="E423">
        <v>69</v>
      </c>
      <c r="F423">
        <v>0.57399999999999995</v>
      </c>
      <c r="G423">
        <v>9</v>
      </c>
      <c r="H423">
        <v>963</v>
      </c>
      <c r="I423">
        <v>799</v>
      </c>
      <c r="J423">
        <v>164</v>
      </c>
    </row>
    <row r="424" spans="1:10" x14ac:dyDescent="0.25">
      <c r="A424">
        <v>22</v>
      </c>
      <c r="B424" t="s">
        <v>30</v>
      </c>
      <c r="C424" t="s">
        <v>12</v>
      </c>
      <c r="D424">
        <v>83</v>
      </c>
      <c r="E424">
        <v>79</v>
      </c>
      <c r="F424">
        <v>0.51200000000000001</v>
      </c>
      <c r="G424">
        <v>19</v>
      </c>
      <c r="H424">
        <v>857</v>
      </c>
      <c r="I424">
        <v>810</v>
      </c>
      <c r="J424">
        <v>47</v>
      </c>
    </row>
    <row r="425" spans="1:10" x14ac:dyDescent="0.25">
      <c r="A425">
        <v>22</v>
      </c>
      <c r="B425" t="s">
        <v>30</v>
      </c>
      <c r="C425" t="s">
        <v>11</v>
      </c>
      <c r="D425">
        <v>82</v>
      </c>
      <c r="E425">
        <v>80</v>
      </c>
      <c r="F425">
        <v>0.50600000000000001</v>
      </c>
      <c r="G425">
        <v>20</v>
      </c>
      <c r="H425">
        <v>866</v>
      </c>
      <c r="I425">
        <v>820</v>
      </c>
      <c r="J425">
        <v>46</v>
      </c>
    </row>
    <row r="426" spans="1:10" x14ac:dyDescent="0.25">
      <c r="A426">
        <v>22</v>
      </c>
      <c r="B426" t="s">
        <v>30</v>
      </c>
      <c r="C426" t="s">
        <v>13</v>
      </c>
      <c r="D426">
        <v>75</v>
      </c>
      <c r="E426">
        <v>87</v>
      </c>
      <c r="F426">
        <v>0.46300000000000002</v>
      </c>
      <c r="G426">
        <v>27</v>
      </c>
      <c r="H426">
        <v>756</v>
      </c>
      <c r="I426">
        <v>800</v>
      </c>
      <c r="J426">
        <v>-44</v>
      </c>
    </row>
    <row r="427" spans="1:10" x14ac:dyDescent="0.25">
      <c r="A427">
        <v>22</v>
      </c>
      <c r="B427" t="s">
        <v>31</v>
      </c>
      <c r="C427" t="s">
        <v>14</v>
      </c>
      <c r="D427">
        <v>115</v>
      </c>
      <c r="E427">
        <v>47</v>
      </c>
      <c r="F427">
        <v>0.71</v>
      </c>
      <c r="G427">
        <v>0</v>
      </c>
      <c r="H427">
        <v>947</v>
      </c>
      <c r="I427">
        <v>641</v>
      </c>
      <c r="J427">
        <v>306</v>
      </c>
    </row>
    <row r="428" spans="1:10" x14ac:dyDescent="0.25">
      <c r="A428">
        <v>22</v>
      </c>
      <c r="B428" t="s">
        <v>31</v>
      </c>
      <c r="C428" t="s">
        <v>16</v>
      </c>
      <c r="D428">
        <v>74</v>
      </c>
      <c r="E428">
        <v>88</v>
      </c>
      <c r="F428">
        <v>0.45700000000000002</v>
      </c>
      <c r="G428">
        <v>41</v>
      </c>
      <c r="H428">
        <v>744</v>
      </c>
      <c r="I428">
        <v>819</v>
      </c>
      <c r="J428">
        <v>-75</v>
      </c>
    </row>
    <row r="429" spans="1:10" x14ac:dyDescent="0.25">
      <c r="A429">
        <v>22</v>
      </c>
      <c r="B429" t="s">
        <v>31</v>
      </c>
      <c r="C429" t="s">
        <v>15</v>
      </c>
      <c r="D429">
        <v>71</v>
      </c>
      <c r="E429">
        <v>91</v>
      </c>
      <c r="F429">
        <v>0.438</v>
      </c>
      <c r="G429">
        <v>44</v>
      </c>
      <c r="H429">
        <v>1053</v>
      </c>
      <c r="I429">
        <v>1250</v>
      </c>
      <c r="J429">
        <v>-197</v>
      </c>
    </row>
    <row r="430" spans="1:10" x14ac:dyDescent="0.25">
      <c r="A430">
        <v>22</v>
      </c>
      <c r="B430" t="s">
        <v>31</v>
      </c>
      <c r="C430" t="s">
        <v>17</v>
      </c>
      <c r="D430">
        <v>66</v>
      </c>
      <c r="E430">
        <v>96</v>
      </c>
      <c r="F430">
        <v>0.40699999999999997</v>
      </c>
      <c r="G430">
        <v>49</v>
      </c>
      <c r="H430">
        <v>833</v>
      </c>
      <c r="I430">
        <v>983</v>
      </c>
      <c r="J430">
        <v>-150</v>
      </c>
    </row>
    <row r="431" spans="1:10" x14ac:dyDescent="0.25">
      <c r="A431">
        <v>22</v>
      </c>
      <c r="B431" t="s">
        <v>31</v>
      </c>
      <c r="C431" t="s">
        <v>18</v>
      </c>
      <c r="D431">
        <v>48</v>
      </c>
      <c r="E431">
        <v>114</v>
      </c>
      <c r="F431">
        <v>0.29599999999999999</v>
      </c>
      <c r="G431">
        <v>67</v>
      </c>
      <c r="H431">
        <v>660</v>
      </c>
      <c r="I431">
        <v>1048</v>
      </c>
      <c r="J431">
        <v>-388</v>
      </c>
    </row>
    <row r="432" spans="1:10" x14ac:dyDescent="0.25">
      <c r="A432">
        <v>22</v>
      </c>
      <c r="B432" t="s">
        <v>32</v>
      </c>
      <c r="C432" t="s">
        <v>19</v>
      </c>
      <c r="D432">
        <v>105</v>
      </c>
      <c r="E432">
        <v>57</v>
      </c>
      <c r="F432">
        <v>0.64800000000000002</v>
      </c>
      <c r="G432">
        <v>0</v>
      </c>
      <c r="H432">
        <v>989</v>
      </c>
      <c r="I432">
        <v>716</v>
      </c>
      <c r="J432">
        <v>273</v>
      </c>
    </row>
    <row r="433" spans="1:10" x14ac:dyDescent="0.25">
      <c r="A433">
        <v>22</v>
      </c>
      <c r="B433" t="s">
        <v>32</v>
      </c>
      <c r="C433" t="s">
        <v>20</v>
      </c>
      <c r="D433">
        <v>97</v>
      </c>
      <c r="E433">
        <v>65</v>
      </c>
      <c r="F433">
        <v>0.59899999999999998</v>
      </c>
      <c r="G433">
        <v>8</v>
      </c>
      <c r="H433">
        <v>971</v>
      </c>
      <c r="I433">
        <v>782</v>
      </c>
      <c r="J433">
        <v>189</v>
      </c>
    </row>
    <row r="434" spans="1:10" x14ac:dyDescent="0.25">
      <c r="A434">
        <v>22</v>
      </c>
      <c r="B434" t="s">
        <v>32</v>
      </c>
      <c r="C434" t="s">
        <v>21</v>
      </c>
      <c r="D434">
        <v>80</v>
      </c>
      <c r="E434">
        <v>82</v>
      </c>
      <c r="F434">
        <v>0.49399999999999999</v>
      </c>
      <c r="G434">
        <v>25</v>
      </c>
      <c r="H434">
        <v>895</v>
      </c>
      <c r="I434">
        <v>933</v>
      </c>
      <c r="J434">
        <v>-38</v>
      </c>
    </row>
    <row r="435" spans="1:10" x14ac:dyDescent="0.25">
      <c r="A435">
        <v>22</v>
      </c>
      <c r="B435" t="s">
        <v>32</v>
      </c>
      <c r="C435" t="s">
        <v>22</v>
      </c>
      <c r="D435">
        <v>68</v>
      </c>
      <c r="E435">
        <v>94</v>
      </c>
      <c r="F435">
        <v>0.42</v>
      </c>
      <c r="G435">
        <v>37</v>
      </c>
      <c r="H435">
        <v>891</v>
      </c>
      <c r="I435">
        <v>1042</v>
      </c>
      <c r="J435">
        <v>-151</v>
      </c>
    </row>
    <row r="436" spans="1:10" x14ac:dyDescent="0.25">
      <c r="A436">
        <v>22</v>
      </c>
      <c r="B436" t="s">
        <v>32</v>
      </c>
      <c r="C436" t="s">
        <v>23</v>
      </c>
      <c r="D436">
        <v>48</v>
      </c>
      <c r="E436">
        <v>114</v>
      </c>
      <c r="F436">
        <v>0.29599999999999999</v>
      </c>
      <c r="G436">
        <v>57</v>
      </c>
      <c r="H436">
        <v>790</v>
      </c>
      <c r="I436">
        <v>1100</v>
      </c>
      <c r="J436">
        <v>-310</v>
      </c>
    </row>
    <row r="437" spans="1:10" x14ac:dyDescent="0.25">
      <c r="A437">
        <v>22</v>
      </c>
      <c r="B437" t="s">
        <v>33</v>
      </c>
      <c r="C437" t="s">
        <v>24</v>
      </c>
      <c r="D437">
        <v>109</v>
      </c>
      <c r="E437">
        <v>53</v>
      </c>
      <c r="F437">
        <v>0.67300000000000004</v>
      </c>
      <c r="G437">
        <v>0</v>
      </c>
      <c r="H437">
        <v>967</v>
      </c>
      <c r="I437">
        <v>637</v>
      </c>
      <c r="J437">
        <v>330</v>
      </c>
    </row>
    <row r="438" spans="1:10" x14ac:dyDescent="0.25">
      <c r="A438">
        <v>22</v>
      </c>
      <c r="B438" t="s">
        <v>33</v>
      </c>
      <c r="C438" t="s">
        <v>26</v>
      </c>
      <c r="D438">
        <v>96</v>
      </c>
      <c r="E438">
        <v>66</v>
      </c>
      <c r="F438">
        <v>0.59299999999999997</v>
      </c>
      <c r="G438">
        <v>13</v>
      </c>
      <c r="H438">
        <v>859</v>
      </c>
      <c r="I438">
        <v>732</v>
      </c>
      <c r="J438">
        <v>127</v>
      </c>
    </row>
    <row r="439" spans="1:10" x14ac:dyDescent="0.25">
      <c r="A439">
        <v>22</v>
      </c>
      <c r="B439" t="s">
        <v>33</v>
      </c>
      <c r="C439" t="s">
        <v>25</v>
      </c>
      <c r="D439">
        <v>84</v>
      </c>
      <c r="E439">
        <v>78</v>
      </c>
      <c r="F439">
        <v>0.51900000000000002</v>
      </c>
      <c r="G439">
        <v>25</v>
      </c>
      <c r="H439">
        <v>773</v>
      </c>
      <c r="I439">
        <v>718</v>
      </c>
      <c r="J439">
        <v>55</v>
      </c>
    </row>
    <row r="440" spans="1:10" x14ac:dyDescent="0.25">
      <c r="A440">
        <v>22</v>
      </c>
      <c r="B440" t="s">
        <v>33</v>
      </c>
      <c r="C440" t="s">
        <v>27</v>
      </c>
      <c r="D440">
        <v>71</v>
      </c>
      <c r="E440">
        <v>91</v>
      </c>
      <c r="F440">
        <v>0.438</v>
      </c>
      <c r="G440">
        <v>38</v>
      </c>
      <c r="H440">
        <v>723</v>
      </c>
      <c r="I440">
        <v>860</v>
      </c>
      <c r="J440">
        <v>-137</v>
      </c>
    </row>
    <row r="441" spans="1:10" x14ac:dyDescent="0.25">
      <c r="A441">
        <v>22</v>
      </c>
      <c r="B441" t="s">
        <v>33</v>
      </c>
      <c r="C441" t="s">
        <v>28</v>
      </c>
      <c r="D441">
        <v>53</v>
      </c>
      <c r="E441">
        <v>109</v>
      </c>
      <c r="F441">
        <v>0.32700000000000001</v>
      </c>
      <c r="G441">
        <v>56</v>
      </c>
      <c r="H441">
        <v>757</v>
      </c>
      <c r="I441">
        <v>994</v>
      </c>
      <c r="J441">
        <v>-237</v>
      </c>
    </row>
    <row r="442" spans="1:10" x14ac:dyDescent="0.25">
      <c r="A442">
        <v>23</v>
      </c>
      <c r="B442" t="s">
        <v>30</v>
      </c>
      <c r="C442" t="s">
        <v>8</v>
      </c>
      <c r="D442">
        <v>104</v>
      </c>
      <c r="E442">
        <v>58</v>
      </c>
      <c r="F442">
        <v>0.64200000000000002</v>
      </c>
      <c r="G442">
        <v>0</v>
      </c>
      <c r="H442">
        <v>867</v>
      </c>
      <c r="I442">
        <v>666</v>
      </c>
      <c r="J442">
        <v>201</v>
      </c>
    </row>
    <row r="443" spans="1:10" x14ac:dyDescent="0.25">
      <c r="A443">
        <v>23</v>
      </c>
      <c r="B443" t="s">
        <v>30</v>
      </c>
      <c r="C443" t="s">
        <v>11</v>
      </c>
      <c r="D443">
        <v>98</v>
      </c>
      <c r="E443">
        <v>64</v>
      </c>
      <c r="F443">
        <v>0.60499999999999998</v>
      </c>
      <c r="G443">
        <v>6</v>
      </c>
      <c r="H443">
        <v>938</v>
      </c>
      <c r="I443">
        <v>766</v>
      </c>
      <c r="J443">
        <v>172</v>
      </c>
    </row>
    <row r="444" spans="1:10" x14ac:dyDescent="0.25">
      <c r="A444">
        <v>23</v>
      </c>
      <c r="B444" t="s">
        <v>30</v>
      </c>
      <c r="C444" t="s">
        <v>12</v>
      </c>
      <c r="D444">
        <v>91</v>
      </c>
      <c r="E444">
        <v>71</v>
      </c>
      <c r="F444">
        <v>0.56200000000000006</v>
      </c>
      <c r="G444">
        <v>13</v>
      </c>
      <c r="H444">
        <v>928</v>
      </c>
      <c r="I444">
        <v>811</v>
      </c>
      <c r="J444">
        <v>117</v>
      </c>
    </row>
    <row r="445" spans="1:10" x14ac:dyDescent="0.25">
      <c r="A445">
        <v>23</v>
      </c>
      <c r="B445" t="s">
        <v>30</v>
      </c>
      <c r="C445" t="s">
        <v>10</v>
      </c>
      <c r="D445">
        <v>90</v>
      </c>
      <c r="E445">
        <v>72</v>
      </c>
      <c r="F445">
        <v>0.55600000000000005</v>
      </c>
      <c r="G445">
        <v>14</v>
      </c>
      <c r="H445">
        <v>1012</v>
      </c>
      <c r="I445">
        <v>927</v>
      </c>
      <c r="J445">
        <v>85</v>
      </c>
    </row>
    <row r="446" spans="1:10" x14ac:dyDescent="0.25">
      <c r="A446">
        <v>23</v>
      </c>
      <c r="B446" t="s">
        <v>30</v>
      </c>
      <c r="C446" t="s">
        <v>13</v>
      </c>
      <c r="D446">
        <v>73</v>
      </c>
      <c r="E446">
        <v>89</v>
      </c>
      <c r="F446">
        <v>0.45100000000000001</v>
      </c>
      <c r="G446">
        <v>31</v>
      </c>
      <c r="H446">
        <v>784</v>
      </c>
      <c r="I446">
        <v>846</v>
      </c>
      <c r="J446">
        <v>-62</v>
      </c>
    </row>
    <row r="447" spans="1:10" x14ac:dyDescent="0.25">
      <c r="A447">
        <v>23</v>
      </c>
      <c r="B447" t="s">
        <v>31</v>
      </c>
      <c r="C447" t="s">
        <v>14</v>
      </c>
      <c r="D447">
        <v>111</v>
      </c>
      <c r="E447">
        <v>51</v>
      </c>
      <c r="F447">
        <v>0.68500000000000005</v>
      </c>
      <c r="G447">
        <v>0</v>
      </c>
      <c r="H447">
        <v>987</v>
      </c>
      <c r="I447">
        <v>658</v>
      </c>
      <c r="J447">
        <v>329</v>
      </c>
    </row>
    <row r="448" spans="1:10" x14ac:dyDescent="0.25">
      <c r="A448">
        <v>23</v>
      </c>
      <c r="B448" t="s">
        <v>31</v>
      </c>
      <c r="C448" t="s">
        <v>16</v>
      </c>
      <c r="D448">
        <v>72</v>
      </c>
      <c r="E448">
        <v>90</v>
      </c>
      <c r="F448">
        <v>0.44400000000000001</v>
      </c>
      <c r="G448">
        <v>39</v>
      </c>
      <c r="H448">
        <v>798</v>
      </c>
      <c r="I448">
        <v>930</v>
      </c>
      <c r="J448">
        <v>-132</v>
      </c>
    </row>
    <row r="449" spans="1:10" x14ac:dyDescent="0.25">
      <c r="A449">
        <v>23</v>
      </c>
      <c r="B449" t="s">
        <v>31</v>
      </c>
      <c r="C449" t="s">
        <v>15</v>
      </c>
      <c r="D449">
        <v>71</v>
      </c>
      <c r="E449">
        <v>91</v>
      </c>
      <c r="F449">
        <v>0.438</v>
      </c>
      <c r="G449">
        <v>40</v>
      </c>
      <c r="H449">
        <v>1141</v>
      </c>
      <c r="I449">
        <v>1244</v>
      </c>
      <c r="J449">
        <v>-103</v>
      </c>
    </row>
    <row r="450" spans="1:10" x14ac:dyDescent="0.25">
      <c r="A450">
        <v>23</v>
      </c>
      <c r="B450" t="s">
        <v>31</v>
      </c>
      <c r="C450" t="s">
        <v>17</v>
      </c>
      <c r="D450">
        <v>70</v>
      </c>
      <c r="E450">
        <v>92</v>
      </c>
      <c r="F450">
        <v>0.432</v>
      </c>
      <c r="G450">
        <v>41</v>
      </c>
      <c r="H450">
        <v>847</v>
      </c>
      <c r="I450">
        <v>948</v>
      </c>
      <c r="J450">
        <v>-101</v>
      </c>
    </row>
    <row r="451" spans="1:10" x14ac:dyDescent="0.25">
      <c r="A451">
        <v>23</v>
      </c>
      <c r="B451" t="s">
        <v>31</v>
      </c>
      <c r="C451" t="s">
        <v>18</v>
      </c>
      <c r="D451">
        <v>47</v>
      </c>
      <c r="E451">
        <v>115</v>
      </c>
      <c r="F451">
        <v>0.28999999999999998</v>
      </c>
      <c r="G451">
        <v>64</v>
      </c>
      <c r="H451">
        <v>677</v>
      </c>
      <c r="I451">
        <v>1056</v>
      </c>
      <c r="J451">
        <v>-379</v>
      </c>
    </row>
    <row r="452" spans="1:10" x14ac:dyDescent="0.25">
      <c r="A452">
        <v>23</v>
      </c>
      <c r="B452" t="s">
        <v>32</v>
      </c>
      <c r="C452" t="s">
        <v>19</v>
      </c>
      <c r="D452">
        <v>100</v>
      </c>
      <c r="E452">
        <v>62</v>
      </c>
      <c r="F452">
        <v>0.61699999999999999</v>
      </c>
      <c r="G452">
        <v>0</v>
      </c>
      <c r="H452">
        <v>957</v>
      </c>
      <c r="I452">
        <v>796</v>
      </c>
      <c r="J452">
        <v>161</v>
      </c>
    </row>
    <row r="453" spans="1:10" x14ac:dyDescent="0.25">
      <c r="A453">
        <v>23</v>
      </c>
      <c r="B453" t="s">
        <v>32</v>
      </c>
      <c r="C453" t="s">
        <v>20</v>
      </c>
      <c r="D453">
        <v>96</v>
      </c>
      <c r="E453">
        <v>66</v>
      </c>
      <c r="F453">
        <v>0.59299999999999997</v>
      </c>
      <c r="G453">
        <v>4</v>
      </c>
      <c r="H453">
        <v>994</v>
      </c>
      <c r="I453">
        <v>856</v>
      </c>
      <c r="J453">
        <v>138</v>
      </c>
    </row>
    <row r="454" spans="1:10" x14ac:dyDescent="0.25">
      <c r="A454">
        <v>23</v>
      </c>
      <c r="B454" t="s">
        <v>32</v>
      </c>
      <c r="C454" t="s">
        <v>21</v>
      </c>
      <c r="D454">
        <v>90</v>
      </c>
      <c r="E454">
        <v>72</v>
      </c>
      <c r="F454">
        <v>0.55600000000000005</v>
      </c>
      <c r="G454">
        <v>10</v>
      </c>
      <c r="H454">
        <v>1021</v>
      </c>
      <c r="I454">
        <v>902</v>
      </c>
      <c r="J454">
        <v>119</v>
      </c>
    </row>
    <row r="455" spans="1:10" x14ac:dyDescent="0.25">
      <c r="A455">
        <v>23</v>
      </c>
      <c r="B455" t="s">
        <v>32</v>
      </c>
      <c r="C455" t="s">
        <v>22</v>
      </c>
      <c r="D455">
        <v>70</v>
      </c>
      <c r="E455">
        <v>92</v>
      </c>
      <c r="F455">
        <v>0.432</v>
      </c>
      <c r="G455">
        <v>30</v>
      </c>
      <c r="H455">
        <v>909</v>
      </c>
      <c r="I455">
        <v>1041</v>
      </c>
      <c r="J455">
        <v>-132</v>
      </c>
    </row>
    <row r="456" spans="1:10" x14ac:dyDescent="0.25">
      <c r="A456">
        <v>23</v>
      </c>
      <c r="B456" t="s">
        <v>32</v>
      </c>
      <c r="C456" t="s">
        <v>23</v>
      </c>
      <c r="D456">
        <v>48</v>
      </c>
      <c r="E456">
        <v>114</v>
      </c>
      <c r="F456">
        <v>0.29599999999999999</v>
      </c>
      <c r="G456">
        <v>52</v>
      </c>
      <c r="H456">
        <v>693</v>
      </c>
      <c r="I456">
        <v>1022</v>
      </c>
      <c r="J456">
        <v>-329</v>
      </c>
    </row>
    <row r="457" spans="1:10" x14ac:dyDescent="0.25">
      <c r="A457">
        <v>23</v>
      </c>
      <c r="B457" t="s">
        <v>33</v>
      </c>
      <c r="C457" t="s">
        <v>24</v>
      </c>
      <c r="D457">
        <v>94</v>
      </c>
      <c r="E457">
        <v>68</v>
      </c>
      <c r="F457">
        <v>0.57999999999999996</v>
      </c>
      <c r="G457">
        <v>0</v>
      </c>
      <c r="H457">
        <v>870</v>
      </c>
      <c r="I457">
        <v>715</v>
      </c>
      <c r="J457">
        <v>155</v>
      </c>
    </row>
    <row r="458" spans="1:10" x14ac:dyDescent="0.25">
      <c r="A458">
        <v>23</v>
      </c>
      <c r="B458" t="s">
        <v>33</v>
      </c>
      <c r="C458" t="s">
        <v>25</v>
      </c>
      <c r="D458">
        <v>90</v>
      </c>
      <c r="E458">
        <v>72</v>
      </c>
      <c r="F458">
        <v>0.55600000000000005</v>
      </c>
      <c r="G458">
        <v>4</v>
      </c>
      <c r="H458">
        <v>851</v>
      </c>
      <c r="I458">
        <v>757</v>
      </c>
      <c r="J458">
        <v>94</v>
      </c>
    </row>
    <row r="459" spans="1:10" x14ac:dyDescent="0.25">
      <c r="A459">
        <v>23</v>
      </c>
      <c r="B459" t="s">
        <v>33</v>
      </c>
      <c r="C459" t="s">
        <v>26</v>
      </c>
      <c r="D459">
        <v>81</v>
      </c>
      <c r="E459">
        <v>81</v>
      </c>
      <c r="F459">
        <v>0.5</v>
      </c>
      <c r="G459">
        <v>13</v>
      </c>
      <c r="H459">
        <v>884</v>
      </c>
      <c r="I459">
        <v>839</v>
      </c>
      <c r="J459">
        <v>45</v>
      </c>
    </row>
    <row r="460" spans="1:10" x14ac:dyDescent="0.25">
      <c r="A460">
        <v>23</v>
      </c>
      <c r="B460" t="s">
        <v>33</v>
      </c>
      <c r="C460" t="s">
        <v>27</v>
      </c>
      <c r="D460">
        <v>67</v>
      </c>
      <c r="E460">
        <v>95</v>
      </c>
      <c r="F460">
        <v>0.41399999999999998</v>
      </c>
      <c r="G460">
        <v>27</v>
      </c>
      <c r="H460">
        <v>730</v>
      </c>
      <c r="I460">
        <v>877</v>
      </c>
      <c r="J460">
        <v>-147</v>
      </c>
    </row>
    <row r="461" spans="1:10" x14ac:dyDescent="0.25">
      <c r="A461">
        <v>23</v>
      </c>
      <c r="B461" t="s">
        <v>33</v>
      </c>
      <c r="C461" t="s">
        <v>28</v>
      </c>
      <c r="D461">
        <v>57</v>
      </c>
      <c r="E461">
        <v>105</v>
      </c>
      <c r="F461">
        <v>0.35199999999999998</v>
      </c>
      <c r="G461">
        <v>37</v>
      </c>
      <c r="H461">
        <v>778</v>
      </c>
      <c r="I461">
        <v>1009</v>
      </c>
      <c r="J461">
        <v>-231</v>
      </c>
    </row>
    <row r="462" spans="1:10" x14ac:dyDescent="0.25">
      <c r="A462">
        <v>24</v>
      </c>
      <c r="B462" t="s">
        <v>30</v>
      </c>
      <c r="C462" t="s">
        <v>12</v>
      </c>
      <c r="D462">
        <v>105</v>
      </c>
      <c r="E462">
        <v>57</v>
      </c>
      <c r="F462">
        <v>0.64800000000000002</v>
      </c>
      <c r="G462">
        <v>0</v>
      </c>
      <c r="H462">
        <v>962</v>
      </c>
      <c r="I462">
        <v>785</v>
      </c>
      <c r="J462">
        <v>177</v>
      </c>
    </row>
    <row r="463" spans="1:10" x14ac:dyDescent="0.25">
      <c r="A463">
        <v>24</v>
      </c>
      <c r="B463" t="s">
        <v>30</v>
      </c>
      <c r="C463" t="s">
        <v>8</v>
      </c>
      <c r="D463">
        <v>105</v>
      </c>
      <c r="E463">
        <v>57</v>
      </c>
      <c r="F463">
        <v>0.64800000000000002</v>
      </c>
      <c r="G463">
        <v>0</v>
      </c>
      <c r="H463">
        <v>903</v>
      </c>
      <c r="I463">
        <v>673</v>
      </c>
      <c r="J463">
        <v>230</v>
      </c>
    </row>
    <row r="464" spans="1:10" x14ac:dyDescent="0.25">
      <c r="A464">
        <v>24</v>
      </c>
      <c r="B464" t="s">
        <v>30</v>
      </c>
      <c r="C464" t="s">
        <v>10</v>
      </c>
      <c r="D464">
        <v>93</v>
      </c>
      <c r="E464">
        <v>69</v>
      </c>
      <c r="F464">
        <v>0.57399999999999995</v>
      </c>
      <c r="G464">
        <v>12</v>
      </c>
      <c r="H464">
        <v>943</v>
      </c>
      <c r="I464">
        <v>801</v>
      </c>
      <c r="J464">
        <v>142</v>
      </c>
    </row>
    <row r="465" spans="1:10" x14ac:dyDescent="0.25">
      <c r="A465">
        <v>24</v>
      </c>
      <c r="B465" t="s">
        <v>30</v>
      </c>
      <c r="C465" t="s">
        <v>11</v>
      </c>
      <c r="D465">
        <v>91</v>
      </c>
      <c r="E465">
        <v>71</v>
      </c>
      <c r="F465">
        <v>0.56200000000000006</v>
      </c>
      <c r="G465">
        <v>14</v>
      </c>
      <c r="H465">
        <v>892</v>
      </c>
      <c r="I465">
        <v>754</v>
      </c>
      <c r="J465">
        <v>138</v>
      </c>
    </row>
    <row r="466" spans="1:10" x14ac:dyDescent="0.25">
      <c r="A466">
        <v>24</v>
      </c>
      <c r="B466" t="s">
        <v>30</v>
      </c>
      <c r="C466" t="s">
        <v>13</v>
      </c>
      <c r="D466">
        <v>74</v>
      </c>
      <c r="E466">
        <v>88</v>
      </c>
      <c r="F466">
        <v>0.45700000000000002</v>
      </c>
      <c r="G466">
        <v>31</v>
      </c>
      <c r="H466">
        <v>888</v>
      </c>
      <c r="I466">
        <v>931</v>
      </c>
      <c r="J466">
        <v>-43</v>
      </c>
    </row>
    <row r="467" spans="1:10" x14ac:dyDescent="0.25">
      <c r="A467">
        <v>24</v>
      </c>
      <c r="B467" t="s">
        <v>31</v>
      </c>
      <c r="C467" t="s">
        <v>14</v>
      </c>
      <c r="D467">
        <v>101</v>
      </c>
      <c r="E467">
        <v>61</v>
      </c>
      <c r="F467">
        <v>0.623</v>
      </c>
      <c r="G467">
        <v>0</v>
      </c>
      <c r="H467">
        <v>960</v>
      </c>
      <c r="I467">
        <v>693</v>
      </c>
      <c r="J467">
        <v>267</v>
      </c>
    </row>
    <row r="468" spans="1:10" x14ac:dyDescent="0.25">
      <c r="A468">
        <v>24</v>
      </c>
      <c r="B468" t="s">
        <v>31</v>
      </c>
      <c r="C468" t="s">
        <v>15</v>
      </c>
      <c r="D468">
        <v>77</v>
      </c>
      <c r="E468">
        <v>85</v>
      </c>
      <c r="F468">
        <v>0.47499999999999998</v>
      </c>
      <c r="G468">
        <v>24</v>
      </c>
      <c r="H468">
        <v>995</v>
      </c>
      <c r="I468">
        <v>1161</v>
      </c>
      <c r="J468">
        <v>-166</v>
      </c>
    </row>
    <row r="469" spans="1:10" x14ac:dyDescent="0.25">
      <c r="A469">
        <v>24</v>
      </c>
      <c r="B469" t="s">
        <v>31</v>
      </c>
      <c r="C469" t="s">
        <v>16</v>
      </c>
      <c r="D469">
        <v>67</v>
      </c>
      <c r="E469">
        <v>95</v>
      </c>
      <c r="F469">
        <v>0.41399999999999998</v>
      </c>
      <c r="G469">
        <v>34</v>
      </c>
      <c r="H469">
        <v>701</v>
      </c>
      <c r="I469">
        <v>900</v>
      </c>
      <c r="J469">
        <v>-199</v>
      </c>
    </row>
    <row r="470" spans="1:10" x14ac:dyDescent="0.25">
      <c r="A470">
        <v>24</v>
      </c>
      <c r="B470" t="s">
        <v>31</v>
      </c>
      <c r="C470" t="s">
        <v>17</v>
      </c>
      <c r="D470">
        <v>60</v>
      </c>
      <c r="E470">
        <v>102</v>
      </c>
      <c r="F470">
        <v>0.37</v>
      </c>
      <c r="G470">
        <v>41</v>
      </c>
      <c r="H470">
        <v>843</v>
      </c>
      <c r="I470">
        <v>1047</v>
      </c>
      <c r="J470">
        <v>-204</v>
      </c>
    </row>
    <row r="471" spans="1:10" x14ac:dyDescent="0.25">
      <c r="A471">
        <v>24</v>
      </c>
      <c r="B471" t="s">
        <v>31</v>
      </c>
      <c r="C471" t="s">
        <v>18</v>
      </c>
      <c r="D471">
        <v>44</v>
      </c>
      <c r="E471">
        <v>118</v>
      </c>
      <c r="F471">
        <v>0.27200000000000002</v>
      </c>
      <c r="G471">
        <v>57</v>
      </c>
      <c r="H471">
        <v>645</v>
      </c>
      <c r="I471">
        <v>1044</v>
      </c>
      <c r="J471">
        <v>-399</v>
      </c>
    </row>
    <row r="472" spans="1:10" x14ac:dyDescent="0.25">
      <c r="A472">
        <v>24</v>
      </c>
      <c r="B472" t="s">
        <v>32</v>
      </c>
      <c r="C472" t="s">
        <v>19</v>
      </c>
      <c r="D472">
        <v>113</v>
      </c>
      <c r="E472">
        <v>49</v>
      </c>
      <c r="F472">
        <v>0.69799999999999995</v>
      </c>
      <c r="G472">
        <v>0</v>
      </c>
      <c r="H472">
        <v>1080</v>
      </c>
      <c r="I472">
        <v>778</v>
      </c>
      <c r="J472">
        <v>302</v>
      </c>
    </row>
    <row r="473" spans="1:10" x14ac:dyDescent="0.25">
      <c r="A473">
        <v>24</v>
      </c>
      <c r="B473" t="s">
        <v>32</v>
      </c>
      <c r="C473" t="s">
        <v>20</v>
      </c>
      <c r="D473">
        <v>91</v>
      </c>
      <c r="E473">
        <v>71</v>
      </c>
      <c r="F473">
        <v>0.56200000000000006</v>
      </c>
      <c r="G473">
        <v>22</v>
      </c>
      <c r="H473">
        <v>1009</v>
      </c>
      <c r="I473">
        <v>846</v>
      </c>
      <c r="J473">
        <v>163</v>
      </c>
    </row>
    <row r="474" spans="1:10" x14ac:dyDescent="0.25">
      <c r="A474">
        <v>24</v>
      </c>
      <c r="B474" t="s">
        <v>32</v>
      </c>
      <c r="C474" t="s">
        <v>22</v>
      </c>
      <c r="D474">
        <v>85</v>
      </c>
      <c r="E474">
        <v>77</v>
      </c>
      <c r="F474">
        <v>0.52500000000000002</v>
      </c>
      <c r="G474">
        <v>28</v>
      </c>
      <c r="H474">
        <v>911</v>
      </c>
      <c r="I474">
        <v>913</v>
      </c>
      <c r="J474">
        <v>-2</v>
      </c>
    </row>
    <row r="475" spans="1:10" x14ac:dyDescent="0.25">
      <c r="A475">
        <v>24</v>
      </c>
      <c r="B475" t="s">
        <v>32</v>
      </c>
      <c r="C475" t="s">
        <v>21</v>
      </c>
      <c r="D475">
        <v>77</v>
      </c>
      <c r="E475">
        <v>85</v>
      </c>
      <c r="F475">
        <v>0.47499999999999998</v>
      </c>
      <c r="G475">
        <v>36</v>
      </c>
      <c r="H475">
        <v>920</v>
      </c>
      <c r="I475">
        <v>906</v>
      </c>
      <c r="J475">
        <v>14</v>
      </c>
    </row>
    <row r="476" spans="1:10" x14ac:dyDescent="0.25">
      <c r="A476">
        <v>24</v>
      </c>
      <c r="B476" t="s">
        <v>32</v>
      </c>
      <c r="C476" t="s">
        <v>23</v>
      </c>
      <c r="D476">
        <v>56</v>
      </c>
      <c r="E476">
        <v>106</v>
      </c>
      <c r="F476">
        <v>0.34599999999999997</v>
      </c>
      <c r="G476">
        <v>57</v>
      </c>
      <c r="H476">
        <v>758</v>
      </c>
      <c r="I476">
        <v>1050</v>
      </c>
      <c r="J476">
        <v>-292</v>
      </c>
    </row>
    <row r="477" spans="1:10" x14ac:dyDescent="0.25">
      <c r="A477">
        <v>24</v>
      </c>
      <c r="B477" t="s">
        <v>33</v>
      </c>
      <c r="C477" t="s">
        <v>24</v>
      </c>
      <c r="D477">
        <v>88</v>
      </c>
      <c r="E477">
        <v>74</v>
      </c>
      <c r="F477">
        <v>0.54300000000000004</v>
      </c>
      <c r="G477">
        <v>0</v>
      </c>
      <c r="H477">
        <v>855</v>
      </c>
      <c r="I477">
        <v>781</v>
      </c>
      <c r="J477">
        <v>74</v>
      </c>
    </row>
    <row r="478" spans="1:10" x14ac:dyDescent="0.25">
      <c r="A478">
        <v>24</v>
      </c>
      <c r="B478" t="s">
        <v>33</v>
      </c>
      <c r="C478" t="s">
        <v>25</v>
      </c>
      <c r="D478">
        <v>87</v>
      </c>
      <c r="E478">
        <v>75</v>
      </c>
      <c r="F478">
        <v>0.53700000000000003</v>
      </c>
      <c r="G478">
        <v>1</v>
      </c>
      <c r="H478">
        <v>780</v>
      </c>
      <c r="I478">
        <v>705</v>
      </c>
      <c r="J478">
        <v>75</v>
      </c>
    </row>
    <row r="479" spans="1:10" x14ac:dyDescent="0.25">
      <c r="A479">
        <v>24</v>
      </c>
      <c r="B479" t="s">
        <v>33</v>
      </c>
      <c r="C479" t="s">
        <v>26</v>
      </c>
      <c r="D479">
        <v>80</v>
      </c>
      <c r="E479">
        <v>82</v>
      </c>
      <c r="F479">
        <v>0.49399999999999999</v>
      </c>
      <c r="G479">
        <v>8</v>
      </c>
      <c r="H479">
        <v>881</v>
      </c>
      <c r="I479">
        <v>814</v>
      </c>
      <c r="J479">
        <v>67</v>
      </c>
    </row>
    <row r="480" spans="1:10" x14ac:dyDescent="0.25">
      <c r="A480">
        <v>24</v>
      </c>
      <c r="B480" t="s">
        <v>33</v>
      </c>
      <c r="C480" t="s">
        <v>27</v>
      </c>
      <c r="D480">
        <v>73</v>
      </c>
      <c r="E480">
        <v>89</v>
      </c>
      <c r="F480">
        <v>0.45100000000000001</v>
      </c>
      <c r="G480">
        <v>15</v>
      </c>
      <c r="H480">
        <v>777</v>
      </c>
      <c r="I480">
        <v>857</v>
      </c>
      <c r="J480">
        <v>-80</v>
      </c>
    </row>
    <row r="481" spans="1:10" x14ac:dyDescent="0.25">
      <c r="A481">
        <v>24</v>
      </c>
      <c r="B481" t="s">
        <v>33</v>
      </c>
      <c r="C481" t="s">
        <v>28</v>
      </c>
      <c r="D481">
        <v>53</v>
      </c>
      <c r="E481">
        <v>109</v>
      </c>
      <c r="F481">
        <v>0.32700000000000001</v>
      </c>
      <c r="G481">
        <v>35</v>
      </c>
      <c r="H481">
        <v>673</v>
      </c>
      <c r="I481">
        <v>937</v>
      </c>
      <c r="J481">
        <v>-264</v>
      </c>
    </row>
    <row r="482" spans="1:10" x14ac:dyDescent="0.25">
      <c r="A482">
        <v>25</v>
      </c>
      <c r="B482" t="s">
        <v>30</v>
      </c>
      <c r="C482" t="s">
        <v>8</v>
      </c>
      <c r="D482">
        <v>92</v>
      </c>
      <c r="E482">
        <v>70</v>
      </c>
      <c r="F482">
        <v>0.56799999999999995</v>
      </c>
      <c r="G482">
        <v>0</v>
      </c>
      <c r="H482">
        <v>824</v>
      </c>
      <c r="I482">
        <v>656</v>
      </c>
      <c r="J482">
        <v>168</v>
      </c>
    </row>
    <row r="483" spans="1:10" x14ac:dyDescent="0.25">
      <c r="A483">
        <v>25</v>
      </c>
      <c r="B483" t="s">
        <v>30</v>
      </c>
      <c r="C483" t="s">
        <v>10</v>
      </c>
      <c r="D483">
        <v>88</v>
      </c>
      <c r="E483">
        <v>74</v>
      </c>
      <c r="F483">
        <v>0.54300000000000004</v>
      </c>
      <c r="G483">
        <v>4</v>
      </c>
      <c r="H483">
        <v>900</v>
      </c>
      <c r="I483">
        <v>849</v>
      </c>
      <c r="J483">
        <v>51</v>
      </c>
    </row>
    <row r="484" spans="1:10" x14ac:dyDescent="0.25">
      <c r="A484">
        <v>25</v>
      </c>
      <c r="B484" t="s">
        <v>30</v>
      </c>
      <c r="C484" t="s">
        <v>11</v>
      </c>
      <c r="D484">
        <v>86</v>
      </c>
      <c r="E484">
        <v>76</v>
      </c>
      <c r="F484">
        <v>0.53100000000000003</v>
      </c>
      <c r="G484">
        <v>6</v>
      </c>
      <c r="H484">
        <v>858</v>
      </c>
      <c r="I484">
        <v>803</v>
      </c>
      <c r="J484">
        <v>55</v>
      </c>
    </row>
    <row r="485" spans="1:10" x14ac:dyDescent="0.25">
      <c r="A485">
        <v>25</v>
      </c>
      <c r="B485" t="s">
        <v>30</v>
      </c>
      <c r="C485" t="s">
        <v>12</v>
      </c>
      <c r="D485">
        <v>80</v>
      </c>
      <c r="E485">
        <v>82</v>
      </c>
      <c r="F485">
        <v>0.49399999999999999</v>
      </c>
      <c r="G485">
        <v>12</v>
      </c>
      <c r="H485">
        <v>859</v>
      </c>
      <c r="I485">
        <v>873</v>
      </c>
      <c r="J485">
        <v>-14</v>
      </c>
    </row>
    <row r="486" spans="1:10" x14ac:dyDescent="0.25">
      <c r="A486">
        <v>25</v>
      </c>
      <c r="B486" t="s">
        <v>30</v>
      </c>
      <c r="C486" t="s">
        <v>13</v>
      </c>
      <c r="D486">
        <v>72</v>
      </c>
      <c r="E486">
        <v>90</v>
      </c>
      <c r="F486">
        <v>0.44400000000000001</v>
      </c>
      <c r="G486">
        <v>20</v>
      </c>
      <c r="H486">
        <v>818</v>
      </c>
      <c r="I486">
        <v>847</v>
      </c>
      <c r="J486">
        <v>-29</v>
      </c>
    </row>
    <row r="487" spans="1:10" x14ac:dyDescent="0.25">
      <c r="A487">
        <v>25</v>
      </c>
      <c r="B487" t="s">
        <v>31</v>
      </c>
      <c r="C487" t="s">
        <v>14</v>
      </c>
      <c r="D487">
        <v>108</v>
      </c>
      <c r="E487">
        <v>54</v>
      </c>
      <c r="F487">
        <v>0.66700000000000004</v>
      </c>
      <c r="G487">
        <v>0</v>
      </c>
      <c r="H487">
        <v>985</v>
      </c>
      <c r="I487">
        <v>647</v>
      </c>
      <c r="J487">
        <v>338</v>
      </c>
    </row>
    <row r="488" spans="1:10" x14ac:dyDescent="0.25">
      <c r="A488">
        <v>25</v>
      </c>
      <c r="B488" t="s">
        <v>31</v>
      </c>
      <c r="C488" t="s">
        <v>15</v>
      </c>
      <c r="D488">
        <v>77</v>
      </c>
      <c r="E488">
        <v>85</v>
      </c>
      <c r="F488">
        <v>0.47499999999999998</v>
      </c>
      <c r="G488">
        <v>31</v>
      </c>
      <c r="H488">
        <v>1032</v>
      </c>
      <c r="I488">
        <v>1168</v>
      </c>
      <c r="J488">
        <v>-136</v>
      </c>
    </row>
    <row r="489" spans="1:10" x14ac:dyDescent="0.25">
      <c r="A489">
        <v>25</v>
      </c>
      <c r="B489" t="s">
        <v>31</v>
      </c>
      <c r="C489" t="s">
        <v>16</v>
      </c>
      <c r="D489">
        <v>76</v>
      </c>
      <c r="E489">
        <v>86</v>
      </c>
      <c r="F489">
        <v>0.46899999999999997</v>
      </c>
      <c r="G489">
        <v>32</v>
      </c>
      <c r="H489">
        <v>767</v>
      </c>
      <c r="I489">
        <v>900</v>
      </c>
      <c r="J489">
        <v>-133</v>
      </c>
    </row>
    <row r="490" spans="1:10" x14ac:dyDescent="0.25">
      <c r="A490">
        <v>25</v>
      </c>
      <c r="B490" t="s">
        <v>31</v>
      </c>
      <c r="C490" t="s">
        <v>17</v>
      </c>
      <c r="D490">
        <v>67</v>
      </c>
      <c r="E490">
        <v>95</v>
      </c>
      <c r="F490">
        <v>0.41399999999999998</v>
      </c>
      <c r="G490">
        <v>41</v>
      </c>
      <c r="H490">
        <v>873</v>
      </c>
      <c r="I490">
        <v>989</v>
      </c>
      <c r="J490">
        <v>-116</v>
      </c>
    </row>
    <row r="491" spans="1:10" x14ac:dyDescent="0.25">
      <c r="A491">
        <v>25</v>
      </c>
      <c r="B491" t="s">
        <v>31</v>
      </c>
      <c r="C491" t="s">
        <v>18</v>
      </c>
      <c r="D491">
        <v>45</v>
      </c>
      <c r="E491">
        <v>117</v>
      </c>
      <c r="F491">
        <v>0.27800000000000002</v>
      </c>
      <c r="G491">
        <v>63</v>
      </c>
      <c r="H491">
        <v>664</v>
      </c>
      <c r="I491">
        <v>1020</v>
      </c>
      <c r="J491">
        <v>-356</v>
      </c>
    </row>
    <row r="492" spans="1:10" x14ac:dyDescent="0.25">
      <c r="A492">
        <v>25</v>
      </c>
      <c r="B492" t="s">
        <v>32</v>
      </c>
      <c r="C492" t="s">
        <v>19</v>
      </c>
      <c r="D492">
        <v>112</v>
      </c>
      <c r="E492">
        <v>50</v>
      </c>
      <c r="F492">
        <v>0.69099999999999995</v>
      </c>
      <c r="G492">
        <v>0</v>
      </c>
      <c r="H492">
        <v>992</v>
      </c>
      <c r="I492">
        <v>716</v>
      </c>
      <c r="J492">
        <v>276</v>
      </c>
    </row>
    <row r="493" spans="1:10" x14ac:dyDescent="0.25">
      <c r="A493">
        <v>25</v>
      </c>
      <c r="B493" t="s">
        <v>32</v>
      </c>
      <c r="C493" t="s">
        <v>20</v>
      </c>
      <c r="D493">
        <v>95</v>
      </c>
      <c r="E493">
        <v>67</v>
      </c>
      <c r="F493">
        <v>0.58599999999999997</v>
      </c>
      <c r="G493">
        <v>17</v>
      </c>
      <c r="H493">
        <v>942</v>
      </c>
      <c r="I493">
        <v>781</v>
      </c>
      <c r="J493">
        <v>161</v>
      </c>
    </row>
    <row r="494" spans="1:10" x14ac:dyDescent="0.25">
      <c r="A494">
        <v>25</v>
      </c>
      <c r="B494" t="s">
        <v>32</v>
      </c>
      <c r="C494" t="s">
        <v>21</v>
      </c>
      <c r="D494">
        <v>88</v>
      </c>
      <c r="E494">
        <v>74</v>
      </c>
      <c r="F494">
        <v>0.54300000000000004</v>
      </c>
      <c r="G494">
        <v>24</v>
      </c>
      <c r="H494">
        <v>960</v>
      </c>
      <c r="I494">
        <v>836</v>
      </c>
      <c r="J494">
        <v>124</v>
      </c>
    </row>
    <row r="495" spans="1:10" x14ac:dyDescent="0.25">
      <c r="A495">
        <v>25</v>
      </c>
      <c r="B495" t="s">
        <v>32</v>
      </c>
      <c r="C495" t="s">
        <v>22</v>
      </c>
      <c r="D495">
        <v>71</v>
      </c>
      <c r="E495">
        <v>91</v>
      </c>
      <c r="F495">
        <v>0.438</v>
      </c>
      <c r="G495">
        <v>41</v>
      </c>
      <c r="H495">
        <v>850</v>
      </c>
      <c r="I495">
        <v>993</v>
      </c>
      <c r="J495">
        <v>-143</v>
      </c>
    </row>
    <row r="496" spans="1:10" x14ac:dyDescent="0.25">
      <c r="A496">
        <v>25</v>
      </c>
      <c r="B496" t="s">
        <v>32</v>
      </c>
      <c r="C496" t="s">
        <v>23</v>
      </c>
      <c r="D496">
        <v>55</v>
      </c>
      <c r="E496">
        <v>107</v>
      </c>
      <c r="F496">
        <v>0.34</v>
      </c>
      <c r="G496">
        <v>57</v>
      </c>
      <c r="H496">
        <v>789</v>
      </c>
      <c r="I496">
        <v>1060</v>
      </c>
      <c r="J496">
        <v>-271</v>
      </c>
    </row>
    <row r="497" spans="1:10" x14ac:dyDescent="0.25">
      <c r="A497">
        <v>25</v>
      </c>
      <c r="B497" t="s">
        <v>33</v>
      </c>
      <c r="C497" t="s">
        <v>24</v>
      </c>
      <c r="D497">
        <v>101</v>
      </c>
      <c r="E497">
        <v>61</v>
      </c>
      <c r="F497">
        <v>0.623</v>
      </c>
      <c r="G497">
        <v>0</v>
      </c>
      <c r="H497">
        <v>945</v>
      </c>
      <c r="I497">
        <v>661</v>
      </c>
      <c r="J497">
        <v>284</v>
      </c>
    </row>
    <row r="498" spans="1:10" x14ac:dyDescent="0.25">
      <c r="A498">
        <v>25</v>
      </c>
      <c r="B498" t="s">
        <v>33</v>
      </c>
      <c r="C498" t="s">
        <v>26</v>
      </c>
      <c r="D498">
        <v>94</v>
      </c>
      <c r="E498">
        <v>68</v>
      </c>
      <c r="F498">
        <v>0.57999999999999996</v>
      </c>
      <c r="G498">
        <v>7</v>
      </c>
      <c r="H498">
        <v>837</v>
      </c>
      <c r="I498">
        <v>719</v>
      </c>
      <c r="J498">
        <v>118</v>
      </c>
    </row>
    <row r="499" spans="1:10" x14ac:dyDescent="0.25">
      <c r="A499">
        <v>25</v>
      </c>
      <c r="B499" t="s">
        <v>33</v>
      </c>
      <c r="C499" t="s">
        <v>25</v>
      </c>
      <c r="D499">
        <v>88</v>
      </c>
      <c r="E499">
        <v>74</v>
      </c>
      <c r="F499">
        <v>0.54300000000000004</v>
      </c>
      <c r="G499">
        <v>13</v>
      </c>
      <c r="H499">
        <v>884</v>
      </c>
      <c r="I499">
        <v>721</v>
      </c>
      <c r="J499">
        <v>163</v>
      </c>
    </row>
    <row r="500" spans="1:10" x14ac:dyDescent="0.25">
      <c r="A500">
        <v>25</v>
      </c>
      <c r="B500" t="s">
        <v>33</v>
      </c>
      <c r="C500" t="s">
        <v>27</v>
      </c>
      <c r="D500">
        <v>63</v>
      </c>
      <c r="E500">
        <v>99</v>
      </c>
      <c r="F500">
        <v>0.38900000000000001</v>
      </c>
      <c r="G500">
        <v>38</v>
      </c>
      <c r="H500">
        <v>694</v>
      </c>
      <c r="I500">
        <v>915</v>
      </c>
      <c r="J500">
        <v>-221</v>
      </c>
    </row>
    <row r="501" spans="1:10" x14ac:dyDescent="0.25">
      <c r="A501">
        <v>25</v>
      </c>
      <c r="B501" t="s">
        <v>33</v>
      </c>
      <c r="C501" t="s">
        <v>28</v>
      </c>
      <c r="D501">
        <v>62</v>
      </c>
      <c r="E501">
        <v>100</v>
      </c>
      <c r="F501">
        <v>0.38300000000000001</v>
      </c>
      <c r="G501">
        <v>39</v>
      </c>
      <c r="H501">
        <v>781</v>
      </c>
      <c r="I501">
        <v>1100</v>
      </c>
      <c r="J501">
        <v>-319</v>
      </c>
    </row>
    <row r="502" spans="1:10" x14ac:dyDescent="0.25">
      <c r="A502">
        <v>26</v>
      </c>
      <c r="B502" t="s">
        <v>30</v>
      </c>
      <c r="C502" t="s">
        <v>12</v>
      </c>
      <c r="D502">
        <v>99</v>
      </c>
      <c r="E502">
        <v>63</v>
      </c>
      <c r="F502">
        <v>0.61099999999999999</v>
      </c>
      <c r="G502">
        <v>0</v>
      </c>
      <c r="H502">
        <v>1030</v>
      </c>
      <c r="I502">
        <v>796</v>
      </c>
      <c r="J502">
        <v>234</v>
      </c>
    </row>
    <row r="503" spans="1:10" x14ac:dyDescent="0.25">
      <c r="A503">
        <v>26</v>
      </c>
      <c r="B503" t="s">
        <v>30</v>
      </c>
      <c r="C503" t="s">
        <v>8</v>
      </c>
      <c r="D503">
        <v>90</v>
      </c>
      <c r="E503">
        <v>72</v>
      </c>
      <c r="F503">
        <v>0.55600000000000005</v>
      </c>
      <c r="G503">
        <v>9</v>
      </c>
      <c r="H503">
        <v>802</v>
      </c>
      <c r="I503">
        <v>649</v>
      </c>
      <c r="J503">
        <v>153</v>
      </c>
    </row>
    <row r="504" spans="1:10" x14ac:dyDescent="0.25">
      <c r="A504">
        <v>26</v>
      </c>
      <c r="B504" t="s">
        <v>30</v>
      </c>
      <c r="C504" t="s">
        <v>11</v>
      </c>
      <c r="D504">
        <v>88</v>
      </c>
      <c r="E504">
        <v>74</v>
      </c>
      <c r="F504">
        <v>0.54300000000000004</v>
      </c>
      <c r="G504">
        <v>11</v>
      </c>
      <c r="H504">
        <v>927</v>
      </c>
      <c r="I504">
        <v>802</v>
      </c>
      <c r="J504">
        <v>125</v>
      </c>
    </row>
    <row r="505" spans="1:10" x14ac:dyDescent="0.25">
      <c r="A505">
        <v>26</v>
      </c>
      <c r="B505" t="s">
        <v>30</v>
      </c>
      <c r="C505" t="s">
        <v>10</v>
      </c>
      <c r="D505">
        <v>85</v>
      </c>
      <c r="E505">
        <v>77</v>
      </c>
      <c r="F505">
        <v>0.52500000000000002</v>
      </c>
      <c r="G505">
        <v>14</v>
      </c>
      <c r="H505">
        <v>943</v>
      </c>
      <c r="I505">
        <v>831</v>
      </c>
      <c r="J505">
        <v>112</v>
      </c>
    </row>
    <row r="506" spans="1:10" x14ac:dyDescent="0.25">
      <c r="A506">
        <v>26</v>
      </c>
      <c r="B506" t="s">
        <v>30</v>
      </c>
      <c r="C506" t="s">
        <v>13</v>
      </c>
      <c r="D506">
        <v>73</v>
      </c>
      <c r="E506">
        <v>89</v>
      </c>
      <c r="F506">
        <v>0.45100000000000001</v>
      </c>
      <c r="G506">
        <v>26</v>
      </c>
      <c r="H506">
        <v>761</v>
      </c>
      <c r="I506">
        <v>899</v>
      </c>
      <c r="J506">
        <v>-138</v>
      </c>
    </row>
    <row r="507" spans="1:10" x14ac:dyDescent="0.25">
      <c r="A507">
        <v>26</v>
      </c>
      <c r="B507" t="s">
        <v>31</v>
      </c>
      <c r="C507" t="s">
        <v>14</v>
      </c>
      <c r="D507">
        <v>109</v>
      </c>
      <c r="E507">
        <v>53</v>
      </c>
      <c r="F507">
        <v>0.67300000000000004</v>
      </c>
      <c r="G507">
        <v>0</v>
      </c>
      <c r="H507">
        <v>1052</v>
      </c>
      <c r="I507">
        <v>735</v>
      </c>
      <c r="J507">
        <v>317</v>
      </c>
    </row>
    <row r="508" spans="1:10" x14ac:dyDescent="0.25">
      <c r="A508">
        <v>26</v>
      </c>
      <c r="B508" t="s">
        <v>31</v>
      </c>
      <c r="C508" t="s">
        <v>16</v>
      </c>
      <c r="D508">
        <v>78</v>
      </c>
      <c r="E508">
        <v>84</v>
      </c>
      <c r="F508">
        <v>0.48099999999999998</v>
      </c>
      <c r="G508">
        <v>31</v>
      </c>
      <c r="H508">
        <v>776</v>
      </c>
      <c r="I508">
        <v>870</v>
      </c>
      <c r="J508">
        <v>-94</v>
      </c>
    </row>
    <row r="509" spans="1:10" x14ac:dyDescent="0.25">
      <c r="A509">
        <v>26</v>
      </c>
      <c r="B509" t="s">
        <v>31</v>
      </c>
      <c r="C509" t="s">
        <v>15</v>
      </c>
      <c r="D509">
        <v>72</v>
      </c>
      <c r="E509">
        <v>90</v>
      </c>
      <c r="F509">
        <v>0.44400000000000001</v>
      </c>
      <c r="G509">
        <v>37</v>
      </c>
      <c r="H509">
        <v>878</v>
      </c>
      <c r="I509">
        <v>1095</v>
      </c>
      <c r="J509">
        <v>-217</v>
      </c>
    </row>
    <row r="510" spans="1:10" x14ac:dyDescent="0.25">
      <c r="A510">
        <v>26</v>
      </c>
      <c r="B510" t="s">
        <v>31</v>
      </c>
      <c r="C510" t="s">
        <v>17</v>
      </c>
      <c r="D510">
        <v>66</v>
      </c>
      <c r="E510">
        <v>96</v>
      </c>
      <c r="F510">
        <v>0.40699999999999997</v>
      </c>
      <c r="G510">
        <v>43</v>
      </c>
      <c r="H510">
        <v>791</v>
      </c>
      <c r="I510">
        <v>965</v>
      </c>
      <c r="J510">
        <v>-174</v>
      </c>
    </row>
    <row r="511" spans="1:10" x14ac:dyDescent="0.25">
      <c r="A511">
        <v>26</v>
      </c>
      <c r="B511" t="s">
        <v>31</v>
      </c>
      <c r="C511" t="s">
        <v>18</v>
      </c>
      <c r="D511">
        <v>41</v>
      </c>
      <c r="E511">
        <v>121</v>
      </c>
      <c r="F511">
        <v>0.253</v>
      </c>
      <c r="G511">
        <v>68</v>
      </c>
      <c r="H511">
        <v>588</v>
      </c>
      <c r="I511">
        <v>1045</v>
      </c>
      <c r="J511">
        <v>-457</v>
      </c>
    </row>
    <row r="512" spans="1:10" x14ac:dyDescent="0.25">
      <c r="A512">
        <v>26</v>
      </c>
      <c r="B512" t="s">
        <v>32</v>
      </c>
      <c r="C512" t="s">
        <v>19</v>
      </c>
      <c r="D512">
        <v>111</v>
      </c>
      <c r="E512">
        <v>51</v>
      </c>
      <c r="F512">
        <v>0.68500000000000005</v>
      </c>
      <c r="G512">
        <v>0</v>
      </c>
      <c r="H512">
        <v>1088</v>
      </c>
      <c r="I512">
        <v>766</v>
      </c>
      <c r="J512">
        <v>322</v>
      </c>
    </row>
    <row r="513" spans="1:10" x14ac:dyDescent="0.25">
      <c r="A513">
        <v>26</v>
      </c>
      <c r="B513" t="s">
        <v>32</v>
      </c>
      <c r="C513" t="s">
        <v>21</v>
      </c>
      <c r="D513">
        <v>94</v>
      </c>
      <c r="E513">
        <v>68</v>
      </c>
      <c r="F513">
        <v>0.57999999999999996</v>
      </c>
      <c r="G513">
        <v>17</v>
      </c>
      <c r="H513">
        <v>1007</v>
      </c>
      <c r="I513">
        <v>894</v>
      </c>
      <c r="J513">
        <v>113</v>
      </c>
    </row>
    <row r="514" spans="1:10" x14ac:dyDescent="0.25">
      <c r="A514">
        <v>26</v>
      </c>
      <c r="B514" t="s">
        <v>32</v>
      </c>
      <c r="C514" t="s">
        <v>20</v>
      </c>
      <c r="D514">
        <v>89</v>
      </c>
      <c r="E514">
        <v>73</v>
      </c>
      <c r="F514">
        <v>0.54900000000000004</v>
      </c>
      <c r="G514">
        <v>22</v>
      </c>
      <c r="H514">
        <v>982</v>
      </c>
      <c r="I514">
        <v>863</v>
      </c>
      <c r="J514">
        <v>119</v>
      </c>
    </row>
    <row r="515" spans="1:10" x14ac:dyDescent="0.25">
      <c r="A515">
        <v>26</v>
      </c>
      <c r="B515" t="s">
        <v>32</v>
      </c>
      <c r="C515" t="s">
        <v>22</v>
      </c>
      <c r="D515">
        <v>61</v>
      </c>
      <c r="E515">
        <v>101</v>
      </c>
      <c r="F515">
        <v>0.377</v>
      </c>
      <c r="G515">
        <v>50</v>
      </c>
      <c r="H515">
        <v>821</v>
      </c>
      <c r="I515">
        <v>969</v>
      </c>
      <c r="J515">
        <v>-148</v>
      </c>
    </row>
    <row r="516" spans="1:10" x14ac:dyDescent="0.25">
      <c r="A516">
        <v>26</v>
      </c>
      <c r="B516" t="s">
        <v>32</v>
      </c>
      <c r="C516" t="s">
        <v>23</v>
      </c>
      <c r="D516">
        <v>55</v>
      </c>
      <c r="E516">
        <v>107</v>
      </c>
      <c r="F516">
        <v>0.34</v>
      </c>
      <c r="G516">
        <v>56</v>
      </c>
      <c r="H516">
        <v>698</v>
      </c>
      <c r="I516">
        <v>990</v>
      </c>
      <c r="J516">
        <v>-292</v>
      </c>
    </row>
    <row r="517" spans="1:10" x14ac:dyDescent="0.25">
      <c r="A517">
        <v>26</v>
      </c>
      <c r="B517" t="s">
        <v>33</v>
      </c>
      <c r="C517" t="s">
        <v>24</v>
      </c>
      <c r="D517">
        <v>99</v>
      </c>
      <c r="E517">
        <v>63</v>
      </c>
      <c r="F517">
        <v>0.61099999999999999</v>
      </c>
      <c r="G517">
        <v>0</v>
      </c>
      <c r="H517">
        <v>951</v>
      </c>
      <c r="I517">
        <v>742</v>
      </c>
      <c r="J517">
        <v>209</v>
      </c>
    </row>
    <row r="518" spans="1:10" x14ac:dyDescent="0.25">
      <c r="A518">
        <v>26</v>
      </c>
      <c r="B518" t="s">
        <v>33</v>
      </c>
      <c r="C518" t="s">
        <v>26</v>
      </c>
      <c r="D518">
        <v>91</v>
      </c>
      <c r="E518">
        <v>71</v>
      </c>
      <c r="F518">
        <v>0.56200000000000006</v>
      </c>
      <c r="G518">
        <v>8</v>
      </c>
      <c r="H518">
        <v>904</v>
      </c>
      <c r="I518">
        <v>807</v>
      </c>
      <c r="J518">
        <v>97</v>
      </c>
    </row>
    <row r="519" spans="1:10" x14ac:dyDescent="0.25">
      <c r="A519">
        <v>26</v>
      </c>
      <c r="B519" t="s">
        <v>33</v>
      </c>
      <c r="C519" t="s">
        <v>25</v>
      </c>
      <c r="D519">
        <v>89</v>
      </c>
      <c r="E519">
        <v>73</v>
      </c>
      <c r="F519">
        <v>0.54900000000000004</v>
      </c>
      <c r="G519">
        <v>10</v>
      </c>
      <c r="H519">
        <v>847</v>
      </c>
      <c r="I519">
        <v>717</v>
      </c>
      <c r="J519">
        <v>130</v>
      </c>
    </row>
    <row r="520" spans="1:10" x14ac:dyDescent="0.25">
      <c r="A520">
        <v>26</v>
      </c>
      <c r="B520" t="s">
        <v>33</v>
      </c>
      <c r="C520" t="s">
        <v>27</v>
      </c>
      <c r="D520">
        <v>78</v>
      </c>
      <c r="E520">
        <v>84</v>
      </c>
      <c r="F520">
        <v>0.48099999999999998</v>
      </c>
      <c r="G520">
        <v>21</v>
      </c>
      <c r="H520">
        <v>867</v>
      </c>
      <c r="I520">
        <v>933</v>
      </c>
      <c r="J520">
        <v>-66</v>
      </c>
    </row>
    <row r="521" spans="1:10" x14ac:dyDescent="0.25">
      <c r="A521">
        <v>26</v>
      </c>
      <c r="B521" t="s">
        <v>33</v>
      </c>
      <c r="C521" t="s">
        <v>28</v>
      </c>
      <c r="D521">
        <v>52</v>
      </c>
      <c r="E521">
        <v>110</v>
      </c>
      <c r="F521">
        <v>0.32100000000000001</v>
      </c>
      <c r="G521">
        <v>47</v>
      </c>
      <c r="H521">
        <v>672</v>
      </c>
      <c r="I521">
        <v>1017</v>
      </c>
      <c r="J521">
        <v>-345</v>
      </c>
    </row>
    <row r="522" spans="1:10" x14ac:dyDescent="0.25">
      <c r="A522">
        <v>27</v>
      </c>
      <c r="B522" t="s">
        <v>30</v>
      </c>
      <c r="C522" t="s">
        <v>10</v>
      </c>
      <c r="D522">
        <v>99</v>
      </c>
      <c r="E522">
        <v>63</v>
      </c>
      <c r="F522">
        <v>0.61099999999999999</v>
      </c>
      <c r="G522">
        <v>0</v>
      </c>
      <c r="H522">
        <v>1064</v>
      </c>
      <c r="I522">
        <v>841</v>
      </c>
      <c r="J522">
        <v>223</v>
      </c>
    </row>
    <row r="523" spans="1:10" x14ac:dyDescent="0.25">
      <c r="A523">
        <v>27</v>
      </c>
      <c r="B523" t="s">
        <v>30</v>
      </c>
      <c r="C523" t="s">
        <v>12</v>
      </c>
      <c r="D523">
        <v>91</v>
      </c>
      <c r="E523">
        <v>71</v>
      </c>
      <c r="F523">
        <v>0.56200000000000006</v>
      </c>
      <c r="G523">
        <v>8</v>
      </c>
      <c r="H523">
        <v>974</v>
      </c>
      <c r="I523">
        <v>856</v>
      </c>
      <c r="J523">
        <v>118</v>
      </c>
    </row>
    <row r="524" spans="1:10" x14ac:dyDescent="0.25">
      <c r="A524">
        <v>27</v>
      </c>
      <c r="B524" t="s">
        <v>30</v>
      </c>
      <c r="C524" t="s">
        <v>8</v>
      </c>
      <c r="D524">
        <v>91</v>
      </c>
      <c r="E524">
        <v>71</v>
      </c>
      <c r="F524">
        <v>0.56200000000000006</v>
      </c>
      <c r="G524">
        <v>8</v>
      </c>
      <c r="H524">
        <v>843</v>
      </c>
      <c r="I524">
        <v>725</v>
      </c>
      <c r="J524">
        <v>118</v>
      </c>
    </row>
    <row r="525" spans="1:10" x14ac:dyDescent="0.25">
      <c r="A525">
        <v>27</v>
      </c>
      <c r="B525" t="s">
        <v>30</v>
      </c>
      <c r="C525" t="s">
        <v>11</v>
      </c>
      <c r="D525">
        <v>82</v>
      </c>
      <c r="E525">
        <v>80</v>
      </c>
      <c r="F525">
        <v>0.50600000000000001</v>
      </c>
      <c r="G525">
        <v>17</v>
      </c>
      <c r="H525">
        <v>892</v>
      </c>
      <c r="I525">
        <v>859</v>
      </c>
      <c r="J525">
        <v>33</v>
      </c>
    </row>
    <row r="526" spans="1:10" x14ac:dyDescent="0.25">
      <c r="A526">
        <v>27</v>
      </c>
      <c r="B526" t="s">
        <v>30</v>
      </c>
      <c r="C526" t="s">
        <v>13</v>
      </c>
      <c r="D526">
        <v>80</v>
      </c>
      <c r="E526">
        <v>82</v>
      </c>
      <c r="F526">
        <v>0.49399999999999999</v>
      </c>
      <c r="G526">
        <v>19</v>
      </c>
      <c r="H526">
        <v>843</v>
      </c>
      <c r="I526">
        <v>878</v>
      </c>
      <c r="J526">
        <v>-35</v>
      </c>
    </row>
    <row r="527" spans="1:10" x14ac:dyDescent="0.25">
      <c r="A527">
        <v>27</v>
      </c>
      <c r="B527" t="s">
        <v>31</v>
      </c>
      <c r="C527" t="s">
        <v>14</v>
      </c>
      <c r="D527">
        <v>116</v>
      </c>
      <c r="E527">
        <v>46</v>
      </c>
      <c r="F527">
        <v>0.71599999999999997</v>
      </c>
      <c r="G527">
        <v>0</v>
      </c>
      <c r="H527">
        <v>1048</v>
      </c>
      <c r="I527">
        <v>682</v>
      </c>
      <c r="J527">
        <v>366</v>
      </c>
    </row>
    <row r="528" spans="1:10" x14ac:dyDescent="0.25">
      <c r="A528">
        <v>27</v>
      </c>
      <c r="B528" t="s">
        <v>31</v>
      </c>
      <c r="C528" t="s">
        <v>16</v>
      </c>
      <c r="D528">
        <v>68</v>
      </c>
      <c r="E528">
        <v>94</v>
      </c>
      <c r="F528">
        <v>0.42</v>
      </c>
      <c r="G528">
        <v>48</v>
      </c>
      <c r="H528">
        <v>807</v>
      </c>
      <c r="I528">
        <v>965</v>
      </c>
      <c r="J528">
        <v>-158</v>
      </c>
    </row>
    <row r="529" spans="1:10" x14ac:dyDescent="0.25">
      <c r="A529">
        <v>27</v>
      </c>
      <c r="B529" t="s">
        <v>31</v>
      </c>
      <c r="C529" t="s">
        <v>15</v>
      </c>
      <c r="D529">
        <v>62</v>
      </c>
      <c r="E529">
        <v>100</v>
      </c>
      <c r="F529">
        <v>0.38300000000000001</v>
      </c>
      <c r="G529">
        <v>54</v>
      </c>
      <c r="H529">
        <v>1026</v>
      </c>
      <c r="I529">
        <v>1292</v>
      </c>
      <c r="J529">
        <v>-266</v>
      </c>
    </row>
    <row r="530" spans="1:10" x14ac:dyDescent="0.25">
      <c r="A530">
        <v>27</v>
      </c>
      <c r="B530" t="s">
        <v>31</v>
      </c>
      <c r="C530" t="s">
        <v>17</v>
      </c>
      <c r="D530">
        <v>60</v>
      </c>
      <c r="E530">
        <v>102</v>
      </c>
      <c r="F530">
        <v>0.37</v>
      </c>
      <c r="G530">
        <v>56</v>
      </c>
      <c r="H530">
        <v>834</v>
      </c>
      <c r="I530">
        <v>1021</v>
      </c>
      <c r="J530">
        <v>-187</v>
      </c>
    </row>
    <row r="531" spans="1:10" x14ac:dyDescent="0.25">
      <c r="A531">
        <v>27</v>
      </c>
      <c r="B531" t="s">
        <v>31</v>
      </c>
      <c r="C531" t="s">
        <v>18</v>
      </c>
      <c r="D531">
        <v>45</v>
      </c>
      <c r="E531">
        <v>117</v>
      </c>
      <c r="F531">
        <v>0.27800000000000002</v>
      </c>
      <c r="G531">
        <v>71</v>
      </c>
      <c r="H531">
        <v>677</v>
      </c>
      <c r="I531">
        <v>1066</v>
      </c>
      <c r="J531">
        <v>-389</v>
      </c>
    </row>
    <row r="532" spans="1:10" x14ac:dyDescent="0.25">
      <c r="A532">
        <v>27</v>
      </c>
      <c r="B532" t="s">
        <v>32</v>
      </c>
      <c r="C532" t="s">
        <v>19</v>
      </c>
      <c r="D532">
        <v>111</v>
      </c>
      <c r="E532">
        <v>51</v>
      </c>
      <c r="F532">
        <v>0.68500000000000005</v>
      </c>
      <c r="G532">
        <v>0</v>
      </c>
      <c r="H532">
        <v>986</v>
      </c>
      <c r="I532">
        <v>702</v>
      </c>
      <c r="J532">
        <v>284</v>
      </c>
    </row>
    <row r="533" spans="1:10" x14ac:dyDescent="0.25">
      <c r="A533">
        <v>27</v>
      </c>
      <c r="B533" t="s">
        <v>32</v>
      </c>
      <c r="C533" t="s">
        <v>20</v>
      </c>
      <c r="D533">
        <v>99</v>
      </c>
      <c r="E533">
        <v>63</v>
      </c>
      <c r="F533">
        <v>0.61099999999999999</v>
      </c>
      <c r="G533">
        <v>12</v>
      </c>
      <c r="H533">
        <v>988</v>
      </c>
      <c r="I533">
        <v>837</v>
      </c>
      <c r="J533">
        <v>151</v>
      </c>
    </row>
    <row r="534" spans="1:10" x14ac:dyDescent="0.25">
      <c r="A534">
        <v>27</v>
      </c>
      <c r="B534" t="s">
        <v>32</v>
      </c>
      <c r="C534" t="s">
        <v>21</v>
      </c>
      <c r="D534">
        <v>86</v>
      </c>
      <c r="E534">
        <v>76</v>
      </c>
      <c r="F534">
        <v>0.53100000000000003</v>
      </c>
      <c r="G534">
        <v>25</v>
      </c>
      <c r="H534">
        <v>1051</v>
      </c>
      <c r="I534">
        <v>919</v>
      </c>
      <c r="J534">
        <v>132</v>
      </c>
    </row>
    <row r="535" spans="1:10" x14ac:dyDescent="0.25">
      <c r="A535">
        <v>27</v>
      </c>
      <c r="B535" t="s">
        <v>32</v>
      </c>
      <c r="C535" t="s">
        <v>22</v>
      </c>
      <c r="D535">
        <v>71</v>
      </c>
      <c r="E535">
        <v>91</v>
      </c>
      <c r="F535">
        <v>0.438</v>
      </c>
      <c r="G535">
        <v>40</v>
      </c>
      <c r="H535">
        <v>916</v>
      </c>
      <c r="I535">
        <v>1015</v>
      </c>
      <c r="J535">
        <v>-99</v>
      </c>
    </row>
    <row r="536" spans="1:10" x14ac:dyDescent="0.25">
      <c r="A536">
        <v>27</v>
      </c>
      <c r="B536" t="s">
        <v>32</v>
      </c>
      <c r="C536" t="s">
        <v>23</v>
      </c>
      <c r="D536">
        <v>52</v>
      </c>
      <c r="E536">
        <v>110</v>
      </c>
      <c r="F536">
        <v>0.32100000000000001</v>
      </c>
      <c r="G536">
        <v>59</v>
      </c>
      <c r="H536">
        <v>796</v>
      </c>
      <c r="I536">
        <v>1086</v>
      </c>
      <c r="J536">
        <v>-290</v>
      </c>
    </row>
    <row r="537" spans="1:10" x14ac:dyDescent="0.25">
      <c r="A537">
        <v>27</v>
      </c>
      <c r="B537" t="s">
        <v>33</v>
      </c>
      <c r="C537" t="s">
        <v>26</v>
      </c>
      <c r="D537">
        <v>101</v>
      </c>
      <c r="E537">
        <v>61</v>
      </c>
      <c r="F537">
        <v>0.623</v>
      </c>
      <c r="G537">
        <v>0</v>
      </c>
      <c r="H537">
        <v>938</v>
      </c>
      <c r="I537">
        <v>824</v>
      </c>
      <c r="J537">
        <v>114</v>
      </c>
    </row>
    <row r="538" spans="1:10" x14ac:dyDescent="0.25">
      <c r="A538">
        <v>27</v>
      </c>
      <c r="B538" t="s">
        <v>33</v>
      </c>
      <c r="C538" t="s">
        <v>24</v>
      </c>
      <c r="D538">
        <v>97</v>
      </c>
      <c r="E538">
        <v>65</v>
      </c>
      <c r="F538">
        <v>0.59899999999999998</v>
      </c>
      <c r="G538">
        <v>4</v>
      </c>
      <c r="H538">
        <v>855</v>
      </c>
      <c r="I538">
        <v>702</v>
      </c>
      <c r="J538">
        <v>153</v>
      </c>
    </row>
    <row r="539" spans="1:10" x14ac:dyDescent="0.25">
      <c r="A539">
        <v>27</v>
      </c>
      <c r="B539" t="s">
        <v>33</v>
      </c>
      <c r="C539" t="s">
        <v>25</v>
      </c>
      <c r="D539">
        <v>88</v>
      </c>
      <c r="E539">
        <v>74</v>
      </c>
      <c r="F539">
        <v>0.54300000000000004</v>
      </c>
      <c r="G539">
        <v>13</v>
      </c>
      <c r="H539">
        <v>855</v>
      </c>
      <c r="I539">
        <v>731</v>
      </c>
      <c r="J539">
        <v>124</v>
      </c>
    </row>
    <row r="540" spans="1:10" x14ac:dyDescent="0.25">
      <c r="A540">
        <v>27</v>
      </c>
      <c r="B540" t="s">
        <v>33</v>
      </c>
      <c r="C540" t="s">
        <v>27</v>
      </c>
      <c r="D540">
        <v>76</v>
      </c>
      <c r="E540">
        <v>86</v>
      </c>
      <c r="F540">
        <v>0.46899999999999997</v>
      </c>
      <c r="G540">
        <v>25</v>
      </c>
      <c r="H540">
        <v>793</v>
      </c>
      <c r="I540">
        <v>834</v>
      </c>
      <c r="J540">
        <v>-41</v>
      </c>
    </row>
    <row r="541" spans="1:10" x14ac:dyDescent="0.25">
      <c r="A541">
        <v>27</v>
      </c>
      <c r="B541" t="s">
        <v>33</v>
      </c>
      <c r="C541" t="s">
        <v>28</v>
      </c>
      <c r="D541">
        <v>45</v>
      </c>
      <c r="E541">
        <v>117</v>
      </c>
      <c r="F541">
        <v>0.27800000000000002</v>
      </c>
      <c r="G541">
        <v>56</v>
      </c>
      <c r="H541">
        <v>700</v>
      </c>
      <c r="I541">
        <v>1051</v>
      </c>
      <c r="J541">
        <v>-351</v>
      </c>
    </row>
    <row r="542" spans="1:10" x14ac:dyDescent="0.25">
      <c r="A542">
        <v>28</v>
      </c>
      <c r="B542" t="s">
        <v>30</v>
      </c>
      <c r="C542" t="s">
        <v>10</v>
      </c>
      <c r="D542">
        <v>99</v>
      </c>
      <c r="E542">
        <v>63</v>
      </c>
      <c r="F542">
        <v>0.61099999999999999</v>
      </c>
      <c r="G542">
        <v>0</v>
      </c>
      <c r="H542">
        <v>982</v>
      </c>
      <c r="I542">
        <v>798</v>
      </c>
      <c r="J542">
        <v>184</v>
      </c>
    </row>
    <row r="543" spans="1:10" x14ac:dyDescent="0.25">
      <c r="A543">
        <v>28</v>
      </c>
      <c r="B543" t="s">
        <v>30</v>
      </c>
      <c r="C543" t="s">
        <v>8</v>
      </c>
      <c r="D543">
        <v>90</v>
      </c>
      <c r="E543">
        <v>72</v>
      </c>
      <c r="F543">
        <v>0.55600000000000005</v>
      </c>
      <c r="G543">
        <v>9</v>
      </c>
      <c r="H543">
        <v>835</v>
      </c>
      <c r="I543">
        <v>710</v>
      </c>
      <c r="J543">
        <v>125</v>
      </c>
    </row>
    <row r="544" spans="1:10" x14ac:dyDescent="0.25">
      <c r="A544">
        <v>28</v>
      </c>
      <c r="B544" t="s">
        <v>30</v>
      </c>
      <c r="C544" t="s">
        <v>11</v>
      </c>
      <c r="D544">
        <v>78</v>
      </c>
      <c r="E544">
        <v>84</v>
      </c>
      <c r="F544">
        <v>0.48099999999999998</v>
      </c>
      <c r="G544">
        <v>21</v>
      </c>
      <c r="H544">
        <v>881</v>
      </c>
      <c r="I544">
        <v>857</v>
      </c>
      <c r="J544">
        <v>24</v>
      </c>
    </row>
    <row r="545" spans="1:10" x14ac:dyDescent="0.25">
      <c r="A545">
        <v>28</v>
      </c>
      <c r="B545" t="s">
        <v>30</v>
      </c>
      <c r="C545" t="s">
        <v>13</v>
      </c>
      <c r="D545">
        <v>77</v>
      </c>
      <c r="E545">
        <v>85</v>
      </c>
      <c r="F545">
        <v>0.47499999999999998</v>
      </c>
      <c r="G545">
        <v>22</v>
      </c>
      <c r="H545">
        <v>760</v>
      </c>
      <c r="I545">
        <v>835</v>
      </c>
      <c r="J545">
        <v>-75</v>
      </c>
    </row>
    <row r="546" spans="1:10" x14ac:dyDescent="0.25">
      <c r="A546">
        <v>28</v>
      </c>
      <c r="B546" t="s">
        <v>30</v>
      </c>
      <c r="C546" t="s">
        <v>12</v>
      </c>
      <c r="D546">
        <v>75</v>
      </c>
      <c r="E546">
        <v>87</v>
      </c>
      <c r="F546">
        <v>0.46300000000000002</v>
      </c>
      <c r="G546">
        <v>24</v>
      </c>
      <c r="H546">
        <v>908</v>
      </c>
      <c r="I546">
        <v>872</v>
      </c>
      <c r="J546">
        <v>36</v>
      </c>
    </row>
    <row r="547" spans="1:10" x14ac:dyDescent="0.25">
      <c r="A547">
        <v>28</v>
      </c>
      <c r="B547" t="s">
        <v>31</v>
      </c>
      <c r="C547" t="s">
        <v>14</v>
      </c>
      <c r="D547">
        <v>117</v>
      </c>
      <c r="E547">
        <v>45</v>
      </c>
      <c r="F547">
        <v>0.72199999999999998</v>
      </c>
      <c r="G547">
        <v>0</v>
      </c>
      <c r="H547">
        <v>1076</v>
      </c>
      <c r="I547">
        <v>703</v>
      </c>
      <c r="J547">
        <v>373</v>
      </c>
    </row>
    <row r="548" spans="1:10" x14ac:dyDescent="0.25">
      <c r="A548">
        <v>28</v>
      </c>
      <c r="B548" t="s">
        <v>31</v>
      </c>
      <c r="C548" t="s">
        <v>16</v>
      </c>
      <c r="D548">
        <v>72</v>
      </c>
      <c r="E548">
        <v>90</v>
      </c>
      <c r="F548">
        <v>0.44400000000000001</v>
      </c>
      <c r="G548">
        <v>45</v>
      </c>
      <c r="H548">
        <v>744</v>
      </c>
      <c r="I548">
        <v>877</v>
      </c>
      <c r="J548">
        <v>-133</v>
      </c>
    </row>
    <row r="549" spans="1:10" x14ac:dyDescent="0.25">
      <c r="A549">
        <v>28</v>
      </c>
      <c r="B549" t="s">
        <v>31</v>
      </c>
      <c r="C549" t="s">
        <v>17</v>
      </c>
      <c r="D549">
        <v>62</v>
      </c>
      <c r="E549">
        <v>100</v>
      </c>
      <c r="F549">
        <v>0.38300000000000001</v>
      </c>
      <c r="G549">
        <v>55</v>
      </c>
      <c r="H549">
        <v>835</v>
      </c>
      <c r="I549">
        <v>1017</v>
      </c>
      <c r="J549">
        <v>-182</v>
      </c>
    </row>
    <row r="550" spans="1:10" x14ac:dyDescent="0.25">
      <c r="A550">
        <v>28</v>
      </c>
      <c r="B550" t="s">
        <v>31</v>
      </c>
      <c r="C550" t="s">
        <v>15</v>
      </c>
      <c r="D550">
        <v>62</v>
      </c>
      <c r="E550">
        <v>100</v>
      </c>
      <c r="F550">
        <v>0.38300000000000001</v>
      </c>
      <c r="G550">
        <v>55</v>
      </c>
      <c r="H550">
        <v>998</v>
      </c>
      <c r="I550">
        <v>1157</v>
      </c>
      <c r="J550">
        <v>-159</v>
      </c>
    </row>
    <row r="551" spans="1:10" x14ac:dyDescent="0.25">
      <c r="A551">
        <v>28</v>
      </c>
      <c r="B551" t="s">
        <v>31</v>
      </c>
      <c r="C551" t="s">
        <v>18</v>
      </c>
      <c r="D551">
        <v>43</v>
      </c>
      <c r="E551">
        <v>119</v>
      </c>
      <c r="F551">
        <v>0.26500000000000001</v>
      </c>
      <c r="G551">
        <v>74</v>
      </c>
      <c r="H551">
        <v>670</v>
      </c>
      <c r="I551">
        <v>1012</v>
      </c>
      <c r="J551">
        <v>-342</v>
      </c>
    </row>
    <row r="552" spans="1:10" x14ac:dyDescent="0.25">
      <c r="A552">
        <v>28</v>
      </c>
      <c r="B552" t="s">
        <v>32</v>
      </c>
      <c r="C552" t="s">
        <v>19</v>
      </c>
      <c r="D552">
        <v>102</v>
      </c>
      <c r="E552">
        <v>60</v>
      </c>
      <c r="F552">
        <v>0.63</v>
      </c>
      <c r="G552">
        <v>0</v>
      </c>
      <c r="H552">
        <v>1024</v>
      </c>
      <c r="I552">
        <v>831</v>
      </c>
      <c r="J552">
        <v>193</v>
      </c>
    </row>
    <row r="553" spans="1:10" x14ac:dyDescent="0.25">
      <c r="A553">
        <v>28</v>
      </c>
      <c r="B553" t="s">
        <v>32</v>
      </c>
      <c r="C553" t="s">
        <v>20</v>
      </c>
      <c r="D553">
        <v>100</v>
      </c>
      <c r="E553">
        <v>62</v>
      </c>
      <c r="F553">
        <v>0.61699999999999999</v>
      </c>
      <c r="G553">
        <v>2</v>
      </c>
      <c r="H553">
        <v>953</v>
      </c>
      <c r="I553">
        <v>861</v>
      </c>
      <c r="J553">
        <v>92</v>
      </c>
    </row>
    <row r="554" spans="1:10" x14ac:dyDescent="0.25">
      <c r="A554">
        <v>28</v>
      </c>
      <c r="B554" t="s">
        <v>32</v>
      </c>
      <c r="C554" t="s">
        <v>21</v>
      </c>
      <c r="D554">
        <v>90</v>
      </c>
      <c r="E554">
        <v>72</v>
      </c>
      <c r="F554">
        <v>0.55600000000000005</v>
      </c>
      <c r="G554">
        <v>12</v>
      </c>
      <c r="H554">
        <v>998</v>
      </c>
      <c r="I554">
        <v>860</v>
      </c>
      <c r="J554">
        <v>138</v>
      </c>
    </row>
    <row r="555" spans="1:10" x14ac:dyDescent="0.25">
      <c r="A555">
        <v>28</v>
      </c>
      <c r="B555" t="s">
        <v>32</v>
      </c>
      <c r="C555" t="s">
        <v>22</v>
      </c>
      <c r="D555">
        <v>74</v>
      </c>
      <c r="E555">
        <v>88</v>
      </c>
      <c r="F555">
        <v>0.45700000000000002</v>
      </c>
      <c r="G555">
        <v>28</v>
      </c>
      <c r="H555">
        <v>847</v>
      </c>
      <c r="I555">
        <v>956</v>
      </c>
      <c r="J555">
        <v>-109</v>
      </c>
    </row>
    <row r="556" spans="1:10" x14ac:dyDescent="0.25">
      <c r="A556">
        <v>28</v>
      </c>
      <c r="B556" t="s">
        <v>32</v>
      </c>
      <c r="C556" t="s">
        <v>23</v>
      </c>
      <c r="D556">
        <v>69</v>
      </c>
      <c r="E556">
        <v>93</v>
      </c>
      <c r="F556">
        <v>0.42599999999999999</v>
      </c>
      <c r="G556">
        <v>33</v>
      </c>
      <c r="H556">
        <v>828</v>
      </c>
      <c r="I556">
        <v>953</v>
      </c>
      <c r="J556">
        <v>-125</v>
      </c>
    </row>
    <row r="557" spans="1:10" x14ac:dyDescent="0.25">
      <c r="A557">
        <v>28</v>
      </c>
      <c r="B557" t="s">
        <v>33</v>
      </c>
      <c r="C557" t="s">
        <v>24</v>
      </c>
      <c r="D557">
        <v>102</v>
      </c>
      <c r="E557">
        <v>60</v>
      </c>
      <c r="F557">
        <v>0.63</v>
      </c>
      <c r="G557">
        <v>0</v>
      </c>
      <c r="H557">
        <v>931</v>
      </c>
      <c r="I557">
        <v>702</v>
      </c>
      <c r="J557">
        <v>229</v>
      </c>
    </row>
    <row r="558" spans="1:10" x14ac:dyDescent="0.25">
      <c r="A558">
        <v>28</v>
      </c>
      <c r="B558" t="s">
        <v>33</v>
      </c>
      <c r="C558" t="s">
        <v>26</v>
      </c>
      <c r="D558">
        <v>93</v>
      </c>
      <c r="E558">
        <v>69</v>
      </c>
      <c r="F558">
        <v>0.57399999999999995</v>
      </c>
      <c r="G558">
        <v>9</v>
      </c>
      <c r="H558">
        <v>841</v>
      </c>
      <c r="I558">
        <v>777</v>
      </c>
      <c r="J558">
        <v>64</v>
      </c>
    </row>
    <row r="559" spans="1:10" x14ac:dyDescent="0.25">
      <c r="A559">
        <v>28</v>
      </c>
      <c r="B559" t="s">
        <v>33</v>
      </c>
      <c r="C559" t="s">
        <v>25</v>
      </c>
      <c r="D559">
        <v>85</v>
      </c>
      <c r="E559">
        <v>77</v>
      </c>
      <c r="F559">
        <v>0.52500000000000002</v>
      </c>
      <c r="G559">
        <v>17</v>
      </c>
      <c r="H559">
        <v>861</v>
      </c>
      <c r="I559">
        <v>776</v>
      </c>
      <c r="J559">
        <v>85</v>
      </c>
    </row>
    <row r="560" spans="1:10" x14ac:dyDescent="0.25">
      <c r="A560">
        <v>28</v>
      </c>
      <c r="B560" t="s">
        <v>33</v>
      </c>
      <c r="C560" t="s">
        <v>27</v>
      </c>
      <c r="D560">
        <v>68</v>
      </c>
      <c r="E560">
        <v>94</v>
      </c>
      <c r="F560">
        <v>0.42</v>
      </c>
      <c r="G560">
        <v>34</v>
      </c>
      <c r="H560">
        <v>762</v>
      </c>
      <c r="I560">
        <v>880</v>
      </c>
      <c r="J560">
        <v>-118</v>
      </c>
    </row>
    <row r="561" spans="1:10" x14ac:dyDescent="0.25">
      <c r="A561">
        <v>28</v>
      </c>
      <c r="B561" t="s">
        <v>33</v>
      </c>
      <c r="C561" t="s">
        <v>28</v>
      </c>
      <c r="D561">
        <v>62</v>
      </c>
      <c r="E561">
        <v>100</v>
      </c>
      <c r="F561">
        <v>0.38300000000000001</v>
      </c>
      <c r="G561">
        <v>40</v>
      </c>
      <c r="H561">
        <v>771</v>
      </c>
      <c r="I561">
        <v>1071</v>
      </c>
      <c r="J561">
        <v>-300</v>
      </c>
    </row>
    <row r="562" spans="1:10" x14ac:dyDescent="0.25">
      <c r="A562">
        <v>29</v>
      </c>
      <c r="B562" t="s">
        <v>30</v>
      </c>
      <c r="C562" t="s">
        <v>8</v>
      </c>
      <c r="D562">
        <v>105</v>
      </c>
      <c r="E562">
        <v>57</v>
      </c>
      <c r="F562">
        <v>0.64800000000000002</v>
      </c>
      <c r="G562">
        <v>0</v>
      </c>
      <c r="H562">
        <v>922</v>
      </c>
      <c r="I562">
        <v>626</v>
      </c>
      <c r="J562">
        <v>296</v>
      </c>
    </row>
    <row r="563" spans="1:10" x14ac:dyDescent="0.25">
      <c r="A563">
        <v>29</v>
      </c>
      <c r="B563" t="s">
        <v>30</v>
      </c>
      <c r="C563" t="s">
        <v>10</v>
      </c>
      <c r="D563">
        <v>104</v>
      </c>
      <c r="E563">
        <v>58</v>
      </c>
      <c r="F563">
        <v>0.64200000000000002</v>
      </c>
      <c r="G563">
        <v>1</v>
      </c>
      <c r="H563">
        <v>937</v>
      </c>
      <c r="I563">
        <v>690</v>
      </c>
      <c r="J563">
        <v>247</v>
      </c>
    </row>
    <row r="564" spans="1:10" x14ac:dyDescent="0.25">
      <c r="A564">
        <v>29</v>
      </c>
      <c r="B564" t="s">
        <v>30</v>
      </c>
      <c r="C564" t="s">
        <v>12</v>
      </c>
      <c r="D564">
        <v>94</v>
      </c>
      <c r="E564">
        <v>68</v>
      </c>
      <c r="F564">
        <v>0.57999999999999996</v>
      </c>
      <c r="G564">
        <v>11</v>
      </c>
      <c r="H564">
        <v>949</v>
      </c>
      <c r="I564">
        <v>789</v>
      </c>
      <c r="J564">
        <v>160</v>
      </c>
    </row>
    <row r="565" spans="1:10" x14ac:dyDescent="0.25">
      <c r="A565">
        <v>29</v>
      </c>
      <c r="B565" t="s">
        <v>30</v>
      </c>
      <c r="C565" t="s">
        <v>11</v>
      </c>
      <c r="D565">
        <v>81</v>
      </c>
      <c r="E565">
        <v>81</v>
      </c>
      <c r="F565">
        <v>0.5</v>
      </c>
      <c r="G565">
        <v>24</v>
      </c>
      <c r="H565">
        <v>791</v>
      </c>
      <c r="I565">
        <v>786</v>
      </c>
      <c r="J565">
        <v>5</v>
      </c>
    </row>
    <row r="566" spans="1:10" x14ac:dyDescent="0.25">
      <c r="A566">
        <v>29</v>
      </c>
      <c r="B566" t="s">
        <v>30</v>
      </c>
      <c r="C566" t="s">
        <v>13</v>
      </c>
      <c r="D566">
        <v>77</v>
      </c>
      <c r="E566">
        <v>85</v>
      </c>
      <c r="F566">
        <v>0.47499999999999998</v>
      </c>
      <c r="G566">
        <v>28</v>
      </c>
      <c r="H566">
        <v>851</v>
      </c>
      <c r="I566">
        <v>872</v>
      </c>
      <c r="J566">
        <v>-21</v>
      </c>
    </row>
    <row r="567" spans="1:10" x14ac:dyDescent="0.25">
      <c r="A567">
        <v>29</v>
      </c>
      <c r="B567" t="s">
        <v>31</v>
      </c>
      <c r="C567" t="s">
        <v>14</v>
      </c>
      <c r="D567">
        <v>105</v>
      </c>
      <c r="E567">
        <v>57</v>
      </c>
      <c r="F567">
        <v>0.64800000000000002</v>
      </c>
      <c r="G567">
        <v>0</v>
      </c>
      <c r="H567">
        <v>996</v>
      </c>
      <c r="I567">
        <v>715</v>
      </c>
      <c r="J567">
        <v>281</v>
      </c>
    </row>
    <row r="568" spans="1:10" x14ac:dyDescent="0.25">
      <c r="A568">
        <v>29</v>
      </c>
      <c r="B568" t="s">
        <v>31</v>
      </c>
      <c r="C568" t="s">
        <v>16</v>
      </c>
      <c r="D568">
        <v>82</v>
      </c>
      <c r="E568">
        <v>80</v>
      </c>
      <c r="F568">
        <v>0.50600000000000001</v>
      </c>
      <c r="G568">
        <v>23</v>
      </c>
      <c r="H568">
        <v>793</v>
      </c>
      <c r="I568">
        <v>797</v>
      </c>
      <c r="J568">
        <v>-4</v>
      </c>
    </row>
    <row r="569" spans="1:10" x14ac:dyDescent="0.25">
      <c r="A569">
        <v>29</v>
      </c>
      <c r="B569" t="s">
        <v>31</v>
      </c>
      <c r="C569" t="s">
        <v>15</v>
      </c>
      <c r="D569">
        <v>64</v>
      </c>
      <c r="E569">
        <v>98</v>
      </c>
      <c r="F569">
        <v>0.39500000000000002</v>
      </c>
      <c r="G569">
        <v>41</v>
      </c>
      <c r="H569">
        <v>897</v>
      </c>
      <c r="I569">
        <v>1180</v>
      </c>
      <c r="J569">
        <v>-283</v>
      </c>
    </row>
    <row r="570" spans="1:10" x14ac:dyDescent="0.25">
      <c r="A570">
        <v>29</v>
      </c>
      <c r="B570" t="s">
        <v>31</v>
      </c>
      <c r="C570" t="s">
        <v>17</v>
      </c>
      <c r="D570">
        <v>57</v>
      </c>
      <c r="E570">
        <v>105</v>
      </c>
      <c r="F570">
        <v>0.35199999999999998</v>
      </c>
      <c r="G570">
        <v>48</v>
      </c>
      <c r="H570">
        <v>777</v>
      </c>
      <c r="I570">
        <v>1044</v>
      </c>
      <c r="J570">
        <v>-267</v>
      </c>
    </row>
    <row r="571" spans="1:10" x14ac:dyDescent="0.25">
      <c r="A571">
        <v>29</v>
      </c>
      <c r="B571" t="s">
        <v>31</v>
      </c>
      <c r="C571" t="s">
        <v>18</v>
      </c>
      <c r="D571">
        <v>46</v>
      </c>
      <c r="E571">
        <v>116</v>
      </c>
      <c r="F571">
        <v>0.28399999999999997</v>
      </c>
      <c r="G571">
        <v>59</v>
      </c>
      <c r="H571">
        <v>643</v>
      </c>
      <c r="I571">
        <v>1030</v>
      </c>
      <c r="J571">
        <v>-387</v>
      </c>
    </row>
    <row r="572" spans="1:10" x14ac:dyDescent="0.25">
      <c r="A572">
        <v>29</v>
      </c>
      <c r="B572" t="s">
        <v>32</v>
      </c>
      <c r="C572" t="s">
        <v>19</v>
      </c>
      <c r="D572">
        <v>109</v>
      </c>
      <c r="E572">
        <v>53</v>
      </c>
      <c r="F572">
        <v>0.67300000000000004</v>
      </c>
      <c r="G572">
        <v>0</v>
      </c>
      <c r="H572">
        <v>1047</v>
      </c>
      <c r="I572">
        <v>729</v>
      </c>
      <c r="J572">
        <v>318</v>
      </c>
    </row>
    <row r="573" spans="1:10" x14ac:dyDescent="0.25">
      <c r="A573">
        <v>29</v>
      </c>
      <c r="B573" t="s">
        <v>32</v>
      </c>
      <c r="C573" t="s">
        <v>20</v>
      </c>
      <c r="D573">
        <v>107</v>
      </c>
      <c r="E573">
        <v>55</v>
      </c>
      <c r="F573">
        <v>0.66</v>
      </c>
      <c r="G573">
        <v>2</v>
      </c>
      <c r="H573">
        <v>997</v>
      </c>
      <c r="I573">
        <v>725</v>
      </c>
      <c r="J573">
        <v>272</v>
      </c>
    </row>
    <row r="574" spans="1:10" x14ac:dyDescent="0.25">
      <c r="A574">
        <v>29</v>
      </c>
      <c r="B574" t="s">
        <v>32</v>
      </c>
      <c r="C574" t="s">
        <v>21</v>
      </c>
      <c r="D574">
        <v>78</v>
      </c>
      <c r="E574">
        <v>84</v>
      </c>
      <c r="F574">
        <v>0.48099999999999998</v>
      </c>
      <c r="G574">
        <v>31</v>
      </c>
      <c r="H574">
        <v>924</v>
      </c>
      <c r="I574">
        <v>889</v>
      </c>
      <c r="J574">
        <v>35</v>
      </c>
    </row>
    <row r="575" spans="1:10" x14ac:dyDescent="0.25">
      <c r="A575">
        <v>29</v>
      </c>
      <c r="B575" t="s">
        <v>32</v>
      </c>
      <c r="C575" t="s">
        <v>22</v>
      </c>
      <c r="D575">
        <v>69</v>
      </c>
      <c r="E575">
        <v>93</v>
      </c>
      <c r="F575">
        <v>0.42599999999999999</v>
      </c>
      <c r="G575">
        <v>40</v>
      </c>
      <c r="H575">
        <v>824</v>
      </c>
      <c r="I575">
        <v>975</v>
      </c>
      <c r="J575">
        <v>-151</v>
      </c>
    </row>
    <row r="576" spans="1:10" x14ac:dyDescent="0.25">
      <c r="A576">
        <v>29</v>
      </c>
      <c r="B576" t="s">
        <v>32</v>
      </c>
      <c r="C576" t="s">
        <v>23</v>
      </c>
      <c r="D576">
        <v>52</v>
      </c>
      <c r="E576">
        <v>110</v>
      </c>
      <c r="F576">
        <v>0.32100000000000001</v>
      </c>
      <c r="G576">
        <v>57</v>
      </c>
      <c r="H576">
        <v>781</v>
      </c>
      <c r="I576">
        <v>1039</v>
      </c>
      <c r="J576">
        <v>-258</v>
      </c>
    </row>
    <row r="577" spans="1:10" x14ac:dyDescent="0.25">
      <c r="A577">
        <v>29</v>
      </c>
      <c r="B577" t="s">
        <v>33</v>
      </c>
      <c r="C577" t="s">
        <v>24</v>
      </c>
      <c r="D577">
        <v>101</v>
      </c>
      <c r="E577">
        <v>61</v>
      </c>
      <c r="F577">
        <v>0.623</v>
      </c>
      <c r="G577">
        <v>0</v>
      </c>
      <c r="H577">
        <v>846</v>
      </c>
      <c r="I577">
        <v>699</v>
      </c>
      <c r="J577">
        <v>147</v>
      </c>
    </row>
    <row r="578" spans="1:10" x14ac:dyDescent="0.25">
      <c r="A578">
        <v>29</v>
      </c>
      <c r="B578" t="s">
        <v>33</v>
      </c>
      <c r="C578" t="s">
        <v>26</v>
      </c>
      <c r="D578">
        <v>89</v>
      </c>
      <c r="E578">
        <v>73</v>
      </c>
      <c r="F578">
        <v>0.54900000000000004</v>
      </c>
      <c r="G578">
        <v>12</v>
      </c>
      <c r="H578">
        <v>824</v>
      </c>
      <c r="I578">
        <v>753</v>
      </c>
      <c r="J578">
        <v>71</v>
      </c>
    </row>
    <row r="579" spans="1:10" x14ac:dyDescent="0.25">
      <c r="A579">
        <v>29</v>
      </c>
      <c r="B579" t="s">
        <v>33</v>
      </c>
      <c r="C579" t="s">
        <v>25</v>
      </c>
      <c r="D579">
        <v>77</v>
      </c>
      <c r="E579">
        <v>85</v>
      </c>
      <c r="F579">
        <v>0.47499999999999998</v>
      </c>
      <c r="G579">
        <v>24</v>
      </c>
      <c r="H579">
        <v>788</v>
      </c>
      <c r="I579">
        <v>803</v>
      </c>
      <c r="J579">
        <v>-15</v>
      </c>
    </row>
    <row r="580" spans="1:10" x14ac:dyDescent="0.25">
      <c r="A580">
        <v>29</v>
      </c>
      <c r="B580" t="s">
        <v>33</v>
      </c>
      <c r="C580" t="s">
        <v>27</v>
      </c>
      <c r="D580">
        <v>70</v>
      </c>
      <c r="E580">
        <v>92</v>
      </c>
      <c r="F580">
        <v>0.432</v>
      </c>
      <c r="G580">
        <v>31</v>
      </c>
      <c r="H580">
        <v>811</v>
      </c>
      <c r="I580">
        <v>890</v>
      </c>
      <c r="J580">
        <v>-79</v>
      </c>
    </row>
    <row r="581" spans="1:10" x14ac:dyDescent="0.25">
      <c r="A581">
        <v>29</v>
      </c>
      <c r="B581" t="s">
        <v>33</v>
      </c>
      <c r="C581" t="s">
        <v>28</v>
      </c>
      <c r="D581">
        <v>53</v>
      </c>
      <c r="E581">
        <v>109</v>
      </c>
      <c r="F581">
        <v>0.32700000000000001</v>
      </c>
      <c r="G581">
        <v>48</v>
      </c>
      <c r="H581">
        <v>675</v>
      </c>
      <c r="I581">
        <v>1042</v>
      </c>
      <c r="J581">
        <v>-367</v>
      </c>
    </row>
    <row r="582" spans="1:10" x14ac:dyDescent="0.25">
      <c r="A582">
        <v>30</v>
      </c>
      <c r="B582" t="s">
        <v>30</v>
      </c>
      <c r="C582" t="s">
        <v>8</v>
      </c>
      <c r="D582">
        <v>100</v>
      </c>
      <c r="E582">
        <v>62</v>
      </c>
      <c r="F582">
        <v>0.61699999999999999</v>
      </c>
      <c r="G582">
        <v>0</v>
      </c>
      <c r="H582">
        <v>914</v>
      </c>
      <c r="I582">
        <v>706</v>
      </c>
      <c r="J582">
        <v>208</v>
      </c>
    </row>
    <row r="583" spans="1:10" x14ac:dyDescent="0.25">
      <c r="A583">
        <v>30</v>
      </c>
      <c r="B583" t="s">
        <v>30</v>
      </c>
      <c r="C583" t="s">
        <v>10</v>
      </c>
      <c r="D583">
        <v>94</v>
      </c>
      <c r="E583">
        <v>68</v>
      </c>
      <c r="F583">
        <v>0.57999999999999996</v>
      </c>
      <c r="G583">
        <v>6</v>
      </c>
      <c r="H583">
        <v>947</v>
      </c>
      <c r="I583">
        <v>818</v>
      </c>
      <c r="J583">
        <v>129</v>
      </c>
    </row>
    <row r="584" spans="1:10" x14ac:dyDescent="0.25">
      <c r="A584">
        <v>30</v>
      </c>
      <c r="B584" t="s">
        <v>30</v>
      </c>
      <c r="C584" t="s">
        <v>11</v>
      </c>
      <c r="D584">
        <v>94</v>
      </c>
      <c r="E584">
        <v>68</v>
      </c>
      <c r="F584">
        <v>0.57999999999999996</v>
      </c>
      <c r="G584">
        <v>6</v>
      </c>
      <c r="H584">
        <v>902</v>
      </c>
      <c r="I584">
        <v>816</v>
      </c>
      <c r="J584">
        <v>86</v>
      </c>
    </row>
    <row r="585" spans="1:10" x14ac:dyDescent="0.25">
      <c r="A585">
        <v>30</v>
      </c>
      <c r="B585" t="s">
        <v>30</v>
      </c>
      <c r="C585" t="s">
        <v>12</v>
      </c>
      <c r="D585">
        <v>86</v>
      </c>
      <c r="E585">
        <v>76</v>
      </c>
      <c r="F585">
        <v>0.53100000000000003</v>
      </c>
      <c r="G585">
        <v>14</v>
      </c>
      <c r="H585">
        <v>936</v>
      </c>
      <c r="I585">
        <v>857</v>
      </c>
      <c r="J585">
        <v>79</v>
      </c>
    </row>
    <row r="586" spans="1:10" x14ac:dyDescent="0.25">
      <c r="A586">
        <v>30</v>
      </c>
      <c r="B586" t="s">
        <v>30</v>
      </c>
      <c r="C586" t="s">
        <v>13</v>
      </c>
      <c r="D586">
        <v>70</v>
      </c>
      <c r="E586">
        <v>92</v>
      </c>
      <c r="F586">
        <v>0.432</v>
      </c>
      <c r="G586">
        <v>30</v>
      </c>
      <c r="H586">
        <v>811</v>
      </c>
      <c r="I586">
        <v>897</v>
      </c>
      <c r="J586">
        <v>-86</v>
      </c>
    </row>
    <row r="587" spans="1:10" x14ac:dyDescent="0.25">
      <c r="A587">
        <v>30</v>
      </c>
      <c r="B587" t="s">
        <v>31</v>
      </c>
      <c r="C587" t="s">
        <v>14</v>
      </c>
      <c r="D587">
        <v>104</v>
      </c>
      <c r="E587">
        <v>58</v>
      </c>
      <c r="F587">
        <v>0.64200000000000002</v>
      </c>
      <c r="G587">
        <v>0</v>
      </c>
      <c r="H587">
        <v>968</v>
      </c>
      <c r="I587">
        <v>700</v>
      </c>
      <c r="J587">
        <v>268</v>
      </c>
    </row>
    <row r="588" spans="1:10" x14ac:dyDescent="0.25">
      <c r="A588">
        <v>30</v>
      </c>
      <c r="B588" t="s">
        <v>31</v>
      </c>
      <c r="C588" t="s">
        <v>16</v>
      </c>
      <c r="D588">
        <v>69</v>
      </c>
      <c r="E588">
        <v>93</v>
      </c>
      <c r="F588">
        <v>0.42599999999999999</v>
      </c>
      <c r="G588">
        <v>35</v>
      </c>
      <c r="H588">
        <v>777</v>
      </c>
      <c r="I588">
        <v>908</v>
      </c>
      <c r="J588">
        <v>-131</v>
      </c>
    </row>
    <row r="589" spans="1:10" x14ac:dyDescent="0.25">
      <c r="A589">
        <v>30</v>
      </c>
      <c r="B589" t="s">
        <v>31</v>
      </c>
      <c r="C589" t="s">
        <v>15</v>
      </c>
      <c r="D589">
        <v>68</v>
      </c>
      <c r="E589">
        <v>94</v>
      </c>
      <c r="F589">
        <v>0.42</v>
      </c>
      <c r="G589">
        <v>36</v>
      </c>
      <c r="H589">
        <v>986</v>
      </c>
      <c r="I589">
        <v>1191</v>
      </c>
      <c r="J589">
        <v>-205</v>
      </c>
    </row>
    <row r="590" spans="1:10" x14ac:dyDescent="0.25">
      <c r="A590">
        <v>30</v>
      </c>
      <c r="B590" t="s">
        <v>31</v>
      </c>
      <c r="C590" t="s">
        <v>17</v>
      </c>
      <c r="D590">
        <v>57</v>
      </c>
      <c r="E590">
        <v>105</v>
      </c>
      <c r="F590">
        <v>0.35199999999999998</v>
      </c>
      <c r="G590">
        <v>47</v>
      </c>
      <c r="H590">
        <v>870</v>
      </c>
      <c r="I590">
        <v>1020</v>
      </c>
      <c r="J590">
        <v>-150</v>
      </c>
    </row>
    <row r="591" spans="1:10" x14ac:dyDescent="0.25">
      <c r="A591">
        <v>30</v>
      </c>
      <c r="B591" t="s">
        <v>31</v>
      </c>
      <c r="C591" t="s">
        <v>18</v>
      </c>
      <c r="D591">
        <v>37</v>
      </c>
      <c r="E591">
        <v>125</v>
      </c>
      <c r="F591">
        <v>0.22800000000000001</v>
      </c>
      <c r="G591">
        <v>67</v>
      </c>
      <c r="H591">
        <v>615</v>
      </c>
      <c r="I591">
        <v>1036</v>
      </c>
      <c r="J591">
        <v>-421</v>
      </c>
    </row>
    <row r="592" spans="1:10" x14ac:dyDescent="0.25">
      <c r="A592">
        <v>30</v>
      </c>
      <c r="B592" t="s">
        <v>32</v>
      </c>
      <c r="C592" t="s">
        <v>19</v>
      </c>
      <c r="D592">
        <v>121</v>
      </c>
      <c r="E592">
        <v>41</v>
      </c>
      <c r="F592">
        <v>0.747</v>
      </c>
      <c r="G592">
        <v>0</v>
      </c>
      <c r="H592">
        <v>1101</v>
      </c>
      <c r="I592">
        <v>714</v>
      </c>
      <c r="J592">
        <v>387</v>
      </c>
    </row>
    <row r="593" spans="1:10" x14ac:dyDescent="0.25">
      <c r="A593">
        <v>30</v>
      </c>
      <c r="B593" t="s">
        <v>32</v>
      </c>
      <c r="C593" t="s">
        <v>21</v>
      </c>
      <c r="D593">
        <v>92</v>
      </c>
      <c r="E593">
        <v>70</v>
      </c>
      <c r="F593">
        <v>0.56799999999999995</v>
      </c>
      <c r="G593">
        <v>29</v>
      </c>
      <c r="H593">
        <v>960</v>
      </c>
      <c r="I593">
        <v>881</v>
      </c>
      <c r="J593">
        <v>79</v>
      </c>
    </row>
    <row r="594" spans="1:10" x14ac:dyDescent="0.25">
      <c r="A594">
        <v>30</v>
      </c>
      <c r="B594" t="s">
        <v>32</v>
      </c>
      <c r="C594" t="s">
        <v>20</v>
      </c>
      <c r="D594">
        <v>81</v>
      </c>
      <c r="E594">
        <v>81</v>
      </c>
      <c r="F594">
        <v>0.5</v>
      </c>
      <c r="G594">
        <v>40</v>
      </c>
      <c r="H594">
        <v>931</v>
      </c>
      <c r="I594">
        <v>826</v>
      </c>
      <c r="J594">
        <v>105</v>
      </c>
    </row>
    <row r="595" spans="1:10" x14ac:dyDescent="0.25">
      <c r="A595">
        <v>30</v>
      </c>
      <c r="B595" t="s">
        <v>32</v>
      </c>
      <c r="C595" t="s">
        <v>22</v>
      </c>
      <c r="D595">
        <v>70</v>
      </c>
      <c r="E595">
        <v>92</v>
      </c>
      <c r="F595">
        <v>0.432</v>
      </c>
      <c r="G595">
        <v>51</v>
      </c>
      <c r="H595">
        <v>884</v>
      </c>
      <c r="I595">
        <v>1058</v>
      </c>
      <c r="J595">
        <v>-174</v>
      </c>
    </row>
    <row r="596" spans="1:10" x14ac:dyDescent="0.25">
      <c r="A596">
        <v>30</v>
      </c>
      <c r="B596" t="s">
        <v>32</v>
      </c>
      <c r="C596" t="s">
        <v>23</v>
      </c>
      <c r="D596">
        <v>59</v>
      </c>
      <c r="E596">
        <v>103</v>
      </c>
      <c r="F596">
        <v>0.36399999999999999</v>
      </c>
      <c r="G596">
        <v>62</v>
      </c>
      <c r="H596">
        <v>783</v>
      </c>
      <c r="I596">
        <v>1004</v>
      </c>
      <c r="J596">
        <v>-221</v>
      </c>
    </row>
    <row r="597" spans="1:10" x14ac:dyDescent="0.25">
      <c r="A597">
        <v>30</v>
      </c>
      <c r="B597" t="s">
        <v>33</v>
      </c>
      <c r="C597" t="s">
        <v>24</v>
      </c>
      <c r="D597">
        <v>103</v>
      </c>
      <c r="E597">
        <v>59</v>
      </c>
      <c r="F597">
        <v>0.63600000000000001</v>
      </c>
      <c r="G597">
        <v>0</v>
      </c>
      <c r="H597">
        <v>831</v>
      </c>
      <c r="I597">
        <v>752</v>
      </c>
      <c r="J597">
        <v>79</v>
      </c>
    </row>
    <row r="598" spans="1:10" x14ac:dyDescent="0.25">
      <c r="A598">
        <v>30</v>
      </c>
      <c r="B598" t="s">
        <v>33</v>
      </c>
      <c r="C598" t="s">
        <v>25</v>
      </c>
      <c r="D598">
        <v>96</v>
      </c>
      <c r="E598">
        <v>66</v>
      </c>
      <c r="F598">
        <v>0.59299999999999997</v>
      </c>
      <c r="G598">
        <v>7</v>
      </c>
      <c r="H598">
        <v>833</v>
      </c>
      <c r="I598">
        <v>661</v>
      </c>
      <c r="J598">
        <v>172</v>
      </c>
    </row>
    <row r="599" spans="1:10" x14ac:dyDescent="0.25">
      <c r="A599">
        <v>30</v>
      </c>
      <c r="B599" t="s">
        <v>33</v>
      </c>
      <c r="C599" t="s">
        <v>27</v>
      </c>
      <c r="D599">
        <v>86</v>
      </c>
      <c r="E599">
        <v>76</v>
      </c>
      <c r="F599">
        <v>0.53100000000000003</v>
      </c>
      <c r="G599">
        <v>17</v>
      </c>
      <c r="H599">
        <v>834</v>
      </c>
      <c r="I599">
        <v>769</v>
      </c>
      <c r="J599">
        <v>65</v>
      </c>
    </row>
    <row r="600" spans="1:10" x14ac:dyDescent="0.25">
      <c r="A600">
        <v>30</v>
      </c>
      <c r="B600" t="s">
        <v>33</v>
      </c>
      <c r="C600" t="s">
        <v>26</v>
      </c>
      <c r="D600">
        <v>81</v>
      </c>
      <c r="E600">
        <v>81</v>
      </c>
      <c r="F600">
        <v>0.5</v>
      </c>
      <c r="G600">
        <v>22</v>
      </c>
      <c r="H600">
        <v>782</v>
      </c>
      <c r="I600">
        <v>804</v>
      </c>
      <c r="J600">
        <v>-22</v>
      </c>
    </row>
    <row r="601" spans="1:10" x14ac:dyDescent="0.25">
      <c r="A601">
        <v>30</v>
      </c>
      <c r="B601" t="s">
        <v>33</v>
      </c>
      <c r="C601" t="s">
        <v>28</v>
      </c>
      <c r="D601">
        <v>52</v>
      </c>
      <c r="E601">
        <v>110</v>
      </c>
      <c r="F601">
        <v>0.32100000000000001</v>
      </c>
      <c r="G601">
        <v>51</v>
      </c>
      <c r="H601">
        <v>754</v>
      </c>
      <c r="I601">
        <v>1001</v>
      </c>
      <c r="J601">
        <v>-247</v>
      </c>
    </row>
    <row r="602" spans="1:10" x14ac:dyDescent="0.25">
      <c r="A602">
        <v>31</v>
      </c>
      <c r="B602" t="s">
        <v>30</v>
      </c>
      <c r="C602" t="s">
        <v>8</v>
      </c>
      <c r="D602">
        <v>97</v>
      </c>
      <c r="E602">
        <v>65</v>
      </c>
      <c r="F602">
        <v>0.59899999999999998</v>
      </c>
      <c r="G602">
        <v>0</v>
      </c>
      <c r="H602">
        <v>866</v>
      </c>
      <c r="I602">
        <v>692</v>
      </c>
      <c r="J602">
        <v>174</v>
      </c>
    </row>
    <row r="603" spans="1:10" x14ac:dyDescent="0.25">
      <c r="A603">
        <v>31</v>
      </c>
      <c r="B603" t="s">
        <v>30</v>
      </c>
      <c r="C603" t="s">
        <v>10</v>
      </c>
      <c r="D603">
        <v>93</v>
      </c>
      <c r="E603">
        <v>69</v>
      </c>
      <c r="F603">
        <v>0.57399999999999995</v>
      </c>
      <c r="G603">
        <v>4</v>
      </c>
      <c r="H603">
        <v>963</v>
      </c>
      <c r="I603">
        <v>813</v>
      </c>
      <c r="J603">
        <v>150</v>
      </c>
    </row>
    <row r="604" spans="1:10" x14ac:dyDescent="0.25">
      <c r="A604">
        <v>31</v>
      </c>
      <c r="B604" t="s">
        <v>30</v>
      </c>
      <c r="C604" t="s">
        <v>12</v>
      </c>
      <c r="D604">
        <v>84</v>
      </c>
      <c r="E604">
        <v>78</v>
      </c>
      <c r="F604">
        <v>0.51900000000000002</v>
      </c>
      <c r="G604">
        <v>13</v>
      </c>
      <c r="H604">
        <v>953</v>
      </c>
      <c r="I604">
        <v>890</v>
      </c>
      <c r="J604">
        <v>63</v>
      </c>
    </row>
    <row r="605" spans="1:10" x14ac:dyDescent="0.25">
      <c r="A605">
        <v>31</v>
      </c>
      <c r="B605" t="s">
        <v>30</v>
      </c>
      <c r="C605" t="s">
        <v>13</v>
      </c>
      <c r="D605">
        <v>80</v>
      </c>
      <c r="E605">
        <v>82</v>
      </c>
      <c r="F605">
        <v>0.49399999999999999</v>
      </c>
      <c r="G605">
        <v>17</v>
      </c>
      <c r="H605">
        <v>798</v>
      </c>
      <c r="I605">
        <v>836</v>
      </c>
      <c r="J605">
        <v>-38</v>
      </c>
    </row>
    <row r="606" spans="1:10" x14ac:dyDescent="0.25">
      <c r="A606">
        <v>31</v>
      </c>
      <c r="B606" t="s">
        <v>30</v>
      </c>
      <c r="C606" t="s">
        <v>11</v>
      </c>
      <c r="D606">
        <v>71</v>
      </c>
      <c r="E606">
        <v>91</v>
      </c>
      <c r="F606">
        <v>0.438</v>
      </c>
      <c r="G606">
        <v>26</v>
      </c>
      <c r="H606">
        <v>795</v>
      </c>
      <c r="I606">
        <v>882</v>
      </c>
      <c r="J606">
        <v>-87</v>
      </c>
    </row>
    <row r="607" spans="1:10" x14ac:dyDescent="0.25">
      <c r="A607">
        <v>31</v>
      </c>
      <c r="B607" t="s">
        <v>31</v>
      </c>
      <c r="C607" t="s">
        <v>14</v>
      </c>
      <c r="D607">
        <v>113</v>
      </c>
      <c r="E607">
        <v>49</v>
      </c>
      <c r="F607">
        <v>0.69799999999999995</v>
      </c>
      <c r="G607">
        <v>0</v>
      </c>
      <c r="H607">
        <v>1072</v>
      </c>
      <c r="I607">
        <v>707</v>
      </c>
      <c r="J607">
        <v>365</v>
      </c>
    </row>
    <row r="608" spans="1:10" x14ac:dyDescent="0.25">
      <c r="A608">
        <v>31</v>
      </c>
      <c r="B608" t="s">
        <v>31</v>
      </c>
      <c r="C608" t="s">
        <v>16</v>
      </c>
      <c r="D608">
        <v>79</v>
      </c>
      <c r="E608">
        <v>83</v>
      </c>
      <c r="F608">
        <v>0.48799999999999999</v>
      </c>
      <c r="G608">
        <v>34</v>
      </c>
      <c r="H608">
        <v>768</v>
      </c>
      <c r="I608">
        <v>827</v>
      </c>
      <c r="J608">
        <v>-59</v>
      </c>
    </row>
    <row r="609" spans="1:10" x14ac:dyDescent="0.25">
      <c r="A609">
        <v>31</v>
      </c>
      <c r="B609" t="s">
        <v>31</v>
      </c>
      <c r="C609" t="s">
        <v>15</v>
      </c>
      <c r="D609">
        <v>71</v>
      </c>
      <c r="E609">
        <v>91</v>
      </c>
      <c r="F609">
        <v>0.438</v>
      </c>
      <c r="G609">
        <v>42</v>
      </c>
      <c r="H609">
        <v>980</v>
      </c>
      <c r="I609">
        <v>1149</v>
      </c>
      <c r="J609">
        <v>-169</v>
      </c>
    </row>
    <row r="610" spans="1:10" x14ac:dyDescent="0.25">
      <c r="A610">
        <v>31</v>
      </c>
      <c r="B610" t="s">
        <v>31</v>
      </c>
      <c r="C610" t="s">
        <v>17</v>
      </c>
      <c r="D610">
        <v>69</v>
      </c>
      <c r="E610">
        <v>93</v>
      </c>
      <c r="F610">
        <v>0.42599999999999999</v>
      </c>
      <c r="G610">
        <v>44</v>
      </c>
      <c r="H610">
        <v>792</v>
      </c>
      <c r="I610">
        <v>952</v>
      </c>
      <c r="J610">
        <v>-160</v>
      </c>
    </row>
    <row r="611" spans="1:10" x14ac:dyDescent="0.25">
      <c r="A611">
        <v>31</v>
      </c>
      <c r="B611" t="s">
        <v>31</v>
      </c>
      <c r="C611" t="s">
        <v>18</v>
      </c>
      <c r="D611">
        <v>40</v>
      </c>
      <c r="E611">
        <v>122</v>
      </c>
      <c r="F611">
        <v>0.247</v>
      </c>
      <c r="G611">
        <v>73</v>
      </c>
      <c r="H611">
        <v>653</v>
      </c>
      <c r="I611">
        <v>1059</v>
      </c>
      <c r="J611">
        <v>-406</v>
      </c>
    </row>
    <row r="612" spans="1:10" x14ac:dyDescent="0.25">
      <c r="A612">
        <v>31</v>
      </c>
      <c r="B612" t="s">
        <v>32</v>
      </c>
      <c r="C612" t="s">
        <v>19</v>
      </c>
      <c r="D612">
        <v>113</v>
      </c>
      <c r="E612">
        <v>49</v>
      </c>
      <c r="F612">
        <v>0.69799999999999995</v>
      </c>
      <c r="G612">
        <v>0</v>
      </c>
      <c r="H612">
        <v>1055</v>
      </c>
      <c r="I612">
        <v>765</v>
      </c>
      <c r="J612">
        <v>290</v>
      </c>
    </row>
    <row r="613" spans="1:10" x14ac:dyDescent="0.25">
      <c r="A613">
        <v>31</v>
      </c>
      <c r="B613" t="s">
        <v>32</v>
      </c>
      <c r="C613" t="s">
        <v>20</v>
      </c>
      <c r="D613">
        <v>105</v>
      </c>
      <c r="E613">
        <v>57</v>
      </c>
      <c r="F613">
        <v>0.64800000000000002</v>
      </c>
      <c r="G613">
        <v>8</v>
      </c>
      <c r="H613">
        <v>1000</v>
      </c>
      <c r="I613">
        <v>740</v>
      </c>
      <c r="J613">
        <v>260</v>
      </c>
    </row>
    <row r="614" spans="1:10" x14ac:dyDescent="0.25">
      <c r="A614">
        <v>31</v>
      </c>
      <c r="B614" t="s">
        <v>32</v>
      </c>
      <c r="C614" t="s">
        <v>21</v>
      </c>
      <c r="D614">
        <v>79</v>
      </c>
      <c r="E614">
        <v>83</v>
      </c>
      <c r="F614">
        <v>0.48799999999999999</v>
      </c>
      <c r="G614">
        <v>34</v>
      </c>
      <c r="H614">
        <v>921</v>
      </c>
      <c r="I614">
        <v>937</v>
      </c>
      <c r="J614">
        <v>-16</v>
      </c>
    </row>
    <row r="615" spans="1:10" x14ac:dyDescent="0.25">
      <c r="A615">
        <v>31</v>
      </c>
      <c r="B615" t="s">
        <v>32</v>
      </c>
      <c r="C615" t="s">
        <v>22</v>
      </c>
      <c r="D615">
        <v>73</v>
      </c>
      <c r="E615">
        <v>89</v>
      </c>
      <c r="F615">
        <v>0.45100000000000001</v>
      </c>
      <c r="G615">
        <v>40</v>
      </c>
      <c r="H615">
        <v>850</v>
      </c>
      <c r="I615">
        <v>966</v>
      </c>
      <c r="J615">
        <v>-116</v>
      </c>
    </row>
    <row r="616" spans="1:10" x14ac:dyDescent="0.25">
      <c r="A616">
        <v>31</v>
      </c>
      <c r="B616" t="s">
        <v>32</v>
      </c>
      <c r="C616" t="s">
        <v>23</v>
      </c>
      <c r="D616">
        <v>56</v>
      </c>
      <c r="E616">
        <v>106</v>
      </c>
      <c r="F616">
        <v>0.34599999999999997</v>
      </c>
      <c r="G616">
        <v>57</v>
      </c>
      <c r="H616">
        <v>822</v>
      </c>
      <c r="I616">
        <v>1062</v>
      </c>
      <c r="J616">
        <v>-240</v>
      </c>
    </row>
    <row r="617" spans="1:10" x14ac:dyDescent="0.25">
      <c r="A617">
        <v>31</v>
      </c>
      <c r="B617" t="s">
        <v>33</v>
      </c>
      <c r="C617" t="s">
        <v>24</v>
      </c>
      <c r="D617">
        <v>100</v>
      </c>
      <c r="E617">
        <v>62</v>
      </c>
      <c r="F617">
        <v>0.61699999999999999</v>
      </c>
      <c r="G617">
        <v>0</v>
      </c>
      <c r="H617">
        <v>934</v>
      </c>
      <c r="I617">
        <v>709</v>
      </c>
      <c r="J617">
        <v>225</v>
      </c>
    </row>
    <row r="618" spans="1:10" x14ac:dyDescent="0.25">
      <c r="A618">
        <v>31</v>
      </c>
      <c r="B618" t="s">
        <v>33</v>
      </c>
      <c r="C618" t="s">
        <v>25</v>
      </c>
      <c r="D618">
        <v>89</v>
      </c>
      <c r="E618">
        <v>73</v>
      </c>
      <c r="F618">
        <v>0.54900000000000004</v>
      </c>
      <c r="G618">
        <v>11</v>
      </c>
      <c r="H618">
        <v>847</v>
      </c>
      <c r="I618">
        <v>720</v>
      </c>
      <c r="J618">
        <v>127</v>
      </c>
    </row>
    <row r="619" spans="1:10" x14ac:dyDescent="0.25">
      <c r="A619">
        <v>31</v>
      </c>
      <c r="B619" t="s">
        <v>33</v>
      </c>
      <c r="C619" t="s">
        <v>26</v>
      </c>
      <c r="D619">
        <v>83</v>
      </c>
      <c r="E619">
        <v>79</v>
      </c>
      <c r="F619">
        <v>0.51200000000000001</v>
      </c>
      <c r="G619">
        <v>17</v>
      </c>
      <c r="H619">
        <v>842</v>
      </c>
      <c r="I619">
        <v>758</v>
      </c>
      <c r="J619">
        <v>84</v>
      </c>
    </row>
    <row r="620" spans="1:10" x14ac:dyDescent="0.25">
      <c r="A620">
        <v>31</v>
      </c>
      <c r="B620" t="s">
        <v>33</v>
      </c>
      <c r="C620" t="s">
        <v>27</v>
      </c>
      <c r="D620">
        <v>73</v>
      </c>
      <c r="E620">
        <v>89</v>
      </c>
      <c r="F620">
        <v>0.45100000000000001</v>
      </c>
      <c r="G620">
        <v>27</v>
      </c>
      <c r="H620">
        <v>747</v>
      </c>
      <c r="I620">
        <v>861</v>
      </c>
      <c r="J620">
        <v>-114</v>
      </c>
    </row>
    <row r="621" spans="1:10" x14ac:dyDescent="0.25">
      <c r="A621">
        <v>31</v>
      </c>
      <c r="B621" t="s">
        <v>33</v>
      </c>
      <c r="C621" t="s">
        <v>28</v>
      </c>
      <c r="D621">
        <v>52</v>
      </c>
      <c r="E621">
        <v>110</v>
      </c>
      <c r="F621">
        <v>0.32100000000000001</v>
      </c>
      <c r="G621">
        <v>48</v>
      </c>
      <c r="H621">
        <v>714</v>
      </c>
      <c r="I621">
        <v>1047</v>
      </c>
      <c r="J621">
        <v>-333</v>
      </c>
    </row>
    <row r="622" spans="1:10" x14ac:dyDescent="0.25">
      <c r="A622">
        <v>32</v>
      </c>
      <c r="B622" t="s">
        <v>30</v>
      </c>
      <c r="C622" t="s">
        <v>8</v>
      </c>
      <c r="D622">
        <v>95</v>
      </c>
      <c r="E622">
        <v>67</v>
      </c>
      <c r="F622">
        <v>0.58599999999999997</v>
      </c>
      <c r="G622">
        <v>0</v>
      </c>
      <c r="H622">
        <v>866</v>
      </c>
      <c r="I622">
        <v>723</v>
      </c>
      <c r="J622">
        <v>143</v>
      </c>
    </row>
    <row r="623" spans="1:10" x14ac:dyDescent="0.25">
      <c r="A623">
        <v>32</v>
      </c>
      <c r="B623" t="s">
        <v>30</v>
      </c>
      <c r="C623" t="s">
        <v>13</v>
      </c>
      <c r="D623">
        <v>88</v>
      </c>
      <c r="E623">
        <v>74</v>
      </c>
      <c r="F623">
        <v>0.54300000000000004</v>
      </c>
      <c r="G623">
        <v>7</v>
      </c>
      <c r="H623">
        <v>822</v>
      </c>
      <c r="I623">
        <v>804</v>
      </c>
      <c r="J623">
        <v>18</v>
      </c>
    </row>
    <row r="624" spans="1:10" x14ac:dyDescent="0.25">
      <c r="A624">
        <v>32</v>
      </c>
      <c r="B624" t="s">
        <v>30</v>
      </c>
      <c r="C624" t="s">
        <v>12</v>
      </c>
      <c r="D624">
        <v>87</v>
      </c>
      <c r="E624">
        <v>75</v>
      </c>
      <c r="F624">
        <v>0.53700000000000003</v>
      </c>
      <c r="G624">
        <v>8</v>
      </c>
      <c r="H624">
        <v>865</v>
      </c>
      <c r="I624">
        <v>783</v>
      </c>
      <c r="J624">
        <v>82</v>
      </c>
    </row>
    <row r="625" spans="1:10" x14ac:dyDescent="0.25">
      <c r="A625">
        <v>32</v>
      </c>
      <c r="B625" t="s">
        <v>30</v>
      </c>
      <c r="C625" t="s">
        <v>10</v>
      </c>
      <c r="D625">
        <v>87</v>
      </c>
      <c r="E625">
        <v>75</v>
      </c>
      <c r="F625">
        <v>0.53700000000000003</v>
      </c>
      <c r="G625">
        <v>8</v>
      </c>
      <c r="H625">
        <v>1026</v>
      </c>
      <c r="I625">
        <v>909</v>
      </c>
      <c r="J625">
        <v>117</v>
      </c>
    </row>
    <row r="626" spans="1:10" x14ac:dyDescent="0.25">
      <c r="A626">
        <v>32</v>
      </c>
      <c r="B626" t="s">
        <v>30</v>
      </c>
      <c r="C626" t="s">
        <v>11</v>
      </c>
      <c r="D626">
        <v>84</v>
      </c>
      <c r="E626">
        <v>78</v>
      </c>
      <c r="F626">
        <v>0.51900000000000002</v>
      </c>
      <c r="G626">
        <v>11</v>
      </c>
      <c r="H626">
        <v>810</v>
      </c>
      <c r="I626">
        <v>781</v>
      </c>
      <c r="J626">
        <v>29</v>
      </c>
    </row>
    <row r="627" spans="1:10" x14ac:dyDescent="0.25">
      <c r="A627">
        <v>32</v>
      </c>
      <c r="B627" t="s">
        <v>31</v>
      </c>
      <c r="C627" t="s">
        <v>14</v>
      </c>
      <c r="D627">
        <v>107</v>
      </c>
      <c r="E627">
        <v>55</v>
      </c>
      <c r="F627">
        <v>0.66</v>
      </c>
      <c r="G627">
        <v>0</v>
      </c>
      <c r="H627">
        <v>1045</v>
      </c>
      <c r="I627">
        <v>713</v>
      </c>
      <c r="J627">
        <v>332</v>
      </c>
    </row>
    <row r="628" spans="1:10" x14ac:dyDescent="0.25">
      <c r="A628">
        <v>32</v>
      </c>
      <c r="B628" t="s">
        <v>31</v>
      </c>
      <c r="C628" t="s">
        <v>15</v>
      </c>
      <c r="D628">
        <v>79</v>
      </c>
      <c r="E628">
        <v>83</v>
      </c>
      <c r="F628">
        <v>0.48799999999999999</v>
      </c>
      <c r="G628">
        <v>28</v>
      </c>
      <c r="H628">
        <v>1003</v>
      </c>
      <c r="I628">
        <v>1142</v>
      </c>
      <c r="J628">
        <v>-139</v>
      </c>
    </row>
    <row r="629" spans="1:10" x14ac:dyDescent="0.25">
      <c r="A629">
        <v>32</v>
      </c>
      <c r="B629" t="s">
        <v>31</v>
      </c>
      <c r="C629" t="s">
        <v>16</v>
      </c>
      <c r="D629">
        <v>79</v>
      </c>
      <c r="E629">
        <v>83</v>
      </c>
      <c r="F629">
        <v>0.48799999999999999</v>
      </c>
      <c r="G629">
        <v>28</v>
      </c>
      <c r="H629">
        <v>735</v>
      </c>
      <c r="I629">
        <v>811</v>
      </c>
      <c r="J629">
        <v>-76</v>
      </c>
    </row>
    <row r="630" spans="1:10" x14ac:dyDescent="0.25">
      <c r="A630">
        <v>32</v>
      </c>
      <c r="B630" t="s">
        <v>31</v>
      </c>
      <c r="C630" t="s">
        <v>17</v>
      </c>
      <c r="D630">
        <v>71</v>
      </c>
      <c r="E630">
        <v>91</v>
      </c>
      <c r="F630">
        <v>0.438</v>
      </c>
      <c r="G630">
        <v>36</v>
      </c>
      <c r="H630">
        <v>817</v>
      </c>
      <c r="I630">
        <v>944</v>
      </c>
      <c r="J630">
        <v>-127</v>
      </c>
    </row>
    <row r="631" spans="1:10" x14ac:dyDescent="0.25">
      <c r="A631">
        <v>32</v>
      </c>
      <c r="B631" t="s">
        <v>31</v>
      </c>
      <c r="C631" t="s">
        <v>18</v>
      </c>
      <c r="D631">
        <v>49</v>
      </c>
      <c r="E631">
        <v>113</v>
      </c>
      <c r="F631">
        <v>0.30199999999999999</v>
      </c>
      <c r="G631">
        <v>58</v>
      </c>
      <c r="H631">
        <v>683</v>
      </c>
      <c r="I631">
        <v>990</v>
      </c>
      <c r="J631">
        <v>-307</v>
      </c>
    </row>
    <row r="632" spans="1:10" x14ac:dyDescent="0.25">
      <c r="A632">
        <v>32</v>
      </c>
      <c r="B632" t="s">
        <v>32</v>
      </c>
      <c r="C632" t="s">
        <v>19</v>
      </c>
      <c r="D632">
        <v>102</v>
      </c>
      <c r="E632">
        <v>60</v>
      </c>
      <c r="F632">
        <v>0.63</v>
      </c>
      <c r="G632">
        <v>0</v>
      </c>
      <c r="H632">
        <v>1079</v>
      </c>
      <c r="I632">
        <v>798</v>
      </c>
      <c r="J632">
        <v>281</v>
      </c>
    </row>
    <row r="633" spans="1:10" x14ac:dyDescent="0.25">
      <c r="A633">
        <v>32</v>
      </c>
      <c r="B633" t="s">
        <v>32</v>
      </c>
      <c r="C633" t="s">
        <v>20</v>
      </c>
      <c r="D633">
        <v>98</v>
      </c>
      <c r="E633">
        <v>64</v>
      </c>
      <c r="F633">
        <v>0.60499999999999998</v>
      </c>
      <c r="G633">
        <v>4</v>
      </c>
      <c r="H633">
        <v>1020</v>
      </c>
      <c r="I633">
        <v>780</v>
      </c>
      <c r="J633">
        <v>240</v>
      </c>
    </row>
    <row r="634" spans="1:10" x14ac:dyDescent="0.25">
      <c r="A634">
        <v>32</v>
      </c>
      <c r="B634" t="s">
        <v>32</v>
      </c>
      <c r="C634" t="s">
        <v>21</v>
      </c>
      <c r="D634">
        <v>79</v>
      </c>
      <c r="E634">
        <v>83</v>
      </c>
      <c r="F634">
        <v>0.48799999999999999</v>
      </c>
      <c r="G634">
        <v>23</v>
      </c>
      <c r="H634">
        <v>982</v>
      </c>
      <c r="I634">
        <v>936</v>
      </c>
      <c r="J634">
        <v>46</v>
      </c>
    </row>
    <row r="635" spans="1:10" x14ac:dyDescent="0.25">
      <c r="A635">
        <v>32</v>
      </c>
      <c r="B635" t="s">
        <v>32</v>
      </c>
      <c r="C635" t="s">
        <v>22</v>
      </c>
      <c r="D635">
        <v>73</v>
      </c>
      <c r="E635">
        <v>89</v>
      </c>
      <c r="F635">
        <v>0.45100000000000001</v>
      </c>
      <c r="G635">
        <v>29</v>
      </c>
      <c r="H635">
        <v>875</v>
      </c>
      <c r="I635">
        <v>1006</v>
      </c>
      <c r="J635">
        <v>-131</v>
      </c>
    </row>
    <row r="636" spans="1:10" x14ac:dyDescent="0.25">
      <c r="A636">
        <v>32</v>
      </c>
      <c r="B636" t="s">
        <v>32</v>
      </c>
      <c r="C636" t="s">
        <v>23</v>
      </c>
      <c r="D636">
        <v>57</v>
      </c>
      <c r="E636">
        <v>105</v>
      </c>
      <c r="F636">
        <v>0.35199999999999998</v>
      </c>
      <c r="G636">
        <v>45</v>
      </c>
      <c r="H636">
        <v>790</v>
      </c>
      <c r="I636">
        <v>1118</v>
      </c>
      <c r="J636">
        <v>-328</v>
      </c>
    </row>
    <row r="637" spans="1:10" x14ac:dyDescent="0.25">
      <c r="A637">
        <v>32</v>
      </c>
      <c r="B637" t="s">
        <v>33</v>
      </c>
      <c r="C637" t="s">
        <v>24</v>
      </c>
      <c r="D637">
        <v>99</v>
      </c>
      <c r="E637">
        <v>63</v>
      </c>
      <c r="F637">
        <v>0.61099999999999999</v>
      </c>
      <c r="G637">
        <v>0</v>
      </c>
      <c r="H637">
        <v>940</v>
      </c>
      <c r="I637">
        <v>733</v>
      </c>
      <c r="J637">
        <v>207</v>
      </c>
    </row>
    <row r="638" spans="1:10" x14ac:dyDescent="0.25">
      <c r="A638">
        <v>32</v>
      </c>
      <c r="B638" t="s">
        <v>33</v>
      </c>
      <c r="C638" t="s">
        <v>25</v>
      </c>
      <c r="D638">
        <v>90</v>
      </c>
      <c r="E638">
        <v>72</v>
      </c>
      <c r="F638">
        <v>0.55600000000000005</v>
      </c>
      <c r="G638">
        <v>9</v>
      </c>
      <c r="H638">
        <v>792</v>
      </c>
      <c r="I638">
        <v>706</v>
      </c>
      <c r="J638">
        <v>86</v>
      </c>
    </row>
    <row r="639" spans="1:10" x14ac:dyDescent="0.25">
      <c r="A639">
        <v>32</v>
      </c>
      <c r="B639" t="s">
        <v>33</v>
      </c>
      <c r="C639" t="s">
        <v>26</v>
      </c>
      <c r="D639">
        <v>82</v>
      </c>
      <c r="E639">
        <v>80</v>
      </c>
      <c r="F639">
        <v>0.50600000000000001</v>
      </c>
      <c r="G639">
        <v>17</v>
      </c>
      <c r="H639">
        <v>790</v>
      </c>
      <c r="I639">
        <v>803</v>
      </c>
      <c r="J639">
        <v>-13</v>
      </c>
    </row>
    <row r="640" spans="1:10" x14ac:dyDescent="0.25">
      <c r="A640">
        <v>32</v>
      </c>
      <c r="B640" t="s">
        <v>33</v>
      </c>
      <c r="C640" t="s">
        <v>27</v>
      </c>
      <c r="D640">
        <v>69</v>
      </c>
      <c r="E640">
        <v>93</v>
      </c>
      <c r="F640">
        <v>0.42599999999999999</v>
      </c>
      <c r="G640">
        <v>30</v>
      </c>
      <c r="H640">
        <v>763</v>
      </c>
      <c r="I640">
        <v>841</v>
      </c>
      <c r="J640">
        <v>-78</v>
      </c>
    </row>
    <row r="641" spans="1:10" x14ac:dyDescent="0.25">
      <c r="A641">
        <v>32</v>
      </c>
      <c r="B641" t="s">
        <v>33</v>
      </c>
      <c r="C641" t="s">
        <v>28</v>
      </c>
      <c r="D641">
        <v>45</v>
      </c>
      <c r="E641">
        <v>117</v>
      </c>
      <c r="F641">
        <v>0.27800000000000002</v>
      </c>
      <c r="G641">
        <v>54</v>
      </c>
      <c r="H641">
        <v>757</v>
      </c>
      <c r="I641">
        <v>1139</v>
      </c>
      <c r="J641">
        <v>-382</v>
      </c>
    </row>
    <row r="642" spans="1:10" x14ac:dyDescent="0.25">
      <c r="A642">
        <v>33</v>
      </c>
      <c r="B642" t="s">
        <v>30</v>
      </c>
      <c r="C642" t="s">
        <v>8</v>
      </c>
      <c r="D642">
        <v>100</v>
      </c>
      <c r="E642">
        <v>62</v>
      </c>
      <c r="F642">
        <v>0.61699999999999999</v>
      </c>
      <c r="G642">
        <v>0</v>
      </c>
      <c r="H642">
        <v>923</v>
      </c>
      <c r="I642">
        <v>707</v>
      </c>
      <c r="J642">
        <v>216</v>
      </c>
    </row>
    <row r="643" spans="1:10" x14ac:dyDescent="0.25">
      <c r="A643">
        <v>33</v>
      </c>
      <c r="B643" t="s">
        <v>30</v>
      </c>
      <c r="C643" t="s">
        <v>10</v>
      </c>
      <c r="D643">
        <v>98</v>
      </c>
      <c r="E643">
        <v>64</v>
      </c>
      <c r="F643">
        <v>0.60499999999999998</v>
      </c>
      <c r="G643">
        <v>2</v>
      </c>
      <c r="H643">
        <v>931</v>
      </c>
      <c r="I643">
        <v>799</v>
      </c>
      <c r="J643">
        <v>132</v>
      </c>
    </row>
    <row r="644" spans="1:10" x14ac:dyDescent="0.25">
      <c r="A644">
        <v>33</v>
      </c>
      <c r="B644" t="s">
        <v>30</v>
      </c>
      <c r="C644" t="s">
        <v>11</v>
      </c>
      <c r="D644">
        <v>96</v>
      </c>
      <c r="E644">
        <v>66</v>
      </c>
      <c r="F644">
        <v>0.59299999999999997</v>
      </c>
      <c r="G644">
        <v>4</v>
      </c>
      <c r="H644">
        <v>854</v>
      </c>
      <c r="I644">
        <v>795</v>
      </c>
      <c r="J644">
        <v>59</v>
      </c>
    </row>
    <row r="645" spans="1:10" x14ac:dyDescent="0.25">
      <c r="A645">
        <v>33</v>
      </c>
      <c r="B645" t="s">
        <v>30</v>
      </c>
      <c r="C645" t="s">
        <v>12</v>
      </c>
      <c r="D645">
        <v>92</v>
      </c>
      <c r="E645">
        <v>70</v>
      </c>
      <c r="F645">
        <v>0.56799999999999995</v>
      </c>
      <c r="G645">
        <v>8</v>
      </c>
      <c r="H645">
        <v>955</v>
      </c>
      <c r="I645">
        <v>823</v>
      </c>
      <c r="J645">
        <v>132</v>
      </c>
    </row>
    <row r="646" spans="1:10" x14ac:dyDescent="0.25">
      <c r="A646">
        <v>33</v>
      </c>
      <c r="B646" t="s">
        <v>30</v>
      </c>
      <c r="C646" t="s">
        <v>13</v>
      </c>
      <c r="D646">
        <v>73</v>
      </c>
      <c r="E646">
        <v>89</v>
      </c>
      <c r="F646">
        <v>0.45100000000000001</v>
      </c>
      <c r="G646">
        <v>27</v>
      </c>
      <c r="H646">
        <v>765</v>
      </c>
      <c r="I646">
        <v>848</v>
      </c>
      <c r="J646">
        <v>-83</v>
      </c>
    </row>
    <row r="647" spans="1:10" x14ac:dyDescent="0.25">
      <c r="A647">
        <v>33</v>
      </c>
      <c r="B647" t="s">
        <v>31</v>
      </c>
      <c r="C647" t="s">
        <v>14</v>
      </c>
      <c r="D647">
        <v>109</v>
      </c>
      <c r="E647">
        <v>53</v>
      </c>
      <c r="F647">
        <v>0.67300000000000004</v>
      </c>
      <c r="G647">
        <v>0</v>
      </c>
      <c r="H647">
        <v>1011</v>
      </c>
      <c r="I647">
        <v>747</v>
      </c>
      <c r="J647">
        <v>264</v>
      </c>
    </row>
    <row r="648" spans="1:10" x14ac:dyDescent="0.25">
      <c r="A648">
        <v>33</v>
      </c>
      <c r="B648" t="s">
        <v>31</v>
      </c>
      <c r="C648" t="s">
        <v>15</v>
      </c>
      <c r="D648">
        <v>76</v>
      </c>
      <c r="E648">
        <v>86</v>
      </c>
      <c r="F648">
        <v>0.46899999999999997</v>
      </c>
      <c r="G648">
        <v>33</v>
      </c>
      <c r="H648">
        <v>1031</v>
      </c>
      <c r="I648">
        <v>1183</v>
      </c>
      <c r="J648">
        <v>-152</v>
      </c>
    </row>
    <row r="649" spans="1:10" x14ac:dyDescent="0.25">
      <c r="A649">
        <v>33</v>
      </c>
      <c r="B649" t="s">
        <v>31</v>
      </c>
      <c r="C649" t="s">
        <v>16</v>
      </c>
      <c r="D649">
        <v>64</v>
      </c>
      <c r="E649">
        <v>98</v>
      </c>
      <c r="F649">
        <v>0.39500000000000002</v>
      </c>
      <c r="G649">
        <v>45</v>
      </c>
      <c r="H649">
        <v>747</v>
      </c>
      <c r="I649">
        <v>863</v>
      </c>
      <c r="J649">
        <v>-116</v>
      </c>
    </row>
    <row r="650" spans="1:10" x14ac:dyDescent="0.25">
      <c r="A650">
        <v>33</v>
      </c>
      <c r="B650" t="s">
        <v>31</v>
      </c>
      <c r="C650" t="s">
        <v>17</v>
      </c>
      <c r="D650">
        <v>62</v>
      </c>
      <c r="E650">
        <v>100</v>
      </c>
      <c r="F650">
        <v>0.38300000000000001</v>
      </c>
      <c r="G650">
        <v>47</v>
      </c>
      <c r="H650">
        <v>754</v>
      </c>
      <c r="I650">
        <v>990</v>
      </c>
      <c r="J650">
        <v>-236</v>
      </c>
    </row>
    <row r="651" spans="1:10" x14ac:dyDescent="0.25">
      <c r="A651">
        <v>33</v>
      </c>
      <c r="B651" t="s">
        <v>31</v>
      </c>
      <c r="C651" t="s">
        <v>18</v>
      </c>
      <c r="D651">
        <v>47</v>
      </c>
      <c r="E651">
        <v>115</v>
      </c>
      <c r="F651">
        <v>0.28999999999999998</v>
      </c>
      <c r="G651">
        <v>62</v>
      </c>
      <c r="H651">
        <v>640</v>
      </c>
      <c r="I651">
        <v>935</v>
      </c>
      <c r="J651">
        <v>-295</v>
      </c>
    </row>
    <row r="652" spans="1:10" x14ac:dyDescent="0.25">
      <c r="A652">
        <v>33</v>
      </c>
      <c r="B652" t="s">
        <v>32</v>
      </c>
      <c r="C652" t="s">
        <v>19</v>
      </c>
      <c r="D652">
        <v>110</v>
      </c>
      <c r="E652">
        <v>52</v>
      </c>
      <c r="F652">
        <v>0.67900000000000005</v>
      </c>
      <c r="G652">
        <v>0</v>
      </c>
      <c r="H652">
        <v>1075</v>
      </c>
      <c r="I652">
        <v>755</v>
      </c>
      <c r="J652">
        <v>320</v>
      </c>
    </row>
    <row r="653" spans="1:10" x14ac:dyDescent="0.25">
      <c r="A653">
        <v>33</v>
      </c>
      <c r="B653" t="s">
        <v>32</v>
      </c>
      <c r="C653" t="s">
        <v>20</v>
      </c>
      <c r="D653">
        <v>91</v>
      </c>
      <c r="E653">
        <v>71</v>
      </c>
      <c r="F653">
        <v>0.56200000000000006</v>
      </c>
      <c r="G653">
        <v>19</v>
      </c>
      <c r="H653">
        <v>953</v>
      </c>
      <c r="I653">
        <v>811</v>
      </c>
      <c r="J653">
        <v>142</v>
      </c>
    </row>
    <row r="654" spans="1:10" x14ac:dyDescent="0.25">
      <c r="A654">
        <v>33</v>
      </c>
      <c r="B654" t="s">
        <v>32</v>
      </c>
      <c r="C654" t="s">
        <v>21</v>
      </c>
      <c r="D654">
        <v>88</v>
      </c>
      <c r="E654">
        <v>74</v>
      </c>
      <c r="F654">
        <v>0.54300000000000004</v>
      </c>
      <c r="G654">
        <v>22</v>
      </c>
      <c r="H654">
        <v>1013</v>
      </c>
      <c r="I654">
        <v>900</v>
      </c>
      <c r="J654">
        <v>113</v>
      </c>
    </row>
    <row r="655" spans="1:10" x14ac:dyDescent="0.25">
      <c r="A655">
        <v>33</v>
      </c>
      <c r="B655" t="s">
        <v>32</v>
      </c>
      <c r="C655" t="s">
        <v>22</v>
      </c>
      <c r="D655">
        <v>72</v>
      </c>
      <c r="E655">
        <v>90</v>
      </c>
      <c r="F655">
        <v>0.44400000000000001</v>
      </c>
      <c r="G655">
        <v>38</v>
      </c>
      <c r="H655">
        <v>850</v>
      </c>
      <c r="I655">
        <v>963</v>
      </c>
      <c r="J655">
        <v>-113</v>
      </c>
    </row>
    <row r="656" spans="1:10" x14ac:dyDescent="0.25">
      <c r="A656">
        <v>33</v>
      </c>
      <c r="B656" t="s">
        <v>32</v>
      </c>
      <c r="C656" t="s">
        <v>23</v>
      </c>
      <c r="D656">
        <v>52</v>
      </c>
      <c r="E656">
        <v>110</v>
      </c>
      <c r="F656">
        <v>0.32100000000000001</v>
      </c>
      <c r="G656">
        <v>58</v>
      </c>
      <c r="H656">
        <v>781</v>
      </c>
      <c r="I656">
        <v>1111</v>
      </c>
      <c r="J656">
        <v>-330</v>
      </c>
    </row>
    <row r="657" spans="1:10" x14ac:dyDescent="0.25">
      <c r="A657">
        <v>33</v>
      </c>
      <c r="B657" t="s">
        <v>33</v>
      </c>
      <c r="C657" t="s">
        <v>24</v>
      </c>
      <c r="D657">
        <v>102</v>
      </c>
      <c r="E657">
        <v>60</v>
      </c>
      <c r="F657">
        <v>0.63</v>
      </c>
      <c r="G657">
        <v>0</v>
      </c>
      <c r="H657">
        <v>970</v>
      </c>
      <c r="I657">
        <v>677</v>
      </c>
      <c r="J657">
        <v>293</v>
      </c>
    </row>
    <row r="658" spans="1:10" x14ac:dyDescent="0.25">
      <c r="A658">
        <v>33</v>
      </c>
      <c r="B658" t="s">
        <v>33</v>
      </c>
      <c r="C658" t="s">
        <v>26</v>
      </c>
      <c r="D658">
        <v>87</v>
      </c>
      <c r="E658">
        <v>75</v>
      </c>
      <c r="F658">
        <v>0.53700000000000003</v>
      </c>
      <c r="G658">
        <v>15</v>
      </c>
      <c r="H658">
        <v>822</v>
      </c>
      <c r="I658">
        <v>763</v>
      </c>
      <c r="J658">
        <v>59</v>
      </c>
    </row>
    <row r="659" spans="1:10" x14ac:dyDescent="0.25">
      <c r="A659">
        <v>33</v>
      </c>
      <c r="B659" t="s">
        <v>33</v>
      </c>
      <c r="C659" t="s">
        <v>25</v>
      </c>
      <c r="D659">
        <v>83</v>
      </c>
      <c r="E659">
        <v>79</v>
      </c>
      <c r="F659">
        <v>0.51200000000000001</v>
      </c>
      <c r="G659">
        <v>19</v>
      </c>
      <c r="H659">
        <v>775</v>
      </c>
      <c r="I659">
        <v>721</v>
      </c>
      <c r="J659">
        <v>54</v>
      </c>
    </row>
    <row r="660" spans="1:10" x14ac:dyDescent="0.25">
      <c r="A660">
        <v>33</v>
      </c>
      <c r="B660" t="s">
        <v>33</v>
      </c>
      <c r="C660" t="s">
        <v>27</v>
      </c>
      <c r="D660">
        <v>72</v>
      </c>
      <c r="E660">
        <v>90</v>
      </c>
      <c r="F660">
        <v>0.44400000000000001</v>
      </c>
      <c r="G660">
        <v>30</v>
      </c>
      <c r="H660">
        <v>750</v>
      </c>
      <c r="I660">
        <v>787</v>
      </c>
      <c r="J660">
        <v>-37</v>
      </c>
    </row>
    <row r="661" spans="1:10" x14ac:dyDescent="0.25">
      <c r="A661">
        <v>33</v>
      </c>
      <c r="B661" t="s">
        <v>33</v>
      </c>
      <c r="C661" t="s">
        <v>28</v>
      </c>
      <c r="D661">
        <v>46</v>
      </c>
      <c r="E661">
        <v>116</v>
      </c>
      <c r="F661">
        <v>0.28399999999999997</v>
      </c>
      <c r="G661">
        <v>56</v>
      </c>
      <c r="H661">
        <v>657</v>
      </c>
      <c r="I661">
        <v>1079</v>
      </c>
      <c r="J661">
        <v>-422</v>
      </c>
    </row>
    <row r="662" spans="1:10" x14ac:dyDescent="0.25">
      <c r="A662">
        <v>34</v>
      </c>
      <c r="B662" t="s">
        <v>30</v>
      </c>
      <c r="C662" t="s">
        <v>12</v>
      </c>
      <c r="D662">
        <v>94</v>
      </c>
      <c r="E662">
        <v>68</v>
      </c>
      <c r="F662">
        <v>0.57999999999999996</v>
      </c>
      <c r="G662">
        <v>0</v>
      </c>
      <c r="H662">
        <v>990</v>
      </c>
      <c r="I662">
        <v>846</v>
      </c>
      <c r="J662">
        <v>144</v>
      </c>
    </row>
    <row r="663" spans="1:10" x14ac:dyDescent="0.25">
      <c r="A663">
        <v>34</v>
      </c>
      <c r="B663" t="s">
        <v>30</v>
      </c>
      <c r="C663" t="s">
        <v>8</v>
      </c>
      <c r="D663">
        <v>92</v>
      </c>
      <c r="E663">
        <v>70</v>
      </c>
      <c r="F663">
        <v>0.56799999999999995</v>
      </c>
      <c r="G663">
        <v>2</v>
      </c>
      <c r="H663">
        <v>918</v>
      </c>
      <c r="I663">
        <v>766</v>
      </c>
      <c r="J663">
        <v>152</v>
      </c>
    </row>
    <row r="664" spans="1:10" x14ac:dyDescent="0.25">
      <c r="A664">
        <v>34</v>
      </c>
      <c r="B664" t="s">
        <v>30</v>
      </c>
      <c r="C664" t="s">
        <v>10</v>
      </c>
      <c r="D664">
        <v>92</v>
      </c>
      <c r="E664">
        <v>70</v>
      </c>
      <c r="F664">
        <v>0.56799999999999995</v>
      </c>
      <c r="G664">
        <v>2</v>
      </c>
      <c r="H664">
        <v>902</v>
      </c>
      <c r="I664">
        <v>802</v>
      </c>
      <c r="J664">
        <v>100</v>
      </c>
    </row>
    <row r="665" spans="1:10" x14ac:dyDescent="0.25">
      <c r="A665">
        <v>34</v>
      </c>
      <c r="B665" t="s">
        <v>30</v>
      </c>
      <c r="C665" t="s">
        <v>11</v>
      </c>
      <c r="D665">
        <v>84</v>
      </c>
      <c r="E665">
        <v>78</v>
      </c>
      <c r="F665">
        <v>0.51900000000000002</v>
      </c>
      <c r="G665">
        <v>10</v>
      </c>
      <c r="H665">
        <v>942</v>
      </c>
      <c r="I665">
        <v>810</v>
      </c>
      <c r="J665">
        <v>132</v>
      </c>
    </row>
    <row r="666" spans="1:10" x14ac:dyDescent="0.25">
      <c r="A666">
        <v>34</v>
      </c>
      <c r="B666" t="s">
        <v>30</v>
      </c>
      <c r="C666" t="s">
        <v>13</v>
      </c>
      <c r="D666">
        <v>71</v>
      </c>
      <c r="E666">
        <v>91</v>
      </c>
      <c r="F666">
        <v>0.438</v>
      </c>
      <c r="G666">
        <v>23</v>
      </c>
      <c r="H666">
        <v>830</v>
      </c>
      <c r="I666">
        <v>932</v>
      </c>
      <c r="J666">
        <v>-102</v>
      </c>
    </row>
    <row r="667" spans="1:10" x14ac:dyDescent="0.25">
      <c r="A667">
        <v>34</v>
      </c>
      <c r="B667" t="s">
        <v>31</v>
      </c>
      <c r="C667" t="s">
        <v>14</v>
      </c>
      <c r="D667">
        <v>106</v>
      </c>
      <c r="E667">
        <v>56</v>
      </c>
      <c r="F667">
        <v>0.65400000000000003</v>
      </c>
      <c r="G667">
        <v>0</v>
      </c>
      <c r="H667">
        <v>1059</v>
      </c>
      <c r="I667">
        <v>727</v>
      </c>
      <c r="J667">
        <v>332</v>
      </c>
    </row>
    <row r="668" spans="1:10" x14ac:dyDescent="0.25">
      <c r="A668">
        <v>34</v>
      </c>
      <c r="B668" t="s">
        <v>31</v>
      </c>
      <c r="C668" t="s">
        <v>15</v>
      </c>
      <c r="D668">
        <v>77</v>
      </c>
      <c r="E668">
        <v>85</v>
      </c>
      <c r="F668">
        <v>0.47499999999999998</v>
      </c>
      <c r="G668">
        <v>29</v>
      </c>
      <c r="H668">
        <v>986</v>
      </c>
      <c r="I668">
        <v>1164</v>
      </c>
      <c r="J668">
        <v>-178</v>
      </c>
    </row>
    <row r="669" spans="1:10" x14ac:dyDescent="0.25">
      <c r="A669">
        <v>34</v>
      </c>
      <c r="B669" t="s">
        <v>31</v>
      </c>
      <c r="C669" t="s">
        <v>16</v>
      </c>
      <c r="D669">
        <v>72</v>
      </c>
      <c r="E669">
        <v>90</v>
      </c>
      <c r="F669">
        <v>0.44400000000000001</v>
      </c>
      <c r="G669">
        <v>34</v>
      </c>
      <c r="H669">
        <v>753</v>
      </c>
      <c r="I669">
        <v>849</v>
      </c>
      <c r="J669">
        <v>-96</v>
      </c>
    </row>
    <row r="670" spans="1:10" x14ac:dyDescent="0.25">
      <c r="A670">
        <v>34</v>
      </c>
      <c r="B670" t="s">
        <v>31</v>
      </c>
      <c r="C670" t="s">
        <v>17</v>
      </c>
      <c r="D670">
        <v>60</v>
      </c>
      <c r="E670">
        <v>102</v>
      </c>
      <c r="F670">
        <v>0.37</v>
      </c>
      <c r="G670">
        <v>46</v>
      </c>
      <c r="H670">
        <v>807</v>
      </c>
      <c r="I670">
        <v>1040</v>
      </c>
      <c r="J670">
        <v>-233</v>
      </c>
    </row>
    <row r="671" spans="1:10" x14ac:dyDescent="0.25">
      <c r="A671">
        <v>34</v>
      </c>
      <c r="B671" t="s">
        <v>31</v>
      </c>
      <c r="C671" t="s">
        <v>18</v>
      </c>
      <c r="D671">
        <v>48</v>
      </c>
      <c r="E671">
        <v>114</v>
      </c>
      <c r="F671">
        <v>0.29599999999999999</v>
      </c>
      <c r="G671">
        <v>58</v>
      </c>
      <c r="H671">
        <v>656</v>
      </c>
      <c r="I671">
        <v>1054</v>
      </c>
      <c r="J671">
        <v>-398</v>
      </c>
    </row>
    <row r="672" spans="1:10" x14ac:dyDescent="0.25">
      <c r="A672">
        <v>34</v>
      </c>
      <c r="B672" t="s">
        <v>32</v>
      </c>
      <c r="C672" t="s">
        <v>19</v>
      </c>
      <c r="D672">
        <v>115</v>
      </c>
      <c r="E672">
        <v>47</v>
      </c>
      <c r="F672">
        <v>0.71</v>
      </c>
      <c r="G672">
        <v>0</v>
      </c>
      <c r="H672">
        <v>1085</v>
      </c>
      <c r="I672">
        <v>692</v>
      </c>
      <c r="J672">
        <v>393</v>
      </c>
    </row>
    <row r="673" spans="1:10" x14ac:dyDescent="0.25">
      <c r="A673">
        <v>34</v>
      </c>
      <c r="B673" t="s">
        <v>32</v>
      </c>
      <c r="C673" t="s">
        <v>20</v>
      </c>
      <c r="D673">
        <v>95</v>
      </c>
      <c r="E673">
        <v>67</v>
      </c>
      <c r="F673">
        <v>0.58599999999999997</v>
      </c>
      <c r="G673">
        <v>20</v>
      </c>
      <c r="H673">
        <v>940</v>
      </c>
      <c r="I673">
        <v>817</v>
      </c>
      <c r="J673">
        <v>123</v>
      </c>
    </row>
    <row r="674" spans="1:10" x14ac:dyDescent="0.25">
      <c r="A674">
        <v>34</v>
      </c>
      <c r="B674" t="s">
        <v>32</v>
      </c>
      <c r="C674" t="s">
        <v>21</v>
      </c>
      <c r="D674">
        <v>91</v>
      </c>
      <c r="E674">
        <v>71</v>
      </c>
      <c r="F674">
        <v>0.56200000000000006</v>
      </c>
      <c r="G674">
        <v>24</v>
      </c>
      <c r="H674">
        <v>1026</v>
      </c>
      <c r="I674">
        <v>845</v>
      </c>
      <c r="J674">
        <v>181</v>
      </c>
    </row>
    <row r="675" spans="1:10" x14ac:dyDescent="0.25">
      <c r="A675">
        <v>34</v>
      </c>
      <c r="B675" t="s">
        <v>32</v>
      </c>
      <c r="C675" t="s">
        <v>22</v>
      </c>
      <c r="D675">
        <v>64</v>
      </c>
      <c r="E675">
        <v>98</v>
      </c>
      <c r="F675">
        <v>0.39500000000000002</v>
      </c>
      <c r="G675">
        <v>51</v>
      </c>
      <c r="H675">
        <v>905</v>
      </c>
      <c r="I675">
        <v>1108</v>
      </c>
      <c r="J675">
        <v>-203</v>
      </c>
    </row>
    <row r="676" spans="1:10" x14ac:dyDescent="0.25">
      <c r="A676">
        <v>34</v>
      </c>
      <c r="B676" t="s">
        <v>32</v>
      </c>
      <c r="C676" t="s">
        <v>23</v>
      </c>
      <c r="D676">
        <v>61</v>
      </c>
      <c r="E676">
        <v>101</v>
      </c>
      <c r="F676">
        <v>0.377</v>
      </c>
      <c r="G676">
        <v>54</v>
      </c>
      <c r="H676">
        <v>749</v>
      </c>
      <c r="I676">
        <v>973</v>
      </c>
      <c r="J676">
        <v>-224</v>
      </c>
    </row>
    <row r="677" spans="1:10" x14ac:dyDescent="0.25">
      <c r="A677">
        <v>34</v>
      </c>
      <c r="B677" t="s">
        <v>33</v>
      </c>
      <c r="C677" t="s">
        <v>24</v>
      </c>
      <c r="D677">
        <v>103</v>
      </c>
      <c r="E677">
        <v>59</v>
      </c>
      <c r="F677">
        <v>0.63600000000000001</v>
      </c>
      <c r="G677">
        <v>0</v>
      </c>
      <c r="H677">
        <v>873</v>
      </c>
      <c r="I677">
        <v>687</v>
      </c>
      <c r="J677">
        <v>186</v>
      </c>
    </row>
    <row r="678" spans="1:10" x14ac:dyDescent="0.25">
      <c r="A678">
        <v>34</v>
      </c>
      <c r="B678" t="s">
        <v>33</v>
      </c>
      <c r="C678" t="s">
        <v>25</v>
      </c>
      <c r="D678">
        <v>92</v>
      </c>
      <c r="E678">
        <v>70</v>
      </c>
      <c r="F678">
        <v>0.56799999999999995</v>
      </c>
      <c r="G678">
        <v>11</v>
      </c>
      <c r="H678">
        <v>792</v>
      </c>
      <c r="I678">
        <v>689</v>
      </c>
      <c r="J678">
        <v>103</v>
      </c>
    </row>
    <row r="679" spans="1:10" x14ac:dyDescent="0.25">
      <c r="A679">
        <v>34</v>
      </c>
      <c r="B679" t="s">
        <v>33</v>
      </c>
      <c r="C679" t="s">
        <v>26</v>
      </c>
      <c r="D679">
        <v>80</v>
      </c>
      <c r="E679">
        <v>82</v>
      </c>
      <c r="F679">
        <v>0.49399999999999999</v>
      </c>
      <c r="G679">
        <v>23</v>
      </c>
      <c r="H679">
        <v>837</v>
      </c>
      <c r="I679">
        <v>804</v>
      </c>
      <c r="J679">
        <v>33</v>
      </c>
    </row>
    <row r="680" spans="1:10" x14ac:dyDescent="0.25">
      <c r="A680">
        <v>34</v>
      </c>
      <c r="B680" t="s">
        <v>33</v>
      </c>
      <c r="C680" t="s">
        <v>27</v>
      </c>
      <c r="D680">
        <v>75</v>
      </c>
      <c r="E680">
        <v>87</v>
      </c>
      <c r="F680">
        <v>0.46300000000000002</v>
      </c>
      <c r="G680">
        <v>28</v>
      </c>
      <c r="H680">
        <v>793</v>
      </c>
      <c r="I680">
        <v>832</v>
      </c>
      <c r="J680">
        <v>-39</v>
      </c>
    </row>
    <row r="681" spans="1:10" x14ac:dyDescent="0.25">
      <c r="A681">
        <v>34</v>
      </c>
      <c r="B681" t="s">
        <v>33</v>
      </c>
      <c r="C681" t="s">
        <v>28</v>
      </c>
      <c r="D681">
        <v>48</v>
      </c>
      <c r="E681">
        <v>114</v>
      </c>
      <c r="F681">
        <v>0.29599999999999999</v>
      </c>
      <c r="G681">
        <v>55</v>
      </c>
      <c r="H681">
        <v>672</v>
      </c>
      <c r="I681">
        <v>1078</v>
      </c>
      <c r="J681">
        <v>-406</v>
      </c>
    </row>
    <row r="682" spans="1:10" x14ac:dyDescent="0.25">
      <c r="A682">
        <v>35</v>
      </c>
      <c r="B682" t="s">
        <v>30</v>
      </c>
      <c r="C682" t="s">
        <v>8</v>
      </c>
      <c r="D682">
        <v>92</v>
      </c>
      <c r="E682">
        <v>70</v>
      </c>
      <c r="F682">
        <v>0.56799999999999995</v>
      </c>
      <c r="G682">
        <v>0</v>
      </c>
      <c r="H682">
        <v>829</v>
      </c>
      <c r="I682">
        <v>687</v>
      </c>
      <c r="J682">
        <v>142</v>
      </c>
    </row>
    <row r="683" spans="1:10" x14ac:dyDescent="0.25">
      <c r="A683">
        <v>35</v>
      </c>
      <c r="B683" t="s">
        <v>30</v>
      </c>
      <c r="C683" t="s">
        <v>10</v>
      </c>
      <c r="D683">
        <v>90</v>
      </c>
      <c r="E683">
        <v>72</v>
      </c>
      <c r="F683">
        <v>0.55600000000000005</v>
      </c>
      <c r="G683">
        <v>2</v>
      </c>
      <c r="H683">
        <v>918</v>
      </c>
      <c r="I683">
        <v>866</v>
      </c>
      <c r="J683">
        <v>52</v>
      </c>
    </row>
    <row r="684" spans="1:10" x14ac:dyDescent="0.25">
      <c r="A684">
        <v>35</v>
      </c>
      <c r="B684" t="s">
        <v>30</v>
      </c>
      <c r="C684" t="s">
        <v>12</v>
      </c>
      <c r="D684">
        <v>82</v>
      </c>
      <c r="E684">
        <v>80</v>
      </c>
      <c r="F684">
        <v>0.50600000000000001</v>
      </c>
      <c r="G684">
        <v>10</v>
      </c>
      <c r="H684">
        <v>916</v>
      </c>
      <c r="I684">
        <v>843</v>
      </c>
      <c r="J684">
        <v>73</v>
      </c>
    </row>
    <row r="685" spans="1:10" x14ac:dyDescent="0.25">
      <c r="A685">
        <v>35</v>
      </c>
      <c r="B685" t="s">
        <v>30</v>
      </c>
      <c r="C685" t="s">
        <v>11</v>
      </c>
      <c r="D685">
        <v>82</v>
      </c>
      <c r="E685">
        <v>80</v>
      </c>
      <c r="F685">
        <v>0.50600000000000001</v>
      </c>
      <c r="G685">
        <v>10</v>
      </c>
      <c r="H685">
        <v>764</v>
      </c>
      <c r="I685">
        <v>788</v>
      </c>
      <c r="J685">
        <v>-24</v>
      </c>
    </row>
    <row r="686" spans="1:10" x14ac:dyDescent="0.25">
      <c r="A686">
        <v>35</v>
      </c>
      <c r="B686" t="s">
        <v>30</v>
      </c>
      <c r="C686" t="s">
        <v>13</v>
      </c>
      <c r="D686">
        <v>74</v>
      </c>
      <c r="E686">
        <v>88</v>
      </c>
      <c r="F686">
        <v>0.45700000000000002</v>
      </c>
      <c r="G686">
        <v>18</v>
      </c>
      <c r="H686">
        <v>790</v>
      </c>
      <c r="I686">
        <v>849</v>
      </c>
      <c r="J686">
        <v>-59</v>
      </c>
    </row>
    <row r="687" spans="1:10" x14ac:dyDescent="0.25">
      <c r="A687">
        <v>35</v>
      </c>
      <c r="B687" t="s">
        <v>31</v>
      </c>
      <c r="C687" t="s">
        <v>14</v>
      </c>
      <c r="D687">
        <v>111</v>
      </c>
      <c r="E687">
        <v>51</v>
      </c>
      <c r="F687">
        <v>0.68500000000000005</v>
      </c>
      <c r="G687">
        <v>0</v>
      </c>
      <c r="H687">
        <v>978</v>
      </c>
      <c r="I687">
        <v>677</v>
      </c>
      <c r="J687">
        <v>301</v>
      </c>
    </row>
    <row r="688" spans="1:10" x14ac:dyDescent="0.25">
      <c r="A688">
        <v>35</v>
      </c>
      <c r="B688" t="s">
        <v>31</v>
      </c>
      <c r="C688" t="s">
        <v>15</v>
      </c>
      <c r="D688">
        <v>81</v>
      </c>
      <c r="E688">
        <v>81</v>
      </c>
      <c r="F688">
        <v>0.5</v>
      </c>
      <c r="G688">
        <v>30</v>
      </c>
      <c r="H688">
        <v>979</v>
      </c>
      <c r="I688">
        <v>1073</v>
      </c>
      <c r="J688">
        <v>-94</v>
      </c>
    </row>
    <row r="689" spans="1:10" x14ac:dyDescent="0.25">
      <c r="A689">
        <v>35</v>
      </c>
      <c r="B689" t="s">
        <v>31</v>
      </c>
      <c r="C689" t="s">
        <v>16</v>
      </c>
      <c r="D689">
        <v>71</v>
      </c>
      <c r="E689">
        <v>91</v>
      </c>
      <c r="F689">
        <v>0.438</v>
      </c>
      <c r="G689">
        <v>40</v>
      </c>
      <c r="H689">
        <v>748</v>
      </c>
      <c r="I689">
        <v>827</v>
      </c>
      <c r="J689">
        <v>-79</v>
      </c>
    </row>
    <row r="690" spans="1:10" x14ac:dyDescent="0.25">
      <c r="A690">
        <v>35</v>
      </c>
      <c r="B690" t="s">
        <v>31</v>
      </c>
      <c r="C690" t="s">
        <v>17</v>
      </c>
      <c r="D690">
        <v>65</v>
      </c>
      <c r="E690">
        <v>97</v>
      </c>
      <c r="F690">
        <v>0.40100000000000002</v>
      </c>
      <c r="G690">
        <v>46</v>
      </c>
      <c r="H690">
        <v>864</v>
      </c>
      <c r="I690">
        <v>1035</v>
      </c>
      <c r="J690">
        <v>-171</v>
      </c>
    </row>
    <row r="691" spans="1:10" x14ac:dyDescent="0.25">
      <c r="A691">
        <v>35</v>
      </c>
      <c r="B691" t="s">
        <v>31</v>
      </c>
      <c r="C691" t="s">
        <v>18</v>
      </c>
      <c r="D691">
        <v>49</v>
      </c>
      <c r="E691">
        <v>113</v>
      </c>
      <c r="F691">
        <v>0.30199999999999999</v>
      </c>
      <c r="G691">
        <v>62</v>
      </c>
      <c r="H691">
        <v>681</v>
      </c>
      <c r="I691">
        <v>1063</v>
      </c>
      <c r="J691">
        <v>-382</v>
      </c>
    </row>
    <row r="692" spans="1:10" x14ac:dyDescent="0.25">
      <c r="A692">
        <v>35</v>
      </c>
      <c r="B692" t="s">
        <v>32</v>
      </c>
      <c r="C692" t="s">
        <v>19</v>
      </c>
      <c r="D692">
        <v>117</v>
      </c>
      <c r="E692">
        <v>45</v>
      </c>
      <c r="F692">
        <v>0.72199999999999998</v>
      </c>
      <c r="G692">
        <v>0</v>
      </c>
      <c r="H692">
        <v>1064</v>
      </c>
      <c r="I692">
        <v>730</v>
      </c>
      <c r="J692">
        <v>334</v>
      </c>
    </row>
    <row r="693" spans="1:10" x14ac:dyDescent="0.25">
      <c r="A693">
        <v>35</v>
      </c>
      <c r="B693" t="s">
        <v>32</v>
      </c>
      <c r="C693" t="s">
        <v>20</v>
      </c>
      <c r="D693">
        <v>95</v>
      </c>
      <c r="E693">
        <v>67</v>
      </c>
      <c r="F693">
        <v>0.58599999999999997</v>
      </c>
      <c r="G693">
        <v>22</v>
      </c>
      <c r="H693">
        <v>916</v>
      </c>
      <c r="I693">
        <v>780</v>
      </c>
      <c r="J693">
        <v>136</v>
      </c>
    </row>
    <row r="694" spans="1:10" x14ac:dyDescent="0.25">
      <c r="A694">
        <v>35</v>
      </c>
      <c r="B694" t="s">
        <v>32</v>
      </c>
      <c r="C694" t="s">
        <v>21</v>
      </c>
      <c r="D694">
        <v>88</v>
      </c>
      <c r="E694">
        <v>74</v>
      </c>
      <c r="F694">
        <v>0.54300000000000004</v>
      </c>
      <c r="G694">
        <v>29</v>
      </c>
      <c r="H694">
        <v>950</v>
      </c>
      <c r="I694">
        <v>854</v>
      </c>
      <c r="J694">
        <v>96</v>
      </c>
    </row>
    <row r="695" spans="1:10" x14ac:dyDescent="0.25">
      <c r="A695">
        <v>35</v>
      </c>
      <c r="B695" t="s">
        <v>32</v>
      </c>
      <c r="C695" t="s">
        <v>22</v>
      </c>
      <c r="D695">
        <v>73</v>
      </c>
      <c r="E695">
        <v>89</v>
      </c>
      <c r="F695">
        <v>0.45100000000000001</v>
      </c>
      <c r="G695">
        <v>44</v>
      </c>
      <c r="H695">
        <v>896</v>
      </c>
      <c r="I695">
        <v>930</v>
      </c>
      <c r="J695">
        <v>-34</v>
      </c>
    </row>
    <row r="696" spans="1:10" x14ac:dyDescent="0.25">
      <c r="A696">
        <v>35</v>
      </c>
      <c r="B696" t="s">
        <v>32</v>
      </c>
      <c r="C696" t="s">
        <v>23</v>
      </c>
      <c r="D696">
        <v>44</v>
      </c>
      <c r="E696">
        <v>118</v>
      </c>
      <c r="F696">
        <v>0.27200000000000002</v>
      </c>
      <c r="G696">
        <v>73</v>
      </c>
      <c r="H696">
        <v>723</v>
      </c>
      <c r="I696">
        <v>1120</v>
      </c>
      <c r="J696">
        <v>-397</v>
      </c>
    </row>
    <row r="697" spans="1:10" x14ac:dyDescent="0.25">
      <c r="A697">
        <v>35</v>
      </c>
      <c r="B697" t="s">
        <v>33</v>
      </c>
      <c r="C697" t="s">
        <v>24</v>
      </c>
      <c r="D697">
        <v>103</v>
      </c>
      <c r="E697">
        <v>59</v>
      </c>
      <c r="F697">
        <v>0.63600000000000001</v>
      </c>
      <c r="G697">
        <v>0</v>
      </c>
      <c r="H697">
        <v>1003</v>
      </c>
      <c r="I697">
        <v>712</v>
      </c>
      <c r="J697">
        <v>291</v>
      </c>
    </row>
    <row r="698" spans="1:10" x14ac:dyDescent="0.25">
      <c r="A698">
        <v>35</v>
      </c>
      <c r="B698" t="s">
        <v>33</v>
      </c>
      <c r="C698" t="s">
        <v>26</v>
      </c>
      <c r="D698">
        <v>89</v>
      </c>
      <c r="E698">
        <v>73</v>
      </c>
      <c r="F698">
        <v>0.54900000000000004</v>
      </c>
      <c r="G698">
        <v>14</v>
      </c>
      <c r="H698">
        <v>781</v>
      </c>
      <c r="I698">
        <v>757</v>
      </c>
      <c r="J698">
        <v>24</v>
      </c>
    </row>
    <row r="699" spans="1:10" x14ac:dyDescent="0.25">
      <c r="A699">
        <v>35</v>
      </c>
      <c r="B699" t="s">
        <v>33</v>
      </c>
      <c r="C699" t="s">
        <v>25</v>
      </c>
      <c r="D699">
        <v>87</v>
      </c>
      <c r="E699">
        <v>75</v>
      </c>
      <c r="F699">
        <v>0.53700000000000003</v>
      </c>
      <c r="G699">
        <v>16</v>
      </c>
      <c r="H699">
        <v>813</v>
      </c>
      <c r="I699">
        <v>698</v>
      </c>
      <c r="J699">
        <v>115</v>
      </c>
    </row>
    <row r="700" spans="1:10" x14ac:dyDescent="0.25">
      <c r="A700">
        <v>35</v>
      </c>
      <c r="B700" t="s">
        <v>33</v>
      </c>
      <c r="C700" t="s">
        <v>27</v>
      </c>
      <c r="D700">
        <v>72</v>
      </c>
      <c r="E700">
        <v>90</v>
      </c>
      <c r="F700">
        <v>0.44400000000000001</v>
      </c>
      <c r="G700">
        <v>31</v>
      </c>
      <c r="H700">
        <v>793</v>
      </c>
      <c r="I700">
        <v>861</v>
      </c>
      <c r="J700">
        <v>-68</v>
      </c>
    </row>
    <row r="701" spans="1:10" x14ac:dyDescent="0.25">
      <c r="A701">
        <v>35</v>
      </c>
      <c r="B701" t="s">
        <v>33</v>
      </c>
      <c r="C701" t="s">
        <v>28</v>
      </c>
      <c r="D701">
        <v>55</v>
      </c>
      <c r="E701">
        <v>107</v>
      </c>
      <c r="F701">
        <v>0.34</v>
      </c>
      <c r="G701">
        <v>48</v>
      </c>
      <c r="H701">
        <v>674</v>
      </c>
      <c r="I701">
        <v>930</v>
      </c>
      <c r="J701">
        <v>-256</v>
      </c>
    </row>
    <row r="702" spans="1:10" x14ac:dyDescent="0.25">
      <c r="A702">
        <v>36</v>
      </c>
      <c r="B702" t="s">
        <v>30</v>
      </c>
      <c r="C702" t="s">
        <v>8</v>
      </c>
      <c r="D702">
        <v>96</v>
      </c>
      <c r="E702">
        <v>66</v>
      </c>
      <c r="F702">
        <v>0.59299999999999997</v>
      </c>
      <c r="G702">
        <v>0</v>
      </c>
      <c r="H702">
        <v>876</v>
      </c>
      <c r="I702">
        <v>706</v>
      </c>
      <c r="J702">
        <v>170</v>
      </c>
    </row>
    <row r="703" spans="1:10" x14ac:dyDescent="0.25">
      <c r="A703">
        <v>36</v>
      </c>
      <c r="B703" t="s">
        <v>30</v>
      </c>
      <c r="C703" t="s">
        <v>11</v>
      </c>
      <c r="D703">
        <v>95</v>
      </c>
      <c r="E703">
        <v>67</v>
      </c>
      <c r="F703">
        <v>0.58599999999999997</v>
      </c>
      <c r="G703">
        <v>1</v>
      </c>
      <c r="H703">
        <v>896</v>
      </c>
      <c r="I703">
        <v>747</v>
      </c>
      <c r="J703">
        <v>149</v>
      </c>
    </row>
    <row r="704" spans="1:10" x14ac:dyDescent="0.25">
      <c r="A704">
        <v>36</v>
      </c>
      <c r="B704" t="s">
        <v>30</v>
      </c>
      <c r="C704" t="s">
        <v>12</v>
      </c>
      <c r="D704">
        <v>91</v>
      </c>
      <c r="E704">
        <v>71</v>
      </c>
      <c r="F704">
        <v>0.56200000000000006</v>
      </c>
      <c r="G704">
        <v>5</v>
      </c>
      <c r="H704">
        <v>922</v>
      </c>
      <c r="I704">
        <v>826</v>
      </c>
      <c r="J704">
        <v>96</v>
      </c>
    </row>
    <row r="705" spans="1:10" x14ac:dyDescent="0.25">
      <c r="A705">
        <v>36</v>
      </c>
      <c r="B705" t="s">
        <v>30</v>
      </c>
      <c r="C705" t="s">
        <v>10</v>
      </c>
      <c r="D705">
        <v>91</v>
      </c>
      <c r="E705">
        <v>71</v>
      </c>
      <c r="F705">
        <v>0.56200000000000006</v>
      </c>
      <c r="G705">
        <v>5</v>
      </c>
      <c r="H705">
        <v>1025</v>
      </c>
      <c r="I705">
        <v>921</v>
      </c>
      <c r="J705">
        <v>104</v>
      </c>
    </row>
    <row r="706" spans="1:10" x14ac:dyDescent="0.25">
      <c r="A706">
        <v>36</v>
      </c>
      <c r="B706" t="s">
        <v>30</v>
      </c>
      <c r="C706" t="s">
        <v>13</v>
      </c>
      <c r="D706">
        <v>71</v>
      </c>
      <c r="E706">
        <v>91</v>
      </c>
      <c r="F706">
        <v>0.438</v>
      </c>
      <c r="G706">
        <v>25</v>
      </c>
      <c r="H706">
        <v>755</v>
      </c>
      <c r="I706">
        <v>891</v>
      </c>
      <c r="J706">
        <v>-136</v>
      </c>
    </row>
    <row r="707" spans="1:10" x14ac:dyDescent="0.25">
      <c r="A707">
        <v>36</v>
      </c>
      <c r="B707" t="s">
        <v>31</v>
      </c>
      <c r="C707" t="s">
        <v>14</v>
      </c>
      <c r="D707">
        <v>109</v>
      </c>
      <c r="E707">
        <v>53</v>
      </c>
      <c r="F707">
        <v>0.67300000000000004</v>
      </c>
      <c r="G707">
        <v>0</v>
      </c>
      <c r="H707">
        <v>1028</v>
      </c>
      <c r="I707">
        <v>756</v>
      </c>
      <c r="J707">
        <v>272</v>
      </c>
    </row>
    <row r="708" spans="1:10" x14ac:dyDescent="0.25">
      <c r="A708">
        <v>36</v>
      </c>
      <c r="B708" t="s">
        <v>31</v>
      </c>
      <c r="C708" t="s">
        <v>15</v>
      </c>
      <c r="D708">
        <v>73</v>
      </c>
      <c r="E708">
        <v>89</v>
      </c>
      <c r="F708">
        <v>0.45100000000000001</v>
      </c>
      <c r="G708">
        <v>36</v>
      </c>
      <c r="H708">
        <v>1050</v>
      </c>
      <c r="I708">
        <v>1197</v>
      </c>
      <c r="J708">
        <v>-147</v>
      </c>
    </row>
    <row r="709" spans="1:10" x14ac:dyDescent="0.25">
      <c r="A709">
        <v>36</v>
      </c>
      <c r="B709" t="s">
        <v>31</v>
      </c>
      <c r="C709" t="s">
        <v>17</v>
      </c>
      <c r="D709">
        <v>69</v>
      </c>
      <c r="E709">
        <v>93</v>
      </c>
      <c r="F709">
        <v>0.42599999999999999</v>
      </c>
      <c r="G709">
        <v>40</v>
      </c>
      <c r="H709">
        <v>824</v>
      </c>
      <c r="I709">
        <v>951</v>
      </c>
      <c r="J709">
        <v>-127</v>
      </c>
    </row>
    <row r="710" spans="1:10" x14ac:dyDescent="0.25">
      <c r="A710">
        <v>36</v>
      </c>
      <c r="B710" t="s">
        <v>31</v>
      </c>
      <c r="C710" t="s">
        <v>16</v>
      </c>
      <c r="D710">
        <v>66</v>
      </c>
      <c r="E710">
        <v>96</v>
      </c>
      <c r="F710">
        <v>0.40699999999999997</v>
      </c>
      <c r="G710">
        <v>43</v>
      </c>
      <c r="H710">
        <v>762</v>
      </c>
      <c r="I710">
        <v>857</v>
      </c>
      <c r="J710">
        <v>-95</v>
      </c>
    </row>
    <row r="711" spans="1:10" x14ac:dyDescent="0.25">
      <c r="A711">
        <v>36</v>
      </c>
      <c r="B711" t="s">
        <v>31</v>
      </c>
      <c r="C711" t="s">
        <v>18</v>
      </c>
      <c r="D711">
        <v>44</v>
      </c>
      <c r="E711">
        <v>118</v>
      </c>
      <c r="F711">
        <v>0.27200000000000002</v>
      </c>
      <c r="G711">
        <v>65</v>
      </c>
      <c r="H711">
        <v>686</v>
      </c>
      <c r="I711">
        <v>1084</v>
      </c>
      <c r="J711">
        <v>-398</v>
      </c>
    </row>
    <row r="712" spans="1:10" x14ac:dyDescent="0.25">
      <c r="A712">
        <v>36</v>
      </c>
      <c r="B712" t="s">
        <v>32</v>
      </c>
      <c r="C712" t="s">
        <v>19</v>
      </c>
      <c r="D712">
        <v>101</v>
      </c>
      <c r="E712">
        <v>61</v>
      </c>
      <c r="F712">
        <v>0.623</v>
      </c>
      <c r="G712">
        <v>0</v>
      </c>
      <c r="H712">
        <v>1044</v>
      </c>
      <c r="I712">
        <v>810</v>
      </c>
      <c r="J712">
        <v>234</v>
      </c>
    </row>
    <row r="713" spans="1:10" x14ac:dyDescent="0.25">
      <c r="A713">
        <v>36</v>
      </c>
      <c r="B713" t="s">
        <v>32</v>
      </c>
      <c r="C713" t="s">
        <v>20</v>
      </c>
      <c r="D713">
        <v>94</v>
      </c>
      <c r="E713">
        <v>68</v>
      </c>
      <c r="F713">
        <v>0.57999999999999996</v>
      </c>
      <c r="G713">
        <v>7</v>
      </c>
      <c r="H713">
        <v>969</v>
      </c>
      <c r="I713">
        <v>797</v>
      </c>
      <c r="J713">
        <v>172</v>
      </c>
    </row>
    <row r="714" spans="1:10" x14ac:dyDescent="0.25">
      <c r="A714">
        <v>36</v>
      </c>
      <c r="B714" t="s">
        <v>32</v>
      </c>
      <c r="C714" t="s">
        <v>21</v>
      </c>
      <c r="D714">
        <v>89</v>
      </c>
      <c r="E714">
        <v>73</v>
      </c>
      <c r="F714">
        <v>0.54900000000000004</v>
      </c>
      <c r="G714">
        <v>12</v>
      </c>
      <c r="H714">
        <v>1008</v>
      </c>
      <c r="I714">
        <v>907</v>
      </c>
      <c r="J714">
        <v>101</v>
      </c>
    </row>
    <row r="715" spans="1:10" x14ac:dyDescent="0.25">
      <c r="A715">
        <v>36</v>
      </c>
      <c r="B715" t="s">
        <v>32</v>
      </c>
      <c r="C715" t="s">
        <v>22</v>
      </c>
      <c r="D715">
        <v>76</v>
      </c>
      <c r="E715">
        <v>86</v>
      </c>
      <c r="F715">
        <v>0.46899999999999997</v>
      </c>
      <c r="G715">
        <v>25</v>
      </c>
      <c r="H715">
        <v>918</v>
      </c>
      <c r="I715">
        <v>928</v>
      </c>
      <c r="J715">
        <v>-10</v>
      </c>
    </row>
    <row r="716" spans="1:10" x14ac:dyDescent="0.25">
      <c r="A716">
        <v>36</v>
      </c>
      <c r="B716" t="s">
        <v>32</v>
      </c>
      <c r="C716" t="s">
        <v>23</v>
      </c>
      <c r="D716">
        <v>64</v>
      </c>
      <c r="E716">
        <v>98</v>
      </c>
      <c r="F716">
        <v>0.39500000000000002</v>
      </c>
      <c r="G716">
        <v>37</v>
      </c>
      <c r="H716">
        <v>843</v>
      </c>
      <c r="I716">
        <v>1046</v>
      </c>
      <c r="J716">
        <v>-203</v>
      </c>
    </row>
    <row r="717" spans="1:10" x14ac:dyDescent="0.25">
      <c r="A717">
        <v>36</v>
      </c>
      <c r="B717" t="s">
        <v>33</v>
      </c>
      <c r="C717" t="s">
        <v>24</v>
      </c>
      <c r="D717">
        <v>100</v>
      </c>
      <c r="E717">
        <v>62</v>
      </c>
      <c r="F717">
        <v>0.61699999999999999</v>
      </c>
      <c r="G717">
        <v>0</v>
      </c>
      <c r="H717">
        <v>885</v>
      </c>
      <c r="I717">
        <v>682</v>
      </c>
      <c r="J717">
        <v>203</v>
      </c>
    </row>
    <row r="718" spans="1:10" x14ac:dyDescent="0.25">
      <c r="A718">
        <v>36</v>
      </c>
      <c r="B718" t="s">
        <v>33</v>
      </c>
      <c r="C718" t="s">
        <v>25</v>
      </c>
      <c r="D718">
        <v>94</v>
      </c>
      <c r="E718">
        <v>68</v>
      </c>
      <c r="F718">
        <v>0.57999999999999996</v>
      </c>
      <c r="G718">
        <v>6</v>
      </c>
      <c r="H718">
        <v>846</v>
      </c>
      <c r="I718">
        <v>761</v>
      </c>
      <c r="J718">
        <v>85</v>
      </c>
    </row>
    <row r="719" spans="1:10" x14ac:dyDescent="0.25">
      <c r="A719">
        <v>36</v>
      </c>
      <c r="B719" t="s">
        <v>33</v>
      </c>
      <c r="C719" t="s">
        <v>26</v>
      </c>
      <c r="D719">
        <v>85</v>
      </c>
      <c r="E719">
        <v>77</v>
      </c>
      <c r="F719">
        <v>0.52500000000000002</v>
      </c>
      <c r="G719">
        <v>15</v>
      </c>
      <c r="H719">
        <v>818</v>
      </c>
      <c r="I719">
        <v>775</v>
      </c>
      <c r="J719">
        <v>43</v>
      </c>
    </row>
    <row r="720" spans="1:10" x14ac:dyDescent="0.25">
      <c r="A720">
        <v>36</v>
      </c>
      <c r="B720" t="s">
        <v>33</v>
      </c>
      <c r="C720" t="s">
        <v>27</v>
      </c>
      <c r="D720">
        <v>68</v>
      </c>
      <c r="E720">
        <v>94</v>
      </c>
      <c r="F720">
        <v>0.42</v>
      </c>
      <c r="G720">
        <v>32</v>
      </c>
      <c r="H720">
        <v>797</v>
      </c>
      <c r="I720">
        <v>913</v>
      </c>
      <c r="J720">
        <v>-116</v>
      </c>
    </row>
    <row r="721" spans="1:10" x14ac:dyDescent="0.25">
      <c r="A721">
        <v>36</v>
      </c>
      <c r="B721" t="s">
        <v>33</v>
      </c>
      <c r="C721" t="s">
        <v>28</v>
      </c>
      <c r="D721">
        <v>44</v>
      </c>
      <c r="E721">
        <v>118</v>
      </c>
      <c r="F721">
        <v>0.27200000000000002</v>
      </c>
      <c r="G721">
        <v>56</v>
      </c>
      <c r="H721">
        <v>680</v>
      </c>
      <c r="I721">
        <v>1077</v>
      </c>
      <c r="J721">
        <v>-397</v>
      </c>
    </row>
    <row r="722" spans="1:10" x14ac:dyDescent="0.25">
      <c r="A722">
        <v>37</v>
      </c>
      <c r="B722" t="s">
        <v>30</v>
      </c>
      <c r="C722" t="s">
        <v>8</v>
      </c>
      <c r="D722">
        <v>97</v>
      </c>
      <c r="E722">
        <v>65</v>
      </c>
      <c r="F722">
        <v>0.59899999999999998</v>
      </c>
      <c r="G722">
        <v>0</v>
      </c>
      <c r="H722">
        <v>899</v>
      </c>
      <c r="I722">
        <v>695</v>
      </c>
      <c r="J722">
        <v>204</v>
      </c>
    </row>
    <row r="723" spans="1:10" x14ac:dyDescent="0.25">
      <c r="A723">
        <v>37</v>
      </c>
      <c r="B723" t="s">
        <v>30</v>
      </c>
      <c r="C723" t="s">
        <v>10</v>
      </c>
      <c r="D723">
        <v>86</v>
      </c>
      <c r="E723">
        <v>76</v>
      </c>
      <c r="F723">
        <v>0.53100000000000003</v>
      </c>
      <c r="G723">
        <v>11</v>
      </c>
      <c r="H723">
        <v>899</v>
      </c>
      <c r="I723">
        <v>844</v>
      </c>
      <c r="J723">
        <v>55</v>
      </c>
    </row>
    <row r="724" spans="1:10" x14ac:dyDescent="0.25">
      <c r="A724">
        <v>37</v>
      </c>
      <c r="B724" t="s">
        <v>30</v>
      </c>
      <c r="C724" t="s">
        <v>12</v>
      </c>
      <c r="D724">
        <v>84</v>
      </c>
      <c r="E724">
        <v>78</v>
      </c>
      <c r="F724">
        <v>0.51900000000000002</v>
      </c>
      <c r="G724">
        <v>13</v>
      </c>
      <c r="H724">
        <v>952</v>
      </c>
      <c r="I724">
        <v>875</v>
      </c>
      <c r="J724">
        <v>77</v>
      </c>
    </row>
    <row r="725" spans="1:10" x14ac:dyDescent="0.25">
      <c r="A725">
        <v>37</v>
      </c>
      <c r="B725" t="s">
        <v>30</v>
      </c>
      <c r="C725" t="s">
        <v>11</v>
      </c>
      <c r="D725">
        <v>82</v>
      </c>
      <c r="E725">
        <v>80</v>
      </c>
      <c r="F725">
        <v>0.50600000000000001</v>
      </c>
      <c r="G725">
        <v>15</v>
      </c>
      <c r="H725">
        <v>933</v>
      </c>
      <c r="I725">
        <v>860</v>
      </c>
      <c r="J725">
        <v>73</v>
      </c>
    </row>
    <row r="726" spans="1:10" x14ac:dyDescent="0.25">
      <c r="A726">
        <v>37</v>
      </c>
      <c r="B726" t="s">
        <v>30</v>
      </c>
      <c r="C726" t="s">
        <v>13</v>
      </c>
      <c r="D726">
        <v>81</v>
      </c>
      <c r="E726">
        <v>81</v>
      </c>
      <c r="F726">
        <v>0.5</v>
      </c>
      <c r="G726">
        <v>16</v>
      </c>
      <c r="H726">
        <v>856</v>
      </c>
      <c r="I726">
        <v>878</v>
      </c>
      <c r="J726">
        <v>-22</v>
      </c>
    </row>
    <row r="727" spans="1:10" x14ac:dyDescent="0.25">
      <c r="A727">
        <v>37</v>
      </c>
      <c r="B727" t="s">
        <v>31</v>
      </c>
      <c r="C727" t="s">
        <v>14</v>
      </c>
      <c r="D727">
        <v>114</v>
      </c>
      <c r="E727">
        <v>48</v>
      </c>
      <c r="F727">
        <v>0.70399999999999996</v>
      </c>
      <c r="G727">
        <v>0</v>
      </c>
      <c r="H727">
        <v>966</v>
      </c>
      <c r="I727">
        <v>632</v>
      </c>
      <c r="J727">
        <v>334</v>
      </c>
    </row>
    <row r="728" spans="1:10" x14ac:dyDescent="0.25">
      <c r="A728">
        <v>37</v>
      </c>
      <c r="B728" t="s">
        <v>31</v>
      </c>
      <c r="C728" t="s">
        <v>16</v>
      </c>
      <c r="D728">
        <v>79</v>
      </c>
      <c r="E728">
        <v>83</v>
      </c>
      <c r="F728">
        <v>0.48799999999999999</v>
      </c>
      <c r="G728">
        <v>35</v>
      </c>
      <c r="H728">
        <v>786</v>
      </c>
      <c r="I728">
        <v>855</v>
      </c>
      <c r="J728">
        <v>-69</v>
      </c>
    </row>
    <row r="729" spans="1:10" x14ac:dyDescent="0.25">
      <c r="A729">
        <v>37</v>
      </c>
      <c r="B729" t="s">
        <v>31</v>
      </c>
      <c r="C729" t="s">
        <v>15</v>
      </c>
      <c r="D729">
        <v>67</v>
      </c>
      <c r="E729">
        <v>95</v>
      </c>
      <c r="F729">
        <v>0.41399999999999998</v>
      </c>
      <c r="G729">
        <v>47</v>
      </c>
      <c r="H729">
        <v>1032</v>
      </c>
      <c r="I729">
        <v>1233</v>
      </c>
      <c r="J729">
        <v>-201</v>
      </c>
    </row>
    <row r="730" spans="1:10" x14ac:dyDescent="0.25">
      <c r="A730">
        <v>37</v>
      </c>
      <c r="B730" t="s">
        <v>31</v>
      </c>
      <c r="C730" t="s">
        <v>17</v>
      </c>
      <c r="D730">
        <v>59</v>
      </c>
      <c r="E730">
        <v>103</v>
      </c>
      <c r="F730">
        <v>0.36399999999999999</v>
      </c>
      <c r="G730">
        <v>55</v>
      </c>
      <c r="H730">
        <v>800</v>
      </c>
      <c r="I730">
        <v>1019</v>
      </c>
      <c r="J730">
        <v>-219</v>
      </c>
    </row>
    <row r="731" spans="1:10" x14ac:dyDescent="0.25">
      <c r="A731">
        <v>37</v>
      </c>
      <c r="B731" t="s">
        <v>31</v>
      </c>
      <c r="C731" t="s">
        <v>18</v>
      </c>
      <c r="D731">
        <v>39</v>
      </c>
      <c r="E731">
        <v>123</v>
      </c>
      <c r="F731">
        <v>0.24099999999999999</v>
      </c>
      <c r="G731">
        <v>75</v>
      </c>
      <c r="H731">
        <v>633</v>
      </c>
      <c r="I731">
        <v>1106</v>
      </c>
      <c r="J731">
        <v>-473</v>
      </c>
    </row>
    <row r="732" spans="1:10" x14ac:dyDescent="0.25">
      <c r="A732">
        <v>37</v>
      </c>
      <c r="B732" t="s">
        <v>32</v>
      </c>
      <c r="C732" t="s">
        <v>19</v>
      </c>
      <c r="D732">
        <v>110</v>
      </c>
      <c r="E732">
        <v>52</v>
      </c>
      <c r="F732">
        <v>0.67900000000000005</v>
      </c>
      <c r="G732">
        <v>0</v>
      </c>
      <c r="H732">
        <v>1037</v>
      </c>
      <c r="I732">
        <v>744</v>
      </c>
      <c r="J732">
        <v>293</v>
      </c>
    </row>
    <row r="733" spans="1:10" x14ac:dyDescent="0.25">
      <c r="A733">
        <v>37</v>
      </c>
      <c r="B733" t="s">
        <v>32</v>
      </c>
      <c r="C733" t="s">
        <v>20</v>
      </c>
      <c r="D733">
        <v>89</v>
      </c>
      <c r="E733">
        <v>73</v>
      </c>
      <c r="F733">
        <v>0.54900000000000004</v>
      </c>
      <c r="G733">
        <v>21</v>
      </c>
      <c r="H733">
        <v>923</v>
      </c>
      <c r="I733">
        <v>828</v>
      </c>
      <c r="J733">
        <v>95</v>
      </c>
    </row>
    <row r="734" spans="1:10" x14ac:dyDescent="0.25">
      <c r="A734">
        <v>37</v>
      </c>
      <c r="B734" t="s">
        <v>32</v>
      </c>
      <c r="C734" t="s">
        <v>21</v>
      </c>
      <c r="D734">
        <v>82</v>
      </c>
      <c r="E734">
        <v>80</v>
      </c>
      <c r="F734">
        <v>0.50600000000000001</v>
      </c>
      <c r="G734">
        <v>28</v>
      </c>
      <c r="H734">
        <v>971</v>
      </c>
      <c r="I734">
        <v>939</v>
      </c>
      <c r="J734">
        <v>32</v>
      </c>
    </row>
    <row r="735" spans="1:10" x14ac:dyDescent="0.25">
      <c r="A735">
        <v>37</v>
      </c>
      <c r="B735" t="s">
        <v>32</v>
      </c>
      <c r="C735" t="s">
        <v>22</v>
      </c>
      <c r="D735">
        <v>77</v>
      </c>
      <c r="E735">
        <v>85</v>
      </c>
      <c r="F735">
        <v>0.47499999999999998</v>
      </c>
      <c r="G735">
        <v>33</v>
      </c>
      <c r="H735">
        <v>933</v>
      </c>
      <c r="I735">
        <v>946</v>
      </c>
      <c r="J735">
        <v>-13</v>
      </c>
    </row>
    <row r="736" spans="1:10" x14ac:dyDescent="0.25">
      <c r="A736">
        <v>37</v>
      </c>
      <c r="B736" t="s">
        <v>32</v>
      </c>
      <c r="C736" t="s">
        <v>23</v>
      </c>
      <c r="D736">
        <v>71</v>
      </c>
      <c r="E736">
        <v>91</v>
      </c>
      <c r="F736">
        <v>0.438</v>
      </c>
      <c r="G736">
        <v>39</v>
      </c>
      <c r="H736">
        <v>823</v>
      </c>
      <c r="I736">
        <v>1000</v>
      </c>
      <c r="J736">
        <v>-177</v>
      </c>
    </row>
    <row r="737" spans="1:10" x14ac:dyDescent="0.25">
      <c r="A737">
        <v>37</v>
      </c>
      <c r="B737" t="s">
        <v>33</v>
      </c>
      <c r="C737" t="s">
        <v>24</v>
      </c>
      <c r="D737">
        <v>97</v>
      </c>
      <c r="E737">
        <v>65</v>
      </c>
      <c r="F737">
        <v>0.59899999999999998</v>
      </c>
      <c r="G737">
        <v>0</v>
      </c>
      <c r="H737">
        <v>879</v>
      </c>
      <c r="I737">
        <v>671</v>
      </c>
      <c r="J737">
        <v>208</v>
      </c>
    </row>
    <row r="738" spans="1:10" x14ac:dyDescent="0.25">
      <c r="A738">
        <v>37</v>
      </c>
      <c r="B738" t="s">
        <v>33</v>
      </c>
      <c r="C738" t="s">
        <v>25</v>
      </c>
      <c r="D738">
        <v>88</v>
      </c>
      <c r="E738">
        <v>74</v>
      </c>
      <c r="F738">
        <v>0.54300000000000004</v>
      </c>
      <c r="G738">
        <v>9</v>
      </c>
      <c r="H738">
        <v>863</v>
      </c>
      <c r="I738">
        <v>786</v>
      </c>
      <c r="J738">
        <v>77</v>
      </c>
    </row>
    <row r="739" spans="1:10" x14ac:dyDescent="0.25">
      <c r="A739">
        <v>37</v>
      </c>
      <c r="B739" t="s">
        <v>33</v>
      </c>
      <c r="C739" t="s">
        <v>26</v>
      </c>
      <c r="D739">
        <v>86</v>
      </c>
      <c r="E739">
        <v>76</v>
      </c>
      <c r="F739">
        <v>0.53100000000000003</v>
      </c>
      <c r="G739">
        <v>11</v>
      </c>
      <c r="H739">
        <v>883</v>
      </c>
      <c r="I739">
        <v>776</v>
      </c>
      <c r="J739">
        <v>107</v>
      </c>
    </row>
    <row r="740" spans="1:10" x14ac:dyDescent="0.25">
      <c r="A740">
        <v>37</v>
      </c>
      <c r="B740" t="s">
        <v>33</v>
      </c>
      <c r="C740" t="s">
        <v>28</v>
      </c>
      <c r="D740">
        <v>67</v>
      </c>
      <c r="E740">
        <v>95</v>
      </c>
      <c r="F740">
        <v>0.41399999999999998</v>
      </c>
      <c r="G740">
        <v>30</v>
      </c>
      <c r="H740">
        <v>755</v>
      </c>
      <c r="I740">
        <v>925</v>
      </c>
      <c r="J740">
        <v>-170</v>
      </c>
    </row>
    <row r="741" spans="1:10" x14ac:dyDescent="0.25">
      <c r="A741">
        <v>37</v>
      </c>
      <c r="B741" t="s">
        <v>33</v>
      </c>
      <c r="C741" t="s">
        <v>27</v>
      </c>
      <c r="D741">
        <v>65</v>
      </c>
      <c r="E741">
        <v>97</v>
      </c>
      <c r="F741">
        <v>0.40100000000000002</v>
      </c>
      <c r="G741">
        <v>32</v>
      </c>
      <c r="H741">
        <v>715</v>
      </c>
      <c r="I741">
        <v>926</v>
      </c>
      <c r="J741">
        <v>-211</v>
      </c>
    </row>
    <row r="742" spans="1:10" x14ac:dyDescent="0.25">
      <c r="A742">
        <v>38</v>
      </c>
      <c r="B742" t="s">
        <v>30</v>
      </c>
      <c r="C742" t="s">
        <v>12</v>
      </c>
      <c r="D742">
        <v>94</v>
      </c>
      <c r="E742">
        <v>68</v>
      </c>
      <c r="F742">
        <v>0.57999999999999996</v>
      </c>
      <c r="G742">
        <v>0</v>
      </c>
      <c r="H742">
        <v>964</v>
      </c>
      <c r="I742">
        <v>873</v>
      </c>
      <c r="J742">
        <v>91</v>
      </c>
    </row>
    <row r="743" spans="1:10" x14ac:dyDescent="0.25">
      <c r="A743">
        <v>38</v>
      </c>
      <c r="B743" t="s">
        <v>30</v>
      </c>
      <c r="C743" t="s">
        <v>10</v>
      </c>
      <c r="D743">
        <v>94</v>
      </c>
      <c r="E743">
        <v>68</v>
      </c>
      <c r="F743">
        <v>0.57999999999999996</v>
      </c>
      <c r="G743">
        <v>0</v>
      </c>
      <c r="H743">
        <v>1011</v>
      </c>
      <c r="I743">
        <v>852</v>
      </c>
      <c r="J743">
        <v>159</v>
      </c>
    </row>
    <row r="744" spans="1:10" x14ac:dyDescent="0.25">
      <c r="A744">
        <v>38</v>
      </c>
      <c r="B744" t="s">
        <v>30</v>
      </c>
      <c r="C744" t="s">
        <v>11</v>
      </c>
      <c r="D744">
        <v>90</v>
      </c>
      <c r="E744">
        <v>72</v>
      </c>
      <c r="F744">
        <v>0.55600000000000005</v>
      </c>
      <c r="G744">
        <v>4</v>
      </c>
      <c r="H744">
        <v>872</v>
      </c>
      <c r="I744">
        <v>774</v>
      </c>
      <c r="J744">
        <v>98</v>
      </c>
    </row>
    <row r="745" spans="1:10" x14ac:dyDescent="0.25">
      <c r="A745">
        <v>38</v>
      </c>
      <c r="B745" t="s">
        <v>30</v>
      </c>
      <c r="C745" t="s">
        <v>13</v>
      </c>
      <c r="D745">
        <v>87</v>
      </c>
      <c r="E745">
        <v>75</v>
      </c>
      <c r="F745">
        <v>0.53700000000000003</v>
      </c>
      <c r="G745">
        <v>7</v>
      </c>
      <c r="H745">
        <v>859</v>
      </c>
      <c r="I745">
        <v>849</v>
      </c>
      <c r="J745">
        <v>10</v>
      </c>
    </row>
    <row r="746" spans="1:10" x14ac:dyDescent="0.25">
      <c r="A746">
        <v>38</v>
      </c>
      <c r="B746" t="s">
        <v>30</v>
      </c>
      <c r="C746" t="s">
        <v>8</v>
      </c>
      <c r="D746">
        <v>81</v>
      </c>
      <c r="E746">
        <v>81</v>
      </c>
      <c r="F746">
        <v>0.5</v>
      </c>
      <c r="G746">
        <v>13</v>
      </c>
      <c r="H746">
        <v>818</v>
      </c>
      <c r="I746">
        <v>711</v>
      </c>
      <c r="J746">
        <v>107</v>
      </c>
    </row>
    <row r="747" spans="1:10" x14ac:dyDescent="0.25">
      <c r="A747">
        <v>38</v>
      </c>
      <c r="B747" t="s">
        <v>31</v>
      </c>
      <c r="C747" t="s">
        <v>14</v>
      </c>
      <c r="D747">
        <v>110</v>
      </c>
      <c r="E747">
        <v>52</v>
      </c>
      <c r="F747">
        <v>0.67900000000000005</v>
      </c>
      <c r="G747">
        <v>0</v>
      </c>
      <c r="H747">
        <v>1000</v>
      </c>
      <c r="I747">
        <v>726</v>
      </c>
      <c r="J747">
        <v>274</v>
      </c>
    </row>
    <row r="748" spans="1:10" x14ac:dyDescent="0.25">
      <c r="A748">
        <v>38</v>
      </c>
      <c r="B748" t="s">
        <v>31</v>
      </c>
      <c r="C748" t="s">
        <v>15</v>
      </c>
      <c r="D748">
        <v>77</v>
      </c>
      <c r="E748">
        <v>85</v>
      </c>
      <c r="F748">
        <v>0.47499999999999998</v>
      </c>
      <c r="G748">
        <v>33</v>
      </c>
      <c r="H748">
        <v>992</v>
      </c>
      <c r="I748">
        <v>1142</v>
      </c>
      <c r="J748">
        <v>-150</v>
      </c>
    </row>
    <row r="749" spans="1:10" x14ac:dyDescent="0.25">
      <c r="A749">
        <v>38</v>
      </c>
      <c r="B749" t="s">
        <v>31</v>
      </c>
      <c r="C749" t="s">
        <v>17</v>
      </c>
      <c r="D749">
        <v>71</v>
      </c>
      <c r="E749">
        <v>91</v>
      </c>
      <c r="F749">
        <v>0.438</v>
      </c>
      <c r="G749">
        <v>39</v>
      </c>
      <c r="H749">
        <v>857</v>
      </c>
      <c r="I749">
        <v>991</v>
      </c>
      <c r="J749">
        <v>-134</v>
      </c>
    </row>
    <row r="750" spans="1:10" x14ac:dyDescent="0.25">
      <c r="A750">
        <v>38</v>
      </c>
      <c r="B750" t="s">
        <v>31</v>
      </c>
      <c r="C750" t="s">
        <v>16</v>
      </c>
      <c r="D750">
        <v>65</v>
      </c>
      <c r="E750">
        <v>97</v>
      </c>
      <c r="F750">
        <v>0.40100000000000002</v>
      </c>
      <c r="G750">
        <v>45</v>
      </c>
      <c r="H750">
        <v>709</v>
      </c>
      <c r="I750">
        <v>848</v>
      </c>
      <c r="J750">
        <v>-139</v>
      </c>
    </row>
    <row r="751" spans="1:10" x14ac:dyDescent="0.25">
      <c r="A751">
        <v>38</v>
      </c>
      <c r="B751" t="s">
        <v>31</v>
      </c>
      <c r="C751" t="s">
        <v>18</v>
      </c>
      <c r="D751">
        <v>38</v>
      </c>
      <c r="E751">
        <v>124</v>
      </c>
      <c r="F751">
        <v>0.23499999999999999</v>
      </c>
      <c r="G751">
        <v>72</v>
      </c>
      <c r="H751">
        <v>621</v>
      </c>
      <c r="I751">
        <v>1090</v>
      </c>
      <c r="J751">
        <v>-469</v>
      </c>
    </row>
    <row r="752" spans="1:10" x14ac:dyDescent="0.25">
      <c r="A752">
        <v>38</v>
      </c>
      <c r="B752" t="s">
        <v>32</v>
      </c>
      <c r="C752" t="s">
        <v>19</v>
      </c>
      <c r="D752">
        <v>104</v>
      </c>
      <c r="E752">
        <v>58</v>
      </c>
      <c r="F752">
        <v>0.64200000000000002</v>
      </c>
      <c r="G752">
        <v>0</v>
      </c>
      <c r="H752">
        <v>1016</v>
      </c>
      <c r="I752">
        <v>714</v>
      </c>
      <c r="J752">
        <v>302</v>
      </c>
    </row>
    <row r="753" spans="1:10" x14ac:dyDescent="0.25">
      <c r="A753">
        <v>38</v>
      </c>
      <c r="B753" t="s">
        <v>32</v>
      </c>
      <c r="C753" t="s">
        <v>21</v>
      </c>
      <c r="D753">
        <v>100</v>
      </c>
      <c r="E753">
        <v>62</v>
      </c>
      <c r="F753">
        <v>0.61699999999999999</v>
      </c>
      <c r="G753">
        <v>4</v>
      </c>
      <c r="H753">
        <v>1034</v>
      </c>
      <c r="I753">
        <v>845</v>
      </c>
      <c r="J753">
        <v>189</v>
      </c>
    </row>
    <row r="754" spans="1:10" x14ac:dyDescent="0.25">
      <c r="A754">
        <v>38</v>
      </c>
      <c r="B754" t="s">
        <v>32</v>
      </c>
      <c r="C754" t="s">
        <v>20</v>
      </c>
      <c r="D754">
        <v>100</v>
      </c>
      <c r="E754">
        <v>62</v>
      </c>
      <c r="F754">
        <v>0.61699999999999999</v>
      </c>
      <c r="G754">
        <v>4</v>
      </c>
      <c r="H754">
        <v>1033</v>
      </c>
      <c r="I754">
        <v>822</v>
      </c>
      <c r="J754">
        <v>211</v>
      </c>
    </row>
    <row r="755" spans="1:10" x14ac:dyDescent="0.25">
      <c r="A755">
        <v>38</v>
      </c>
      <c r="B755" t="s">
        <v>32</v>
      </c>
      <c r="C755" t="s">
        <v>22</v>
      </c>
      <c r="D755">
        <v>60</v>
      </c>
      <c r="E755">
        <v>102</v>
      </c>
      <c r="F755">
        <v>0.37</v>
      </c>
      <c r="G755">
        <v>44</v>
      </c>
      <c r="H755">
        <v>865</v>
      </c>
      <c r="I755">
        <v>1003</v>
      </c>
      <c r="J755">
        <v>-138</v>
      </c>
    </row>
    <row r="756" spans="1:10" x14ac:dyDescent="0.25">
      <c r="A756">
        <v>38</v>
      </c>
      <c r="B756" t="s">
        <v>32</v>
      </c>
      <c r="C756" t="s">
        <v>23</v>
      </c>
      <c r="D756">
        <v>51</v>
      </c>
      <c r="E756">
        <v>111</v>
      </c>
      <c r="F756">
        <v>0.315</v>
      </c>
      <c r="G756">
        <v>53</v>
      </c>
      <c r="H756">
        <v>704</v>
      </c>
      <c r="I756">
        <v>1058</v>
      </c>
      <c r="J756">
        <v>-354</v>
      </c>
    </row>
    <row r="757" spans="1:10" x14ac:dyDescent="0.25">
      <c r="A757">
        <v>38</v>
      </c>
      <c r="B757" t="s">
        <v>33</v>
      </c>
      <c r="C757" t="s">
        <v>24</v>
      </c>
      <c r="D757">
        <v>110</v>
      </c>
      <c r="E757">
        <v>52</v>
      </c>
      <c r="F757">
        <v>0.67900000000000005</v>
      </c>
      <c r="G757">
        <v>0</v>
      </c>
      <c r="H757">
        <v>907</v>
      </c>
      <c r="I757">
        <v>654</v>
      </c>
      <c r="J757">
        <v>253</v>
      </c>
    </row>
    <row r="758" spans="1:10" x14ac:dyDescent="0.25">
      <c r="A758">
        <v>38</v>
      </c>
      <c r="B758" t="s">
        <v>33</v>
      </c>
      <c r="C758" t="s">
        <v>25</v>
      </c>
      <c r="D758">
        <v>97</v>
      </c>
      <c r="E758">
        <v>65</v>
      </c>
      <c r="F758">
        <v>0.59899999999999998</v>
      </c>
      <c r="G758">
        <v>13</v>
      </c>
      <c r="H758">
        <v>823</v>
      </c>
      <c r="I758">
        <v>662</v>
      </c>
      <c r="J758">
        <v>161</v>
      </c>
    </row>
    <row r="759" spans="1:10" x14ac:dyDescent="0.25">
      <c r="A759">
        <v>38</v>
      </c>
      <c r="B759" t="s">
        <v>33</v>
      </c>
      <c r="C759" t="s">
        <v>26</v>
      </c>
      <c r="D759">
        <v>76</v>
      </c>
      <c r="E759">
        <v>86</v>
      </c>
      <c r="F759">
        <v>0.46899999999999997</v>
      </c>
      <c r="G759">
        <v>34</v>
      </c>
      <c r="H759">
        <v>797</v>
      </c>
      <c r="I759">
        <v>836</v>
      </c>
      <c r="J759">
        <v>-39</v>
      </c>
    </row>
    <row r="760" spans="1:10" x14ac:dyDescent="0.25">
      <c r="A760">
        <v>38</v>
      </c>
      <c r="B760" t="s">
        <v>33</v>
      </c>
      <c r="C760" t="s">
        <v>27</v>
      </c>
      <c r="D760">
        <v>65</v>
      </c>
      <c r="E760">
        <v>97</v>
      </c>
      <c r="F760">
        <v>0.40100000000000002</v>
      </c>
      <c r="G760">
        <v>45</v>
      </c>
      <c r="H760">
        <v>729</v>
      </c>
      <c r="I760">
        <v>829</v>
      </c>
      <c r="J760">
        <v>-100</v>
      </c>
    </row>
    <row r="761" spans="1:10" x14ac:dyDescent="0.25">
      <c r="A761">
        <v>38</v>
      </c>
      <c r="B761" t="s">
        <v>33</v>
      </c>
      <c r="C761" t="s">
        <v>28</v>
      </c>
      <c r="D761">
        <v>50</v>
      </c>
      <c r="E761">
        <v>112</v>
      </c>
      <c r="F761">
        <v>0.309</v>
      </c>
      <c r="G761">
        <v>60</v>
      </c>
      <c r="H761">
        <v>736</v>
      </c>
      <c r="I761">
        <v>1068</v>
      </c>
      <c r="J761">
        <v>-332</v>
      </c>
    </row>
    <row r="762" spans="1:10" x14ac:dyDescent="0.25">
      <c r="A762">
        <v>39</v>
      </c>
      <c r="B762" t="s">
        <v>30</v>
      </c>
      <c r="C762" t="s">
        <v>11</v>
      </c>
      <c r="D762">
        <v>96</v>
      </c>
      <c r="E762">
        <v>66</v>
      </c>
      <c r="F762">
        <v>0.59299999999999997</v>
      </c>
      <c r="G762">
        <v>0</v>
      </c>
      <c r="H762">
        <v>935</v>
      </c>
      <c r="I762">
        <v>776</v>
      </c>
      <c r="J762">
        <v>159</v>
      </c>
    </row>
    <row r="763" spans="1:10" x14ac:dyDescent="0.25">
      <c r="A763">
        <v>39</v>
      </c>
      <c r="B763" t="s">
        <v>30</v>
      </c>
      <c r="C763" t="s">
        <v>8</v>
      </c>
      <c r="D763">
        <v>94</v>
      </c>
      <c r="E763">
        <v>68</v>
      </c>
      <c r="F763">
        <v>0.57999999999999996</v>
      </c>
      <c r="G763">
        <v>2</v>
      </c>
      <c r="H763">
        <v>850</v>
      </c>
      <c r="I763">
        <v>717</v>
      </c>
      <c r="J763">
        <v>133</v>
      </c>
    </row>
    <row r="764" spans="1:10" x14ac:dyDescent="0.25">
      <c r="A764">
        <v>39</v>
      </c>
      <c r="B764" t="s">
        <v>30</v>
      </c>
      <c r="C764" t="s">
        <v>10</v>
      </c>
      <c r="D764">
        <v>94</v>
      </c>
      <c r="E764">
        <v>68</v>
      </c>
      <c r="F764">
        <v>0.57999999999999996</v>
      </c>
      <c r="G764">
        <v>2</v>
      </c>
      <c r="H764">
        <v>972</v>
      </c>
      <c r="I764">
        <v>824</v>
      </c>
      <c r="J764">
        <v>148</v>
      </c>
    </row>
    <row r="765" spans="1:10" x14ac:dyDescent="0.25">
      <c r="A765">
        <v>39</v>
      </c>
      <c r="B765" t="s">
        <v>30</v>
      </c>
      <c r="C765" t="s">
        <v>12</v>
      </c>
      <c r="D765">
        <v>87</v>
      </c>
      <c r="E765">
        <v>75</v>
      </c>
      <c r="F765">
        <v>0.53700000000000003</v>
      </c>
      <c r="G765">
        <v>9</v>
      </c>
      <c r="H765">
        <v>907</v>
      </c>
      <c r="I765">
        <v>854</v>
      </c>
      <c r="J765">
        <v>53</v>
      </c>
    </row>
    <row r="766" spans="1:10" x14ac:dyDescent="0.25">
      <c r="A766">
        <v>39</v>
      </c>
      <c r="B766" t="s">
        <v>30</v>
      </c>
      <c r="C766" t="s">
        <v>13</v>
      </c>
      <c r="D766">
        <v>71</v>
      </c>
      <c r="E766">
        <v>91</v>
      </c>
      <c r="F766">
        <v>0.438</v>
      </c>
      <c r="G766">
        <v>25</v>
      </c>
      <c r="H766">
        <v>757</v>
      </c>
      <c r="I766">
        <v>882</v>
      </c>
      <c r="J766">
        <v>-125</v>
      </c>
    </row>
    <row r="767" spans="1:10" x14ac:dyDescent="0.25">
      <c r="A767">
        <v>39</v>
      </c>
      <c r="B767" t="s">
        <v>31</v>
      </c>
      <c r="C767" t="s">
        <v>14</v>
      </c>
      <c r="D767">
        <v>106</v>
      </c>
      <c r="E767">
        <v>56</v>
      </c>
      <c r="F767">
        <v>0.65400000000000003</v>
      </c>
      <c r="G767">
        <v>0</v>
      </c>
      <c r="H767">
        <v>1034</v>
      </c>
      <c r="I767">
        <v>755</v>
      </c>
      <c r="J767">
        <v>279</v>
      </c>
    </row>
    <row r="768" spans="1:10" x14ac:dyDescent="0.25">
      <c r="A768">
        <v>39</v>
      </c>
      <c r="B768" t="s">
        <v>31</v>
      </c>
      <c r="C768" t="s">
        <v>16</v>
      </c>
      <c r="D768">
        <v>70</v>
      </c>
      <c r="E768">
        <v>92</v>
      </c>
      <c r="F768">
        <v>0.432</v>
      </c>
      <c r="G768">
        <v>36</v>
      </c>
      <c r="H768">
        <v>812</v>
      </c>
      <c r="I768">
        <v>859</v>
      </c>
      <c r="J768">
        <v>-47</v>
      </c>
    </row>
    <row r="769" spans="1:10" x14ac:dyDescent="0.25">
      <c r="A769">
        <v>39</v>
      </c>
      <c r="B769" t="s">
        <v>31</v>
      </c>
      <c r="C769" t="s">
        <v>17</v>
      </c>
      <c r="D769">
        <v>58</v>
      </c>
      <c r="E769">
        <v>104</v>
      </c>
      <c r="F769">
        <v>0.35799999999999998</v>
      </c>
      <c r="G769">
        <v>48</v>
      </c>
      <c r="H769">
        <v>812</v>
      </c>
      <c r="I769">
        <v>974</v>
      </c>
      <c r="J769">
        <v>-162</v>
      </c>
    </row>
    <row r="770" spans="1:10" x14ac:dyDescent="0.25">
      <c r="A770">
        <v>39</v>
      </c>
      <c r="B770" t="s">
        <v>31</v>
      </c>
      <c r="C770" t="s">
        <v>15</v>
      </c>
      <c r="D770">
        <v>58</v>
      </c>
      <c r="E770">
        <v>104</v>
      </c>
      <c r="F770">
        <v>0.35799999999999998</v>
      </c>
      <c r="G770">
        <v>48</v>
      </c>
      <c r="H770">
        <v>944</v>
      </c>
      <c r="I770">
        <v>1233</v>
      </c>
      <c r="J770">
        <v>-289</v>
      </c>
    </row>
    <row r="771" spans="1:10" x14ac:dyDescent="0.25">
      <c r="A771">
        <v>39</v>
      </c>
      <c r="B771" t="s">
        <v>31</v>
      </c>
      <c r="C771" t="s">
        <v>18</v>
      </c>
      <c r="D771">
        <v>47</v>
      </c>
      <c r="E771">
        <v>115</v>
      </c>
      <c r="F771">
        <v>0.28999999999999998</v>
      </c>
      <c r="G771">
        <v>59</v>
      </c>
      <c r="H771">
        <v>637</v>
      </c>
      <c r="I771">
        <v>1025</v>
      </c>
      <c r="J771">
        <v>-388</v>
      </c>
    </row>
    <row r="772" spans="1:10" x14ac:dyDescent="0.25">
      <c r="A772">
        <v>39</v>
      </c>
      <c r="B772" t="s">
        <v>32</v>
      </c>
      <c r="C772" t="s">
        <v>19</v>
      </c>
      <c r="D772">
        <v>101</v>
      </c>
      <c r="E772">
        <v>61</v>
      </c>
      <c r="F772">
        <v>0.623</v>
      </c>
      <c r="G772">
        <v>0</v>
      </c>
      <c r="H772">
        <v>948</v>
      </c>
      <c r="I772">
        <v>746</v>
      </c>
      <c r="J772">
        <v>202</v>
      </c>
    </row>
    <row r="773" spans="1:10" x14ac:dyDescent="0.25">
      <c r="A773">
        <v>39</v>
      </c>
      <c r="B773" t="s">
        <v>32</v>
      </c>
      <c r="C773" t="s">
        <v>21</v>
      </c>
      <c r="D773">
        <v>97</v>
      </c>
      <c r="E773">
        <v>65</v>
      </c>
      <c r="F773">
        <v>0.59899999999999998</v>
      </c>
      <c r="G773">
        <v>4</v>
      </c>
      <c r="H773">
        <v>1001</v>
      </c>
      <c r="I773">
        <v>832</v>
      </c>
      <c r="J773">
        <v>169</v>
      </c>
    </row>
    <row r="774" spans="1:10" x14ac:dyDescent="0.25">
      <c r="A774">
        <v>39</v>
      </c>
      <c r="B774" t="s">
        <v>32</v>
      </c>
      <c r="C774" t="s">
        <v>20</v>
      </c>
      <c r="D774">
        <v>92</v>
      </c>
      <c r="E774">
        <v>70</v>
      </c>
      <c r="F774">
        <v>0.56799999999999995</v>
      </c>
      <c r="G774">
        <v>9</v>
      </c>
      <c r="H774">
        <v>982</v>
      </c>
      <c r="I774">
        <v>864</v>
      </c>
      <c r="J774">
        <v>118</v>
      </c>
    </row>
    <row r="775" spans="1:10" x14ac:dyDescent="0.25">
      <c r="A775">
        <v>39</v>
      </c>
      <c r="B775" t="s">
        <v>32</v>
      </c>
      <c r="C775" t="s">
        <v>22</v>
      </c>
      <c r="D775">
        <v>74</v>
      </c>
      <c r="E775">
        <v>88</v>
      </c>
      <c r="F775">
        <v>0.45700000000000002</v>
      </c>
      <c r="G775">
        <v>27</v>
      </c>
      <c r="H775">
        <v>938</v>
      </c>
      <c r="I775">
        <v>1008</v>
      </c>
      <c r="J775">
        <v>-70</v>
      </c>
    </row>
    <row r="776" spans="1:10" x14ac:dyDescent="0.25">
      <c r="A776">
        <v>39</v>
      </c>
      <c r="B776" t="s">
        <v>32</v>
      </c>
      <c r="C776" t="s">
        <v>23</v>
      </c>
      <c r="D776">
        <v>63</v>
      </c>
      <c r="E776">
        <v>99</v>
      </c>
      <c r="F776">
        <v>0.38900000000000001</v>
      </c>
      <c r="G776">
        <v>38</v>
      </c>
      <c r="H776">
        <v>849</v>
      </c>
      <c r="I776">
        <v>1033</v>
      </c>
      <c r="J776">
        <v>-184</v>
      </c>
    </row>
    <row r="777" spans="1:10" x14ac:dyDescent="0.25">
      <c r="A777">
        <v>39</v>
      </c>
      <c r="B777" t="s">
        <v>33</v>
      </c>
      <c r="C777" t="s">
        <v>24</v>
      </c>
      <c r="D777">
        <v>107</v>
      </c>
      <c r="E777">
        <v>55</v>
      </c>
      <c r="F777">
        <v>0.66</v>
      </c>
      <c r="G777">
        <v>0</v>
      </c>
      <c r="H777">
        <v>891</v>
      </c>
      <c r="I777">
        <v>644</v>
      </c>
      <c r="J777">
        <v>247</v>
      </c>
    </row>
    <row r="778" spans="1:10" x14ac:dyDescent="0.25">
      <c r="A778">
        <v>39</v>
      </c>
      <c r="B778" t="s">
        <v>33</v>
      </c>
      <c r="C778" t="s">
        <v>25</v>
      </c>
      <c r="D778">
        <v>96</v>
      </c>
      <c r="E778">
        <v>66</v>
      </c>
      <c r="F778">
        <v>0.59299999999999997</v>
      </c>
      <c r="G778">
        <v>11</v>
      </c>
      <c r="H778">
        <v>836</v>
      </c>
      <c r="I778">
        <v>707</v>
      </c>
      <c r="J778">
        <v>129</v>
      </c>
    </row>
    <row r="779" spans="1:10" x14ac:dyDescent="0.25">
      <c r="A779">
        <v>39</v>
      </c>
      <c r="B779" t="s">
        <v>33</v>
      </c>
      <c r="C779" t="s">
        <v>26</v>
      </c>
      <c r="D779">
        <v>88</v>
      </c>
      <c r="E779">
        <v>74</v>
      </c>
      <c r="F779">
        <v>0.54300000000000004</v>
      </c>
      <c r="G779">
        <v>19</v>
      </c>
      <c r="H779">
        <v>873</v>
      </c>
      <c r="I779">
        <v>820</v>
      </c>
      <c r="J779">
        <v>53</v>
      </c>
    </row>
    <row r="780" spans="1:10" x14ac:dyDescent="0.25">
      <c r="A780">
        <v>39</v>
      </c>
      <c r="B780" t="s">
        <v>33</v>
      </c>
      <c r="C780" t="s">
        <v>27</v>
      </c>
      <c r="D780">
        <v>63</v>
      </c>
      <c r="E780">
        <v>99</v>
      </c>
      <c r="F780">
        <v>0.38900000000000001</v>
      </c>
      <c r="G780">
        <v>44</v>
      </c>
      <c r="H780">
        <v>800</v>
      </c>
      <c r="I780">
        <v>982</v>
      </c>
      <c r="J780">
        <v>-182</v>
      </c>
    </row>
    <row r="781" spans="1:10" x14ac:dyDescent="0.25">
      <c r="A781">
        <v>39</v>
      </c>
      <c r="B781" t="s">
        <v>33</v>
      </c>
      <c r="C781" t="s">
        <v>28</v>
      </c>
      <c r="D781">
        <v>58</v>
      </c>
      <c r="E781">
        <v>104</v>
      </c>
      <c r="F781">
        <v>0.35799999999999998</v>
      </c>
      <c r="G781">
        <v>49</v>
      </c>
      <c r="H781">
        <v>778</v>
      </c>
      <c r="I781">
        <v>1021</v>
      </c>
      <c r="J781">
        <v>-243</v>
      </c>
    </row>
    <row r="782" spans="1:10" x14ac:dyDescent="0.25">
      <c r="A782">
        <v>40</v>
      </c>
      <c r="B782" t="s">
        <v>30</v>
      </c>
      <c r="C782" t="s">
        <v>12</v>
      </c>
      <c r="D782">
        <v>94</v>
      </c>
      <c r="E782">
        <v>68</v>
      </c>
      <c r="F782">
        <v>0.57999999999999996</v>
      </c>
      <c r="G782">
        <v>0</v>
      </c>
      <c r="H782">
        <v>983</v>
      </c>
      <c r="I782">
        <v>861</v>
      </c>
      <c r="J782">
        <v>122</v>
      </c>
    </row>
    <row r="783" spans="1:10" x14ac:dyDescent="0.25">
      <c r="A783">
        <v>40</v>
      </c>
      <c r="B783" t="s">
        <v>30</v>
      </c>
      <c r="C783" t="s">
        <v>10</v>
      </c>
      <c r="D783">
        <v>93</v>
      </c>
      <c r="E783">
        <v>69</v>
      </c>
      <c r="F783">
        <v>0.57399999999999995</v>
      </c>
      <c r="G783">
        <v>1</v>
      </c>
      <c r="H783">
        <v>983</v>
      </c>
      <c r="I783">
        <v>867</v>
      </c>
      <c r="J783">
        <v>116</v>
      </c>
    </row>
    <row r="784" spans="1:10" x14ac:dyDescent="0.25">
      <c r="A784">
        <v>40</v>
      </c>
      <c r="B784" t="s">
        <v>30</v>
      </c>
      <c r="C784" t="s">
        <v>8</v>
      </c>
      <c r="D784">
        <v>87</v>
      </c>
      <c r="E784">
        <v>75</v>
      </c>
      <c r="F784">
        <v>0.53700000000000003</v>
      </c>
      <c r="G784">
        <v>7</v>
      </c>
      <c r="H784">
        <v>844</v>
      </c>
      <c r="I784">
        <v>713</v>
      </c>
      <c r="J784">
        <v>131</v>
      </c>
    </row>
    <row r="785" spans="1:10" x14ac:dyDescent="0.25">
      <c r="A785">
        <v>40</v>
      </c>
      <c r="B785" t="s">
        <v>30</v>
      </c>
      <c r="C785" t="s">
        <v>11</v>
      </c>
      <c r="D785">
        <v>85</v>
      </c>
      <c r="E785">
        <v>77</v>
      </c>
      <c r="F785">
        <v>0.52500000000000002</v>
      </c>
      <c r="G785">
        <v>9</v>
      </c>
      <c r="H785">
        <v>828</v>
      </c>
      <c r="I785">
        <v>789</v>
      </c>
      <c r="J785">
        <v>39</v>
      </c>
    </row>
    <row r="786" spans="1:10" x14ac:dyDescent="0.25">
      <c r="A786">
        <v>40</v>
      </c>
      <c r="B786" t="s">
        <v>30</v>
      </c>
      <c r="C786" t="s">
        <v>13</v>
      </c>
      <c r="D786">
        <v>77</v>
      </c>
      <c r="E786">
        <v>85</v>
      </c>
      <c r="F786">
        <v>0.47499999999999998</v>
      </c>
      <c r="G786">
        <v>17</v>
      </c>
      <c r="H786">
        <v>800</v>
      </c>
      <c r="I786">
        <v>861</v>
      </c>
      <c r="J786">
        <v>-61</v>
      </c>
    </row>
    <row r="787" spans="1:10" x14ac:dyDescent="0.25">
      <c r="A787">
        <v>40</v>
      </c>
      <c r="B787" t="s">
        <v>31</v>
      </c>
      <c r="C787" t="s">
        <v>14</v>
      </c>
      <c r="D787">
        <v>105</v>
      </c>
      <c r="E787">
        <v>57</v>
      </c>
      <c r="F787">
        <v>0.64800000000000002</v>
      </c>
      <c r="G787">
        <v>0</v>
      </c>
      <c r="H787">
        <v>1035</v>
      </c>
      <c r="I787">
        <v>754</v>
      </c>
      <c r="J787">
        <v>281</v>
      </c>
    </row>
    <row r="788" spans="1:10" x14ac:dyDescent="0.25">
      <c r="A788">
        <v>40</v>
      </c>
      <c r="B788" t="s">
        <v>31</v>
      </c>
      <c r="C788" t="s">
        <v>17</v>
      </c>
      <c r="D788">
        <v>73</v>
      </c>
      <c r="E788">
        <v>89</v>
      </c>
      <c r="F788">
        <v>0.45100000000000001</v>
      </c>
      <c r="G788">
        <v>32</v>
      </c>
      <c r="H788">
        <v>862</v>
      </c>
      <c r="I788">
        <v>987</v>
      </c>
      <c r="J788">
        <v>-125</v>
      </c>
    </row>
    <row r="789" spans="1:10" x14ac:dyDescent="0.25">
      <c r="A789">
        <v>40</v>
      </c>
      <c r="B789" t="s">
        <v>31</v>
      </c>
      <c r="C789" t="s">
        <v>16</v>
      </c>
      <c r="D789">
        <v>73</v>
      </c>
      <c r="E789">
        <v>89</v>
      </c>
      <c r="F789">
        <v>0.45100000000000001</v>
      </c>
      <c r="G789">
        <v>32</v>
      </c>
      <c r="H789">
        <v>773</v>
      </c>
      <c r="I789">
        <v>860</v>
      </c>
      <c r="J789">
        <v>-87</v>
      </c>
    </row>
    <row r="790" spans="1:10" x14ac:dyDescent="0.25">
      <c r="A790">
        <v>40</v>
      </c>
      <c r="B790" t="s">
        <v>31</v>
      </c>
      <c r="C790" t="s">
        <v>15</v>
      </c>
      <c r="D790">
        <v>71</v>
      </c>
      <c r="E790">
        <v>91</v>
      </c>
      <c r="F790">
        <v>0.438</v>
      </c>
      <c r="G790">
        <v>34</v>
      </c>
      <c r="H790">
        <v>977</v>
      </c>
      <c r="I790">
        <v>1142</v>
      </c>
      <c r="J790">
        <v>-165</v>
      </c>
    </row>
    <row r="791" spans="1:10" x14ac:dyDescent="0.25">
      <c r="A791">
        <v>40</v>
      </c>
      <c r="B791" t="s">
        <v>31</v>
      </c>
      <c r="C791" t="s">
        <v>18</v>
      </c>
      <c r="D791">
        <v>40</v>
      </c>
      <c r="E791">
        <v>122</v>
      </c>
      <c r="F791">
        <v>0.247</v>
      </c>
      <c r="G791">
        <v>65</v>
      </c>
      <c r="H791">
        <v>601</v>
      </c>
      <c r="I791">
        <v>956</v>
      </c>
      <c r="J791">
        <v>-355</v>
      </c>
    </row>
    <row r="792" spans="1:10" x14ac:dyDescent="0.25">
      <c r="A792">
        <v>40</v>
      </c>
      <c r="B792" t="s">
        <v>32</v>
      </c>
      <c r="C792" t="s">
        <v>19</v>
      </c>
      <c r="D792">
        <v>104</v>
      </c>
      <c r="E792">
        <v>58</v>
      </c>
      <c r="F792">
        <v>0.64200000000000002</v>
      </c>
      <c r="G792">
        <v>0</v>
      </c>
      <c r="H792">
        <v>1102</v>
      </c>
      <c r="I792">
        <v>791</v>
      </c>
      <c r="J792">
        <v>311</v>
      </c>
    </row>
    <row r="793" spans="1:10" x14ac:dyDescent="0.25">
      <c r="A793">
        <v>40</v>
      </c>
      <c r="B793" t="s">
        <v>32</v>
      </c>
      <c r="C793" t="s">
        <v>20</v>
      </c>
      <c r="D793">
        <v>98</v>
      </c>
      <c r="E793">
        <v>64</v>
      </c>
      <c r="F793">
        <v>0.60499999999999998</v>
      </c>
      <c r="G793">
        <v>6</v>
      </c>
      <c r="H793">
        <v>948</v>
      </c>
      <c r="I793">
        <v>813</v>
      </c>
      <c r="J793">
        <v>135</v>
      </c>
    </row>
    <row r="794" spans="1:10" x14ac:dyDescent="0.25">
      <c r="A794">
        <v>40</v>
      </c>
      <c r="B794" t="s">
        <v>32</v>
      </c>
      <c r="C794" t="s">
        <v>21</v>
      </c>
      <c r="D794">
        <v>84</v>
      </c>
      <c r="E794">
        <v>78</v>
      </c>
      <c r="F794">
        <v>0.51900000000000002</v>
      </c>
      <c r="G794">
        <v>20</v>
      </c>
      <c r="H794">
        <v>986</v>
      </c>
      <c r="I794">
        <v>965</v>
      </c>
      <c r="J794">
        <v>21</v>
      </c>
    </row>
    <row r="795" spans="1:10" x14ac:dyDescent="0.25">
      <c r="A795">
        <v>40</v>
      </c>
      <c r="B795" t="s">
        <v>32</v>
      </c>
      <c r="C795" t="s">
        <v>22</v>
      </c>
      <c r="D795">
        <v>81</v>
      </c>
      <c r="E795">
        <v>81</v>
      </c>
      <c r="F795">
        <v>0.5</v>
      </c>
      <c r="G795">
        <v>23</v>
      </c>
      <c r="H795">
        <v>895</v>
      </c>
      <c r="I795">
        <v>855</v>
      </c>
      <c r="J795">
        <v>40</v>
      </c>
    </row>
    <row r="796" spans="1:10" x14ac:dyDescent="0.25">
      <c r="A796">
        <v>40</v>
      </c>
      <c r="B796" t="s">
        <v>32</v>
      </c>
      <c r="C796" t="s">
        <v>23</v>
      </c>
      <c r="D796">
        <v>60</v>
      </c>
      <c r="E796">
        <v>102</v>
      </c>
      <c r="F796">
        <v>0.37</v>
      </c>
      <c r="G796">
        <v>44</v>
      </c>
      <c r="H796">
        <v>764</v>
      </c>
      <c r="I796">
        <v>1049</v>
      </c>
      <c r="J796">
        <v>-285</v>
      </c>
    </row>
    <row r="797" spans="1:10" x14ac:dyDescent="0.25">
      <c r="A797">
        <v>40</v>
      </c>
      <c r="B797" t="s">
        <v>33</v>
      </c>
      <c r="C797" t="s">
        <v>24</v>
      </c>
      <c r="D797">
        <v>100</v>
      </c>
      <c r="E797">
        <v>62</v>
      </c>
      <c r="F797">
        <v>0.61699999999999999</v>
      </c>
      <c r="G797">
        <v>0</v>
      </c>
      <c r="H797">
        <v>939</v>
      </c>
      <c r="I797">
        <v>765</v>
      </c>
      <c r="J797">
        <v>174</v>
      </c>
    </row>
    <row r="798" spans="1:10" x14ac:dyDescent="0.25">
      <c r="A798">
        <v>40</v>
      </c>
      <c r="B798" t="s">
        <v>33</v>
      </c>
      <c r="C798" t="s">
        <v>26</v>
      </c>
      <c r="D798">
        <v>91</v>
      </c>
      <c r="E798">
        <v>71</v>
      </c>
      <c r="F798">
        <v>0.56200000000000006</v>
      </c>
      <c r="G798">
        <v>9</v>
      </c>
      <c r="H798">
        <v>885</v>
      </c>
      <c r="I798">
        <v>818</v>
      </c>
      <c r="J798">
        <v>67</v>
      </c>
    </row>
    <row r="799" spans="1:10" x14ac:dyDescent="0.25">
      <c r="A799">
        <v>40</v>
      </c>
      <c r="B799" t="s">
        <v>33</v>
      </c>
      <c r="C799" t="s">
        <v>25</v>
      </c>
      <c r="D799">
        <v>81</v>
      </c>
      <c r="E799">
        <v>81</v>
      </c>
      <c r="F799">
        <v>0.5</v>
      </c>
      <c r="G799">
        <v>19</v>
      </c>
      <c r="H799">
        <v>839</v>
      </c>
      <c r="I799">
        <v>763</v>
      </c>
      <c r="J799">
        <v>76</v>
      </c>
    </row>
    <row r="800" spans="1:10" x14ac:dyDescent="0.25">
      <c r="A800">
        <v>40</v>
      </c>
      <c r="B800" t="s">
        <v>33</v>
      </c>
      <c r="C800" t="s">
        <v>27</v>
      </c>
      <c r="D800">
        <v>75</v>
      </c>
      <c r="E800">
        <v>87</v>
      </c>
      <c r="F800">
        <v>0.46300000000000002</v>
      </c>
      <c r="G800">
        <v>25</v>
      </c>
      <c r="H800">
        <v>810</v>
      </c>
      <c r="I800">
        <v>886</v>
      </c>
      <c r="J800">
        <v>-76</v>
      </c>
    </row>
    <row r="801" spans="1:10" x14ac:dyDescent="0.25">
      <c r="A801">
        <v>40</v>
      </c>
      <c r="B801" t="s">
        <v>33</v>
      </c>
      <c r="C801" t="s">
        <v>28</v>
      </c>
      <c r="D801">
        <v>48</v>
      </c>
      <c r="E801">
        <v>114</v>
      </c>
      <c r="F801">
        <v>0.29599999999999999</v>
      </c>
      <c r="G801">
        <v>52</v>
      </c>
      <c r="H801">
        <v>714</v>
      </c>
      <c r="I801">
        <v>1073</v>
      </c>
      <c r="J801">
        <v>-359</v>
      </c>
    </row>
    <row r="802" spans="1:10" x14ac:dyDescent="0.25">
      <c r="A802">
        <v>41</v>
      </c>
      <c r="B802" t="s">
        <v>30</v>
      </c>
      <c r="C802" t="s">
        <v>8</v>
      </c>
      <c r="D802">
        <v>98</v>
      </c>
      <c r="E802">
        <v>64</v>
      </c>
      <c r="F802">
        <v>0.60499999999999998</v>
      </c>
      <c r="G802">
        <v>0</v>
      </c>
      <c r="H802">
        <v>850</v>
      </c>
      <c r="I802">
        <v>623</v>
      </c>
      <c r="J802">
        <v>227</v>
      </c>
    </row>
    <row r="803" spans="1:10" x14ac:dyDescent="0.25">
      <c r="A803">
        <v>41</v>
      </c>
      <c r="B803" t="s">
        <v>30</v>
      </c>
      <c r="C803" t="s">
        <v>10</v>
      </c>
      <c r="D803">
        <v>97</v>
      </c>
      <c r="E803">
        <v>65</v>
      </c>
      <c r="F803">
        <v>0.59899999999999998</v>
      </c>
      <c r="G803">
        <v>1</v>
      </c>
      <c r="H803">
        <v>995</v>
      </c>
      <c r="I803">
        <v>821</v>
      </c>
      <c r="J803">
        <v>174</v>
      </c>
    </row>
    <row r="804" spans="1:10" x14ac:dyDescent="0.25">
      <c r="A804">
        <v>41</v>
      </c>
      <c r="B804" t="s">
        <v>30</v>
      </c>
      <c r="C804" t="s">
        <v>12</v>
      </c>
      <c r="D804">
        <v>93</v>
      </c>
      <c r="E804">
        <v>69</v>
      </c>
      <c r="F804">
        <v>0.57399999999999995</v>
      </c>
      <c r="G804">
        <v>5</v>
      </c>
      <c r="H804">
        <v>965</v>
      </c>
      <c r="I804">
        <v>822</v>
      </c>
      <c r="J804">
        <v>143</v>
      </c>
    </row>
    <row r="805" spans="1:10" x14ac:dyDescent="0.25">
      <c r="A805">
        <v>41</v>
      </c>
      <c r="B805" t="s">
        <v>30</v>
      </c>
      <c r="C805" t="s">
        <v>11</v>
      </c>
      <c r="D805">
        <v>89</v>
      </c>
      <c r="E805">
        <v>73</v>
      </c>
      <c r="F805">
        <v>0.54900000000000004</v>
      </c>
      <c r="G805">
        <v>9</v>
      </c>
      <c r="H805">
        <v>857</v>
      </c>
      <c r="I805">
        <v>795</v>
      </c>
      <c r="J805">
        <v>62</v>
      </c>
    </row>
    <row r="806" spans="1:10" x14ac:dyDescent="0.25">
      <c r="A806">
        <v>41</v>
      </c>
      <c r="B806" t="s">
        <v>30</v>
      </c>
      <c r="C806" t="s">
        <v>13</v>
      </c>
      <c r="D806">
        <v>76</v>
      </c>
      <c r="E806">
        <v>86</v>
      </c>
      <c r="F806">
        <v>0.46899999999999997</v>
      </c>
      <c r="G806">
        <v>22</v>
      </c>
      <c r="H806">
        <v>801</v>
      </c>
      <c r="I806">
        <v>906</v>
      </c>
      <c r="J806">
        <v>-105</v>
      </c>
    </row>
    <row r="807" spans="1:10" x14ac:dyDescent="0.25">
      <c r="A807">
        <v>41</v>
      </c>
      <c r="B807" t="s">
        <v>31</v>
      </c>
      <c r="C807" t="s">
        <v>14</v>
      </c>
      <c r="D807">
        <v>103</v>
      </c>
      <c r="E807">
        <v>59</v>
      </c>
      <c r="F807">
        <v>0.63600000000000001</v>
      </c>
      <c r="G807">
        <v>0</v>
      </c>
      <c r="H807">
        <v>952</v>
      </c>
      <c r="I807">
        <v>719</v>
      </c>
      <c r="J807">
        <v>233</v>
      </c>
    </row>
    <row r="808" spans="1:10" x14ac:dyDescent="0.25">
      <c r="A808">
        <v>41</v>
      </c>
      <c r="B808" t="s">
        <v>31</v>
      </c>
      <c r="C808" t="s">
        <v>16</v>
      </c>
      <c r="D808">
        <v>81</v>
      </c>
      <c r="E808">
        <v>81</v>
      </c>
      <c r="F808">
        <v>0.5</v>
      </c>
      <c r="G808">
        <v>22</v>
      </c>
      <c r="H808">
        <v>757</v>
      </c>
      <c r="I808">
        <v>810</v>
      </c>
      <c r="J808">
        <v>-53</v>
      </c>
    </row>
    <row r="809" spans="1:10" x14ac:dyDescent="0.25">
      <c r="A809">
        <v>41</v>
      </c>
      <c r="B809" t="s">
        <v>31</v>
      </c>
      <c r="C809" t="s">
        <v>15</v>
      </c>
      <c r="D809">
        <v>60</v>
      </c>
      <c r="E809">
        <v>102</v>
      </c>
      <c r="F809">
        <v>0.37</v>
      </c>
      <c r="G809">
        <v>43</v>
      </c>
      <c r="H809">
        <v>1004</v>
      </c>
      <c r="I809">
        <v>1177</v>
      </c>
      <c r="J809">
        <v>-173</v>
      </c>
    </row>
    <row r="810" spans="1:10" x14ac:dyDescent="0.25">
      <c r="A810">
        <v>41</v>
      </c>
      <c r="B810" t="s">
        <v>31</v>
      </c>
      <c r="C810" t="s">
        <v>17</v>
      </c>
      <c r="D810">
        <v>59</v>
      </c>
      <c r="E810">
        <v>103</v>
      </c>
      <c r="F810">
        <v>0.36399999999999999</v>
      </c>
      <c r="G810">
        <v>44</v>
      </c>
      <c r="H810">
        <v>770</v>
      </c>
      <c r="I810">
        <v>1004</v>
      </c>
      <c r="J810">
        <v>-234</v>
      </c>
    </row>
    <row r="811" spans="1:10" x14ac:dyDescent="0.25">
      <c r="A811">
        <v>41</v>
      </c>
      <c r="B811" t="s">
        <v>31</v>
      </c>
      <c r="C811" t="s">
        <v>18</v>
      </c>
      <c r="D811">
        <v>53</v>
      </c>
      <c r="E811">
        <v>109</v>
      </c>
      <c r="F811">
        <v>0.32700000000000001</v>
      </c>
      <c r="G811">
        <v>50</v>
      </c>
      <c r="H811">
        <v>707</v>
      </c>
      <c r="I811">
        <v>975</v>
      </c>
      <c r="J811">
        <v>-268</v>
      </c>
    </row>
    <row r="812" spans="1:10" x14ac:dyDescent="0.25">
      <c r="A812">
        <v>41</v>
      </c>
      <c r="B812" t="s">
        <v>32</v>
      </c>
      <c r="C812" t="s">
        <v>19</v>
      </c>
      <c r="D812">
        <v>112</v>
      </c>
      <c r="E812">
        <v>50</v>
      </c>
      <c r="F812">
        <v>0.69099999999999995</v>
      </c>
      <c r="G812">
        <v>0</v>
      </c>
      <c r="H812">
        <v>1045</v>
      </c>
      <c r="I812">
        <v>763</v>
      </c>
      <c r="J812">
        <v>282</v>
      </c>
    </row>
    <row r="813" spans="1:10" x14ac:dyDescent="0.25">
      <c r="A813">
        <v>41</v>
      </c>
      <c r="B813" t="s">
        <v>32</v>
      </c>
      <c r="C813" t="s">
        <v>21</v>
      </c>
      <c r="D813">
        <v>96</v>
      </c>
      <c r="E813">
        <v>66</v>
      </c>
      <c r="F813">
        <v>0.59299999999999997</v>
      </c>
      <c r="G813">
        <v>16</v>
      </c>
      <c r="H813">
        <v>1091</v>
      </c>
      <c r="I813">
        <v>875</v>
      </c>
      <c r="J813">
        <v>216</v>
      </c>
    </row>
    <row r="814" spans="1:10" x14ac:dyDescent="0.25">
      <c r="A814">
        <v>41</v>
      </c>
      <c r="B814" t="s">
        <v>32</v>
      </c>
      <c r="C814" t="s">
        <v>20</v>
      </c>
      <c r="D814">
        <v>96</v>
      </c>
      <c r="E814">
        <v>66</v>
      </c>
      <c r="F814">
        <v>0.59299999999999997</v>
      </c>
      <c r="G814">
        <v>16</v>
      </c>
      <c r="H814">
        <v>907</v>
      </c>
      <c r="I814">
        <v>797</v>
      </c>
      <c r="J814">
        <v>110</v>
      </c>
    </row>
    <row r="815" spans="1:10" x14ac:dyDescent="0.25">
      <c r="A815">
        <v>41</v>
      </c>
      <c r="B815" t="s">
        <v>32</v>
      </c>
      <c r="C815" t="s">
        <v>22</v>
      </c>
      <c r="D815">
        <v>69</v>
      </c>
      <c r="E815">
        <v>93</v>
      </c>
      <c r="F815">
        <v>0.42599999999999999</v>
      </c>
      <c r="G815">
        <v>43</v>
      </c>
      <c r="H815">
        <v>910</v>
      </c>
      <c r="I815">
        <v>1081</v>
      </c>
      <c r="J815">
        <v>-171</v>
      </c>
    </row>
    <row r="816" spans="1:10" x14ac:dyDescent="0.25">
      <c r="A816">
        <v>41</v>
      </c>
      <c r="B816" t="s">
        <v>32</v>
      </c>
      <c r="C816" t="s">
        <v>23</v>
      </c>
      <c r="D816">
        <v>54</v>
      </c>
      <c r="E816">
        <v>108</v>
      </c>
      <c r="F816">
        <v>0.33300000000000002</v>
      </c>
      <c r="G816">
        <v>58</v>
      </c>
      <c r="H816">
        <v>726</v>
      </c>
      <c r="I816">
        <v>1047</v>
      </c>
      <c r="J816">
        <v>-321</v>
      </c>
    </row>
    <row r="817" spans="1:10" x14ac:dyDescent="0.25">
      <c r="A817">
        <v>41</v>
      </c>
      <c r="B817" t="s">
        <v>33</v>
      </c>
      <c r="C817" t="s">
        <v>24</v>
      </c>
      <c r="D817">
        <v>96</v>
      </c>
      <c r="E817">
        <v>66</v>
      </c>
      <c r="F817">
        <v>0.59299999999999997</v>
      </c>
      <c r="G817">
        <v>0</v>
      </c>
      <c r="H817">
        <v>933</v>
      </c>
      <c r="I817">
        <v>714</v>
      </c>
      <c r="J817">
        <v>219</v>
      </c>
    </row>
    <row r="818" spans="1:10" x14ac:dyDescent="0.25">
      <c r="A818">
        <v>41</v>
      </c>
      <c r="B818" t="s">
        <v>33</v>
      </c>
      <c r="C818" t="s">
        <v>25</v>
      </c>
      <c r="D818">
        <v>89</v>
      </c>
      <c r="E818">
        <v>73</v>
      </c>
      <c r="F818">
        <v>0.54900000000000004</v>
      </c>
      <c r="G818">
        <v>7</v>
      </c>
      <c r="H818">
        <v>852</v>
      </c>
      <c r="I818">
        <v>742</v>
      </c>
      <c r="J818">
        <v>110</v>
      </c>
    </row>
    <row r="819" spans="1:10" x14ac:dyDescent="0.25">
      <c r="A819">
        <v>41</v>
      </c>
      <c r="B819" t="s">
        <v>33</v>
      </c>
      <c r="C819" t="s">
        <v>26</v>
      </c>
      <c r="D819">
        <v>83</v>
      </c>
      <c r="E819">
        <v>79</v>
      </c>
      <c r="F819">
        <v>0.51200000000000001</v>
      </c>
      <c r="G819">
        <v>13</v>
      </c>
      <c r="H819">
        <v>895</v>
      </c>
      <c r="I819">
        <v>838</v>
      </c>
      <c r="J819">
        <v>57</v>
      </c>
    </row>
    <row r="820" spans="1:10" x14ac:dyDescent="0.25">
      <c r="A820">
        <v>41</v>
      </c>
      <c r="B820" t="s">
        <v>33</v>
      </c>
      <c r="C820" t="s">
        <v>27</v>
      </c>
      <c r="D820">
        <v>66</v>
      </c>
      <c r="E820">
        <v>96</v>
      </c>
      <c r="F820">
        <v>0.40699999999999997</v>
      </c>
      <c r="G820">
        <v>30</v>
      </c>
      <c r="H820">
        <v>765</v>
      </c>
      <c r="I820">
        <v>932</v>
      </c>
      <c r="J820">
        <v>-167</v>
      </c>
    </row>
    <row r="821" spans="1:10" x14ac:dyDescent="0.25">
      <c r="A821">
        <v>41</v>
      </c>
      <c r="B821" t="s">
        <v>33</v>
      </c>
      <c r="C821" t="s">
        <v>28</v>
      </c>
      <c r="D821">
        <v>50</v>
      </c>
      <c r="E821">
        <v>112</v>
      </c>
      <c r="F821">
        <v>0.309</v>
      </c>
      <c r="G821">
        <v>46</v>
      </c>
      <c r="H821">
        <v>686</v>
      </c>
      <c r="I821">
        <v>1027</v>
      </c>
      <c r="J821">
        <v>-341</v>
      </c>
    </row>
    <row r="822" spans="1:10" x14ac:dyDescent="0.25">
      <c r="A822">
        <v>42</v>
      </c>
      <c r="B822" t="s">
        <v>30</v>
      </c>
      <c r="C822" t="s">
        <v>12</v>
      </c>
      <c r="D822">
        <v>103</v>
      </c>
      <c r="E822">
        <v>59</v>
      </c>
      <c r="F822">
        <v>0.63600000000000001</v>
      </c>
      <c r="G822">
        <v>0</v>
      </c>
      <c r="H822">
        <v>1026</v>
      </c>
      <c r="I822">
        <v>801</v>
      </c>
      <c r="J822">
        <v>225</v>
      </c>
    </row>
    <row r="823" spans="1:10" x14ac:dyDescent="0.25">
      <c r="A823">
        <v>42</v>
      </c>
      <c r="B823" t="s">
        <v>30</v>
      </c>
      <c r="C823" t="s">
        <v>10</v>
      </c>
      <c r="D823">
        <v>100</v>
      </c>
      <c r="E823">
        <v>62</v>
      </c>
      <c r="F823">
        <v>0.61699999999999999</v>
      </c>
      <c r="G823">
        <v>3</v>
      </c>
      <c r="H823">
        <v>1002</v>
      </c>
      <c r="I823">
        <v>780</v>
      </c>
      <c r="J823">
        <v>222</v>
      </c>
    </row>
    <row r="824" spans="1:10" x14ac:dyDescent="0.25">
      <c r="A824">
        <v>42</v>
      </c>
      <c r="B824" t="s">
        <v>30</v>
      </c>
      <c r="C824" t="s">
        <v>8</v>
      </c>
      <c r="D824">
        <v>93</v>
      </c>
      <c r="E824">
        <v>69</v>
      </c>
      <c r="F824">
        <v>0.57399999999999995</v>
      </c>
      <c r="G824">
        <v>10</v>
      </c>
      <c r="H824">
        <v>857</v>
      </c>
      <c r="I824">
        <v>690</v>
      </c>
      <c r="J824">
        <v>167</v>
      </c>
    </row>
    <row r="825" spans="1:10" x14ac:dyDescent="0.25">
      <c r="A825">
        <v>42</v>
      </c>
      <c r="B825" t="s">
        <v>30</v>
      </c>
      <c r="C825" t="s">
        <v>11</v>
      </c>
      <c r="D825">
        <v>83</v>
      </c>
      <c r="E825">
        <v>79</v>
      </c>
      <c r="F825">
        <v>0.51200000000000001</v>
      </c>
      <c r="G825">
        <v>20</v>
      </c>
      <c r="H825">
        <v>833</v>
      </c>
      <c r="I825">
        <v>768</v>
      </c>
      <c r="J825">
        <v>65</v>
      </c>
    </row>
    <row r="826" spans="1:10" x14ac:dyDescent="0.25">
      <c r="A826">
        <v>42</v>
      </c>
      <c r="B826" t="s">
        <v>30</v>
      </c>
      <c r="C826" t="s">
        <v>13</v>
      </c>
      <c r="D826">
        <v>75</v>
      </c>
      <c r="E826">
        <v>87</v>
      </c>
      <c r="F826">
        <v>0.46300000000000002</v>
      </c>
      <c r="G826">
        <v>28</v>
      </c>
      <c r="H826">
        <v>846</v>
      </c>
      <c r="I826">
        <v>864</v>
      </c>
      <c r="J826">
        <v>-18</v>
      </c>
    </row>
    <row r="827" spans="1:10" x14ac:dyDescent="0.25">
      <c r="A827">
        <v>42</v>
      </c>
      <c r="B827" t="s">
        <v>31</v>
      </c>
      <c r="C827" t="s">
        <v>14</v>
      </c>
      <c r="D827">
        <v>107</v>
      </c>
      <c r="E827">
        <v>55</v>
      </c>
      <c r="F827">
        <v>0.66</v>
      </c>
      <c r="G827">
        <v>0</v>
      </c>
      <c r="H827">
        <v>966</v>
      </c>
      <c r="I827">
        <v>670</v>
      </c>
      <c r="J827">
        <v>296</v>
      </c>
    </row>
    <row r="828" spans="1:10" x14ac:dyDescent="0.25">
      <c r="A828">
        <v>42</v>
      </c>
      <c r="B828" t="s">
        <v>31</v>
      </c>
      <c r="C828" t="s">
        <v>16</v>
      </c>
      <c r="D828">
        <v>74</v>
      </c>
      <c r="E828">
        <v>88</v>
      </c>
      <c r="F828">
        <v>0.45700000000000002</v>
      </c>
      <c r="G828">
        <v>33</v>
      </c>
      <c r="H828">
        <v>769</v>
      </c>
      <c r="I828">
        <v>913</v>
      </c>
      <c r="J828">
        <v>-144</v>
      </c>
    </row>
    <row r="829" spans="1:10" x14ac:dyDescent="0.25">
      <c r="A829">
        <v>42</v>
      </c>
      <c r="B829" t="s">
        <v>31</v>
      </c>
      <c r="C829" t="s">
        <v>15</v>
      </c>
      <c r="D829">
        <v>64</v>
      </c>
      <c r="E829">
        <v>98</v>
      </c>
      <c r="F829">
        <v>0.39500000000000002</v>
      </c>
      <c r="G829">
        <v>43</v>
      </c>
      <c r="H829">
        <v>969</v>
      </c>
      <c r="I829">
        <v>1206</v>
      </c>
      <c r="J829">
        <v>-237</v>
      </c>
    </row>
    <row r="830" spans="1:10" x14ac:dyDescent="0.25">
      <c r="A830">
        <v>42</v>
      </c>
      <c r="B830" t="s">
        <v>31</v>
      </c>
      <c r="C830" t="s">
        <v>17</v>
      </c>
      <c r="D830">
        <v>59</v>
      </c>
      <c r="E830">
        <v>103</v>
      </c>
      <c r="F830">
        <v>0.36399999999999999</v>
      </c>
      <c r="G830">
        <v>48</v>
      </c>
      <c r="H830">
        <v>843</v>
      </c>
      <c r="I830">
        <v>1007</v>
      </c>
      <c r="J830">
        <v>-164</v>
      </c>
    </row>
    <row r="831" spans="1:10" x14ac:dyDescent="0.25">
      <c r="A831">
        <v>42</v>
      </c>
      <c r="B831" t="s">
        <v>31</v>
      </c>
      <c r="C831" t="s">
        <v>18</v>
      </c>
      <c r="D831">
        <v>41</v>
      </c>
      <c r="E831">
        <v>121</v>
      </c>
      <c r="F831">
        <v>0.253</v>
      </c>
      <c r="G831">
        <v>66</v>
      </c>
      <c r="H831">
        <v>641</v>
      </c>
      <c r="I831">
        <v>1042</v>
      </c>
      <c r="J831">
        <v>-401</v>
      </c>
    </row>
    <row r="832" spans="1:10" x14ac:dyDescent="0.25">
      <c r="A832">
        <v>42</v>
      </c>
      <c r="B832" t="s">
        <v>32</v>
      </c>
      <c r="C832" t="s">
        <v>19</v>
      </c>
      <c r="D832">
        <v>102</v>
      </c>
      <c r="E832">
        <v>60</v>
      </c>
      <c r="F832">
        <v>0.63</v>
      </c>
      <c r="G832">
        <v>0</v>
      </c>
      <c r="H832">
        <v>1029</v>
      </c>
      <c r="I832">
        <v>763</v>
      </c>
      <c r="J832">
        <v>266</v>
      </c>
    </row>
    <row r="833" spans="1:10" x14ac:dyDescent="0.25">
      <c r="A833">
        <v>42</v>
      </c>
      <c r="B833" t="s">
        <v>32</v>
      </c>
      <c r="C833" t="s">
        <v>21</v>
      </c>
      <c r="D833">
        <v>97</v>
      </c>
      <c r="E833">
        <v>65</v>
      </c>
      <c r="F833">
        <v>0.59899999999999998</v>
      </c>
      <c r="G833">
        <v>5</v>
      </c>
      <c r="H833">
        <v>1013</v>
      </c>
      <c r="I833">
        <v>839</v>
      </c>
      <c r="J833">
        <v>174</v>
      </c>
    </row>
    <row r="834" spans="1:10" x14ac:dyDescent="0.25">
      <c r="A834">
        <v>42</v>
      </c>
      <c r="B834" t="s">
        <v>32</v>
      </c>
      <c r="C834" t="s">
        <v>20</v>
      </c>
      <c r="D834">
        <v>85</v>
      </c>
      <c r="E834">
        <v>77</v>
      </c>
      <c r="F834">
        <v>0.52500000000000002</v>
      </c>
      <c r="G834">
        <v>17</v>
      </c>
      <c r="H834">
        <v>893</v>
      </c>
      <c r="I834">
        <v>839</v>
      </c>
      <c r="J834">
        <v>54</v>
      </c>
    </row>
    <row r="835" spans="1:10" x14ac:dyDescent="0.25">
      <c r="A835">
        <v>42</v>
      </c>
      <c r="B835" t="s">
        <v>32</v>
      </c>
      <c r="C835" t="s">
        <v>22</v>
      </c>
      <c r="D835">
        <v>83</v>
      </c>
      <c r="E835">
        <v>79</v>
      </c>
      <c r="F835">
        <v>0.51200000000000001</v>
      </c>
      <c r="G835">
        <v>19</v>
      </c>
      <c r="H835">
        <v>985</v>
      </c>
      <c r="I835">
        <v>1003</v>
      </c>
      <c r="J835">
        <v>-18</v>
      </c>
    </row>
    <row r="836" spans="1:10" x14ac:dyDescent="0.25">
      <c r="A836">
        <v>42</v>
      </c>
      <c r="B836" t="s">
        <v>32</v>
      </c>
      <c r="C836" t="s">
        <v>23</v>
      </c>
      <c r="D836">
        <v>55</v>
      </c>
      <c r="E836">
        <v>107</v>
      </c>
      <c r="F836">
        <v>0.34</v>
      </c>
      <c r="G836">
        <v>47</v>
      </c>
      <c r="H836">
        <v>778</v>
      </c>
      <c r="I836">
        <v>1120</v>
      </c>
      <c r="J836">
        <v>-342</v>
      </c>
    </row>
    <row r="837" spans="1:10" x14ac:dyDescent="0.25">
      <c r="A837">
        <v>42</v>
      </c>
      <c r="B837" t="s">
        <v>33</v>
      </c>
      <c r="C837" t="s">
        <v>24</v>
      </c>
      <c r="D837">
        <v>102</v>
      </c>
      <c r="E837">
        <v>60</v>
      </c>
      <c r="F837">
        <v>0.63</v>
      </c>
      <c r="G837">
        <v>0</v>
      </c>
      <c r="H837">
        <v>950</v>
      </c>
      <c r="I837">
        <v>724</v>
      </c>
      <c r="J837">
        <v>226</v>
      </c>
    </row>
    <row r="838" spans="1:10" x14ac:dyDescent="0.25">
      <c r="A838">
        <v>42</v>
      </c>
      <c r="B838" t="s">
        <v>33</v>
      </c>
      <c r="C838" t="s">
        <v>25</v>
      </c>
      <c r="D838">
        <v>92</v>
      </c>
      <c r="E838">
        <v>70</v>
      </c>
      <c r="F838">
        <v>0.56799999999999995</v>
      </c>
      <c r="G838">
        <v>10</v>
      </c>
      <c r="H838">
        <v>853</v>
      </c>
      <c r="I838">
        <v>808</v>
      </c>
      <c r="J838">
        <v>45</v>
      </c>
    </row>
    <row r="839" spans="1:10" x14ac:dyDescent="0.25">
      <c r="A839">
        <v>42</v>
      </c>
      <c r="B839" t="s">
        <v>33</v>
      </c>
      <c r="C839" t="s">
        <v>26</v>
      </c>
      <c r="D839">
        <v>88</v>
      </c>
      <c r="E839">
        <v>74</v>
      </c>
      <c r="F839">
        <v>0.54300000000000004</v>
      </c>
      <c r="G839">
        <v>14</v>
      </c>
      <c r="H839">
        <v>894</v>
      </c>
      <c r="I839">
        <v>831</v>
      </c>
      <c r="J839">
        <v>63</v>
      </c>
    </row>
    <row r="840" spans="1:10" x14ac:dyDescent="0.25">
      <c r="A840">
        <v>42</v>
      </c>
      <c r="B840" t="s">
        <v>33</v>
      </c>
      <c r="C840" t="s">
        <v>27</v>
      </c>
      <c r="D840">
        <v>65</v>
      </c>
      <c r="E840">
        <v>97</v>
      </c>
      <c r="F840">
        <v>0.40100000000000002</v>
      </c>
      <c r="G840">
        <v>37</v>
      </c>
      <c r="H840">
        <v>757</v>
      </c>
      <c r="I840">
        <v>874</v>
      </c>
      <c r="J840">
        <v>-117</v>
      </c>
    </row>
    <row r="841" spans="1:10" x14ac:dyDescent="0.25">
      <c r="A841">
        <v>42</v>
      </c>
      <c r="B841" t="s">
        <v>33</v>
      </c>
      <c r="C841" t="s">
        <v>28</v>
      </c>
      <c r="D841">
        <v>52</v>
      </c>
      <c r="E841">
        <v>110</v>
      </c>
      <c r="F841">
        <v>0.32100000000000001</v>
      </c>
      <c r="G841">
        <v>50</v>
      </c>
      <c r="H841">
        <v>740</v>
      </c>
      <c r="I841">
        <v>1102</v>
      </c>
      <c r="J841">
        <v>-362</v>
      </c>
    </row>
    <row r="842" spans="1:10" x14ac:dyDescent="0.25">
      <c r="A842">
        <v>43</v>
      </c>
      <c r="B842" t="s">
        <v>30</v>
      </c>
      <c r="C842" t="s">
        <v>10</v>
      </c>
      <c r="D842">
        <v>97</v>
      </c>
      <c r="E842">
        <v>65</v>
      </c>
      <c r="F842">
        <v>0.59899999999999998</v>
      </c>
      <c r="G842">
        <v>0</v>
      </c>
      <c r="H842">
        <v>948</v>
      </c>
      <c r="I842">
        <v>804</v>
      </c>
      <c r="J842">
        <v>144</v>
      </c>
    </row>
    <row r="843" spans="1:10" x14ac:dyDescent="0.25">
      <c r="A843">
        <v>43</v>
      </c>
      <c r="B843" t="s">
        <v>30</v>
      </c>
      <c r="C843" t="s">
        <v>8</v>
      </c>
      <c r="D843">
        <v>93</v>
      </c>
      <c r="E843">
        <v>69</v>
      </c>
      <c r="F843">
        <v>0.57399999999999995</v>
      </c>
      <c r="G843">
        <v>4</v>
      </c>
      <c r="H843">
        <v>841</v>
      </c>
      <c r="I843">
        <v>675</v>
      </c>
      <c r="J843">
        <v>166</v>
      </c>
    </row>
    <row r="844" spans="1:10" x14ac:dyDescent="0.25">
      <c r="A844">
        <v>43</v>
      </c>
      <c r="B844" t="s">
        <v>30</v>
      </c>
      <c r="C844" t="s">
        <v>12</v>
      </c>
      <c r="D844">
        <v>85</v>
      </c>
      <c r="E844">
        <v>77</v>
      </c>
      <c r="F844">
        <v>0.52500000000000002</v>
      </c>
      <c r="G844">
        <v>12</v>
      </c>
      <c r="H844">
        <v>956</v>
      </c>
      <c r="I844">
        <v>880</v>
      </c>
      <c r="J844">
        <v>76</v>
      </c>
    </row>
    <row r="845" spans="1:10" x14ac:dyDescent="0.25">
      <c r="A845">
        <v>43</v>
      </c>
      <c r="B845" t="s">
        <v>30</v>
      </c>
      <c r="C845" t="s">
        <v>11</v>
      </c>
      <c r="D845">
        <v>81</v>
      </c>
      <c r="E845">
        <v>81</v>
      </c>
      <c r="F845">
        <v>0.5</v>
      </c>
      <c r="G845">
        <v>16</v>
      </c>
      <c r="H845">
        <v>865</v>
      </c>
      <c r="I845">
        <v>770</v>
      </c>
      <c r="J845">
        <v>95</v>
      </c>
    </row>
    <row r="846" spans="1:10" x14ac:dyDescent="0.25">
      <c r="A846">
        <v>43</v>
      </c>
      <c r="B846" t="s">
        <v>30</v>
      </c>
      <c r="C846" t="s">
        <v>13</v>
      </c>
      <c r="D846">
        <v>79</v>
      </c>
      <c r="E846">
        <v>83</v>
      </c>
      <c r="F846">
        <v>0.48799999999999999</v>
      </c>
      <c r="G846">
        <v>18</v>
      </c>
      <c r="H846">
        <v>765</v>
      </c>
      <c r="I846">
        <v>791</v>
      </c>
      <c r="J846">
        <v>-26</v>
      </c>
    </row>
    <row r="847" spans="1:10" x14ac:dyDescent="0.25">
      <c r="A847">
        <v>43</v>
      </c>
      <c r="B847" t="s">
        <v>31</v>
      </c>
      <c r="C847" t="s">
        <v>14</v>
      </c>
      <c r="D847">
        <v>109</v>
      </c>
      <c r="E847">
        <v>53</v>
      </c>
      <c r="F847">
        <v>0.67300000000000004</v>
      </c>
      <c r="G847">
        <v>0</v>
      </c>
      <c r="H847">
        <v>1008</v>
      </c>
      <c r="I847">
        <v>717</v>
      </c>
      <c r="J847">
        <v>291</v>
      </c>
    </row>
    <row r="848" spans="1:10" x14ac:dyDescent="0.25">
      <c r="A848">
        <v>43</v>
      </c>
      <c r="B848" t="s">
        <v>31</v>
      </c>
      <c r="C848" t="s">
        <v>16</v>
      </c>
      <c r="D848">
        <v>74</v>
      </c>
      <c r="E848">
        <v>88</v>
      </c>
      <c r="F848">
        <v>0.45700000000000002</v>
      </c>
      <c r="G848">
        <v>35</v>
      </c>
      <c r="H848">
        <v>813</v>
      </c>
      <c r="I848">
        <v>929</v>
      </c>
      <c r="J848">
        <v>-116</v>
      </c>
    </row>
    <row r="849" spans="1:10" x14ac:dyDescent="0.25">
      <c r="A849">
        <v>43</v>
      </c>
      <c r="B849" t="s">
        <v>31</v>
      </c>
      <c r="C849" t="s">
        <v>15</v>
      </c>
      <c r="D849">
        <v>68</v>
      </c>
      <c r="E849">
        <v>94</v>
      </c>
      <c r="F849">
        <v>0.42</v>
      </c>
      <c r="G849">
        <v>41</v>
      </c>
      <c r="H849">
        <v>998</v>
      </c>
      <c r="I849">
        <v>1273</v>
      </c>
      <c r="J849">
        <v>-275</v>
      </c>
    </row>
    <row r="850" spans="1:10" x14ac:dyDescent="0.25">
      <c r="A850">
        <v>43</v>
      </c>
      <c r="B850" t="s">
        <v>31</v>
      </c>
      <c r="C850" t="s">
        <v>17</v>
      </c>
      <c r="D850">
        <v>67</v>
      </c>
      <c r="E850">
        <v>95</v>
      </c>
      <c r="F850">
        <v>0.41399999999999998</v>
      </c>
      <c r="G850">
        <v>42</v>
      </c>
      <c r="H850">
        <v>863</v>
      </c>
      <c r="I850">
        <v>991</v>
      </c>
      <c r="J850">
        <v>-128</v>
      </c>
    </row>
    <row r="851" spans="1:10" x14ac:dyDescent="0.25">
      <c r="A851">
        <v>43</v>
      </c>
      <c r="B851" t="s">
        <v>31</v>
      </c>
      <c r="C851" t="s">
        <v>18</v>
      </c>
      <c r="D851">
        <v>48</v>
      </c>
      <c r="E851">
        <v>114</v>
      </c>
      <c r="F851">
        <v>0.29599999999999999</v>
      </c>
      <c r="G851">
        <v>61</v>
      </c>
      <c r="H851">
        <v>674</v>
      </c>
      <c r="I851">
        <v>1072</v>
      </c>
      <c r="J851">
        <v>-398</v>
      </c>
    </row>
    <row r="852" spans="1:10" x14ac:dyDescent="0.25">
      <c r="A852">
        <v>43</v>
      </c>
      <c r="B852" t="s">
        <v>32</v>
      </c>
      <c r="C852" t="s">
        <v>19</v>
      </c>
      <c r="D852">
        <v>112</v>
      </c>
      <c r="E852">
        <v>50</v>
      </c>
      <c r="F852">
        <v>0.69099999999999995</v>
      </c>
      <c r="G852">
        <v>0</v>
      </c>
      <c r="H852">
        <v>1049</v>
      </c>
      <c r="I852">
        <v>766</v>
      </c>
      <c r="J852">
        <v>283</v>
      </c>
    </row>
    <row r="853" spans="1:10" x14ac:dyDescent="0.25">
      <c r="A853">
        <v>43</v>
      </c>
      <c r="B853" t="s">
        <v>32</v>
      </c>
      <c r="C853" t="s">
        <v>20</v>
      </c>
      <c r="D853">
        <v>97</v>
      </c>
      <c r="E853">
        <v>65</v>
      </c>
      <c r="F853">
        <v>0.59899999999999998</v>
      </c>
      <c r="G853">
        <v>15</v>
      </c>
      <c r="H853">
        <v>954</v>
      </c>
      <c r="I853">
        <v>764</v>
      </c>
      <c r="J853">
        <v>190</v>
      </c>
    </row>
    <row r="854" spans="1:10" x14ac:dyDescent="0.25">
      <c r="A854">
        <v>43</v>
      </c>
      <c r="B854" t="s">
        <v>32</v>
      </c>
      <c r="C854" t="s">
        <v>22</v>
      </c>
      <c r="D854">
        <v>74</v>
      </c>
      <c r="E854">
        <v>88</v>
      </c>
      <c r="F854">
        <v>0.45700000000000002</v>
      </c>
      <c r="G854">
        <v>38</v>
      </c>
      <c r="H854">
        <v>924</v>
      </c>
      <c r="I854">
        <v>960</v>
      </c>
      <c r="J854">
        <v>-36</v>
      </c>
    </row>
    <row r="855" spans="1:10" x14ac:dyDescent="0.25">
      <c r="A855">
        <v>43</v>
      </c>
      <c r="B855" t="s">
        <v>32</v>
      </c>
      <c r="C855" t="s">
        <v>21</v>
      </c>
      <c r="D855">
        <v>73</v>
      </c>
      <c r="E855">
        <v>89</v>
      </c>
      <c r="F855">
        <v>0.45100000000000001</v>
      </c>
      <c r="G855">
        <v>39</v>
      </c>
      <c r="H855">
        <v>883</v>
      </c>
      <c r="I855">
        <v>936</v>
      </c>
      <c r="J855">
        <v>-53</v>
      </c>
    </row>
    <row r="856" spans="1:10" x14ac:dyDescent="0.25">
      <c r="A856">
        <v>43</v>
      </c>
      <c r="B856" t="s">
        <v>32</v>
      </c>
      <c r="C856" t="s">
        <v>23</v>
      </c>
      <c r="D856">
        <v>58</v>
      </c>
      <c r="E856">
        <v>104</v>
      </c>
      <c r="F856">
        <v>0.35799999999999998</v>
      </c>
      <c r="G856">
        <v>54</v>
      </c>
      <c r="H856">
        <v>794</v>
      </c>
      <c r="I856">
        <v>1017</v>
      </c>
      <c r="J856">
        <v>-223</v>
      </c>
    </row>
    <row r="857" spans="1:10" x14ac:dyDescent="0.25">
      <c r="A857">
        <v>43</v>
      </c>
      <c r="B857" t="s">
        <v>33</v>
      </c>
      <c r="C857" t="s">
        <v>24</v>
      </c>
      <c r="D857">
        <v>104</v>
      </c>
      <c r="E857">
        <v>58</v>
      </c>
      <c r="F857">
        <v>0.64200000000000002</v>
      </c>
      <c r="G857">
        <v>0</v>
      </c>
      <c r="H857">
        <v>951</v>
      </c>
      <c r="I857">
        <v>722</v>
      </c>
      <c r="J857">
        <v>229</v>
      </c>
    </row>
    <row r="858" spans="1:10" x14ac:dyDescent="0.25">
      <c r="A858">
        <v>43</v>
      </c>
      <c r="B858" t="s">
        <v>33</v>
      </c>
      <c r="C858" t="s">
        <v>25</v>
      </c>
      <c r="D858">
        <v>93</v>
      </c>
      <c r="E858">
        <v>69</v>
      </c>
      <c r="F858">
        <v>0.57399999999999995</v>
      </c>
      <c r="G858">
        <v>11</v>
      </c>
      <c r="H858">
        <v>815</v>
      </c>
      <c r="I858">
        <v>718</v>
      </c>
      <c r="J858">
        <v>97</v>
      </c>
    </row>
    <row r="859" spans="1:10" x14ac:dyDescent="0.25">
      <c r="A859">
        <v>43</v>
      </c>
      <c r="B859" t="s">
        <v>33</v>
      </c>
      <c r="C859" t="s">
        <v>27</v>
      </c>
      <c r="D859">
        <v>78</v>
      </c>
      <c r="E859">
        <v>84</v>
      </c>
      <c r="F859">
        <v>0.48099999999999998</v>
      </c>
      <c r="G859">
        <v>26</v>
      </c>
      <c r="H859">
        <v>808</v>
      </c>
      <c r="I859">
        <v>823</v>
      </c>
      <c r="J859">
        <v>-15</v>
      </c>
    </row>
    <row r="860" spans="1:10" x14ac:dyDescent="0.25">
      <c r="A860">
        <v>43</v>
      </c>
      <c r="B860" t="s">
        <v>33</v>
      </c>
      <c r="C860" t="s">
        <v>26</v>
      </c>
      <c r="D860">
        <v>75</v>
      </c>
      <c r="E860">
        <v>87</v>
      </c>
      <c r="F860">
        <v>0.46300000000000002</v>
      </c>
      <c r="G860">
        <v>29</v>
      </c>
      <c r="H860">
        <v>767</v>
      </c>
      <c r="I860">
        <v>804</v>
      </c>
      <c r="J860">
        <v>-37</v>
      </c>
    </row>
    <row r="861" spans="1:10" x14ac:dyDescent="0.25">
      <c r="A861">
        <v>43</v>
      </c>
      <c r="B861" t="s">
        <v>33</v>
      </c>
      <c r="C861" t="s">
        <v>28</v>
      </c>
      <c r="D861">
        <v>55</v>
      </c>
      <c r="E861">
        <v>107</v>
      </c>
      <c r="F861">
        <v>0.34</v>
      </c>
      <c r="G861">
        <v>49</v>
      </c>
      <c r="H861">
        <v>743</v>
      </c>
      <c r="I861">
        <v>1007</v>
      </c>
      <c r="J861">
        <v>-264</v>
      </c>
    </row>
    <row r="862" spans="1:10" x14ac:dyDescent="0.25">
      <c r="A862">
        <v>44</v>
      </c>
      <c r="B862" t="s">
        <v>30</v>
      </c>
      <c r="C862" t="s">
        <v>10</v>
      </c>
      <c r="D862">
        <v>97</v>
      </c>
      <c r="E862">
        <v>65</v>
      </c>
      <c r="F862">
        <v>0.59899999999999998</v>
      </c>
      <c r="G862">
        <v>0</v>
      </c>
      <c r="H862">
        <v>978</v>
      </c>
      <c r="I862">
        <v>774</v>
      </c>
      <c r="J862">
        <v>204</v>
      </c>
    </row>
    <row r="863" spans="1:10" x14ac:dyDescent="0.25">
      <c r="A863">
        <v>44</v>
      </c>
      <c r="B863" t="s">
        <v>30</v>
      </c>
      <c r="C863" t="s">
        <v>8</v>
      </c>
      <c r="D863">
        <v>94</v>
      </c>
      <c r="E863">
        <v>68</v>
      </c>
      <c r="F863">
        <v>0.57999999999999996</v>
      </c>
      <c r="G863">
        <v>3</v>
      </c>
      <c r="H863">
        <v>855</v>
      </c>
      <c r="I863">
        <v>698</v>
      </c>
      <c r="J863">
        <v>157</v>
      </c>
    </row>
    <row r="864" spans="1:10" x14ac:dyDescent="0.25">
      <c r="A864">
        <v>44</v>
      </c>
      <c r="B864" t="s">
        <v>30</v>
      </c>
      <c r="C864" t="s">
        <v>12</v>
      </c>
      <c r="D864">
        <v>86</v>
      </c>
      <c r="E864">
        <v>76</v>
      </c>
      <c r="F864">
        <v>0.53100000000000003</v>
      </c>
      <c r="G864">
        <v>11</v>
      </c>
      <c r="H864">
        <v>863</v>
      </c>
      <c r="I864">
        <v>858</v>
      </c>
      <c r="J864">
        <v>5</v>
      </c>
    </row>
    <row r="865" spans="1:10" x14ac:dyDescent="0.25">
      <c r="A865">
        <v>44</v>
      </c>
      <c r="B865" t="s">
        <v>30</v>
      </c>
      <c r="C865" t="s">
        <v>11</v>
      </c>
      <c r="D865">
        <v>82</v>
      </c>
      <c r="E865">
        <v>80</v>
      </c>
      <c r="F865">
        <v>0.50600000000000001</v>
      </c>
      <c r="G865">
        <v>15</v>
      </c>
      <c r="H865">
        <v>783</v>
      </c>
      <c r="I865">
        <v>810</v>
      </c>
      <c r="J865">
        <v>-27</v>
      </c>
    </row>
    <row r="866" spans="1:10" x14ac:dyDescent="0.25">
      <c r="A866">
        <v>44</v>
      </c>
      <c r="B866" t="s">
        <v>30</v>
      </c>
      <c r="C866" t="s">
        <v>13</v>
      </c>
      <c r="D866">
        <v>75</v>
      </c>
      <c r="E866">
        <v>87</v>
      </c>
      <c r="F866">
        <v>0.46300000000000002</v>
      </c>
      <c r="G866">
        <v>22</v>
      </c>
      <c r="H866">
        <v>841</v>
      </c>
      <c r="I866">
        <v>935</v>
      </c>
      <c r="J866">
        <v>-94</v>
      </c>
    </row>
    <row r="867" spans="1:10" x14ac:dyDescent="0.25">
      <c r="A867">
        <v>44</v>
      </c>
      <c r="B867" t="s">
        <v>31</v>
      </c>
      <c r="C867" t="s">
        <v>14</v>
      </c>
      <c r="D867">
        <v>101</v>
      </c>
      <c r="E867">
        <v>61</v>
      </c>
      <c r="F867">
        <v>0.623</v>
      </c>
      <c r="G867">
        <v>0</v>
      </c>
      <c r="H867">
        <v>1021</v>
      </c>
      <c r="I867">
        <v>741</v>
      </c>
      <c r="J867">
        <v>280</v>
      </c>
    </row>
    <row r="868" spans="1:10" x14ac:dyDescent="0.25">
      <c r="A868">
        <v>44</v>
      </c>
      <c r="B868" t="s">
        <v>31</v>
      </c>
      <c r="C868" t="s">
        <v>15</v>
      </c>
      <c r="D868">
        <v>77</v>
      </c>
      <c r="E868">
        <v>85</v>
      </c>
      <c r="F868">
        <v>0.47499999999999998</v>
      </c>
      <c r="G868">
        <v>24</v>
      </c>
      <c r="H868">
        <v>1015</v>
      </c>
      <c r="I868">
        <v>1067</v>
      </c>
      <c r="J868">
        <v>-52</v>
      </c>
    </row>
    <row r="869" spans="1:10" x14ac:dyDescent="0.25">
      <c r="A869">
        <v>44</v>
      </c>
      <c r="B869" t="s">
        <v>31</v>
      </c>
      <c r="C869" t="s">
        <v>16</v>
      </c>
      <c r="D869">
        <v>70</v>
      </c>
      <c r="E869">
        <v>92</v>
      </c>
      <c r="F869">
        <v>0.432</v>
      </c>
      <c r="G869">
        <v>31</v>
      </c>
      <c r="H869">
        <v>759</v>
      </c>
      <c r="I869">
        <v>887</v>
      </c>
      <c r="J869">
        <v>-128</v>
      </c>
    </row>
    <row r="870" spans="1:10" x14ac:dyDescent="0.25">
      <c r="A870">
        <v>44</v>
      </c>
      <c r="B870" t="s">
        <v>31</v>
      </c>
      <c r="C870" t="s">
        <v>17</v>
      </c>
      <c r="D870">
        <v>68</v>
      </c>
      <c r="E870">
        <v>94</v>
      </c>
      <c r="F870">
        <v>0.42</v>
      </c>
      <c r="G870">
        <v>33</v>
      </c>
      <c r="H870">
        <v>813</v>
      </c>
      <c r="I870">
        <v>927</v>
      </c>
      <c r="J870">
        <v>-114</v>
      </c>
    </row>
    <row r="871" spans="1:10" x14ac:dyDescent="0.25">
      <c r="A871">
        <v>44</v>
      </c>
      <c r="B871" t="s">
        <v>31</v>
      </c>
      <c r="C871" t="s">
        <v>18</v>
      </c>
      <c r="D871">
        <v>36</v>
      </c>
      <c r="E871">
        <v>126</v>
      </c>
      <c r="F871">
        <v>0.222</v>
      </c>
      <c r="G871">
        <v>65</v>
      </c>
      <c r="H871">
        <v>605</v>
      </c>
      <c r="I871">
        <v>1069</v>
      </c>
      <c r="J871">
        <v>-464</v>
      </c>
    </row>
    <row r="872" spans="1:10" x14ac:dyDescent="0.25">
      <c r="A872">
        <v>44</v>
      </c>
      <c r="B872" t="s">
        <v>32</v>
      </c>
      <c r="C872" t="s">
        <v>19</v>
      </c>
      <c r="D872">
        <v>109</v>
      </c>
      <c r="E872">
        <v>53</v>
      </c>
      <c r="F872">
        <v>0.67300000000000004</v>
      </c>
      <c r="G872">
        <v>0</v>
      </c>
      <c r="H872">
        <v>1025</v>
      </c>
      <c r="I872">
        <v>733</v>
      </c>
      <c r="J872">
        <v>292</v>
      </c>
    </row>
    <row r="873" spans="1:10" x14ac:dyDescent="0.25">
      <c r="A873">
        <v>44</v>
      </c>
      <c r="B873" t="s">
        <v>32</v>
      </c>
      <c r="C873" t="s">
        <v>20</v>
      </c>
      <c r="D873">
        <v>98</v>
      </c>
      <c r="E873">
        <v>64</v>
      </c>
      <c r="F873">
        <v>0.60499999999999998</v>
      </c>
      <c r="G873">
        <v>11</v>
      </c>
      <c r="H873">
        <v>955</v>
      </c>
      <c r="I873">
        <v>775</v>
      </c>
      <c r="J873">
        <v>180</v>
      </c>
    </row>
    <row r="874" spans="1:10" x14ac:dyDescent="0.25">
      <c r="A874">
        <v>44</v>
      </c>
      <c r="B874" t="s">
        <v>32</v>
      </c>
      <c r="C874" t="s">
        <v>21</v>
      </c>
      <c r="D874">
        <v>93</v>
      </c>
      <c r="E874">
        <v>69</v>
      </c>
      <c r="F874">
        <v>0.57399999999999995</v>
      </c>
      <c r="G874">
        <v>16</v>
      </c>
      <c r="H874">
        <v>994</v>
      </c>
      <c r="I874">
        <v>879</v>
      </c>
      <c r="J874">
        <v>115</v>
      </c>
    </row>
    <row r="875" spans="1:10" x14ac:dyDescent="0.25">
      <c r="A875">
        <v>44</v>
      </c>
      <c r="B875" t="s">
        <v>32</v>
      </c>
      <c r="C875" t="s">
        <v>22</v>
      </c>
      <c r="D875">
        <v>85</v>
      </c>
      <c r="E875">
        <v>77</v>
      </c>
      <c r="F875">
        <v>0.52500000000000002</v>
      </c>
      <c r="G875">
        <v>24</v>
      </c>
      <c r="H875">
        <v>888</v>
      </c>
      <c r="I875">
        <v>913</v>
      </c>
      <c r="J875">
        <v>-25</v>
      </c>
    </row>
    <row r="876" spans="1:10" x14ac:dyDescent="0.25">
      <c r="A876">
        <v>44</v>
      </c>
      <c r="B876" t="s">
        <v>32</v>
      </c>
      <c r="C876" t="s">
        <v>23</v>
      </c>
      <c r="D876">
        <v>57</v>
      </c>
      <c r="E876">
        <v>105</v>
      </c>
      <c r="F876">
        <v>0.35199999999999998</v>
      </c>
      <c r="G876">
        <v>52</v>
      </c>
      <c r="H876">
        <v>767</v>
      </c>
      <c r="I876">
        <v>1031</v>
      </c>
      <c r="J876">
        <v>-264</v>
      </c>
    </row>
    <row r="877" spans="1:10" x14ac:dyDescent="0.25">
      <c r="A877">
        <v>44</v>
      </c>
      <c r="B877" t="s">
        <v>33</v>
      </c>
      <c r="C877" t="s">
        <v>24</v>
      </c>
      <c r="D877">
        <v>101</v>
      </c>
      <c r="E877">
        <v>61</v>
      </c>
      <c r="F877">
        <v>0.623</v>
      </c>
      <c r="G877">
        <v>0</v>
      </c>
      <c r="H877">
        <v>953</v>
      </c>
      <c r="I877">
        <v>763</v>
      </c>
      <c r="J877">
        <v>190</v>
      </c>
    </row>
    <row r="878" spans="1:10" x14ac:dyDescent="0.25">
      <c r="A878">
        <v>44</v>
      </c>
      <c r="B878" t="s">
        <v>33</v>
      </c>
      <c r="C878" t="s">
        <v>25</v>
      </c>
      <c r="D878">
        <v>96</v>
      </c>
      <c r="E878">
        <v>66</v>
      </c>
      <c r="F878">
        <v>0.59299999999999997</v>
      </c>
      <c r="G878">
        <v>5</v>
      </c>
      <c r="H878">
        <v>882</v>
      </c>
      <c r="I878">
        <v>730</v>
      </c>
      <c r="J878">
        <v>152</v>
      </c>
    </row>
    <row r="879" spans="1:10" x14ac:dyDescent="0.25">
      <c r="A879">
        <v>44</v>
      </c>
      <c r="B879" t="s">
        <v>33</v>
      </c>
      <c r="C879" t="s">
        <v>26</v>
      </c>
      <c r="D879">
        <v>80</v>
      </c>
      <c r="E879">
        <v>82</v>
      </c>
      <c r="F879">
        <v>0.49399999999999999</v>
      </c>
      <c r="G879">
        <v>21</v>
      </c>
      <c r="H879">
        <v>828</v>
      </c>
      <c r="I879">
        <v>803</v>
      </c>
      <c r="J879">
        <v>25</v>
      </c>
    </row>
    <row r="880" spans="1:10" x14ac:dyDescent="0.25">
      <c r="A880">
        <v>44</v>
      </c>
      <c r="B880" t="s">
        <v>33</v>
      </c>
      <c r="C880" t="s">
        <v>27</v>
      </c>
      <c r="D880">
        <v>72</v>
      </c>
      <c r="E880">
        <v>90</v>
      </c>
      <c r="F880">
        <v>0.44400000000000001</v>
      </c>
      <c r="G880">
        <v>29</v>
      </c>
      <c r="H880">
        <v>754</v>
      </c>
      <c r="I880">
        <v>832</v>
      </c>
      <c r="J880">
        <v>-78</v>
      </c>
    </row>
    <row r="881" spans="1:10" x14ac:dyDescent="0.25">
      <c r="A881">
        <v>44</v>
      </c>
      <c r="B881" t="s">
        <v>33</v>
      </c>
      <c r="C881" t="s">
        <v>28</v>
      </c>
      <c r="D881">
        <v>43</v>
      </c>
      <c r="E881">
        <v>119</v>
      </c>
      <c r="F881">
        <v>0.26500000000000001</v>
      </c>
      <c r="G881">
        <v>58</v>
      </c>
      <c r="H881">
        <v>710</v>
      </c>
      <c r="I881">
        <v>1064</v>
      </c>
      <c r="J881">
        <v>-354</v>
      </c>
    </row>
    <row r="882" spans="1:10" x14ac:dyDescent="0.25">
      <c r="A882">
        <v>45</v>
      </c>
      <c r="B882" t="s">
        <v>30</v>
      </c>
      <c r="C882" t="s">
        <v>12</v>
      </c>
      <c r="D882">
        <v>97</v>
      </c>
      <c r="E882">
        <v>65</v>
      </c>
      <c r="F882">
        <v>0.59899999999999998</v>
      </c>
      <c r="G882">
        <v>0</v>
      </c>
      <c r="H882">
        <v>1024</v>
      </c>
      <c r="I882">
        <v>801</v>
      </c>
      <c r="J882">
        <v>223</v>
      </c>
    </row>
    <row r="883" spans="1:10" x14ac:dyDescent="0.25">
      <c r="A883">
        <v>45</v>
      </c>
      <c r="B883" t="s">
        <v>30</v>
      </c>
      <c r="C883" t="s">
        <v>10</v>
      </c>
      <c r="D883">
        <v>94</v>
      </c>
      <c r="E883">
        <v>68</v>
      </c>
      <c r="F883">
        <v>0.57999999999999996</v>
      </c>
      <c r="G883">
        <v>3</v>
      </c>
      <c r="H883">
        <v>1024</v>
      </c>
      <c r="I883">
        <v>862</v>
      </c>
      <c r="J883">
        <v>162</v>
      </c>
    </row>
    <row r="884" spans="1:10" x14ac:dyDescent="0.25">
      <c r="A884">
        <v>45</v>
      </c>
      <c r="B884" t="s">
        <v>30</v>
      </c>
      <c r="C884" t="s">
        <v>8</v>
      </c>
      <c r="D884">
        <v>92</v>
      </c>
      <c r="E884">
        <v>70</v>
      </c>
      <c r="F884">
        <v>0.56799999999999995</v>
      </c>
      <c r="G884">
        <v>5</v>
      </c>
      <c r="H884">
        <v>843</v>
      </c>
      <c r="I884">
        <v>686</v>
      </c>
      <c r="J884">
        <v>157</v>
      </c>
    </row>
    <row r="885" spans="1:10" x14ac:dyDescent="0.25">
      <c r="A885">
        <v>45</v>
      </c>
      <c r="B885" t="s">
        <v>30</v>
      </c>
      <c r="C885" t="s">
        <v>13</v>
      </c>
      <c r="D885">
        <v>84</v>
      </c>
      <c r="E885">
        <v>78</v>
      </c>
      <c r="F885">
        <v>0.51900000000000002</v>
      </c>
      <c r="G885">
        <v>13</v>
      </c>
      <c r="H885">
        <v>808</v>
      </c>
      <c r="I885">
        <v>807</v>
      </c>
      <c r="J885">
        <v>1</v>
      </c>
    </row>
    <row r="886" spans="1:10" x14ac:dyDescent="0.25">
      <c r="A886">
        <v>45</v>
      </c>
      <c r="B886" t="s">
        <v>30</v>
      </c>
      <c r="C886" t="s">
        <v>11</v>
      </c>
      <c r="D886">
        <v>80</v>
      </c>
      <c r="E886">
        <v>82</v>
      </c>
      <c r="F886">
        <v>0.49399999999999999</v>
      </c>
      <c r="G886">
        <v>17</v>
      </c>
      <c r="H886">
        <v>857</v>
      </c>
      <c r="I886">
        <v>807</v>
      </c>
      <c r="J886">
        <v>50</v>
      </c>
    </row>
    <row r="887" spans="1:10" x14ac:dyDescent="0.25">
      <c r="A887">
        <v>45</v>
      </c>
      <c r="B887" t="s">
        <v>31</v>
      </c>
      <c r="C887" t="s">
        <v>14</v>
      </c>
      <c r="D887">
        <v>112</v>
      </c>
      <c r="E887">
        <v>50</v>
      </c>
      <c r="F887">
        <v>0.69099999999999995</v>
      </c>
      <c r="G887">
        <v>0</v>
      </c>
      <c r="H887">
        <v>1033</v>
      </c>
      <c r="I887">
        <v>716</v>
      </c>
      <c r="J887">
        <v>317</v>
      </c>
    </row>
    <row r="888" spans="1:10" x14ac:dyDescent="0.25">
      <c r="A888">
        <v>45</v>
      </c>
      <c r="B888" t="s">
        <v>31</v>
      </c>
      <c r="C888" t="s">
        <v>16</v>
      </c>
      <c r="D888">
        <v>72</v>
      </c>
      <c r="E888">
        <v>90</v>
      </c>
      <c r="F888">
        <v>0.44400000000000001</v>
      </c>
      <c r="G888">
        <v>40</v>
      </c>
      <c r="H888">
        <v>768</v>
      </c>
      <c r="I888">
        <v>891</v>
      </c>
      <c r="J888">
        <v>-123</v>
      </c>
    </row>
    <row r="889" spans="1:10" x14ac:dyDescent="0.25">
      <c r="A889">
        <v>45</v>
      </c>
      <c r="B889" t="s">
        <v>31</v>
      </c>
      <c r="C889" t="s">
        <v>15</v>
      </c>
      <c r="D889">
        <v>67</v>
      </c>
      <c r="E889">
        <v>95</v>
      </c>
      <c r="F889">
        <v>0.41399999999999998</v>
      </c>
      <c r="G889">
        <v>45</v>
      </c>
      <c r="H889">
        <v>886</v>
      </c>
      <c r="I889">
        <v>1151</v>
      </c>
      <c r="J889">
        <v>-265</v>
      </c>
    </row>
    <row r="890" spans="1:10" x14ac:dyDescent="0.25">
      <c r="A890">
        <v>45</v>
      </c>
      <c r="B890" t="s">
        <v>31</v>
      </c>
      <c r="C890" t="s">
        <v>17</v>
      </c>
      <c r="D890">
        <v>57</v>
      </c>
      <c r="E890">
        <v>105</v>
      </c>
      <c r="F890">
        <v>0.35199999999999998</v>
      </c>
      <c r="G890">
        <v>55</v>
      </c>
      <c r="H890">
        <v>823</v>
      </c>
      <c r="I890">
        <v>1049</v>
      </c>
      <c r="J890">
        <v>-226</v>
      </c>
    </row>
    <row r="891" spans="1:10" x14ac:dyDescent="0.25">
      <c r="A891">
        <v>45</v>
      </c>
      <c r="B891" t="s">
        <v>31</v>
      </c>
      <c r="C891" t="s">
        <v>18</v>
      </c>
      <c r="D891">
        <v>43</v>
      </c>
      <c r="E891">
        <v>119</v>
      </c>
      <c r="F891">
        <v>0.26500000000000001</v>
      </c>
      <c r="G891">
        <v>69</v>
      </c>
      <c r="H891">
        <v>593</v>
      </c>
      <c r="I891">
        <v>1010</v>
      </c>
      <c r="J891">
        <v>-417</v>
      </c>
    </row>
    <row r="892" spans="1:10" x14ac:dyDescent="0.25">
      <c r="A892">
        <v>45</v>
      </c>
      <c r="B892" t="s">
        <v>32</v>
      </c>
      <c r="C892" t="s">
        <v>19</v>
      </c>
      <c r="D892">
        <v>105</v>
      </c>
      <c r="E892">
        <v>57</v>
      </c>
      <c r="F892">
        <v>0.64800000000000002</v>
      </c>
      <c r="G892">
        <v>0</v>
      </c>
      <c r="H892">
        <v>982</v>
      </c>
      <c r="I892">
        <v>726</v>
      </c>
      <c r="J892">
        <v>256</v>
      </c>
    </row>
    <row r="893" spans="1:10" x14ac:dyDescent="0.25">
      <c r="A893">
        <v>45</v>
      </c>
      <c r="B893" t="s">
        <v>32</v>
      </c>
      <c r="C893" t="s">
        <v>20</v>
      </c>
      <c r="D893">
        <v>91</v>
      </c>
      <c r="E893">
        <v>71</v>
      </c>
      <c r="F893">
        <v>0.56200000000000006</v>
      </c>
      <c r="G893">
        <v>14</v>
      </c>
      <c r="H893">
        <v>874</v>
      </c>
      <c r="I893">
        <v>737</v>
      </c>
      <c r="J893">
        <v>137</v>
      </c>
    </row>
    <row r="894" spans="1:10" x14ac:dyDescent="0.25">
      <c r="A894">
        <v>45</v>
      </c>
      <c r="B894" t="s">
        <v>32</v>
      </c>
      <c r="C894" t="s">
        <v>21</v>
      </c>
      <c r="D894">
        <v>89</v>
      </c>
      <c r="E894">
        <v>73</v>
      </c>
      <c r="F894">
        <v>0.54900000000000004</v>
      </c>
      <c r="G894">
        <v>16</v>
      </c>
      <c r="H894">
        <v>963</v>
      </c>
      <c r="I894">
        <v>861</v>
      </c>
      <c r="J894">
        <v>102</v>
      </c>
    </row>
    <row r="895" spans="1:10" x14ac:dyDescent="0.25">
      <c r="A895">
        <v>45</v>
      </c>
      <c r="B895" t="s">
        <v>32</v>
      </c>
      <c r="C895" t="s">
        <v>22</v>
      </c>
      <c r="D895">
        <v>74</v>
      </c>
      <c r="E895">
        <v>88</v>
      </c>
      <c r="F895">
        <v>0.45700000000000002</v>
      </c>
      <c r="G895">
        <v>31</v>
      </c>
      <c r="H895">
        <v>885</v>
      </c>
      <c r="I895">
        <v>992</v>
      </c>
      <c r="J895">
        <v>-107</v>
      </c>
    </row>
    <row r="896" spans="1:10" x14ac:dyDescent="0.25">
      <c r="A896">
        <v>45</v>
      </c>
      <c r="B896" t="s">
        <v>32</v>
      </c>
      <c r="C896" t="s">
        <v>23</v>
      </c>
      <c r="D896">
        <v>56</v>
      </c>
      <c r="E896">
        <v>106</v>
      </c>
      <c r="F896">
        <v>0.34599999999999997</v>
      </c>
      <c r="G896">
        <v>49</v>
      </c>
      <c r="H896">
        <v>731</v>
      </c>
      <c r="I896">
        <v>1026</v>
      </c>
      <c r="J896">
        <v>-295</v>
      </c>
    </row>
    <row r="897" spans="1:10" x14ac:dyDescent="0.25">
      <c r="A897">
        <v>45</v>
      </c>
      <c r="B897" t="s">
        <v>33</v>
      </c>
      <c r="C897" t="s">
        <v>24</v>
      </c>
      <c r="D897">
        <v>94</v>
      </c>
      <c r="E897">
        <v>68</v>
      </c>
      <c r="F897">
        <v>0.57999999999999996</v>
      </c>
      <c r="G897">
        <v>0</v>
      </c>
      <c r="H897">
        <v>923</v>
      </c>
      <c r="I897">
        <v>735</v>
      </c>
      <c r="J897">
        <v>188</v>
      </c>
    </row>
    <row r="898" spans="1:10" x14ac:dyDescent="0.25">
      <c r="A898">
        <v>45</v>
      </c>
      <c r="B898" t="s">
        <v>33</v>
      </c>
      <c r="C898" t="s">
        <v>26</v>
      </c>
      <c r="D898">
        <v>92</v>
      </c>
      <c r="E898">
        <v>70</v>
      </c>
      <c r="F898">
        <v>0.56799999999999995</v>
      </c>
      <c r="G898">
        <v>2</v>
      </c>
      <c r="H898">
        <v>845</v>
      </c>
      <c r="I898">
        <v>730</v>
      </c>
      <c r="J898">
        <v>115</v>
      </c>
    </row>
    <row r="899" spans="1:10" x14ac:dyDescent="0.25">
      <c r="A899">
        <v>45</v>
      </c>
      <c r="B899" t="s">
        <v>33</v>
      </c>
      <c r="C899" t="s">
        <v>25</v>
      </c>
      <c r="D899">
        <v>87</v>
      </c>
      <c r="E899">
        <v>75</v>
      </c>
      <c r="F899">
        <v>0.53700000000000003</v>
      </c>
      <c r="G899">
        <v>7</v>
      </c>
      <c r="H899">
        <v>797</v>
      </c>
      <c r="I899">
        <v>707</v>
      </c>
      <c r="J899">
        <v>90</v>
      </c>
    </row>
    <row r="900" spans="1:10" x14ac:dyDescent="0.25">
      <c r="A900">
        <v>45</v>
      </c>
      <c r="B900" t="s">
        <v>33</v>
      </c>
      <c r="C900" t="s">
        <v>27</v>
      </c>
      <c r="D900">
        <v>71</v>
      </c>
      <c r="E900">
        <v>91</v>
      </c>
      <c r="F900">
        <v>0.438</v>
      </c>
      <c r="G900">
        <v>23</v>
      </c>
      <c r="H900">
        <v>792</v>
      </c>
      <c r="I900">
        <v>924</v>
      </c>
      <c r="J900">
        <v>-132</v>
      </c>
    </row>
    <row r="901" spans="1:10" x14ac:dyDescent="0.25">
      <c r="A901">
        <v>45</v>
      </c>
      <c r="B901" t="s">
        <v>33</v>
      </c>
      <c r="C901" t="s">
        <v>28</v>
      </c>
      <c r="D901">
        <v>63</v>
      </c>
      <c r="E901">
        <v>99</v>
      </c>
      <c r="F901">
        <v>0.38900000000000001</v>
      </c>
      <c r="G901">
        <v>31</v>
      </c>
      <c r="H901">
        <v>721</v>
      </c>
      <c r="I901">
        <v>954</v>
      </c>
      <c r="J901">
        <v>-233</v>
      </c>
    </row>
    <row r="902" spans="1:10" x14ac:dyDescent="0.25">
      <c r="A902">
        <v>46</v>
      </c>
      <c r="B902" t="s">
        <v>30</v>
      </c>
      <c r="C902" t="s">
        <v>8</v>
      </c>
      <c r="D902">
        <v>99</v>
      </c>
      <c r="E902">
        <v>63</v>
      </c>
      <c r="F902">
        <v>0.61099999999999999</v>
      </c>
      <c r="G902">
        <v>0</v>
      </c>
      <c r="H902">
        <v>916</v>
      </c>
      <c r="I902">
        <v>715</v>
      </c>
      <c r="J902">
        <v>201</v>
      </c>
    </row>
    <row r="903" spans="1:10" x14ac:dyDescent="0.25">
      <c r="A903">
        <v>46</v>
      </c>
      <c r="B903" t="s">
        <v>30</v>
      </c>
      <c r="C903" t="s">
        <v>10</v>
      </c>
      <c r="D903">
        <v>98</v>
      </c>
      <c r="E903">
        <v>64</v>
      </c>
      <c r="F903">
        <v>0.60499999999999998</v>
      </c>
      <c r="G903">
        <v>1</v>
      </c>
      <c r="H903">
        <v>989</v>
      </c>
      <c r="I903">
        <v>860</v>
      </c>
      <c r="J903">
        <v>129</v>
      </c>
    </row>
    <row r="904" spans="1:10" x14ac:dyDescent="0.25">
      <c r="A904">
        <v>46</v>
      </c>
      <c r="B904" t="s">
        <v>30</v>
      </c>
      <c r="C904" t="s">
        <v>12</v>
      </c>
      <c r="D904">
        <v>87</v>
      </c>
      <c r="E904">
        <v>75</v>
      </c>
      <c r="F904">
        <v>0.53700000000000003</v>
      </c>
      <c r="G904">
        <v>12</v>
      </c>
      <c r="H904">
        <v>969</v>
      </c>
      <c r="I904">
        <v>946</v>
      </c>
      <c r="J904">
        <v>23</v>
      </c>
    </row>
    <row r="905" spans="1:10" x14ac:dyDescent="0.25">
      <c r="A905">
        <v>46</v>
      </c>
      <c r="B905" t="s">
        <v>30</v>
      </c>
      <c r="C905" t="s">
        <v>11</v>
      </c>
      <c r="D905">
        <v>85</v>
      </c>
      <c r="E905">
        <v>77</v>
      </c>
      <c r="F905">
        <v>0.52500000000000002</v>
      </c>
      <c r="G905">
        <v>14</v>
      </c>
      <c r="H905">
        <v>843</v>
      </c>
      <c r="I905">
        <v>772</v>
      </c>
      <c r="J905">
        <v>71</v>
      </c>
    </row>
    <row r="906" spans="1:10" x14ac:dyDescent="0.25">
      <c r="A906">
        <v>46</v>
      </c>
      <c r="B906" t="s">
        <v>30</v>
      </c>
      <c r="C906" t="s">
        <v>13</v>
      </c>
      <c r="D906">
        <v>85</v>
      </c>
      <c r="E906">
        <v>77</v>
      </c>
      <c r="F906">
        <v>0.52500000000000002</v>
      </c>
      <c r="G906">
        <v>14</v>
      </c>
      <c r="H906">
        <v>843</v>
      </c>
      <c r="I906">
        <v>841</v>
      </c>
      <c r="J906">
        <v>2</v>
      </c>
    </row>
    <row r="907" spans="1:10" x14ac:dyDescent="0.25">
      <c r="A907">
        <v>46</v>
      </c>
      <c r="B907" t="s">
        <v>31</v>
      </c>
      <c r="C907" t="s">
        <v>14</v>
      </c>
      <c r="D907">
        <v>109</v>
      </c>
      <c r="E907">
        <v>53</v>
      </c>
      <c r="F907">
        <v>0.67300000000000004</v>
      </c>
      <c r="G907">
        <v>0</v>
      </c>
      <c r="H907">
        <v>1010</v>
      </c>
      <c r="I907">
        <v>697</v>
      </c>
      <c r="J907">
        <v>313</v>
      </c>
    </row>
    <row r="908" spans="1:10" x14ac:dyDescent="0.25">
      <c r="A908">
        <v>46</v>
      </c>
      <c r="B908" t="s">
        <v>31</v>
      </c>
      <c r="C908" t="s">
        <v>15</v>
      </c>
      <c r="D908">
        <v>76</v>
      </c>
      <c r="E908">
        <v>86</v>
      </c>
      <c r="F908">
        <v>0.46899999999999997</v>
      </c>
      <c r="G908">
        <v>33</v>
      </c>
      <c r="H908">
        <v>991</v>
      </c>
      <c r="I908">
        <v>1144</v>
      </c>
      <c r="J908">
        <v>-153</v>
      </c>
    </row>
    <row r="909" spans="1:10" x14ac:dyDescent="0.25">
      <c r="A909">
        <v>46</v>
      </c>
      <c r="B909" t="s">
        <v>31</v>
      </c>
      <c r="C909" t="s">
        <v>16</v>
      </c>
      <c r="D909">
        <v>68</v>
      </c>
      <c r="E909">
        <v>94</v>
      </c>
      <c r="F909">
        <v>0.42</v>
      </c>
      <c r="G909">
        <v>41</v>
      </c>
      <c r="H909">
        <v>753</v>
      </c>
      <c r="I909">
        <v>912</v>
      </c>
      <c r="J909">
        <v>-159</v>
      </c>
    </row>
    <row r="910" spans="1:10" x14ac:dyDescent="0.25">
      <c r="A910">
        <v>46</v>
      </c>
      <c r="B910" t="s">
        <v>31</v>
      </c>
      <c r="C910" t="s">
        <v>17</v>
      </c>
      <c r="D910">
        <v>51</v>
      </c>
      <c r="E910">
        <v>111</v>
      </c>
      <c r="F910">
        <v>0.315</v>
      </c>
      <c r="G910">
        <v>58</v>
      </c>
      <c r="H910">
        <v>786</v>
      </c>
      <c r="I910">
        <v>1024</v>
      </c>
      <c r="J910">
        <v>-238</v>
      </c>
    </row>
    <row r="911" spans="1:10" x14ac:dyDescent="0.25">
      <c r="A911">
        <v>46</v>
      </c>
      <c r="B911" t="s">
        <v>31</v>
      </c>
      <c r="C911" t="s">
        <v>18</v>
      </c>
      <c r="D911">
        <v>45</v>
      </c>
      <c r="E911">
        <v>117</v>
      </c>
      <c r="F911">
        <v>0.27800000000000002</v>
      </c>
      <c r="G911">
        <v>64</v>
      </c>
      <c r="H911">
        <v>668</v>
      </c>
      <c r="I911">
        <v>995</v>
      </c>
      <c r="J911">
        <v>-327</v>
      </c>
    </row>
    <row r="912" spans="1:10" x14ac:dyDescent="0.25">
      <c r="A912">
        <v>46</v>
      </c>
      <c r="B912" t="s">
        <v>32</v>
      </c>
      <c r="C912" t="s">
        <v>19</v>
      </c>
      <c r="D912">
        <v>102</v>
      </c>
      <c r="E912">
        <v>60</v>
      </c>
      <c r="F912">
        <v>0.63</v>
      </c>
      <c r="G912">
        <v>0</v>
      </c>
      <c r="H912">
        <v>1050</v>
      </c>
      <c r="I912">
        <v>842</v>
      </c>
      <c r="J912">
        <v>208</v>
      </c>
    </row>
    <row r="913" spans="1:10" x14ac:dyDescent="0.25">
      <c r="A913">
        <v>46</v>
      </c>
      <c r="B913" t="s">
        <v>32</v>
      </c>
      <c r="C913" t="s">
        <v>21</v>
      </c>
      <c r="D913">
        <v>97</v>
      </c>
      <c r="E913">
        <v>65</v>
      </c>
      <c r="F913">
        <v>0.59899999999999998</v>
      </c>
      <c r="G913">
        <v>5</v>
      </c>
      <c r="H913">
        <v>1043</v>
      </c>
      <c r="I913">
        <v>908</v>
      </c>
      <c r="J913">
        <v>135</v>
      </c>
    </row>
    <row r="914" spans="1:10" x14ac:dyDescent="0.25">
      <c r="A914">
        <v>46</v>
      </c>
      <c r="B914" t="s">
        <v>32</v>
      </c>
      <c r="C914" t="s">
        <v>20</v>
      </c>
      <c r="D914">
        <v>96</v>
      </c>
      <c r="E914">
        <v>66</v>
      </c>
      <c r="F914">
        <v>0.59299999999999997</v>
      </c>
      <c r="G914">
        <v>6</v>
      </c>
      <c r="H914">
        <v>955</v>
      </c>
      <c r="I914">
        <v>816</v>
      </c>
      <c r="J914">
        <v>139</v>
      </c>
    </row>
    <row r="915" spans="1:10" x14ac:dyDescent="0.25">
      <c r="A915">
        <v>46</v>
      </c>
      <c r="B915" t="s">
        <v>32</v>
      </c>
      <c r="C915" t="s">
        <v>22</v>
      </c>
      <c r="D915">
        <v>70</v>
      </c>
      <c r="E915">
        <v>92</v>
      </c>
      <c r="F915">
        <v>0.432</v>
      </c>
      <c r="G915">
        <v>32</v>
      </c>
      <c r="H915">
        <v>891</v>
      </c>
      <c r="I915">
        <v>956</v>
      </c>
      <c r="J915">
        <v>-65</v>
      </c>
    </row>
    <row r="916" spans="1:10" x14ac:dyDescent="0.25">
      <c r="A916">
        <v>46</v>
      </c>
      <c r="B916" t="s">
        <v>32</v>
      </c>
      <c r="C916" t="s">
        <v>23</v>
      </c>
      <c r="D916">
        <v>48</v>
      </c>
      <c r="E916">
        <v>114</v>
      </c>
      <c r="F916">
        <v>0.29599999999999999</v>
      </c>
      <c r="G916">
        <v>54</v>
      </c>
      <c r="H916">
        <v>780</v>
      </c>
      <c r="I916">
        <v>1070</v>
      </c>
      <c r="J916">
        <v>-290</v>
      </c>
    </row>
    <row r="917" spans="1:10" x14ac:dyDescent="0.25">
      <c r="A917">
        <v>46</v>
      </c>
      <c r="B917" t="s">
        <v>33</v>
      </c>
      <c r="C917" t="s">
        <v>24</v>
      </c>
      <c r="D917">
        <v>105</v>
      </c>
      <c r="E917">
        <v>57</v>
      </c>
      <c r="F917">
        <v>0.64800000000000002</v>
      </c>
      <c r="G917">
        <v>0</v>
      </c>
      <c r="H917">
        <v>973</v>
      </c>
      <c r="I917">
        <v>716</v>
      </c>
      <c r="J917">
        <v>257</v>
      </c>
    </row>
    <row r="918" spans="1:10" x14ac:dyDescent="0.25">
      <c r="A918">
        <v>46</v>
      </c>
      <c r="B918" t="s">
        <v>33</v>
      </c>
      <c r="C918" t="s">
        <v>25</v>
      </c>
      <c r="D918">
        <v>98</v>
      </c>
      <c r="E918">
        <v>64</v>
      </c>
      <c r="F918">
        <v>0.60499999999999998</v>
      </c>
      <c r="G918">
        <v>7</v>
      </c>
      <c r="H918">
        <v>902</v>
      </c>
      <c r="I918">
        <v>710</v>
      </c>
      <c r="J918">
        <v>192</v>
      </c>
    </row>
    <row r="919" spans="1:10" x14ac:dyDescent="0.25">
      <c r="A919">
        <v>46</v>
      </c>
      <c r="B919" t="s">
        <v>33</v>
      </c>
      <c r="C919" t="s">
        <v>27</v>
      </c>
      <c r="D919">
        <v>77</v>
      </c>
      <c r="E919">
        <v>85</v>
      </c>
      <c r="F919">
        <v>0.47499999999999998</v>
      </c>
      <c r="G919">
        <v>28</v>
      </c>
      <c r="H919">
        <v>826</v>
      </c>
      <c r="I919">
        <v>879</v>
      </c>
      <c r="J919">
        <v>-53</v>
      </c>
    </row>
    <row r="920" spans="1:10" x14ac:dyDescent="0.25">
      <c r="A920">
        <v>46</v>
      </c>
      <c r="B920" t="s">
        <v>33</v>
      </c>
      <c r="C920" t="s">
        <v>26</v>
      </c>
      <c r="D920">
        <v>76</v>
      </c>
      <c r="E920">
        <v>86</v>
      </c>
      <c r="F920">
        <v>0.46899999999999997</v>
      </c>
      <c r="G920">
        <v>29</v>
      </c>
      <c r="H920">
        <v>819</v>
      </c>
      <c r="I920">
        <v>895</v>
      </c>
      <c r="J920">
        <v>-76</v>
      </c>
    </row>
    <row r="921" spans="1:10" x14ac:dyDescent="0.25">
      <c r="A921">
        <v>46</v>
      </c>
      <c r="B921" t="s">
        <v>33</v>
      </c>
      <c r="C921" t="s">
        <v>28</v>
      </c>
      <c r="D921">
        <v>48</v>
      </c>
      <c r="E921">
        <v>114</v>
      </c>
      <c r="F921">
        <v>0.29599999999999999</v>
      </c>
      <c r="G921">
        <v>57</v>
      </c>
      <c r="H921">
        <v>741</v>
      </c>
      <c r="I921">
        <v>1050</v>
      </c>
      <c r="J921">
        <v>-309</v>
      </c>
    </row>
    <row r="922" spans="1:10" x14ac:dyDescent="0.25">
      <c r="A922">
        <v>47</v>
      </c>
      <c r="B922" t="s">
        <v>30</v>
      </c>
      <c r="C922" t="s">
        <v>10</v>
      </c>
      <c r="D922">
        <v>107</v>
      </c>
      <c r="E922">
        <v>55</v>
      </c>
      <c r="F922">
        <v>0.66</v>
      </c>
      <c r="G922">
        <v>0</v>
      </c>
      <c r="H922">
        <v>1050</v>
      </c>
      <c r="I922">
        <v>816</v>
      </c>
      <c r="J922">
        <v>234</v>
      </c>
    </row>
    <row r="923" spans="1:10" x14ac:dyDescent="0.25">
      <c r="A923">
        <v>47</v>
      </c>
      <c r="B923" t="s">
        <v>30</v>
      </c>
      <c r="C923" t="s">
        <v>8</v>
      </c>
      <c r="D923">
        <v>95</v>
      </c>
      <c r="E923">
        <v>67</v>
      </c>
      <c r="F923">
        <v>0.58599999999999997</v>
      </c>
      <c r="G923">
        <v>12</v>
      </c>
      <c r="H923">
        <v>778</v>
      </c>
      <c r="I923">
        <v>631</v>
      </c>
      <c r="J923">
        <v>147</v>
      </c>
    </row>
    <row r="924" spans="1:10" x14ac:dyDescent="0.25">
      <c r="A924">
        <v>47</v>
      </c>
      <c r="B924" t="s">
        <v>30</v>
      </c>
      <c r="C924" t="s">
        <v>11</v>
      </c>
      <c r="D924">
        <v>89</v>
      </c>
      <c r="E924">
        <v>73</v>
      </c>
      <c r="F924">
        <v>0.54900000000000004</v>
      </c>
      <c r="G924">
        <v>18</v>
      </c>
      <c r="H924">
        <v>883</v>
      </c>
      <c r="I924">
        <v>771</v>
      </c>
      <c r="J924">
        <v>112</v>
      </c>
    </row>
    <row r="925" spans="1:10" x14ac:dyDescent="0.25">
      <c r="A925">
        <v>47</v>
      </c>
      <c r="B925" t="s">
        <v>30</v>
      </c>
      <c r="C925" t="s">
        <v>12</v>
      </c>
      <c r="D925">
        <v>81</v>
      </c>
      <c r="E925">
        <v>81</v>
      </c>
      <c r="F925">
        <v>0.5</v>
      </c>
      <c r="G925">
        <v>26</v>
      </c>
      <c r="H925">
        <v>909</v>
      </c>
      <c r="I925">
        <v>845</v>
      </c>
      <c r="J925">
        <v>64</v>
      </c>
    </row>
    <row r="926" spans="1:10" x14ac:dyDescent="0.25">
      <c r="A926">
        <v>47</v>
      </c>
      <c r="B926" t="s">
        <v>30</v>
      </c>
      <c r="C926" t="s">
        <v>13</v>
      </c>
      <c r="D926">
        <v>69</v>
      </c>
      <c r="E926">
        <v>93</v>
      </c>
      <c r="F926">
        <v>0.42599999999999999</v>
      </c>
      <c r="G926">
        <v>38</v>
      </c>
      <c r="H926">
        <v>765</v>
      </c>
      <c r="I926">
        <v>950</v>
      </c>
      <c r="J926">
        <v>-185</v>
      </c>
    </row>
    <row r="927" spans="1:10" x14ac:dyDescent="0.25">
      <c r="A927">
        <v>47</v>
      </c>
      <c r="B927" t="s">
        <v>31</v>
      </c>
      <c r="C927" t="s">
        <v>14</v>
      </c>
      <c r="D927">
        <v>111</v>
      </c>
      <c r="E927">
        <v>51</v>
      </c>
      <c r="F927">
        <v>0.68500000000000005</v>
      </c>
      <c r="G927">
        <v>0</v>
      </c>
      <c r="H927">
        <v>963</v>
      </c>
      <c r="I927">
        <v>683</v>
      </c>
      <c r="J927">
        <v>280</v>
      </c>
    </row>
    <row r="928" spans="1:10" x14ac:dyDescent="0.25">
      <c r="A928">
        <v>47</v>
      </c>
      <c r="B928" t="s">
        <v>31</v>
      </c>
      <c r="C928" t="s">
        <v>17</v>
      </c>
      <c r="D928">
        <v>72</v>
      </c>
      <c r="E928">
        <v>90</v>
      </c>
      <c r="F928">
        <v>0.44400000000000001</v>
      </c>
      <c r="G928">
        <v>39</v>
      </c>
      <c r="H928">
        <v>827</v>
      </c>
      <c r="I928">
        <v>1016</v>
      </c>
      <c r="J928">
        <v>-189</v>
      </c>
    </row>
    <row r="929" spans="1:10" x14ac:dyDescent="0.25">
      <c r="A929">
        <v>47</v>
      </c>
      <c r="B929" t="s">
        <v>31</v>
      </c>
      <c r="C929" t="s">
        <v>15</v>
      </c>
      <c r="D929">
        <v>72</v>
      </c>
      <c r="E929">
        <v>90</v>
      </c>
      <c r="F929">
        <v>0.44400000000000001</v>
      </c>
      <c r="G929">
        <v>39</v>
      </c>
      <c r="H929">
        <v>985</v>
      </c>
      <c r="I929">
        <v>1137</v>
      </c>
      <c r="J929">
        <v>-152</v>
      </c>
    </row>
    <row r="930" spans="1:10" x14ac:dyDescent="0.25">
      <c r="A930">
        <v>47</v>
      </c>
      <c r="B930" t="s">
        <v>31</v>
      </c>
      <c r="C930" t="s">
        <v>16</v>
      </c>
      <c r="D930">
        <v>64</v>
      </c>
      <c r="E930">
        <v>98</v>
      </c>
      <c r="F930">
        <v>0.39500000000000002</v>
      </c>
      <c r="G930">
        <v>47</v>
      </c>
      <c r="H930">
        <v>687</v>
      </c>
      <c r="I930">
        <v>796</v>
      </c>
      <c r="J930">
        <v>-109</v>
      </c>
    </row>
    <row r="931" spans="1:10" x14ac:dyDescent="0.25">
      <c r="A931">
        <v>47</v>
      </c>
      <c r="B931" t="s">
        <v>31</v>
      </c>
      <c r="C931" t="s">
        <v>18</v>
      </c>
      <c r="D931">
        <v>48</v>
      </c>
      <c r="E931">
        <v>114</v>
      </c>
      <c r="F931">
        <v>0.29599999999999999</v>
      </c>
      <c r="G931">
        <v>63</v>
      </c>
      <c r="H931">
        <v>705</v>
      </c>
      <c r="I931">
        <v>1071</v>
      </c>
      <c r="J931">
        <v>-366</v>
      </c>
    </row>
    <row r="932" spans="1:10" x14ac:dyDescent="0.25">
      <c r="A932">
        <v>47</v>
      </c>
      <c r="B932" t="s">
        <v>32</v>
      </c>
      <c r="C932" t="s">
        <v>19</v>
      </c>
      <c r="D932">
        <v>106</v>
      </c>
      <c r="E932">
        <v>56</v>
      </c>
      <c r="F932">
        <v>0.65400000000000003</v>
      </c>
      <c r="G932">
        <v>0</v>
      </c>
      <c r="H932">
        <v>972</v>
      </c>
      <c r="I932">
        <v>773</v>
      </c>
      <c r="J932">
        <v>199</v>
      </c>
    </row>
    <row r="933" spans="1:10" x14ac:dyDescent="0.25">
      <c r="A933">
        <v>47</v>
      </c>
      <c r="B933" t="s">
        <v>32</v>
      </c>
      <c r="C933" t="s">
        <v>20</v>
      </c>
      <c r="D933">
        <v>94</v>
      </c>
      <c r="E933">
        <v>68</v>
      </c>
      <c r="F933">
        <v>0.57999999999999996</v>
      </c>
      <c r="G933">
        <v>12</v>
      </c>
      <c r="H933">
        <v>1020</v>
      </c>
      <c r="I933">
        <v>804</v>
      </c>
      <c r="J933">
        <v>216</v>
      </c>
    </row>
    <row r="934" spans="1:10" x14ac:dyDescent="0.25">
      <c r="A934">
        <v>47</v>
      </c>
      <c r="B934" t="s">
        <v>32</v>
      </c>
      <c r="C934" t="s">
        <v>21</v>
      </c>
      <c r="D934">
        <v>81</v>
      </c>
      <c r="E934">
        <v>81</v>
      </c>
      <c r="F934">
        <v>0.5</v>
      </c>
      <c r="G934">
        <v>25</v>
      </c>
      <c r="H934">
        <v>979</v>
      </c>
      <c r="I934">
        <v>921</v>
      </c>
      <c r="J934">
        <v>58</v>
      </c>
    </row>
    <row r="935" spans="1:10" x14ac:dyDescent="0.25">
      <c r="A935">
        <v>47</v>
      </c>
      <c r="B935" t="s">
        <v>32</v>
      </c>
      <c r="C935" t="s">
        <v>22</v>
      </c>
      <c r="D935">
        <v>70</v>
      </c>
      <c r="E935">
        <v>92</v>
      </c>
      <c r="F935">
        <v>0.432</v>
      </c>
      <c r="G935">
        <v>36</v>
      </c>
      <c r="H935">
        <v>893</v>
      </c>
      <c r="I935">
        <v>956</v>
      </c>
      <c r="J935">
        <v>-63</v>
      </c>
    </row>
    <row r="936" spans="1:10" x14ac:dyDescent="0.25">
      <c r="A936">
        <v>47</v>
      </c>
      <c r="B936" t="s">
        <v>32</v>
      </c>
      <c r="C936" t="s">
        <v>23</v>
      </c>
      <c r="D936">
        <v>61</v>
      </c>
      <c r="E936">
        <v>101</v>
      </c>
      <c r="F936">
        <v>0.377</v>
      </c>
      <c r="G936">
        <v>45</v>
      </c>
      <c r="H936">
        <v>803</v>
      </c>
      <c r="I936">
        <v>1086</v>
      </c>
      <c r="J936">
        <v>-283</v>
      </c>
    </row>
    <row r="937" spans="1:10" x14ac:dyDescent="0.25">
      <c r="A937">
        <v>47</v>
      </c>
      <c r="B937" t="s">
        <v>33</v>
      </c>
      <c r="C937" t="s">
        <v>24</v>
      </c>
      <c r="D937">
        <v>108</v>
      </c>
      <c r="E937">
        <v>54</v>
      </c>
      <c r="F937">
        <v>0.66700000000000004</v>
      </c>
      <c r="G937">
        <v>0</v>
      </c>
      <c r="H937">
        <v>963</v>
      </c>
      <c r="I937">
        <v>732</v>
      </c>
      <c r="J937">
        <v>231</v>
      </c>
    </row>
    <row r="938" spans="1:10" x14ac:dyDescent="0.25">
      <c r="A938">
        <v>47</v>
      </c>
      <c r="B938" t="s">
        <v>33</v>
      </c>
      <c r="C938" t="s">
        <v>25</v>
      </c>
      <c r="D938">
        <v>94</v>
      </c>
      <c r="E938">
        <v>68</v>
      </c>
      <c r="F938">
        <v>0.57999999999999996</v>
      </c>
      <c r="G938">
        <v>14</v>
      </c>
      <c r="H938">
        <v>897</v>
      </c>
      <c r="I938">
        <v>676</v>
      </c>
      <c r="J938">
        <v>221</v>
      </c>
    </row>
    <row r="939" spans="1:10" x14ac:dyDescent="0.25">
      <c r="A939">
        <v>47</v>
      </c>
      <c r="B939" t="s">
        <v>33</v>
      </c>
      <c r="C939" t="s">
        <v>26</v>
      </c>
      <c r="D939">
        <v>80</v>
      </c>
      <c r="E939">
        <v>82</v>
      </c>
      <c r="F939">
        <v>0.49399999999999999</v>
      </c>
      <c r="G939">
        <v>28</v>
      </c>
      <c r="H939">
        <v>843</v>
      </c>
      <c r="I939">
        <v>837</v>
      </c>
      <c r="J939">
        <v>6</v>
      </c>
    </row>
    <row r="940" spans="1:10" x14ac:dyDescent="0.25">
      <c r="A940">
        <v>47</v>
      </c>
      <c r="B940" t="s">
        <v>33</v>
      </c>
      <c r="C940" t="s">
        <v>27</v>
      </c>
      <c r="D940">
        <v>72</v>
      </c>
      <c r="E940">
        <v>90</v>
      </c>
      <c r="F940">
        <v>0.44400000000000001</v>
      </c>
      <c r="G940">
        <v>36</v>
      </c>
      <c r="H940">
        <v>872</v>
      </c>
      <c r="I940">
        <v>927</v>
      </c>
      <c r="J940">
        <v>-55</v>
      </c>
    </row>
    <row r="941" spans="1:10" x14ac:dyDescent="0.25">
      <c r="A941">
        <v>47</v>
      </c>
      <c r="B941" t="s">
        <v>33</v>
      </c>
      <c r="C941" t="s">
        <v>28</v>
      </c>
      <c r="D941">
        <v>46</v>
      </c>
      <c r="E941">
        <v>116</v>
      </c>
      <c r="F941">
        <v>0.28399999999999997</v>
      </c>
      <c r="G941">
        <v>62</v>
      </c>
      <c r="H941">
        <v>721</v>
      </c>
      <c r="I941">
        <v>1087</v>
      </c>
      <c r="J941">
        <v>-366</v>
      </c>
    </row>
    <row r="942" spans="1:10" x14ac:dyDescent="0.25">
      <c r="A942">
        <v>48</v>
      </c>
      <c r="B942" t="s">
        <v>30</v>
      </c>
      <c r="C942" t="s">
        <v>8</v>
      </c>
      <c r="D942">
        <v>101</v>
      </c>
      <c r="E942">
        <v>61</v>
      </c>
      <c r="F942">
        <v>0.623</v>
      </c>
      <c r="G942">
        <v>0</v>
      </c>
      <c r="H942">
        <v>918</v>
      </c>
      <c r="I942">
        <v>702</v>
      </c>
      <c r="J942">
        <v>216</v>
      </c>
    </row>
    <row r="943" spans="1:10" x14ac:dyDescent="0.25">
      <c r="A943">
        <v>48</v>
      </c>
      <c r="B943" t="s">
        <v>30</v>
      </c>
      <c r="C943" t="s">
        <v>12</v>
      </c>
      <c r="D943">
        <v>89</v>
      </c>
      <c r="E943">
        <v>73</v>
      </c>
      <c r="F943">
        <v>0.54900000000000004</v>
      </c>
      <c r="G943">
        <v>12</v>
      </c>
      <c r="H943">
        <v>981</v>
      </c>
      <c r="I943">
        <v>931</v>
      </c>
      <c r="J943">
        <v>50</v>
      </c>
    </row>
    <row r="944" spans="1:10" x14ac:dyDescent="0.25">
      <c r="A944">
        <v>48</v>
      </c>
      <c r="B944" t="s">
        <v>30</v>
      </c>
      <c r="C944" t="s">
        <v>10</v>
      </c>
      <c r="D944">
        <v>89</v>
      </c>
      <c r="E944">
        <v>73</v>
      </c>
      <c r="F944">
        <v>0.54900000000000004</v>
      </c>
      <c r="G944">
        <v>12</v>
      </c>
      <c r="H944">
        <v>1045</v>
      </c>
      <c r="I944">
        <v>882</v>
      </c>
      <c r="J944">
        <v>163</v>
      </c>
    </row>
    <row r="945" spans="1:10" x14ac:dyDescent="0.25">
      <c r="A945">
        <v>48</v>
      </c>
      <c r="B945" t="s">
        <v>30</v>
      </c>
      <c r="C945" t="s">
        <v>11</v>
      </c>
      <c r="D945">
        <v>89</v>
      </c>
      <c r="E945">
        <v>73</v>
      </c>
      <c r="F945">
        <v>0.54900000000000004</v>
      </c>
      <c r="G945">
        <v>12</v>
      </c>
      <c r="H945">
        <v>847</v>
      </c>
      <c r="I945">
        <v>772</v>
      </c>
      <c r="J945">
        <v>75</v>
      </c>
    </row>
    <row r="946" spans="1:10" x14ac:dyDescent="0.25">
      <c r="A946">
        <v>48</v>
      </c>
      <c r="B946" t="s">
        <v>30</v>
      </c>
      <c r="C946" t="s">
        <v>13</v>
      </c>
      <c r="D946">
        <v>71</v>
      </c>
      <c r="E946">
        <v>91</v>
      </c>
      <c r="F946">
        <v>0.438</v>
      </c>
      <c r="G946">
        <v>30</v>
      </c>
      <c r="H946">
        <v>798</v>
      </c>
      <c r="I946">
        <v>880</v>
      </c>
      <c r="J946">
        <v>-82</v>
      </c>
    </row>
    <row r="947" spans="1:10" x14ac:dyDescent="0.25">
      <c r="A947">
        <v>48</v>
      </c>
      <c r="B947" t="s">
        <v>31</v>
      </c>
      <c r="C947" t="s">
        <v>14</v>
      </c>
      <c r="D947">
        <v>94</v>
      </c>
      <c r="E947">
        <v>68</v>
      </c>
      <c r="F947">
        <v>0.57999999999999996</v>
      </c>
      <c r="G947">
        <v>0</v>
      </c>
      <c r="H947">
        <v>938</v>
      </c>
      <c r="I947">
        <v>743</v>
      </c>
      <c r="J947">
        <v>195</v>
      </c>
    </row>
    <row r="948" spans="1:10" x14ac:dyDescent="0.25">
      <c r="A948">
        <v>48</v>
      </c>
      <c r="B948" t="s">
        <v>31</v>
      </c>
      <c r="C948" t="s">
        <v>15</v>
      </c>
      <c r="D948">
        <v>80</v>
      </c>
      <c r="E948">
        <v>82</v>
      </c>
      <c r="F948">
        <v>0.49399999999999999</v>
      </c>
      <c r="G948">
        <v>14</v>
      </c>
      <c r="H948">
        <v>1003</v>
      </c>
      <c r="I948">
        <v>1062</v>
      </c>
      <c r="J948">
        <v>-59</v>
      </c>
    </row>
    <row r="949" spans="1:10" x14ac:dyDescent="0.25">
      <c r="A949">
        <v>48</v>
      </c>
      <c r="B949" t="s">
        <v>31</v>
      </c>
      <c r="C949" t="s">
        <v>16</v>
      </c>
      <c r="D949">
        <v>67</v>
      </c>
      <c r="E949">
        <v>95</v>
      </c>
      <c r="F949">
        <v>0.41399999999999998</v>
      </c>
      <c r="G949">
        <v>27</v>
      </c>
      <c r="H949">
        <v>709</v>
      </c>
      <c r="I949">
        <v>867</v>
      </c>
      <c r="J949">
        <v>-158</v>
      </c>
    </row>
    <row r="950" spans="1:10" x14ac:dyDescent="0.25">
      <c r="A950">
        <v>48</v>
      </c>
      <c r="B950" t="s">
        <v>31</v>
      </c>
      <c r="C950" t="s">
        <v>17</v>
      </c>
      <c r="D950">
        <v>65</v>
      </c>
      <c r="E950">
        <v>97</v>
      </c>
      <c r="F950">
        <v>0.40100000000000002</v>
      </c>
      <c r="G950">
        <v>29</v>
      </c>
      <c r="H950">
        <v>845</v>
      </c>
      <c r="I950">
        <v>1021</v>
      </c>
      <c r="J950">
        <v>-176</v>
      </c>
    </row>
    <row r="951" spans="1:10" x14ac:dyDescent="0.25">
      <c r="A951">
        <v>48</v>
      </c>
      <c r="B951" t="s">
        <v>31</v>
      </c>
      <c r="C951" t="s">
        <v>18</v>
      </c>
      <c r="D951">
        <v>47</v>
      </c>
      <c r="E951">
        <v>115</v>
      </c>
      <c r="F951">
        <v>0.28999999999999998</v>
      </c>
      <c r="G951">
        <v>47</v>
      </c>
      <c r="H951">
        <v>731</v>
      </c>
      <c r="I951">
        <v>1068</v>
      </c>
      <c r="J951">
        <v>-337</v>
      </c>
    </row>
    <row r="952" spans="1:10" x14ac:dyDescent="0.25">
      <c r="A952">
        <v>48</v>
      </c>
      <c r="B952" t="s">
        <v>32</v>
      </c>
      <c r="C952" t="s">
        <v>19</v>
      </c>
      <c r="D952">
        <v>105</v>
      </c>
      <c r="E952">
        <v>57</v>
      </c>
      <c r="F952">
        <v>0.64800000000000002</v>
      </c>
      <c r="G952">
        <v>0</v>
      </c>
      <c r="H952">
        <v>1020</v>
      </c>
      <c r="I952">
        <v>783</v>
      </c>
      <c r="J952">
        <v>237</v>
      </c>
    </row>
    <row r="953" spans="1:10" x14ac:dyDescent="0.25">
      <c r="A953">
        <v>48</v>
      </c>
      <c r="B953" t="s">
        <v>32</v>
      </c>
      <c r="C953" t="s">
        <v>20</v>
      </c>
      <c r="D953">
        <v>101</v>
      </c>
      <c r="E953">
        <v>61</v>
      </c>
      <c r="F953">
        <v>0.623</v>
      </c>
      <c r="G953">
        <v>4</v>
      </c>
      <c r="H953">
        <v>975</v>
      </c>
      <c r="I953">
        <v>805</v>
      </c>
      <c r="J953">
        <v>170</v>
      </c>
    </row>
    <row r="954" spans="1:10" x14ac:dyDescent="0.25">
      <c r="A954">
        <v>48</v>
      </c>
      <c r="B954" t="s">
        <v>32</v>
      </c>
      <c r="C954" t="s">
        <v>21</v>
      </c>
      <c r="D954">
        <v>91</v>
      </c>
      <c r="E954">
        <v>71</v>
      </c>
      <c r="F954">
        <v>0.56200000000000006</v>
      </c>
      <c r="G954">
        <v>14</v>
      </c>
      <c r="H954">
        <v>1065</v>
      </c>
      <c r="I954">
        <v>925</v>
      </c>
      <c r="J954">
        <v>140</v>
      </c>
    </row>
    <row r="955" spans="1:10" x14ac:dyDescent="0.25">
      <c r="A955">
        <v>48</v>
      </c>
      <c r="B955" t="s">
        <v>32</v>
      </c>
      <c r="C955" t="s">
        <v>22</v>
      </c>
      <c r="D955">
        <v>60</v>
      </c>
      <c r="E955">
        <v>102</v>
      </c>
      <c r="F955">
        <v>0.37</v>
      </c>
      <c r="G955">
        <v>45</v>
      </c>
      <c r="H955">
        <v>800</v>
      </c>
      <c r="I955">
        <v>1012</v>
      </c>
      <c r="J955">
        <v>-212</v>
      </c>
    </row>
    <row r="956" spans="1:10" x14ac:dyDescent="0.25">
      <c r="A956">
        <v>48</v>
      </c>
      <c r="B956" t="s">
        <v>32</v>
      </c>
      <c r="C956" t="s">
        <v>23</v>
      </c>
      <c r="D956">
        <v>46</v>
      </c>
      <c r="E956">
        <v>116</v>
      </c>
      <c r="F956">
        <v>0.28399999999999997</v>
      </c>
      <c r="G956">
        <v>59</v>
      </c>
      <c r="H956">
        <v>735</v>
      </c>
      <c r="I956">
        <v>1152</v>
      </c>
      <c r="J956">
        <v>-417</v>
      </c>
    </row>
    <row r="957" spans="1:10" x14ac:dyDescent="0.25">
      <c r="A957">
        <v>48</v>
      </c>
      <c r="B957" t="s">
        <v>33</v>
      </c>
      <c r="C957" t="s">
        <v>24</v>
      </c>
      <c r="D957">
        <v>105</v>
      </c>
      <c r="E957">
        <v>57</v>
      </c>
      <c r="F957">
        <v>0.64800000000000002</v>
      </c>
      <c r="G957">
        <v>0</v>
      </c>
      <c r="H957">
        <v>951</v>
      </c>
      <c r="I957">
        <v>638</v>
      </c>
      <c r="J957">
        <v>313</v>
      </c>
    </row>
    <row r="958" spans="1:10" x14ac:dyDescent="0.25">
      <c r="A958">
        <v>48</v>
      </c>
      <c r="B958" t="s">
        <v>33</v>
      </c>
      <c r="C958" t="s">
        <v>25</v>
      </c>
      <c r="D958">
        <v>103</v>
      </c>
      <c r="E958">
        <v>59</v>
      </c>
      <c r="F958">
        <v>0.63600000000000001</v>
      </c>
      <c r="G958">
        <v>2</v>
      </c>
      <c r="H958">
        <v>854</v>
      </c>
      <c r="I958">
        <v>715</v>
      </c>
      <c r="J958">
        <v>139</v>
      </c>
    </row>
    <row r="959" spans="1:10" x14ac:dyDescent="0.25">
      <c r="A959">
        <v>48</v>
      </c>
      <c r="B959" t="s">
        <v>33</v>
      </c>
      <c r="C959" t="s">
        <v>26</v>
      </c>
      <c r="D959">
        <v>81</v>
      </c>
      <c r="E959">
        <v>81</v>
      </c>
      <c r="F959">
        <v>0.5</v>
      </c>
      <c r="G959">
        <v>24</v>
      </c>
      <c r="H959">
        <v>840</v>
      </c>
      <c r="I959">
        <v>826</v>
      </c>
      <c r="J959">
        <v>14</v>
      </c>
    </row>
    <row r="960" spans="1:10" x14ac:dyDescent="0.25">
      <c r="A960">
        <v>48</v>
      </c>
      <c r="B960" t="s">
        <v>33</v>
      </c>
      <c r="C960" t="s">
        <v>27</v>
      </c>
      <c r="D960">
        <v>78</v>
      </c>
      <c r="E960">
        <v>84</v>
      </c>
      <c r="F960">
        <v>0.48099999999999998</v>
      </c>
      <c r="G960">
        <v>27</v>
      </c>
      <c r="H960">
        <v>825</v>
      </c>
      <c r="I960">
        <v>826</v>
      </c>
      <c r="J960">
        <v>-1</v>
      </c>
    </row>
    <row r="961" spans="1:10" x14ac:dyDescent="0.25">
      <c r="A961">
        <v>48</v>
      </c>
      <c r="B961" t="s">
        <v>33</v>
      </c>
      <c r="C961" t="s">
        <v>28</v>
      </c>
      <c r="D961">
        <v>58</v>
      </c>
      <c r="E961">
        <v>104</v>
      </c>
      <c r="F961">
        <v>0.35799999999999998</v>
      </c>
      <c r="G961">
        <v>47</v>
      </c>
      <c r="H961">
        <v>719</v>
      </c>
      <c r="I961">
        <v>989</v>
      </c>
      <c r="J961">
        <v>-270</v>
      </c>
    </row>
    <row r="962" spans="1:10" x14ac:dyDescent="0.25">
      <c r="A962">
        <v>49</v>
      </c>
      <c r="B962" t="s">
        <v>30</v>
      </c>
      <c r="C962" t="s">
        <v>12</v>
      </c>
      <c r="D962">
        <v>96</v>
      </c>
      <c r="E962">
        <v>66</v>
      </c>
      <c r="F962">
        <v>0.59299999999999997</v>
      </c>
      <c r="G962">
        <v>0</v>
      </c>
      <c r="H962">
        <v>997</v>
      </c>
      <c r="I962">
        <v>822</v>
      </c>
      <c r="J962">
        <v>175</v>
      </c>
    </row>
    <row r="963" spans="1:10" x14ac:dyDescent="0.25">
      <c r="A963">
        <v>49</v>
      </c>
      <c r="B963" t="s">
        <v>30</v>
      </c>
      <c r="C963" t="s">
        <v>8</v>
      </c>
      <c r="D963">
        <v>96</v>
      </c>
      <c r="E963">
        <v>66</v>
      </c>
      <c r="F963">
        <v>0.59299999999999997</v>
      </c>
      <c r="G963">
        <v>0</v>
      </c>
      <c r="H963">
        <v>864</v>
      </c>
      <c r="I963">
        <v>728</v>
      </c>
      <c r="J963">
        <v>136</v>
      </c>
    </row>
    <row r="964" spans="1:10" x14ac:dyDescent="0.25">
      <c r="A964">
        <v>49</v>
      </c>
      <c r="B964" t="s">
        <v>30</v>
      </c>
      <c r="C964" t="s">
        <v>10</v>
      </c>
      <c r="D964">
        <v>96</v>
      </c>
      <c r="E964">
        <v>66</v>
      </c>
      <c r="F964">
        <v>0.59299999999999997</v>
      </c>
      <c r="G964">
        <v>0</v>
      </c>
      <c r="H964">
        <v>984</v>
      </c>
      <c r="I964">
        <v>861</v>
      </c>
      <c r="J964">
        <v>123</v>
      </c>
    </row>
    <row r="965" spans="1:10" x14ac:dyDescent="0.25">
      <c r="A965">
        <v>49</v>
      </c>
      <c r="B965" t="s">
        <v>30</v>
      </c>
      <c r="C965" t="s">
        <v>11</v>
      </c>
      <c r="D965">
        <v>86</v>
      </c>
      <c r="E965">
        <v>76</v>
      </c>
      <c r="F965">
        <v>0.53100000000000003</v>
      </c>
      <c r="G965">
        <v>10</v>
      </c>
      <c r="H965">
        <v>783</v>
      </c>
      <c r="I965">
        <v>750</v>
      </c>
      <c r="J965">
        <v>33</v>
      </c>
    </row>
    <row r="966" spans="1:10" x14ac:dyDescent="0.25">
      <c r="A966">
        <v>49</v>
      </c>
      <c r="B966" t="s">
        <v>30</v>
      </c>
      <c r="C966" t="s">
        <v>13</v>
      </c>
      <c r="D966">
        <v>74</v>
      </c>
      <c r="E966">
        <v>88</v>
      </c>
      <c r="F966">
        <v>0.45700000000000002</v>
      </c>
      <c r="G966">
        <v>22</v>
      </c>
      <c r="H966">
        <v>859</v>
      </c>
      <c r="I966">
        <v>908</v>
      </c>
      <c r="J966">
        <v>-49</v>
      </c>
    </row>
    <row r="967" spans="1:10" x14ac:dyDescent="0.25">
      <c r="A967">
        <v>49</v>
      </c>
      <c r="B967" t="s">
        <v>31</v>
      </c>
      <c r="C967" t="s">
        <v>14</v>
      </c>
      <c r="D967">
        <v>112</v>
      </c>
      <c r="E967">
        <v>50</v>
      </c>
      <c r="F967">
        <v>0.69099999999999995</v>
      </c>
      <c r="G967">
        <v>0</v>
      </c>
      <c r="H967">
        <v>996</v>
      </c>
      <c r="I967">
        <v>655</v>
      </c>
      <c r="J967">
        <v>341</v>
      </c>
    </row>
    <row r="968" spans="1:10" x14ac:dyDescent="0.25">
      <c r="A968">
        <v>49</v>
      </c>
      <c r="B968" t="s">
        <v>31</v>
      </c>
      <c r="C968" t="s">
        <v>16</v>
      </c>
      <c r="D968">
        <v>71</v>
      </c>
      <c r="E968">
        <v>91</v>
      </c>
      <c r="F968">
        <v>0.438</v>
      </c>
      <c r="G968">
        <v>41</v>
      </c>
      <c r="H968">
        <v>753</v>
      </c>
      <c r="I968">
        <v>842</v>
      </c>
      <c r="J968">
        <v>-89</v>
      </c>
    </row>
    <row r="969" spans="1:10" x14ac:dyDescent="0.25">
      <c r="A969">
        <v>49</v>
      </c>
      <c r="B969" t="s">
        <v>31</v>
      </c>
      <c r="C969" t="s">
        <v>17</v>
      </c>
      <c r="D969">
        <v>61</v>
      </c>
      <c r="E969">
        <v>101</v>
      </c>
      <c r="F969">
        <v>0.377</v>
      </c>
      <c r="G969">
        <v>51</v>
      </c>
      <c r="H969">
        <v>864</v>
      </c>
      <c r="I969">
        <v>916</v>
      </c>
      <c r="J969">
        <v>-52</v>
      </c>
    </row>
    <row r="970" spans="1:10" x14ac:dyDescent="0.25">
      <c r="A970">
        <v>49</v>
      </c>
      <c r="B970" t="s">
        <v>31</v>
      </c>
      <c r="C970" t="s">
        <v>15</v>
      </c>
      <c r="D970">
        <v>57</v>
      </c>
      <c r="E970">
        <v>105</v>
      </c>
      <c r="F970">
        <v>0.35199999999999998</v>
      </c>
      <c r="G970">
        <v>55</v>
      </c>
      <c r="H970">
        <v>962</v>
      </c>
      <c r="I970">
        <v>1243</v>
      </c>
      <c r="J970">
        <v>-281</v>
      </c>
    </row>
    <row r="971" spans="1:10" x14ac:dyDescent="0.25">
      <c r="A971">
        <v>49</v>
      </c>
      <c r="B971" t="s">
        <v>31</v>
      </c>
      <c r="C971" t="s">
        <v>18</v>
      </c>
      <c r="D971">
        <v>37</v>
      </c>
      <c r="E971">
        <v>125</v>
      </c>
      <c r="F971">
        <v>0.22800000000000001</v>
      </c>
      <c r="G971">
        <v>75</v>
      </c>
      <c r="H971">
        <v>603</v>
      </c>
      <c r="I971">
        <v>1073</v>
      </c>
      <c r="J971">
        <v>-470</v>
      </c>
    </row>
    <row r="972" spans="1:10" x14ac:dyDescent="0.25">
      <c r="A972">
        <v>49</v>
      </c>
      <c r="B972" t="s">
        <v>32</v>
      </c>
      <c r="C972" t="s">
        <v>19</v>
      </c>
      <c r="D972">
        <v>103</v>
      </c>
      <c r="E972">
        <v>59</v>
      </c>
      <c r="F972">
        <v>0.63600000000000001</v>
      </c>
      <c r="G972">
        <v>0</v>
      </c>
      <c r="H972">
        <v>966</v>
      </c>
      <c r="I972">
        <v>693</v>
      </c>
      <c r="J972">
        <v>273</v>
      </c>
    </row>
    <row r="973" spans="1:10" x14ac:dyDescent="0.25">
      <c r="A973">
        <v>49</v>
      </c>
      <c r="B973" t="s">
        <v>32</v>
      </c>
      <c r="C973" t="s">
        <v>20</v>
      </c>
      <c r="D973">
        <v>95</v>
      </c>
      <c r="E973">
        <v>67</v>
      </c>
      <c r="F973">
        <v>0.58599999999999997</v>
      </c>
      <c r="G973">
        <v>8</v>
      </c>
      <c r="H973">
        <v>913</v>
      </c>
      <c r="I973">
        <v>803</v>
      </c>
      <c r="J973">
        <v>110</v>
      </c>
    </row>
    <row r="974" spans="1:10" x14ac:dyDescent="0.25">
      <c r="A974">
        <v>49</v>
      </c>
      <c r="B974" t="s">
        <v>32</v>
      </c>
      <c r="C974" t="s">
        <v>21</v>
      </c>
      <c r="D974">
        <v>90</v>
      </c>
      <c r="E974">
        <v>72</v>
      </c>
      <c r="F974">
        <v>0.55600000000000005</v>
      </c>
      <c r="G974">
        <v>13</v>
      </c>
      <c r="H974">
        <v>963</v>
      </c>
      <c r="I974">
        <v>845</v>
      </c>
      <c r="J974">
        <v>118</v>
      </c>
    </row>
    <row r="975" spans="1:10" x14ac:dyDescent="0.25">
      <c r="A975">
        <v>49</v>
      </c>
      <c r="B975" t="s">
        <v>32</v>
      </c>
      <c r="C975" t="s">
        <v>22</v>
      </c>
      <c r="D975">
        <v>74</v>
      </c>
      <c r="E975">
        <v>88</v>
      </c>
      <c r="F975">
        <v>0.45700000000000002</v>
      </c>
      <c r="G975">
        <v>29</v>
      </c>
      <c r="H975">
        <v>905</v>
      </c>
      <c r="I975">
        <v>970</v>
      </c>
      <c r="J975">
        <v>-65</v>
      </c>
    </row>
    <row r="976" spans="1:10" x14ac:dyDescent="0.25">
      <c r="A976">
        <v>49</v>
      </c>
      <c r="B976" t="s">
        <v>32</v>
      </c>
      <c r="C976" t="s">
        <v>23</v>
      </c>
      <c r="D976">
        <v>64</v>
      </c>
      <c r="E976">
        <v>98</v>
      </c>
      <c r="F976">
        <v>0.39500000000000002</v>
      </c>
      <c r="G976">
        <v>39</v>
      </c>
      <c r="H976">
        <v>760</v>
      </c>
      <c r="I976">
        <v>995</v>
      </c>
      <c r="J976">
        <v>-235</v>
      </c>
    </row>
    <row r="977" spans="1:10" x14ac:dyDescent="0.25">
      <c r="A977">
        <v>49</v>
      </c>
      <c r="B977" t="s">
        <v>33</v>
      </c>
      <c r="C977" t="s">
        <v>24</v>
      </c>
      <c r="D977">
        <v>105</v>
      </c>
      <c r="E977">
        <v>57</v>
      </c>
      <c r="F977">
        <v>0.64800000000000002</v>
      </c>
      <c r="G977">
        <v>0</v>
      </c>
      <c r="H977">
        <v>934</v>
      </c>
      <c r="I977">
        <v>692</v>
      </c>
      <c r="J977">
        <v>242</v>
      </c>
    </row>
    <row r="978" spans="1:10" x14ac:dyDescent="0.25">
      <c r="A978">
        <v>49</v>
      </c>
      <c r="B978" t="s">
        <v>33</v>
      </c>
      <c r="C978" t="s">
        <v>26</v>
      </c>
      <c r="D978">
        <v>88</v>
      </c>
      <c r="E978">
        <v>74</v>
      </c>
      <c r="F978">
        <v>0.54300000000000004</v>
      </c>
      <c r="G978">
        <v>17</v>
      </c>
      <c r="H978">
        <v>844</v>
      </c>
      <c r="I978">
        <v>811</v>
      </c>
      <c r="J978">
        <v>33</v>
      </c>
    </row>
    <row r="979" spans="1:10" x14ac:dyDescent="0.25">
      <c r="A979">
        <v>49</v>
      </c>
      <c r="B979" t="s">
        <v>33</v>
      </c>
      <c r="C979" t="s">
        <v>25</v>
      </c>
      <c r="D979">
        <v>84</v>
      </c>
      <c r="E979">
        <v>78</v>
      </c>
      <c r="F979">
        <v>0.51900000000000002</v>
      </c>
      <c r="G979">
        <v>21</v>
      </c>
      <c r="H979">
        <v>822</v>
      </c>
      <c r="I979">
        <v>742</v>
      </c>
      <c r="J979">
        <v>80</v>
      </c>
    </row>
    <row r="980" spans="1:10" x14ac:dyDescent="0.25">
      <c r="A980">
        <v>49</v>
      </c>
      <c r="B980" t="s">
        <v>33</v>
      </c>
      <c r="C980" t="s">
        <v>27</v>
      </c>
      <c r="D980">
        <v>75</v>
      </c>
      <c r="E980">
        <v>87</v>
      </c>
      <c r="F980">
        <v>0.46300000000000002</v>
      </c>
      <c r="G980">
        <v>30</v>
      </c>
      <c r="H980">
        <v>781</v>
      </c>
      <c r="I980">
        <v>867</v>
      </c>
      <c r="J980">
        <v>-86</v>
      </c>
    </row>
    <row r="981" spans="1:10" x14ac:dyDescent="0.25">
      <c r="A981">
        <v>49</v>
      </c>
      <c r="B981" t="s">
        <v>33</v>
      </c>
      <c r="C981" t="s">
        <v>28</v>
      </c>
      <c r="D981">
        <v>56</v>
      </c>
      <c r="E981">
        <v>106</v>
      </c>
      <c r="F981">
        <v>0.34599999999999997</v>
      </c>
      <c r="G981">
        <v>49</v>
      </c>
      <c r="H981">
        <v>800</v>
      </c>
      <c r="I981">
        <v>1137</v>
      </c>
      <c r="J981">
        <v>-337</v>
      </c>
    </row>
    <row r="982" spans="1:10" x14ac:dyDescent="0.25">
      <c r="A982">
        <v>50</v>
      </c>
      <c r="B982" t="s">
        <v>30</v>
      </c>
      <c r="C982" t="s">
        <v>10</v>
      </c>
      <c r="D982">
        <v>100</v>
      </c>
      <c r="E982">
        <v>62</v>
      </c>
      <c r="F982">
        <v>0.61699999999999999</v>
      </c>
      <c r="G982">
        <v>0</v>
      </c>
      <c r="H982">
        <v>1010</v>
      </c>
      <c r="I982">
        <v>839</v>
      </c>
      <c r="J982">
        <v>171</v>
      </c>
    </row>
    <row r="983" spans="1:10" x14ac:dyDescent="0.25">
      <c r="A983">
        <v>50</v>
      </c>
      <c r="B983" t="s">
        <v>30</v>
      </c>
      <c r="C983" t="s">
        <v>8</v>
      </c>
      <c r="D983">
        <v>90</v>
      </c>
      <c r="E983">
        <v>72</v>
      </c>
      <c r="F983">
        <v>0.55600000000000005</v>
      </c>
      <c r="G983">
        <v>10</v>
      </c>
      <c r="H983">
        <v>781</v>
      </c>
      <c r="I983">
        <v>669</v>
      </c>
      <c r="J983">
        <v>112</v>
      </c>
    </row>
    <row r="984" spans="1:10" x14ac:dyDescent="0.25">
      <c r="A984">
        <v>50</v>
      </c>
      <c r="B984" t="s">
        <v>30</v>
      </c>
      <c r="C984" t="s">
        <v>12</v>
      </c>
      <c r="D984">
        <v>88</v>
      </c>
      <c r="E984">
        <v>74</v>
      </c>
      <c r="F984">
        <v>0.54300000000000004</v>
      </c>
      <c r="G984">
        <v>12</v>
      </c>
      <c r="H984">
        <v>967</v>
      </c>
      <c r="I984">
        <v>897</v>
      </c>
      <c r="J984">
        <v>70</v>
      </c>
    </row>
    <row r="985" spans="1:10" x14ac:dyDescent="0.25">
      <c r="A985">
        <v>50</v>
      </c>
      <c r="B985" t="s">
        <v>30</v>
      </c>
      <c r="C985" t="s">
        <v>11</v>
      </c>
      <c r="D985">
        <v>83</v>
      </c>
      <c r="E985">
        <v>79</v>
      </c>
      <c r="F985">
        <v>0.51200000000000001</v>
      </c>
      <c r="G985">
        <v>17</v>
      </c>
      <c r="H985">
        <v>837</v>
      </c>
      <c r="I985">
        <v>829</v>
      </c>
      <c r="J985">
        <v>8</v>
      </c>
    </row>
    <row r="986" spans="1:10" x14ac:dyDescent="0.25">
      <c r="A986">
        <v>50</v>
      </c>
      <c r="B986" t="s">
        <v>30</v>
      </c>
      <c r="C986" t="s">
        <v>13</v>
      </c>
      <c r="D986">
        <v>71</v>
      </c>
      <c r="E986">
        <v>91</v>
      </c>
      <c r="F986">
        <v>0.438</v>
      </c>
      <c r="G986">
        <v>29</v>
      </c>
      <c r="H986">
        <v>812</v>
      </c>
      <c r="I986">
        <v>911</v>
      </c>
      <c r="J986">
        <v>-99</v>
      </c>
    </row>
    <row r="987" spans="1:10" x14ac:dyDescent="0.25">
      <c r="A987">
        <v>50</v>
      </c>
      <c r="B987" t="s">
        <v>31</v>
      </c>
      <c r="C987" t="s">
        <v>14</v>
      </c>
      <c r="D987">
        <v>111</v>
      </c>
      <c r="E987">
        <v>51</v>
      </c>
      <c r="F987">
        <v>0.68500000000000005</v>
      </c>
      <c r="G987">
        <v>0</v>
      </c>
      <c r="H987">
        <v>1003</v>
      </c>
      <c r="I987">
        <v>662</v>
      </c>
      <c r="J987">
        <v>341</v>
      </c>
    </row>
    <row r="988" spans="1:10" x14ac:dyDescent="0.25">
      <c r="A988">
        <v>50</v>
      </c>
      <c r="B988" t="s">
        <v>31</v>
      </c>
      <c r="C988" t="s">
        <v>16</v>
      </c>
      <c r="D988">
        <v>79</v>
      </c>
      <c r="E988">
        <v>83</v>
      </c>
      <c r="F988">
        <v>0.48799999999999999</v>
      </c>
      <c r="G988">
        <v>32</v>
      </c>
      <c r="H988">
        <v>770</v>
      </c>
      <c r="I988">
        <v>864</v>
      </c>
      <c r="J988">
        <v>-94</v>
      </c>
    </row>
    <row r="989" spans="1:10" x14ac:dyDescent="0.25">
      <c r="A989">
        <v>50</v>
      </c>
      <c r="B989" t="s">
        <v>31</v>
      </c>
      <c r="C989" t="s">
        <v>17</v>
      </c>
      <c r="D989">
        <v>74</v>
      </c>
      <c r="E989">
        <v>88</v>
      </c>
      <c r="F989">
        <v>0.45700000000000002</v>
      </c>
      <c r="G989">
        <v>37</v>
      </c>
      <c r="H989">
        <v>869</v>
      </c>
      <c r="I989">
        <v>950</v>
      </c>
      <c r="J989">
        <v>-81</v>
      </c>
    </row>
    <row r="990" spans="1:10" x14ac:dyDescent="0.25">
      <c r="A990">
        <v>50</v>
      </c>
      <c r="B990" t="s">
        <v>31</v>
      </c>
      <c r="C990" t="s">
        <v>15</v>
      </c>
      <c r="D990">
        <v>70</v>
      </c>
      <c r="E990">
        <v>92</v>
      </c>
      <c r="F990">
        <v>0.432</v>
      </c>
      <c r="G990">
        <v>41</v>
      </c>
      <c r="H990">
        <v>1023</v>
      </c>
      <c r="I990">
        <v>1175</v>
      </c>
      <c r="J990">
        <v>-152</v>
      </c>
    </row>
    <row r="991" spans="1:10" x14ac:dyDescent="0.25">
      <c r="A991">
        <v>50</v>
      </c>
      <c r="B991" t="s">
        <v>31</v>
      </c>
      <c r="C991" t="s">
        <v>18</v>
      </c>
      <c r="D991">
        <v>40</v>
      </c>
      <c r="E991">
        <v>122</v>
      </c>
      <c r="F991">
        <v>0.247</v>
      </c>
      <c r="G991">
        <v>71</v>
      </c>
      <c r="H991">
        <v>622</v>
      </c>
      <c r="I991">
        <v>1043</v>
      </c>
      <c r="J991">
        <v>-421</v>
      </c>
    </row>
    <row r="992" spans="1:10" x14ac:dyDescent="0.25">
      <c r="A992">
        <v>50</v>
      </c>
      <c r="B992" t="s">
        <v>32</v>
      </c>
      <c r="C992" t="s">
        <v>19</v>
      </c>
      <c r="D992">
        <v>104</v>
      </c>
      <c r="E992">
        <v>58</v>
      </c>
      <c r="F992">
        <v>0.64200000000000002</v>
      </c>
      <c r="G992">
        <v>0</v>
      </c>
      <c r="H992">
        <v>1020</v>
      </c>
      <c r="I992">
        <v>800</v>
      </c>
      <c r="J992">
        <v>220</v>
      </c>
    </row>
    <row r="993" spans="1:10" x14ac:dyDescent="0.25">
      <c r="A993">
        <v>50</v>
      </c>
      <c r="B993" t="s">
        <v>32</v>
      </c>
      <c r="C993" t="s">
        <v>20</v>
      </c>
      <c r="D993">
        <v>93</v>
      </c>
      <c r="E993">
        <v>69</v>
      </c>
      <c r="F993">
        <v>0.57399999999999995</v>
      </c>
      <c r="G993">
        <v>11</v>
      </c>
      <c r="H993">
        <v>939</v>
      </c>
      <c r="I993">
        <v>859</v>
      </c>
      <c r="J993">
        <v>80</v>
      </c>
    </row>
    <row r="994" spans="1:10" x14ac:dyDescent="0.25">
      <c r="A994">
        <v>50</v>
      </c>
      <c r="B994" t="s">
        <v>32</v>
      </c>
      <c r="C994" t="s">
        <v>21</v>
      </c>
      <c r="D994">
        <v>81</v>
      </c>
      <c r="E994">
        <v>81</v>
      </c>
      <c r="F994">
        <v>0.5</v>
      </c>
      <c r="G994">
        <v>23</v>
      </c>
      <c r="H994">
        <v>944</v>
      </c>
      <c r="I994">
        <v>920</v>
      </c>
      <c r="J994">
        <v>24</v>
      </c>
    </row>
    <row r="995" spans="1:10" x14ac:dyDescent="0.25">
      <c r="A995">
        <v>50</v>
      </c>
      <c r="B995" t="s">
        <v>32</v>
      </c>
      <c r="C995" t="s">
        <v>22</v>
      </c>
      <c r="D995">
        <v>75</v>
      </c>
      <c r="E995">
        <v>87</v>
      </c>
      <c r="F995">
        <v>0.46300000000000002</v>
      </c>
      <c r="G995">
        <v>29</v>
      </c>
      <c r="H995">
        <v>961</v>
      </c>
      <c r="I995">
        <v>1025</v>
      </c>
      <c r="J995">
        <v>-64</v>
      </c>
    </row>
    <row r="996" spans="1:10" x14ac:dyDescent="0.25">
      <c r="A996">
        <v>50</v>
      </c>
      <c r="B996" t="s">
        <v>32</v>
      </c>
      <c r="C996" t="s">
        <v>23</v>
      </c>
      <c r="D996">
        <v>61</v>
      </c>
      <c r="E996">
        <v>101</v>
      </c>
      <c r="F996">
        <v>0.377</v>
      </c>
      <c r="G996">
        <v>43</v>
      </c>
      <c r="H996">
        <v>854</v>
      </c>
      <c r="I996">
        <v>1094</v>
      </c>
      <c r="J996">
        <v>-240</v>
      </c>
    </row>
    <row r="997" spans="1:10" x14ac:dyDescent="0.25">
      <c r="A997">
        <v>50</v>
      </c>
      <c r="B997" t="s">
        <v>33</v>
      </c>
      <c r="C997" t="s">
        <v>24</v>
      </c>
      <c r="D997">
        <v>102</v>
      </c>
      <c r="E997">
        <v>60</v>
      </c>
      <c r="F997">
        <v>0.63</v>
      </c>
      <c r="G997">
        <v>0</v>
      </c>
      <c r="H997">
        <v>894</v>
      </c>
      <c r="I997">
        <v>646</v>
      </c>
      <c r="J997">
        <v>248</v>
      </c>
    </row>
    <row r="998" spans="1:10" x14ac:dyDescent="0.25">
      <c r="A998">
        <v>50</v>
      </c>
      <c r="B998" t="s">
        <v>33</v>
      </c>
      <c r="C998" t="s">
        <v>25</v>
      </c>
      <c r="D998">
        <v>88</v>
      </c>
      <c r="E998">
        <v>74</v>
      </c>
      <c r="F998">
        <v>0.54300000000000004</v>
      </c>
      <c r="G998">
        <v>14</v>
      </c>
      <c r="H998">
        <v>861</v>
      </c>
      <c r="I998">
        <v>720</v>
      </c>
      <c r="J998">
        <v>141</v>
      </c>
    </row>
    <row r="999" spans="1:10" x14ac:dyDescent="0.25">
      <c r="A999">
        <v>50</v>
      </c>
      <c r="B999" t="s">
        <v>33</v>
      </c>
      <c r="C999" t="s">
        <v>26</v>
      </c>
      <c r="D999">
        <v>87</v>
      </c>
      <c r="E999">
        <v>75</v>
      </c>
      <c r="F999">
        <v>0.53700000000000003</v>
      </c>
      <c r="G999">
        <v>15</v>
      </c>
      <c r="H999">
        <v>822</v>
      </c>
      <c r="I999">
        <v>751</v>
      </c>
      <c r="J999">
        <v>71</v>
      </c>
    </row>
    <row r="1000" spans="1:10" x14ac:dyDescent="0.25">
      <c r="A1000">
        <v>50</v>
      </c>
      <c r="B1000" t="s">
        <v>33</v>
      </c>
      <c r="C1000" t="s">
        <v>27</v>
      </c>
      <c r="D1000">
        <v>75</v>
      </c>
      <c r="E1000">
        <v>87</v>
      </c>
      <c r="F1000">
        <v>0.46300000000000002</v>
      </c>
      <c r="G1000">
        <v>27</v>
      </c>
      <c r="H1000">
        <v>814</v>
      </c>
      <c r="I1000">
        <v>817</v>
      </c>
      <c r="J1000">
        <v>-3</v>
      </c>
    </row>
    <row r="1001" spans="1:10" x14ac:dyDescent="0.25">
      <c r="A1001">
        <v>50</v>
      </c>
      <c r="B1001" t="s">
        <v>33</v>
      </c>
      <c r="C1001" t="s">
        <v>28</v>
      </c>
      <c r="D1001">
        <v>48</v>
      </c>
      <c r="E1001">
        <v>114</v>
      </c>
      <c r="F1001">
        <v>0.29599999999999999</v>
      </c>
      <c r="G1001">
        <v>54</v>
      </c>
      <c r="H1001">
        <v>739</v>
      </c>
      <c r="I1001">
        <v>1071</v>
      </c>
      <c r="J1001">
        <v>-332</v>
      </c>
    </row>
    <row r="1002" spans="1:10" x14ac:dyDescent="0.25">
      <c r="A1002">
        <v>51</v>
      </c>
      <c r="B1002" t="s">
        <v>30</v>
      </c>
      <c r="C1002" t="s">
        <v>11</v>
      </c>
      <c r="D1002">
        <v>95</v>
      </c>
      <c r="E1002">
        <v>67</v>
      </c>
      <c r="F1002">
        <v>0.58599999999999997</v>
      </c>
      <c r="G1002">
        <v>0</v>
      </c>
      <c r="H1002">
        <v>892</v>
      </c>
      <c r="I1002">
        <v>772</v>
      </c>
      <c r="J1002">
        <v>120</v>
      </c>
    </row>
    <row r="1003" spans="1:10" x14ac:dyDescent="0.25">
      <c r="A1003">
        <v>51</v>
      </c>
      <c r="B1003" t="s">
        <v>30</v>
      </c>
      <c r="C1003" t="s">
        <v>10</v>
      </c>
      <c r="D1003">
        <v>94</v>
      </c>
      <c r="E1003">
        <v>68</v>
      </c>
      <c r="F1003">
        <v>0.57999999999999996</v>
      </c>
      <c r="G1003">
        <v>1</v>
      </c>
      <c r="H1003">
        <v>1091</v>
      </c>
      <c r="I1003">
        <v>891</v>
      </c>
      <c r="J1003">
        <v>200</v>
      </c>
    </row>
    <row r="1004" spans="1:10" x14ac:dyDescent="0.25">
      <c r="A1004">
        <v>51</v>
      </c>
      <c r="B1004" t="s">
        <v>30</v>
      </c>
      <c r="C1004" t="s">
        <v>8</v>
      </c>
      <c r="D1004">
        <v>92</v>
      </c>
      <c r="E1004">
        <v>70</v>
      </c>
      <c r="F1004">
        <v>0.56799999999999995</v>
      </c>
      <c r="G1004">
        <v>3</v>
      </c>
      <c r="H1004">
        <v>831</v>
      </c>
      <c r="I1004">
        <v>711</v>
      </c>
      <c r="J1004">
        <v>120</v>
      </c>
    </row>
    <row r="1005" spans="1:10" x14ac:dyDescent="0.25">
      <c r="A1005">
        <v>51</v>
      </c>
      <c r="B1005" t="s">
        <v>30</v>
      </c>
      <c r="C1005" t="s">
        <v>12</v>
      </c>
      <c r="D1005">
        <v>85</v>
      </c>
      <c r="E1005">
        <v>77</v>
      </c>
      <c r="F1005">
        <v>0.52500000000000002</v>
      </c>
      <c r="G1005">
        <v>10</v>
      </c>
      <c r="H1005">
        <v>1007</v>
      </c>
      <c r="I1005">
        <v>946</v>
      </c>
      <c r="J1005">
        <v>61</v>
      </c>
    </row>
    <row r="1006" spans="1:10" x14ac:dyDescent="0.25">
      <c r="A1006">
        <v>51</v>
      </c>
      <c r="B1006" t="s">
        <v>30</v>
      </c>
      <c r="C1006" t="s">
        <v>13</v>
      </c>
      <c r="D1006">
        <v>77</v>
      </c>
      <c r="E1006">
        <v>85</v>
      </c>
      <c r="F1006">
        <v>0.47499999999999998</v>
      </c>
      <c r="G1006">
        <v>18</v>
      </c>
      <c r="H1006">
        <v>853</v>
      </c>
      <c r="I1006">
        <v>953</v>
      </c>
      <c r="J1006">
        <v>-100</v>
      </c>
    </row>
    <row r="1007" spans="1:10" x14ac:dyDescent="0.25">
      <c r="A1007">
        <v>51</v>
      </c>
      <c r="B1007" t="s">
        <v>31</v>
      </c>
      <c r="C1007" t="s">
        <v>14</v>
      </c>
      <c r="D1007">
        <v>96</v>
      </c>
      <c r="E1007">
        <v>66</v>
      </c>
      <c r="F1007">
        <v>0.59299999999999997</v>
      </c>
      <c r="G1007">
        <v>0</v>
      </c>
      <c r="H1007">
        <v>999</v>
      </c>
      <c r="I1007">
        <v>745</v>
      </c>
      <c r="J1007">
        <v>254</v>
      </c>
    </row>
    <row r="1008" spans="1:10" x14ac:dyDescent="0.25">
      <c r="A1008">
        <v>51</v>
      </c>
      <c r="B1008" t="s">
        <v>31</v>
      </c>
      <c r="C1008" t="s">
        <v>17</v>
      </c>
      <c r="D1008">
        <v>68</v>
      </c>
      <c r="E1008">
        <v>94</v>
      </c>
      <c r="F1008">
        <v>0.42</v>
      </c>
      <c r="G1008">
        <v>28</v>
      </c>
      <c r="H1008">
        <v>848</v>
      </c>
      <c r="I1008">
        <v>975</v>
      </c>
      <c r="J1008">
        <v>-127</v>
      </c>
    </row>
    <row r="1009" spans="1:10" x14ac:dyDescent="0.25">
      <c r="A1009">
        <v>51</v>
      </c>
      <c r="B1009" t="s">
        <v>31</v>
      </c>
      <c r="C1009" t="s">
        <v>15</v>
      </c>
      <c r="D1009">
        <v>65</v>
      </c>
      <c r="E1009">
        <v>97</v>
      </c>
      <c r="F1009">
        <v>0.40100000000000002</v>
      </c>
      <c r="G1009">
        <v>31</v>
      </c>
      <c r="H1009">
        <v>935</v>
      </c>
      <c r="I1009">
        <v>1193</v>
      </c>
      <c r="J1009">
        <v>-258</v>
      </c>
    </row>
    <row r="1010" spans="1:10" x14ac:dyDescent="0.25">
      <c r="A1010">
        <v>51</v>
      </c>
      <c r="B1010" t="s">
        <v>31</v>
      </c>
      <c r="C1010" t="s">
        <v>16</v>
      </c>
      <c r="D1010">
        <v>63</v>
      </c>
      <c r="E1010">
        <v>99</v>
      </c>
      <c r="F1010">
        <v>0.38900000000000001</v>
      </c>
      <c r="G1010">
        <v>33</v>
      </c>
      <c r="H1010">
        <v>771</v>
      </c>
      <c r="I1010">
        <v>928</v>
      </c>
      <c r="J1010">
        <v>-157</v>
      </c>
    </row>
    <row r="1011" spans="1:10" x14ac:dyDescent="0.25">
      <c r="A1011">
        <v>51</v>
      </c>
      <c r="B1011" t="s">
        <v>31</v>
      </c>
      <c r="C1011" t="s">
        <v>18</v>
      </c>
      <c r="D1011">
        <v>56</v>
      </c>
      <c r="E1011">
        <v>106</v>
      </c>
      <c r="F1011">
        <v>0.34599999999999997</v>
      </c>
      <c r="G1011">
        <v>40</v>
      </c>
      <c r="H1011">
        <v>732</v>
      </c>
      <c r="I1011">
        <v>1037</v>
      </c>
      <c r="J1011">
        <v>-305</v>
      </c>
    </row>
    <row r="1012" spans="1:10" x14ac:dyDescent="0.25">
      <c r="A1012">
        <v>51</v>
      </c>
      <c r="B1012" t="s">
        <v>32</v>
      </c>
      <c r="C1012" t="s">
        <v>19</v>
      </c>
      <c r="D1012">
        <v>124</v>
      </c>
      <c r="E1012">
        <v>38</v>
      </c>
      <c r="F1012">
        <v>0.76500000000000001</v>
      </c>
      <c r="G1012">
        <v>0</v>
      </c>
      <c r="H1012">
        <v>1088</v>
      </c>
      <c r="I1012">
        <v>657</v>
      </c>
      <c r="J1012">
        <v>431</v>
      </c>
    </row>
    <row r="1013" spans="1:10" x14ac:dyDescent="0.25">
      <c r="A1013">
        <v>51</v>
      </c>
      <c r="B1013" t="s">
        <v>32</v>
      </c>
      <c r="C1013" t="s">
        <v>20</v>
      </c>
      <c r="D1013">
        <v>81</v>
      </c>
      <c r="E1013">
        <v>81</v>
      </c>
      <c r="F1013">
        <v>0.5</v>
      </c>
      <c r="G1013">
        <v>43</v>
      </c>
      <c r="H1013">
        <v>933</v>
      </c>
      <c r="I1013">
        <v>836</v>
      </c>
      <c r="J1013">
        <v>97</v>
      </c>
    </row>
    <row r="1014" spans="1:10" x14ac:dyDescent="0.25">
      <c r="A1014">
        <v>51</v>
      </c>
      <c r="B1014" t="s">
        <v>32</v>
      </c>
      <c r="C1014" t="s">
        <v>22</v>
      </c>
      <c r="D1014">
        <v>80</v>
      </c>
      <c r="E1014">
        <v>82</v>
      </c>
      <c r="F1014">
        <v>0.49399999999999999</v>
      </c>
      <c r="G1014">
        <v>44</v>
      </c>
      <c r="H1014">
        <v>886</v>
      </c>
      <c r="I1014">
        <v>944</v>
      </c>
      <c r="J1014">
        <v>-58</v>
      </c>
    </row>
    <row r="1015" spans="1:10" x14ac:dyDescent="0.25">
      <c r="A1015">
        <v>51</v>
      </c>
      <c r="B1015" t="s">
        <v>32</v>
      </c>
      <c r="C1015" t="s">
        <v>21</v>
      </c>
      <c r="D1015">
        <v>76</v>
      </c>
      <c r="E1015">
        <v>86</v>
      </c>
      <c r="F1015">
        <v>0.46899999999999997</v>
      </c>
      <c r="G1015">
        <v>48</v>
      </c>
      <c r="H1015">
        <v>934</v>
      </c>
      <c r="I1015">
        <v>936</v>
      </c>
      <c r="J1015">
        <v>-2</v>
      </c>
    </row>
    <row r="1016" spans="1:10" x14ac:dyDescent="0.25">
      <c r="A1016">
        <v>51</v>
      </c>
      <c r="B1016" t="s">
        <v>32</v>
      </c>
      <c r="C1016" t="s">
        <v>23</v>
      </c>
      <c r="D1016">
        <v>62</v>
      </c>
      <c r="E1016">
        <v>100</v>
      </c>
      <c r="F1016">
        <v>0.38300000000000001</v>
      </c>
      <c r="G1016">
        <v>62</v>
      </c>
      <c r="H1016">
        <v>774</v>
      </c>
      <c r="I1016">
        <v>1066</v>
      </c>
      <c r="J1016">
        <v>-292</v>
      </c>
    </row>
    <row r="1017" spans="1:10" x14ac:dyDescent="0.25">
      <c r="A1017">
        <v>51</v>
      </c>
      <c r="B1017" t="s">
        <v>33</v>
      </c>
      <c r="C1017" t="s">
        <v>24</v>
      </c>
      <c r="D1017">
        <v>111</v>
      </c>
      <c r="E1017">
        <v>51</v>
      </c>
      <c r="F1017">
        <v>0.68500000000000005</v>
      </c>
      <c r="G1017">
        <v>0</v>
      </c>
      <c r="H1017">
        <v>1011</v>
      </c>
      <c r="I1017">
        <v>691</v>
      </c>
      <c r="J1017">
        <v>320</v>
      </c>
    </row>
    <row r="1018" spans="1:10" x14ac:dyDescent="0.25">
      <c r="A1018">
        <v>51</v>
      </c>
      <c r="B1018" t="s">
        <v>33</v>
      </c>
      <c r="C1018" t="s">
        <v>25</v>
      </c>
      <c r="D1018">
        <v>92</v>
      </c>
      <c r="E1018">
        <v>70</v>
      </c>
      <c r="F1018">
        <v>0.56799999999999995</v>
      </c>
      <c r="G1018">
        <v>19</v>
      </c>
      <c r="H1018">
        <v>856</v>
      </c>
      <c r="I1018">
        <v>691</v>
      </c>
      <c r="J1018">
        <v>165</v>
      </c>
    </row>
    <row r="1019" spans="1:10" x14ac:dyDescent="0.25">
      <c r="A1019">
        <v>51</v>
      </c>
      <c r="B1019" t="s">
        <v>33</v>
      </c>
      <c r="C1019" t="s">
        <v>26</v>
      </c>
      <c r="D1019">
        <v>84</v>
      </c>
      <c r="E1019">
        <v>78</v>
      </c>
      <c r="F1019">
        <v>0.51900000000000002</v>
      </c>
      <c r="G1019">
        <v>27</v>
      </c>
      <c r="H1019">
        <v>891</v>
      </c>
      <c r="I1019">
        <v>882</v>
      </c>
      <c r="J1019">
        <v>9</v>
      </c>
    </row>
    <row r="1020" spans="1:10" x14ac:dyDescent="0.25">
      <c r="A1020">
        <v>51</v>
      </c>
      <c r="B1020" t="s">
        <v>33</v>
      </c>
      <c r="C1020" t="s">
        <v>27</v>
      </c>
      <c r="D1020">
        <v>73</v>
      </c>
      <c r="E1020">
        <v>89</v>
      </c>
      <c r="F1020">
        <v>0.45100000000000001</v>
      </c>
      <c r="G1020">
        <v>38</v>
      </c>
      <c r="H1020">
        <v>838</v>
      </c>
      <c r="I1020">
        <v>883</v>
      </c>
      <c r="J1020">
        <v>-45</v>
      </c>
    </row>
    <row r="1021" spans="1:10" x14ac:dyDescent="0.25">
      <c r="A1021">
        <v>51</v>
      </c>
      <c r="B1021" t="s">
        <v>33</v>
      </c>
      <c r="C1021" t="s">
        <v>28</v>
      </c>
      <c r="D1021">
        <v>46</v>
      </c>
      <c r="E1021">
        <v>116</v>
      </c>
      <c r="F1021">
        <v>0.28399999999999997</v>
      </c>
      <c r="G1021">
        <v>65</v>
      </c>
      <c r="H1021">
        <v>696</v>
      </c>
      <c r="I1021">
        <v>1129</v>
      </c>
      <c r="J1021">
        <v>-433</v>
      </c>
    </row>
    <row r="1022" spans="1:10" x14ac:dyDescent="0.25">
      <c r="A1022">
        <v>52</v>
      </c>
      <c r="B1022" t="s">
        <v>30</v>
      </c>
      <c r="C1022" t="s">
        <v>10</v>
      </c>
      <c r="D1022">
        <v>93</v>
      </c>
      <c r="E1022">
        <v>69</v>
      </c>
      <c r="F1022">
        <v>0.57399999999999995</v>
      </c>
      <c r="G1022">
        <v>0</v>
      </c>
      <c r="H1022">
        <v>1004</v>
      </c>
      <c r="I1022">
        <v>849</v>
      </c>
      <c r="J1022">
        <v>155</v>
      </c>
    </row>
    <row r="1023" spans="1:10" x14ac:dyDescent="0.25">
      <c r="A1023">
        <v>52</v>
      </c>
      <c r="B1023" t="s">
        <v>30</v>
      </c>
      <c r="C1023" t="s">
        <v>8</v>
      </c>
      <c r="D1023">
        <v>91</v>
      </c>
      <c r="E1023">
        <v>71</v>
      </c>
      <c r="F1023">
        <v>0.56200000000000006</v>
      </c>
      <c r="G1023">
        <v>2</v>
      </c>
      <c r="H1023">
        <v>868</v>
      </c>
      <c r="I1023">
        <v>711</v>
      </c>
      <c r="J1023">
        <v>157</v>
      </c>
    </row>
    <row r="1024" spans="1:10" x14ac:dyDescent="0.25">
      <c r="A1024">
        <v>52</v>
      </c>
      <c r="B1024" t="s">
        <v>30</v>
      </c>
      <c r="C1024" t="s">
        <v>11</v>
      </c>
      <c r="D1024">
        <v>89</v>
      </c>
      <c r="E1024">
        <v>73</v>
      </c>
      <c r="F1024">
        <v>0.54900000000000004</v>
      </c>
      <c r="G1024">
        <v>4</v>
      </c>
      <c r="H1024">
        <v>911</v>
      </c>
      <c r="I1024">
        <v>795</v>
      </c>
      <c r="J1024">
        <v>116</v>
      </c>
    </row>
    <row r="1025" spans="1:10" x14ac:dyDescent="0.25">
      <c r="A1025">
        <v>52</v>
      </c>
      <c r="B1025" t="s">
        <v>30</v>
      </c>
      <c r="C1025" t="s">
        <v>12</v>
      </c>
      <c r="D1025">
        <v>88</v>
      </c>
      <c r="E1025">
        <v>74</v>
      </c>
      <c r="F1025">
        <v>0.54300000000000004</v>
      </c>
      <c r="G1025">
        <v>5</v>
      </c>
      <c r="H1025">
        <v>918</v>
      </c>
      <c r="I1025">
        <v>801</v>
      </c>
      <c r="J1025">
        <v>117</v>
      </c>
    </row>
    <row r="1026" spans="1:10" x14ac:dyDescent="0.25">
      <c r="A1026">
        <v>52</v>
      </c>
      <c r="B1026" t="s">
        <v>30</v>
      </c>
      <c r="C1026" t="s">
        <v>13</v>
      </c>
      <c r="D1026">
        <v>81</v>
      </c>
      <c r="E1026">
        <v>81</v>
      </c>
      <c r="F1026">
        <v>0.5</v>
      </c>
      <c r="G1026">
        <v>12</v>
      </c>
      <c r="H1026">
        <v>787</v>
      </c>
      <c r="I1026">
        <v>830</v>
      </c>
      <c r="J1026">
        <v>-43</v>
      </c>
    </row>
    <row r="1027" spans="1:10" x14ac:dyDescent="0.25">
      <c r="A1027">
        <v>52</v>
      </c>
      <c r="B1027" t="s">
        <v>31</v>
      </c>
      <c r="C1027" t="s">
        <v>14</v>
      </c>
      <c r="D1027">
        <v>110</v>
      </c>
      <c r="E1027">
        <v>52</v>
      </c>
      <c r="F1027">
        <v>0.67900000000000005</v>
      </c>
      <c r="G1027">
        <v>0</v>
      </c>
      <c r="H1027">
        <v>1115</v>
      </c>
      <c r="I1027">
        <v>763</v>
      </c>
      <c r="J1027">
        <v>352</v>
      </c>
    </row>
    <row r="1028" spans="1:10" x14ac:dyDescent="0.25">
      <c r="A1028">
        <v>52</v>
      </c>
      <c r="B1028" t="s">
        <v>31</v>
      </c>
      <c r="C1028" t="s">
        <v>17</v>
      </c>
      <c r="D1028">
        <v>70</v>
      </c>
      <c r="E1028">
        <v>92</v>
      </c>
      <c r="F1028">
        <v>0.432</v>
      </c>
      <c r="G1028">
        <v>40</v>
      </c>
      <c r="H1028">
        <v>876</v>
      </c>
      <c r="I1028">
        <v>976</v>
      </c>
      <c r="J1028">
        <v>-100</v>
      </c>
    </row>
    <row r="1029" spans="1:10" x14ac:dyDescent="0.25">
      <c r="A1029">
        <v>52</v>
      </c>
      <c r="B1029" t="s">
        <v>31</v>
      </c>
      <c r="C1029" t="s">
        <v>15</v>
      </c>
      <c r="D1029">
        <v>65</v>
      </c>
      <c r="E1029">
        <v>97</v>
      </c>
      <c r="F1029">
        <v>0.40100000000000002</v>
      </c>
      <c r="G1029">
        <v>45</v>
      </c>
      <c r="H1029">
        <v>1012</v>
      </c>
      <c r="I1029">
        <v>1233</v>
      </c>
      <c r="J1029">
        <v>-221</v>
      </c>
    </row>
    <row r="1030" spans="1:10" x14ac:dyDescent="0.25">
      <c r="A1030">
        <v>52</v>
      </c>
      <c r="B1030" t="s">
        <v>31</v>
      </c>
      <c r="C1030" t="s">
        <v>16</v>
      </c>
      <c r="D1030">
        <v>65</v>
      </c>
      <c r="E1030">
        <v>97</v>
      </c>
      <c r="F1030">
        <v>0.40100000000000002</v>
      </c>
      <c r="G1030">
        <v>45</v>
      </c>
      <c r="H1030">
        <v>759</v>
      </c>
      <c r="I1030">
        <v>859</v>
      </c>
      <c r="J1030">
        <v>-100</v>
      </c>
    </row>
    <row r="1031" spans="1:10" x14ac:dyDescent="0.25">
      <c r="A1031">
        <v>52</v>
      </c>
      <c r="B1031" t="s">
        <v>31</v>
      </c>
      <c r="C1031" t="s">
        <v>18</v>
      </c>
      <c r="D1031">
        <v>54</v>
      </c>
      <c r="E1031">
        <v>108</v>
      </c>
      <c r="F1031">
        <v>0.33300000000000002</v>
      </c>
      <c r="G1031">
        <v>56</v>
      </c>
      <c r="H1031">
        <v>667</v>
      </c>
      <c r="I1031">
        <v>973</v>
      </c>
      <c r="J1031">
        <v>-306</v>
      </c>
    </row>
    <row r="1032" spans="1:10" x14ac:dyDescent="0.25">
      <c r="A1032">
        <v>52</v>
      </c>
      <c r="B1032" t="s">
        <v>32</v>
      </c>
      <c r="C1032" t="s">
        <v>19</v>
      </c>
      <c r="D1032">
        <v>111</v>
      </c>
      <c r="E1032">
        <v>51</v>
      </c>
      <c r="F1032">
        <v>0.68500000000000005</v>
      </c>
      <c r="G1032">
        <v>0</v>
      </c>
      <c r="H1032">
        <v>1084</v>
      </c>
      <c r="I1032">
        <v>763</v>
      </c>
      <c r="J1032">
        <v>321</v>
      </c>
    </row>
    <row r="1033" spans="1:10" x14ac:dyDescent="0.25">
      <c r="A1033">
        <v>52</v>
      </c>
      <c r="B1033" t="s">
        <v>32</v>
      </c>
      <c r="C1033" t="s">
        <v>20</v>
      </c>
      <c r="D1033">
        <v>110</v>
      </c>
      <c r="E1033">
        <v>52</v>
      </c>
      <c r="F1033">
        <v>0.67900000000000005</v>
      </c>
      <c r="G1033">
        <v>1</v>
      </c>
      <c r="H1033">
        <v>1030</v>
      </c>
      <c r="I1033">
        <v>760</v>
      </c>
      <c r="J1033">
        <v>270</v>
      </c>
    </row>
    <row r="1034" spans="1:10" x14ac:dyDescent="0.25">
      <c r="A1034">
        <v>52</v>
      </c>
      <c r="B1034" t="s">
        <v>32</v>
      </c>
      <c r="C1034" t="s">
        <v>21</v>
      </c>
      <c r="D1034">
        <v>82</v>
      </c>
      <c r="E1034">
        <v>80</v>
      </c>
      <c r="F1034">
        <v>0.50600000000000001</v>
      </c>
      <c r="G1034">
        <v>29</v>
      </c>
      <c r="H1034">
        <v>991</v>
      </c>
      <c r="I1034">
        <v>985</v>
      </c>
      <c r="J1034">
        <v>6</v>
      </c>
    </row>
    <row r="1035" spans="1:10" x14ac:dyDescent="0.25">
      <c r="A1035">
        <v>52</v>
      </c>
      <c r="B1035" t="s">
        <v>32</v>
      </c>
      <c r="C1035" t="s">
        <v>22</v>
      </c>
      <c r="D1035">
        <v>77</v>
      </c>
      <c r="E1035">
        <v>85</v>
      </c>
      <c r="F1035">
        <v>0.47499999999999998</v>
      </c>
      <c r="G1035">
        <v>34</v>
      </c>
      <c r="H1035">
        <v>904</v>
      </c>
      <c r="I1035">
        <v>1008</v>
      </c>
      <c r="J1035">
        <v>-104</v>
      </c>
    </row>
    <row r="1036" spans="1:10" x14ac:dyDescent="0.25">
      <c r="A1036">
        <v>52</v>
      </c>
      <c r="B1036" t="s">
        <v>32</v>
      </c>
      <c r="C1036" t="s">
        <v>23</v>
      </c>
      <c r="D1036">
        <v>59</v>
      </c>
      <c r="E1036">
        <v>103</v>
      </c>
      <c r="F1036">
        <v>0.36399999999999999</v>
      </c>
      <c r="G1036">
        <v>52</v>
      </c>
      <c r="H1036">
        <v>853</v>
      </c>
      <c r="I1036">
        <v>1061</v>
      </c>
      <c r="J1036">
        <v>-208</v>
      </c>
    </row>
    <row r="1037" spans="1:10" x14ac:dyDescent="0.25">
      <c r="A1037">
        <v>52</v>
      </c>
      <c r="B1037" t="s">
        <v>33</v>
      </c>
      <c r="C1037" t="s">
        <v>25</v>
      </c>
      <c r="D1037">
        <v>93</v>
      </c>
      <c r="E1037">
        <v>69</v>
      </c>
      <c r="F1037">
        <v>0.57399999999999995</v>
      </c>
      <c r="G1037">
        <v>0</v>
      </c>
      <c r="H1037">
        <v>811</v>
      </c>
      <c r="I1037">
        <v>777</v>
      </c>
      <c r="J1037">
        <v>34</v>
      </c>
    </row>
    <row r="1038" spans="1:10" x14ac:dyDescent="0.25">
      <c r="A1038">
        <v>52</v>
      </c>
      <c r="B1038" t="s">
        <v>33</v>
      </c>
      <c r="C1038" t="s">
        <v>24</v>
      </c>
      <c r="D1038">
        <v>90</v>
      </c>
      <c r="E1038">
        <v>72</v>
      </c>
      <c r="F1038">
        <v>0.55600000000000005</v>
      </c>
      <c r="G1038">
        <v>3</v>
      </c>
      <c r="H1038">
        <v>891</v>
      </c>
      <c r="I1038">
        <v>788</v>
      </c>
      <c r="J1038">
        <v>103</v>
      </c>
    </row>
    <row r="1039" spans="1:10" x14ac:dyDescent="0.25">
      <c r="A1039">
        <v>52</v>
      </c>
      <c r="B1039" t="s">
        <v>33</v>
      </c>
      <c r="C1039" t="s">
        <v>26</v>
      </c>
      <c r="D1039">
        <v>78</v>
      </c>
      <c r="E1039">
        <v>84</v>
      </c>
      <c r="F1039">
        <v>0.48099999999999998</v>
      </c>
      <c r="G1039">
        <v>15</v>
      </c>
      <c r="H1039">
        <v>785</v>
      </c>
      <c r="I1039">
        <v>796</v>
      </c>
      <c r="J1039">
        <v>-11</v>
      </c>
    </row>
    <row r="1040" spans="1:10" x14ac:dyDescent="0.25">
      <c r="A1040">
        <v>52</v>
      </c>
      <c r="B1040" t="s">
        <v>33</v>
      </c>
      <c r="C1040" t="s">
        <v>27</v>
      </c>
      <c r="D1040">
        <v>65</v>
      </c>
      <c r="E1040">
        <v>97</v>
      </c>
      <c r="F1040">
        <v>0.40100000000000002</v>
      </c>
      <c r="G1040">
        <v>28</v>
      </c>
      <c r="H1040">
        <v>788</v>
      </c>
      <c r="I1040">
        <v>917</v>
      </c>
      <c r="J1040">
        <v>-129</v>
      </c>
    </row>
    <row r="1041" spans="1:10" x14ac:dyDescent="0.25">
      <c r="A1041">
        <v>52</v>
      </c>
      <c r="B1041" t="s">
        <v>33</v>
      </c>
      <c r="C1041" t="s">
        <v>28</v>
      </c>
      <c r="D1041">
        <v>49</v>
      </c>
      <c r="E1041">
        <v>113</v>
      </c>
      <c r="F1041">
        <v>0.30199999999999999</v>
      </c>
      <c r="G1041">
        <v>44</v>
      </c>
      <c r="H1041">
        <v>711</v>
      </c>
      <c r="I1041">
        <v>1120</v>
      </c>
      <c r="J1041">
        <v>-409</v>
      </c>
    </row>
    <row r="1042" spans="1:10" x14ac:dyDescent="0.25">
      <c r="A1042">
        <v>53</v>
      </c>
      <c r="B1042" t="s">
        <v>30</v>
      </c>
      <c r="C1042" t="s">
        <v>12</v>
      </c>
      <c r="D1042">
        <v>98</v>
      </c>
      <c r="E1042">
        <v>64</v>
      </c>
      <c r="F1042">
        <v>0.60499999999999998</v>
      </c>
      <c r="G1042">
        <v>0</v>
      </c>
      <c r="H1042">
        <v>922</v>
      </c>
      <c r="I1042">
        <v>777</v>
      </c>
      <c r="J1042">
        <v>145</v>
      </c>
    </row>
    <row r="1043" spans="1:10" x14ac:dyDescent="0.25">
      <c r="A1043">
        <v>53</v>
      </c>
      <c r="B1043" t="s">
        <v>30</v>
      </c>
      <c r="C1043" t="s">
        <v>10</v>
      </c>
      <c r="D1043">
        <v>91</v>
      </c>
      <c r="E1043">
        <v>71</v>
      </c>
      <c r="F1043">
        <v>0.56200000000000006</v>
      </c>
      <c r="G1043">
        <v>7</v>
      </c>
      <c r="H1043">
        <v>996</v>
      </c>
      <c r="I1043">
        <v>852</v>
      </c>
      <c r="J1043">
        <v>144</v>
      </c>
    </row>
    <row r="1044" spans="1:10" x14ac:dyDescent="0.25">
      <c r="A1044">
        <v>53</v>
      </c>
      <c r="B1044" t="s">
        <v>30</v>
      </c>
      <c r="C1044" t="s">
        <v>8</v>
      </c>
      <c r="D1044">
        <v>88</v>
      </c>
      <c r="E1044">
        <v>74</v>
      </c>
      <c r="F1044">
        <v>0.54300000000000004</v>
      </c>
      <c r="G1044">
        <v>10</v>
      </c>
      <c r="H1044">
        <v>843</v>
      </c>
      <c r="I1044">
        <v>725</v>
      </c>
      <c r="J1044">
        <v>118</v>
      </c>
    </row>
    <row r="1045" spans="1:10" x14ac:dyDescent="0.25">
      <c r="A1045">
        <v>53</v>
      </c>
      <c r="B1045" t="s">
        <v>30</v>
      </c>
      <c r="C1045" t="s">
        <v>11</v>
      </c>
      <c r="D1045">
        <v>77</v>
      </c>
      <c r="E1045">
        <v>85</v>
      </c>
      <c r="F1045">
        <v>0.47499999999999998</v>
      </c>
      <c r="G1045">
        <v>21</v>
      </c>
      <c r="H1045">
        <v>799</v>
      </c>
      <c r="I1045">
        <v>816</v>
      </c>
      <c r="J1045">
        <v>-17</v>
      </c>
    </row>
    <row r="1046" spans="1:10" x14ac:dyDescent="0.25">
      <c r="A1046">
        <v>53</v>
      </c>
      <c r="B1046" t="s">
        <v>30</v>
      </c>
      <c r="C1046" t="s">
        <v>13</v>
      </c>
      <c r="D1046">
        <v>72</v>
      </c>
      <c r="E1046">
        <v>90</v>
      </c>
      <c r="F1046">
        <v>0.44400000000000001</v>
      </c>
      <c r="G1046">
        <v>26</v>
      </c>
      <c r="H1046">
        <v>780</v>
      </c>
      <c r="I1046">
        <v>804</v>
      </c>
      <c r="J1046">
        <v>-24</v>
      </c>
    </row>
    <row r="1047" spans="1:10" x14ac:dyDescent="0.25">
      <c r="A1047">
        <v>53</v>
      </c>
      <c r="B1047" t="s">
        <v>31</v>
      </c>
      <c r="C1047" t="s">
        <v>14</v>
      </c>
      <c r="D1047">
        <v>103</v>
      </c>
      <c r="E1047">
        <v>59</v>
      </c>
      <c r="F1047">
        <v>0.63600000000000001</v>
      </c>
      <c r="G1047">
        <v>0</v>
      </c>
      <c r="H1047">
        <v>1004</v>
      </c>
      <c r="I1047">
        <v>672</v>
      </c>
      <c r="J1047">
        <v>332</v>
      </c>
    </row>
    <row r="1048" spans="1:10" x14ac:dyDescent="0.25">
      <c r="A1048">
        <v>53</v>
      </c>
      <c r="B1048" t="s">
        <v>31</v>
      </c>
      <c r="C1048" t="s">
        <v>16</v>
      </c>
      <c r="D1048">
        <v>77</v>
      </c>
      <c r="E1048">
        <v>85</v>
      </c>
      <c r="F1048">
        <v>0.47499999999999998</v>
      </c>
      <c r="G1048">
        <v>26</v>
      </c>
      <c r="H1048">
        <v>770</v>
      </c>
      <c r="I1048">
        <v>832</v>
      </c>
      <c r="J1048">
        <v>-62</v>
      </c>
    </row>
    <row r="1049" spans="1:10" x14ac:dyDescent="0.25">
      <c r="A1049">
        <v>53</v>
      </c>
      <c r="B1049" t="s">
        <v>31</v>
      </c>
      <c r="C1049" t="s">
        <v>15</v>
      </c>
      <c r="D1049">
        <v>76</v>
      </c>
      <c r="E1049">
        <v>86</v>
      </c>
      <c r="F1049">
        <v>0.46899999999999997</v>
      </c>
      <c r="G1049">
        <v>27</v>
      </c>
      <c r="H1049">
        <v>907</v>
      </c>
      <c r="I1049">
        <v>1045</v>
      </c>
      <c r="J1049">
        <v>-138</v>
      </c>
    </row>
    <row r="1050" spans="1:10" x14ac:dyDescent="0.25">
      <c r="A1050">
        <v>53</v>
      </c>
      <c r="B1050" t="s">
        <v>31</v>
      </c>
      <c r="C1050" t="s">
        <v>17</v>
      </c>
      <c r="D1050">
        <v>59</v>
      </c>
      <c r="E1050">
        <v>103</v>
      </c>
      <c r="F1050">
        <v>0.36399999999999999</v>
      </c>
      <c r="G1050">
        <v>44</v>
      </c>
      <c r="H1050">
        <v>753</v>
      </c>
      <c r="I1050">
        <v>1033</v>
      </c>
      <c r="J1050">
        <v>-280</v>
      </c>
    </row>
    <row r="1051" spans="1:10" x14ac:dyDescent="0.25">
      <c r="A1051">
        <v>53</v>
      </c>
      <c r="B1051" t="s">
        <v>31</v>
      </c>
      <c r="C1051" t="s">
        <v>18</v>
      </c>
      <c r="D1051">
        <v>46</v>
      </c>
      <c r="E1051">
        <v>116</v>
      </c>
      <c r="F1051">
        <v>0.28399999999999997</v>
      </c>
      <c r="G1051">
        <v>57</v>
      </c>
      <c r="H1051">
        <v>650</v>
      </c>
      <c r="I1051">
        <v>1017</v>
      </c>
      <c r="J1051">
        <v>-367</v>
      </c>
    </row>
    <row r="1052" spans="1:10" x14ac:dyDescent="0.25">
      <c r="A1052">
        <v>53</v>
      </c>
      <c r="B1052" t="s">
        <v>32</v>
      </c>
      <c r="C1052" t="s">
        <v>19</v>
      </c>
      <c r="D1052">
        <v>112</v>
      </c>
      <c r="E1052">
        <v>50</v>
      </c>
      <c r="F1052">
        <v>0.69099999999999995</v>
      </c>
      <c r="G1052">
        <v>0</v>
      </c>
      <c r="H1052">
        <v>1080</v>
      </c>
      <c r="I1052">
        <v>787</v>
      </c>
      <c r="J1052">
        <v>293</v>
      </c>
    </row>
    <row r="1053" spans="1:10" x14ac:dyDescent="0.25">
      <c r="A1053">
        <v>53</v>
      </c>
      <c r="B1053" t="s">
        <v>32</v>
      </c>
      <c r="C1053" t="s">
        <v>20</v>
      </c>
      <c r="D1053">
        <v>96</v>
      </c>
      <c r="E1053">
        <v>66</v>
      </c>
      <c r="F1053">
        <v>0.59299999999999997</v>
      </c>
      <c r="G1053">
        <v>16</v>
      </c>
      <c r="H1053">
        <v>907</v>
      </c>
      <c r="I1053">
        <v>785</v>
      </c>
      <c r="J1053">
        <v>122</v>
      </c>
    </row>
    <row r="1054" spans="1:10" x14ac:dyDescent="0.25">
      <c r="A1054">
        <v>53</v>
      </c>
      <c r="B1054" t="s">
        <v>32</v>
      </c>
      <c r="C1054" t="s">
        <v>21</v>
      </c>
      <c r="D1054">
        <v>87</v>
      </c>
      <c r="E1054">
        <v>75</v>
      </c>
      <c r="F1054">
        <v>0.53700000000000003</v>
      </c>
      <c r="G1054">
        <v>25</v>
      </c>
      <c r="H1054">
        <v>955</v>
      </c>
      <c r="I1054">
        <v>889</v>
      </c>
      <c r="J1054">
        <v>66</v>
      </c>
    </row>
    <row r="1055" spans="1:10" x14ac:dyDescent="0.25">
      <c r="A1055">
        <v>53</v>
      </c>
      <c r="B1055" t="s">
        <v>32</v>
      </c>
      <c r="C1055" t="s">
        <v>22</v>
      </c>
      <c r="D1055">
        <v>66</v>
      </c>
      <c r="E1055">
        <v>96</v>
      </c>
      <c r="F1055">
        <v>0.40699999999999997</v>
      </c>
      <c r="G1055">
        <v>46</v>
      </c>
      <c r="H1055">
        <v>907</v>
      </c>
      <c r="I1055">
        <v>1021</v>
      </c>
      <c r="J1055">
        <v>-114</v>
      </c>
    </row>
    <row r="1056" spans="1:10" x14ac:dyDescent="0.25">
      <c r="A1056">
        <v>53</v>
      </c>
      <c r="B1056" t="s">
        <v>32</v>
      </c>
      <c r="C1056" t="s">
        <v>23</v>
      </c>
      <c r="D1056">
        <v>55</v>
      </c>
      <c r="E1056">
        <v>107</v>
      </c>
      <c r="F1056">
        <v>0.34</v>
      </c>
      <c r="G1056">
        <v>57</v>
      </c>
      <c r="H1056">
        <v>742</v>
      </c>
      <c r="I1056">
        <v>1061</v>
      </c>
      <c r="J1056">
        <v>-319</v>
      </c>
    </row>
    <row r="1057" spans="1:10" x14ac:dyDescent="0.25">
      <c r="A1057">
        <v>53</v>
      </c>
      <c r="B1057" t="s">
        <v>33</v>
      </c>
      <c r="C1057" t="s">
        <v>24</v>
      </c>
      <c r="D1057">
        <v>105</v>
      </c>
      <c r="E1057">
        <v>57</v>
      </c>
      <c r="F1057">
        <v>0.64800000000000002</v>
      </c>
      <c r="G1057">
        <v>0</v>
      </c>
      <c r="H1057">
        <v>961</v>
      </c>
      <c r="I1057">
        <v>714</v>
      </c>
      <c r="J1057">
        <v>247</v>
      </c>
    </row>
    <row r="1058" spans="1:10" x14ac:dyDescent="0.25">
      <c r="A1058">
        <v>53</v>
      </c>
      <c r="B1058" t="s">
        <v>33</v>
      </c>
      <c r="C1058" t="s">
        <v>25</v>
      </c>
      <c r="D1058">
        <v>97</v>
      </c>
      <c r="E1058">
        <v>65</v>
      </c>
      <c r="F1058">
        <v>0.59899999999999998</v>
      </c>
      <c r="G1058">
        <v>8</v>
      </c>
      <c r="H1058">
        <v>897</v>
      </c>
      <c r="I1058">
        <v>726</v>
      </c>
      <c r="J1058">
        <v>171</v>
      </c>
    </row>
    <row r="1059" spans="1:10" x14ac:dyDescent="0.25">
      <c r="A1059">
        <v>53</v>
      </c>
      <c r="B1059" t="s">
        <v>33</v>
      </c>
      <c r="C1059" t="s">
        <v>26</v>
      </c>
      <c r="D1059">
        <v>82</v>
      </c>
      <c r="E1059">
        <v>80</v>
      </c>
      <c r="F1059">
        <v>0.50600000000000001</v>
      </c>
      <c r="G1059">
        <v>23</v>
      </c>
      <c r="H1059">
        <v>827</v>
      </c>
      <c r="I1059">
        <v>776</v>
      </c>
      <c r="J1059">
        <v>51</v>
      </c>
    </row>
    <row r="1060" spans="1:10" x14ac:dyDescent="0.25">
      <c r="A1060">
        <v>53</v>
      </c>
      <c r="B1060" t="s">
        <v>33</v>
      </c>
      <c r="C1060" t="s">
        <v>27</v>
      </c>
      <c r="D1060">
        <v>79</v>
      </c>
      <c r="E1060">
        <v>83</v>
      </c>
      <c r="F1060">
        <v>0.48799999999999999</v>
      </c>
      <c r="G1060">
        <v>26</v>
      </c>
      <c r="H1060">
        <v>790</v>
      </c>
      <c r="I1060">
        <v>868</v>
      </c>
      <c r="J1060">
        <v>-78</v>
      </c>
    </row>
    <row r="1061" spans="1:10" x14ac:dyDescent="0.25">
      <c r="A1061">
        <v>53</v>
      </c>
      <c r="B1061" t="s">
        <v>33</v>
      </c>
      <c r="C1061" t="s">
        <v>28</v>
      </c>
      <c r="D1061">
        <v>54</v>
      </c>
      <c r="E1061">
        <v>108</v>
      </c>
      <c r="F1061">
        <v>0.33300000000000002</v>
      </c>
      <c r="G1061">
        <v>51</v>
      </c>
      <c r="H1061">
        <v>718</v>
      </c>
      <c r="I1061">
        <v>1008</v>
      </c>
      <c r="J1061">
        <v>-290</v>
      </c>
    </row>
    <row r="1062" spans="1:10" x14ac:dyDescent="0.25">
      <c r="A1062">
        <v>54</v>
      </c>
      <c r="B1062" t="s">
        <v>30</v>
      </c>
      <c r="C1062" t="s">
        <v>12</v>
      </c>
      <c r="D1062">
        <v>102</v>
      </c>
      <c r="E1062">
        <v>60</v>
      </c>
      <c r="F1062">
        <v>0.63</v>
      </c>
      <c r="G1062">
        <v>0</v>
      </c>
      <c r="H1062">
        <v>965</v>
      </c>
      <c r="I1062">
        <v>784</v>
      </c>
      <c r="J1062">
        <v>181</v>
      </c>
    </row>
    <row r="1063" spans="1:10" x14ac:dyDescent="0.25">
      <c r="A1063">
        <v>54</v>
      </c>
      <c r="B1063" t="s">
        <v>30</v>
      </c>
      <c r="C1063" t="s">
        <v>8</v>
      </c>
      <c r="D1063">
        <v>97</v>
      </c>
      <c r="E1063">
        <v>65</v>
      </c>
      <c r="F1063">
        <v>0.59899999999999998</v>
      </c>
      <c r="G1063">
        <v>5</v>
      </c>
      <c r="H1063">
        <v>835</v>
      </c>
      <c r="I1063">
        <v>673</v>
      </c>
      <c r="J1063">
        <v>162</v>
      </c>
    </row>
    <row r="1064" spans="1:10" x14ac:dyDescent="0.25">
      <c r="A1064">
        <v>54</v>
      </c>
      <c r="B1064" t="s">
        <v>30</v>
      </c>
      <c r="C1064" t="s">
        <v>11</v>
      </c>
      <c r="D1064">
        <v>92</v>
      </c>
      <c r="E1064">
        <v>70</v>
      </c>
      <c r="F1064">
        <v>0.56799999999999995</v>
      </c>
      <c r="G1064">
        <v>10</v>
      </c>
      <c r="H1064">
        <v>890</v>
      </c>
      <c r="I1064">
        <v>775</v>
      </c>
      <c r="J1064">
        <v>115</v>
      </c>
    </row>
    <row r="1065" spans="1:10" x14ac:dyDescent="0.25">
      <c r="A1065">
        <v>54</v>
      </c>
      <c r="B1065" t="s">
        <v>30</v>
      </c>
      <c r="C1065" t="s">
        <v>10</v>
      </c>
      <c r="D1065">
        <v>86</v>
      </c>
      <c r="E1065">
        <v>76</v>
      </c>
      <c r="F1065">
        <v>0.53100000000000003</v>
      </c>
      <c r="G1065">
        <v>16</v>
      </c>
      <c r="H1065">
        <v>970</v>
      </c>
      <c r="I1065">
        <v>934</v>
      </c>
      <c r="J1065">
        <v>36</v>
      </c>
    </row>
    <row r="1066" spans="1:10" x14ac:dyDescent="0.25">
      <c r="A1066">
        <v>54</v>
      </c>
      <c r="B1066" t="s">
        <v>30</v>
      </c>
      <c r="C1066" t="s">
        <v>13</v>
      </c>
      <c r="D1066">
        <v>64</v>
      </c>
      <c r="E1066">
        <v>98</v>
      </c>
      <c r="F1066">
        <v>0.39500000000000002</v>
      </c>
      <c r="G1066">
        <v>38</v>
      </c>
      <c r="H1066">
        <v>735</v>
      </c>
      <c r="I1066">
        <v>892</v>
      </c>
      <c r="J1066">
        <v>-157</v>
      </c>
    </row>
    <row r="1067" spans="1:10" x14ac:dyDescent="0.25">
      <c r="A1067">
        <v>54</v>
      </c>
      <c r="B1067" t="s">
        <v>31</v>
      </c>
      <c r="C1067" t="s">
        <v>14</v>
      </c>
      <c r="D1067">
        <v>103</v>
      </c>
      <c r="E1067">
        <v>59</v>
      </c>
      <c r="F1067">
        <v>0.63600000000000001</v>
      </c>
      <c r="G1067">
        <v>0</v>
      </c>
      <c r="H1067">
        <v>928</v>
      </c>
      <c r="I1067">
        <v>689</v>
      </c>
      <c r="J1067">
        <v>239</v>
      </c>
    </row>
    <row r="1068" spans="1:10" x14ac:dyDescent="0.25">
      <c r="A1068">
        <v>54</v>
      </c>
      <c r="B1068" t="s">
        <v>31</v>
      </c>
      <c r="C1068" t="s">
        <v>15</v>
      </c>
      <c r="D1068">
        <v>77</v>
      </c>
      <c r="E1068">
        <v>85</v>
      </c>
      <c r="F1068">
        <v>0.47499999999999998</v>
      </c>
      <c r="G1068">
        <v>26</v>
      </c>
      <c r="H1068">
        <v>1066</v>
      </c>
      <c r="I1068">
        <v>1123</v>
      </c>
      <c r="J1068">
        <v>-57</v>
      </c>
    </row>
    <row r="1069" spans="1:10" x14ac:dyDescent="0.25">
      <c r="A1069">
        <v>54</v>
      </c>
      <c r="B1069" t="s">
        <v>31</v>
      </c>
      <c r="C1069" t="s">
        <v>16</v>
      </c>
      <c r="D1069">
        <v>74</v>
      </c>
      <c r="E1069">
        <v>88</v>
      </c>
      <c r="F1069">
        <v>0.45700000000000002</v>
      </c>
      <c r="G1069">
        <v>29</v>
      </c>
      <c r="H1069">
        <v>769</v>
      </c>
      <c r="I1069">
        <v>858</v>
      </c>
      <c r="J1069">
        <v>-89</v>
      </c>
    </row>
    <row r="1070" spans="1:10" x14ac:dyDescent="0.25">
      <c r="A1070">
        <v>54</v>
      </c>
      <c r="B1070" t="s">
        <v>31</v>
      </c>
      <c r="C1070" t="s">
        <v>17</v>
      </c>
      <c r="D1070">
        <v>68</v>
      </c>
      <c r="E1070">
        <v>94</v>
      </c>
      <c r="F1070">
        <v>0.42</v>
      </c>
      <c r="G1070">
        <v>35</v>
      </c>
      <c r="H1070">
        <v>862</v>
      </c>
      <c r="I1070">
        <v>1011</v>
      </c>
      <c r="J1070">
        <v>-149</v>
      </c>
    </row>
    <row r="1071" spans="1:10" x14ac:dyDescent="0.25">
      <c r="A1071">
        <v>54</v>
      </c>
      <c r="B1071" t="s">
        <v>31</v>
      </c>
      <c r="C1071" t="s">
        <v>18</v>
      </c>
      <c r="D1071">
        <v>46</v>
      </c>
      <c r="E1071">
        <v>116</v>
      </c>
      <c r="F1071">
        <v>0.28399999999999997</v>
      </c>
      <c r="G1071">
        <v>57</v>
      </c>
      <c r="H1071">
        <v>651</v>
      </c>
      <c r="I1071">
        <v>1019</v>
      </c>
      <c r="J1071">
        <v>-368</v>
      </c>
    </row>
    <row r="1072" spans="1:10" x14ac:dyDescent="0.25">
      <c r="A1072">
        <v>54</v>
      </c>
      <c r="B1072" t="s">
        <v>32</v>
      </c>
      <c r="C1072" t="s">
        <v>19</v>
      </c>
      <c r="D1072">
        <v>111</v>
      </c>
      <c r="E1072">
        <v>51</v>
      </c>
      <c r="F1072">
        <v>0.68500000000000005</v>
      </c>
      <c r="G1072">
        <v>0</v>
      </c>
      <c r="H1072">
        <v>1049</v>
      </c>
      <c r="I1072">
        <v>774</v>
      </c>
      <c r="J1072">
        <v>275</v>
      </c>
    </row>
    <row r="1073" spans="1:10" x14ac:dyDescent="0.25">
      <c r="A1073">
        <v>54</v>
      </c>
      <c r="B1073" t="s">
        <v>32</v>
      </c>
      <c r="C1073" t="s">
        <v>20</v>
      </c>
      <c r="D1073">
        <v>95</v>
      </c>
      <c r="E1073">
        <v>67</v>
      </c>
      <c r="F1073">
        <v>0.58599999999999997</v>
      </c>
      <c r="G1073">
        <v>16</v>
      </c>
      <c r="H1073">
        <v>959</v>
      </c>
      <c r="I1073">
        <v>808</v>
      </c>
      <c r="J1073">
        <v>151</v>
      </c>
    </row>
    <row r="1074" spans="1:10" x14ac:dyDescent="0.25">
      <c r="A1074">
        <v>54</v>
      </c>
      <c r="B1074" t="s">
        <v>32</v>
      </c>
      <c r="C1074" t="s">
        <v>21</v>
      </c>
      <c r="D1074">
        <v>89</v>
      </c>
      <c r="E1074">
        <v>73</v>
      </c>
      <c r="F1074">
        <v>0.54900000000000004</v>
      </c>
      <c r="G1074">
        <v>22</v>
      </c>
      <c r="H1074">
        <v>1030</v>
      </c>
      <c r="I1074">
        <v>918</v>
      </c>
      <c r="J1074">
        <v>112</v>
      </c>
    </row>
    <row r="1075" spans="1:10" x14ac:dyDescent="0.25">
      <c r="A1075">
        <v>54</v>
      </c>
      <c r="B1075" t="s">
        <v>32</v>
      </c>
      <c r="C1075" t="s">
        <v>22</v>
      </c>
      <c r="D1075">
        <v>79</v>
      </c>
      <c r="E1075">
        <v>83</v>
      </c>
      <c r="F1075">
        <v>0.48799999999999999</v>
      </c>
      <c r="G1075">
        <v>32</v>
      </c>
      <c r="H1075">
        <v>913</v>
      </c>
      <c r="I1075">
        <v>934</v>
      </c>
      <c r="J1075">
        <v>-21</v>
      </c>
    </row>
    <row r="1076" spans="1:10" x14ac:dyDescent="0.25">
      <c r="A1076">
        <v>54</v>
      </c>
      <c r="B1076" t="s">
        <v>32</v>
      </c>
      <c r="C1076" t="s">
        <v>23</v>
      </c>
      <c r="D1076">
        <v>55</v>
      </c>
      <c r="E1076">
        <v>107</v>
      </c>
      <c r="F1076">
        <v>0.34</v>
      </c>
      <c r="G1076">
        <v>56</v>
      </c>
      <c r="H1076">
        <v>769</v>
      </c>
      <c r="I1076">
        <v>1096</v>
      </c>
      <c r="J1076">
        <v>-327</v>
      </c>
    </row>
    <row r="1077" spans="1:10" x14ac:dyDescent="0.25">
      <c r="A1077">
        <v>54</v>
      </c>
      <c r="B1077" t="s">
        <v>33</v>
      </c>
      <c r="C1077" t="s">
        <v>24</v>
      </c>
      <c r="D1077">
        <v>94</v>
      </c>
      <c r="E1077">
        <v>68</v>
      </c>
      <c r="F1077">
        <v>0.57999999999999996</v>
      </c>
      <c r="G1077">
        <v>0</v>
      </c>
      <c r="H1077">
        <v>922</v>
      </c>
      <c r="I1077">
        <v>751</v>
      </c>
      <c r="J1077">
        <v>171</v>
      </c>
    </row>
    <row r="1078" spans="1:10" x14ac:dyDescent="0.25">
      <c r="A1078">
        <v>54</v>
      </c>
      <c r="B1078" t="s">
        <v>33</v>
      </c>
      <c r="C1078" t="s">
        <v>25</v>
      </c>
      <c r="D1078">
        <v>85</v>
      </c>
      <c r="E1078">
        <v>77</v>
      </c>
      <c r="F1078">
        <v>0.52500000000000002</v>
      </c>
      <c r="G1078">
        <v>9</v>
      </c>
      <c r="H1078">
        <v>828</v>
      </c>
      <c r="I1078">
        <v>710</v>
      </c>
      <c r="J1078">
        <v>118</v>
      </c>
    </row>
    <row r="1079" spans="1:10" x14ac:dyDescent="0.25">
      <c r="A1079">
        <v>54</v>
      </c>
      <c r="B1079" t="s">
        <v>33</v>
      </c>
      <c r="C1079" t="s">
        <v>26</v>
      </c>
      <c r="D1079">
        <v>84</v>
      </c>
      <c r="E1079">
        <v>78</v>
      </c>
      <c r="F1079">
        <v>0.51900000000000002</v>
      </c>
      <c r="G1079">
        <v>10</v>
      </c>
      <c r="H1079">
        <v>829</v>
      </c>
      <c r="I1079">
        <v>817</v>
      </c>
      <c r="J1079">
        <v>12</v>
      </c>
    </row>
    <row r="1080" spans="1:10" x14ac:dyDescent="0.25">
      <c r="A1080">
        <v>54</v>
      </c>
      <c r="B1080" t="s">
        <v>33</v>
      </c>
      <c r="C1080" t="s">
        <v>27</v>
      </c>
      <c r="D1080">
        <v>63</v>
      </c>
      <c r="E1080">
        <v>99</v>
      </c>
      <c r="F1080">
        <v>0.38900000000000001</v>
      </c>
      <c r="G1080">
        <v>31</v>
      </c>
      <c r="H1080">
        <v>797</v>
      </c>
      <c r="I1080">
        <v>957</v>
      </c>
      <c r="J1080">
        <v>-160</v>
      </c>
    </row>
    <row r="1081" spans="1:10" x14ac:dyDescent="0.25">
      <c r="A1081">
        <v>54</v>
      </c>
      <c r="B1081" t="s">
        <v>33</v>
      </c>
      <c r="C1081" t="s">
        <v>28</v>
      </c>
      <c r="D1081">
        <v>56</v>
      </c>
      <c r="E1081">
        <v>106</v>
      </c>
      <c r="F1081">
        <v>0.34599999999999997</v>
      </c>
      <c r="G1081">
        <v>38</v>
      </c>
      <c r="H1081">
        <v>703</v>
      </c>
      <c r="I1081">
        <v>947</v>
      </c>
      <c r="J1081">
        <v>-244</v>
      </c>
    </row>
    <row r="1082" spans="1:10" x14ac:dyDescent="0.25">
      <c r="A1082">
        <v>55</v>
      </c>
      <c r="B1082" t="s">
        <v>30</v>
      </c>
      <c r="C1082" t="s">
        <v>8</v>
      </c>
      <c r="D1082">
        <v>98</v>
      </c>
      <c r="E1082">
        <v>64</v>
      </c>
      <c r="F1082">
        <v>0.60499999999999998</v>
      </c>
      <c r="G1082">
        <v>0</v>
      </c>
      <c r="H1082">
        <v>840</v>
      </c>
      <c r="I1082">
        <v>682</v>
      </c>
      <c r="J1082">
        <v>158</v>
      </c>
    </row>
    <row r="1083" spans="1:10" x14ac:dyDescent="0.25">
      <c r="A1083">
        <v>55</v>
      </c>
      <c r="B1083" t="s">
        <v>30</v>
      </c>
      <c r="C1083" t="s">
        <v>10</v>
      </c>
      <c r="D1083">
        <v>90</v>
      </c>
      <c r="E1083">
        <v>72</v>
      </c>
      <c r="F1083">
        <v>0.55600000000000005</v>
      </c>
      <c r="G1083">
        <v>8</v>
      </c>
      <c r="H1083">
        <v>1035</v>
      </c>
      <c r="I1083">
        <v>848</v>
      </c>
      <c r="J1083">
        <v>187</v>
      </c>
    </row>
    <row r="1084" spans="1:10" x14ac:dyDescent="0.25">
      <c r="A1084">
        <v>55</v>
      </c>
      <c r="B1084" t="s">
        <v>30</v>
      </c>
      <c r="C1084" t="s">
        <v>11</v>
      </c>
      <c r="D1084">
        <v>89</v>
      </c>
      <c r="E1084">
        <v>73</v>
      </c>
      <c r="F1084">
        <v>0.54900000000000004</v>
      </c>
      <c r="G1084">
        <v>9</v>
      </c>
      <c r="H1084">
        <v>877</v>
      </c>
      <c r="I1084">
        <v>771</v>
      </c>
      <c r="J1084">
        <v>106</v>
      </c>
    </row>
    <row r="1085" spans="1:10" x14ac:dyDescent="0.25">
      <c r="A1085">
        <v>55</v>
      </c>
      <c r="B1085" t="s">
        <v>30</v>
      </c>
      <c r="C1085" t="s">
        <v>12</v>
      </c>
      <c r="D1085">
        <v>88</v>
      </c>
      <c r="E1085">
        <v>74</v>
      </c>
      <c r="F1085">
        <v>0.54300000000000004</v>
      </c>
      <c r="G1085">
        <v>10</v>
      </c>
      <c r="H1085">
        <v>984</v>
      </c>
      <c r="I1085">
        <v>887</v>
      </c>
      <c r="J1085">
        <v>97</v>
      </c>
    </row>
    <row r="1086" spans="1:10" x14ac:dyDescent="0.25">
      <c r="A1086">
        <v>55</v>
      </c>
      <c r="B1086" t="s">
        <v>30</v>
      </c>
      <c r="C1086" t="s">
        <v>13</v>
      </c>
      <c r="D1086">
        <v>73</v>
      </c>
      <c r="E1086">
        <v>89</v>
      </c>
      <c r="F1086">
        <v>0.45100000000000001</v>
      </c>
      <c r="G1086">
        <v>25</v>
      </c>
      <c r="H1086">
        <v>866</v>
      </c>
      <c r="I1086">
        <v>882</v>
      </c>
      <c r="J1086">
        <v>-16</v>
      </c>
    </row>
    <row r="1087" spans="1:10" x14ac:dyDescent="0.25">
      <c r="A1087">
        <v>55</v>
      </c>
      <c r="B1087" t="s">
        <v>31</v>
      </c>
      <c r="C1087" t="s">
        <v>14</v>
      </c>
      <c r="D1087">
        <v>113</v>
      </c>
      <c r="E1087">
        <v>49</v>
      </c>
      <c r="F1087">
        <v>0.69799999999999995</v>
      </c>
      <c r="G1087">
        <v>0</v>
      </c>
      <c r="H1087">
        <v>1018</v>
      </c>
      <c r="I1087">
        <v>666</v>
      </c>
      <c r="J1087">
        <v>352</v>
      </c>
    </row>
    <row r="1088" spans="1:10" x14ac:dyDescent="0.25">
      <c r="A1088">
        <v>55</v>
      </c>
      <c r="B1088" t="s">
        <v>31</v>
      </c>
      <c r="C1088" t="s">
        <v>15</v>
      </c>
      <c r="D1088">
        <v>67</v>
      </c>
      <c r="E1088">
        <v>95</v>
      </c>
      <c r="F1088">
        <v>0.41399999999999998</v>
      </c>
      <c r="G1088">
        <v>46</v>
      </c>
      <c r="H1088">
        <v>955</v>
      </c>
      <c r="I1088">
        <v>1199</v>
      </c>
      <c r="J1088">
        <v>-244</v>
      </c>
    </row>
    <row r="1089" spans="1:10" x14ac:dyDescent="0.25">
      <c r="A1089">
        <v>55</v>
      </c>
      <c r="B1089" t="s">
        <v>31</v>
      </c>
      <c r="C1089" t="s">
        <v>16</v>
      </c>
      <c r="D1089">
        <v>61</v>
      </c>
      <c r="E1089">
        <v>101</v>
      </c>
      <c r="F1089">
        <v>0.377</v>
      </c>
      <c r="G1089">
        <v>52</v>
      </c>
      <c r="H1089">
        <v>730</v>
      </c>
      <c r="I1089">
        <v>908</v>
      </c>
      <c r="J1089">
        <v>-178</v>
      </c>
    </row>
    <row r="1090" spans="1:10" x14ac:dyDescent="0.25">
      <c r="A1090">
        <v>55</v>
      </c>
      <c r="B1090" t="s">
        <v>31</v>
      </c>
      <c r="C1090" t="s">
        <v>17</v>
      </c>
      <c r="D1090">
        <v>59</v>
      </c>
      <c r="E1090">
        <v>103</v>
      </c>
      <c r="F1090">
        <v>0.36399999999999999</v>
      </c>
      <c r="G1090">
        <v>54</v>
      </c>
      <c r="H1090">
        <v>829</v>
      </c>
      <c r="I1090">
        <v>1062</v>
      </c>
      <c r="J1090">
        <v>-233</v>
      </c>
    </row>
    <row r="1091" spans="1:10" x14ac:dyDescent="0.25">
      <c r="A1091">
        <v>55</v>
      </c>
      <c r="B1091" t="s">
        <v>31</v>
      </c>
      <c r="C1091" t="s">
        <v>18</v>
      </c>
      <c r="D1091">
        <v>41</v>
      </c>
      <c r="E1091">
        <v>121</v>
      </c>
      <c r="F1091">
        <v>0.253</v>
      </c>
      <c r="G1091">
        <v>72</v>
      </c>
      <c r="H1091">
        <v>638</v>
      </c>
      <c r="I1091">
        <v>1030</v>
      </c>
      <c r="J1091">
        <v>-392</v>
      </c>
    </row>
    <row r="1092" spans="1:10" x14ac:dyDescent="0.25">
      <c r="A1092">
        <v>55</v>
      </c>
      <c r="B1092" t="s">
        <v>32</v>
      </c>
      <c r="C1092" t="s">
        <v>19</v>
      </c>
      <c r="D1092">
        <v>110</v>
      </c>
      <c r="E1092">
        <v>52</v>
      </c>
      <c r="F1092">
        <v>0.67900000000000005</v>
      </c>
      <c r="G1092">
        <v>0</v>
      </c>
      <c r="H1092">
        <v>1148</v>
      </c>
      <c r="I1092">
        <v>761</v>
      </c>
      <c r="J1092">
        <v>387</v>
      </c>
    </row>
    <row r="1093" spans="1:10" x14ac:dyDescent="0.25">
      <c r="A1093">
        <v>55</v>
      </c>
      <c r="B1093" t="s">
        <v>32</v>
      </c>
      <c r="C1093" t="s">
        <v>20</v>
      </c>
      <c r="D1093">
        <v>101</v>
      </c>
      <c r="E1093">
        <v>61</v>
      </c>
      <c r="F1093">
        <v>0.623</v>
      </c>
      <c r="G1093">
        <v>9</v>
      </c>
      <c r="H1093">
        <v>1025</v>
      </c>
      <c r="I1093">
        <v>836</v>
      </c>
      <c r="J1093">
        <v>189</v>
      </c>
    </row>
    <row r="1094" spans="1:10" x14ac:dyDescent="0.25">
      <c r="A1094">
        <v>55</v>
      </c>
      <c r="B1094" t="s">
        <v>32</v>
      </c>
      <c r="C1094" t="s">
        <v>21</v>
      </c>
      <c r="D1094">
        <v>89</v>
      </c>
      <c r="E1094">
        <v>73</v>
      </c>
      <c r="F1094">
        <v>0.54900000000000004</v>
      </c>
      <c r="G1094">
        <v>21</v>
      </c>
      <c r="H1094">
        <v>1041</v>
      </c>
      <c r="I1094">
        <v>949</v>
      </c>
      <c r="J1094">
        <v>92</v>
      </c>
    </row>
    <row r="1095" spans="1:10" x14ac:dyDescent="0.25">
      <c r="A1095">
        <v>55</v>
      </c>
      <c r="B1095" t="s">
        <v>32</v>
      </c>
      <c r="C1095" t="s">
        <v>22</v>
      </c>
      <c r="D1095">
        <v>79</v>
      </c>
      <c r="E1095">
        <v>83</v>
      </c>
      <c r="F1095">
        <v>0.48799999999999999</v>
      </c>
      <c r="G1095">
        <v>31</v>
      </c>
      <c r="H1095">
        <v>881</v>
      </c>
      <c r="I1095">
        <v>966</v>
      </c>
      <c r="J1095">
        <v>-85</v>
      </c>
    </row>
    <row r="1096" spans="1:10" x14ac:dyDescent="0.25">
      <c r="A1096">
        <v>55</v>
      </c>
      <c r="B1096" t="s">
        <v>32</v>
      </c>
      <c r="C1096" t="s">
        <v>23</v>
      </c>
      <c r="D1096">
        <v>64</v>
      </c>
      <c r="E1096">
        <v>98</v>
      </c>
      <c r="F1096">
        <v>0.39500000000000002</v>
      </c>
      <c r="G1096">
        <v>46</v>
      </c>
      <c r="H1096">
        <v>750</v>
      </c>
      <c r="I1096">
        <v>991</v>
      </c>
      <c r="J1096">
        <v>-241</v>
      </c>
    </row>
    <row r="1097" spans="1:10" x14ac:dyDescent="0.25">
      <c r="A1097">
        <v>55</v>
      </c>
      <c r="B1097" t="s">
        <v>33</v>
      </c>
      <c r="C1097" t="s">
        <v>25</v>
      </c>
      <c r="D1097">
        <v>102</v>
      </c>
      <c r="E1097">
        <v>60</v>
      </c>
      <c r="F1097">
        <v>0.63</v>
      </c>
      <c r="G1097">
        <v>0</v>
      </c>
      <c r="H1097">
        <v>899</v>
      </c>
      <c r="I1097">
        <v>688</v>
      </c>
      <c r="J1097">
        <v>211</v>
      </c>
    </row>
    <row r="1098" spans="1:10" x14ac:dyDescent="0.25">
      <c r="A1098">
        <v>55</v>
      </c>
      <c r="B1098" t="s">
        <v>33</v>
      </c>
      <c r="C1098" t="s">
        <v>26</v>
      </c>
      <c r="D1098">
        <v>96</v>
      </c>
      <c r="E1098">
        <v>66</v>
      </c>
      <c r="F1098">
        <v>0.59299999999999997</v>
      </c>
      <c r="G1098">
        <v>6</v>
      </c>
      <c r="H1098">
        <v>846</v>
      </c>
      <c r="I1098">
        <v>731</v>
      </c>
      <c r="J1098">
        <v>115</v>
      </c>
    </row>
    <row r="1099" spans="1:10" x14ac:dyDescent="0.25">
      <c r="A1099">
        <v>55</v>
      </c>
      <c r="B1099" t="s">
        <v>33</v>
      </c>
      <c r="C1099" t="s">
        <v>24</v>
      </c>
      <c r="D1099">
        <v>89</v>
      </c>
      <c r="E1099">
        <v>73</v>
      </c>
      <c r="F1099">
        <v>0.54900000000000004</v>
      </c>
      <c r="G1099">
        <v>13</v>
      </c>
      <c r="H1099">
        <v>903</v>
      </c>
      <c r="I1099">
        <v>829</v>
      </c>
      <c r="J1099">
        <v>74</v>
      </c>
    </row>
    <row r="1100" spans="1:10" x14ac:dyDescent="0.25">
      <c r="A1100">
        <v>55</v>
      </c>
      <c r="B1100" t="s">
        <v>33</v>
      </c>
      <c r="C1100" t="s">
        <v>27</v>
      </c>
      <c r="D1100">
        <v>70</v>
      </c>
      <c r="E1100">
        <v>92</v>
      </c>
      <c r="F1100">
        <v>0.432</v>
      </c>
      <c r="G1100">
        <v>32</v>
      </c>
      <c r="H1100">
        <v>757</v>
      </c>
      <c r="I1100">
        <v>934</v>
      </c>
      <c r="J1100">
        <v>-177</v>
      </c>
    </row>
    <row r="1101" spans="1:10" x14ac:dyDescent="0.25">
      <c r="A1101">
        <v>55</v>
      </c>
      <c r="B1101" t="s">
        <v>33</v>
      </c>
      <c r="C1101" t="s">
        <v>28</v>
      </c>
      <c r="D1101">
        <v>41</v>
      </c>
      <c r="E1101">
        <v>121</v>
      </c>
      <c r="F1101">
        <v>0.253</v>
      </c>
      <c r="G1101">
        <v>61</v>
      </c>
      <c r="H1101">
        <v>672</v>
      </c>
      <c r="I1101">
        <v>1074</v>
      </c>
      <c r="J1101">
        <v>-402</v>
      </c>
    </row>
    <row r="1102" spans="1:10" x14ac:dyDescent="0.25">
      <c r="A1102">
        <v>56</v>
      </c>
      <c r="B1102" t="s">
        <v>30</v>
      </c>
      <c r="C1102" t="s">
        <v>8</v>
      </c>
      <c r="D1102">
        <v>101</v>
      </c>
      <c r="E1102">
        <v>61</v>
      </c>
      <c r="F1102">
        <v>0.623</v>
      </c>
      <c r="G1102">
        <v>0</v>
      </c>
      <c r="H1102">
        <v>927</v>
      </c>
      <c r="I1102">
        <v>698</v>
      </c>
      <c r="J1102">
        <v>229</v>
      </c>
    </row>
    <row r="1103" spans="1:10" x14ac:dyDescent="0.25">
      <c r="A1103">
        <v>56</v>
      </c>
      <c r="B1103" t="s">
        <v>30</v>
      </c>
      <c r="C1103" t="s">
        <v>11</v>
      </c>
      <c r="D1103">
        <v>97</v>
      </c>
      <c r="E1103">
        <v>65</v>
      </c>
      <c r="F1103">
        <v>0.59899999999999998</v>
      </c>
      <c r="G1103">
        <v>4</v>
      </c>
      <c r="H1103">
        <v>898</v>
      </c>
      <c r="I1103">
        <v>754</v>
      </c>
      <c r="J1103">
        <v>144</v>
      </c>
    </row>
    <row r="1104" spans="1:10" x14ac:dyDescent="0.25">
      <c r="A1104">
        <v>56</v>
      </c>
      <c r="B1104" t="s">
        <v>30</v>
      </c>
      <c r="C1104" t="s">
        <v>12</v>
      </c>
      <c r="D1104">
        <v>86</v>
      </c>
      <c r="E1104">
        <v>76</v>
      </c>
      <c r="F1104">
        <v>0.53100000000000003</v>
      </c>
      <c r="G1104">
        <v>15</v>
      </c>
      <c r="H1104">
        <v>963</v>
      </c>
      <c r="I1104">
        <v>871</v>
      </c>
      <c r="J1104">
        <v>92</v>
      </c>
    </row>
    <row r="1105" spans="1:10" x14ac:dyDescent="0.25">
      <c r="A1105">
        <v>56</v>
      </c>
      <c r="B1105" t="s">
        <v>30</v>
      </c>
      <c r="C1105" t="s">
        <v>10</v>
      </c>
      <c r="D1105">
        <v>86</v>
      </c>
      <c r="E1105">
        <v>76</v>
      </c>
      <c r="F1105">
        <v>0.53100000000000003</v>
      </c>
      <c r="G1105">
        <v>15</v>
      </c>
      <c r="H1105">
        <v>966</v>
      </c>
      <c r="I1105">
        <v>920</v>
      </c>
      <c r="J1105">
        <v>46</v>
      </c>
    </row>
    <row r="1106" spans="1:10" x14ac:dyDescent="0.25">
      <c r="A1106">
        <v>56</v>
      </c>
      <c r="B1106" t="s">
        <v>30</v>
      </c>
      <c r="C1106" t="s">
        <v>13</v>
      </c>
      <c r="D1106">
        <v>71</v>
      </c>
      <c r="E1106">
        <v>91</v>
      </c>
      <c r="F1106">
        <v>0.438</v>
      </c>
      <c r="G1106">
        <v>30</v>
      </c>
      <c r="H1106">
        <v>815</v>
      </c>
      <c r="I1106">
        <v>923</v>
      </c>
      <c r="J1106">
        <v>-108</v>
      </c>
    </row>
    <row r="1107" spans="1:10" x14ac:dyDescent="0.25">
      <c r="A1107">
        <v>56</v>
      </c>
      <c r="B1107" t="s">
        <v>31</v>
      </c>
      <c r="C1107" t="s">
        <v>14</v>
      </c>
      <c r="D1107">
        <v>109</v>
      </c>
      <c r="E1107">
        <v>53</v>
      </c>
      <c r="F1107">
        <v>0.67300000000000004</v>
      </c>
      <c r="G1107">
        <v>0</v>
      </c>
      <c r="H1107">
        <v>1021</v>
      </c>
      <c r="I1107">
        <v>696</v>
      </c>
      <c r="J1107">
        <v>325</v>
      </c>
    </row>
    <row r="1108" spans="1:10" x14ac:dyDescent="0.25">
      <c r="A1108">
        <v>56</v>
      </c>
      <c r="B1108" t="s">
        <v>31</v>
      </c>
      <c r="C1108" t="s">
        <v>16</v>
      </c>
      <c r="D1108">
        <v>82</v>
      </c>
      <c r="E1108">
        <v>80</v>
      </c>
      <c r="F1108">
        <v>0.50600000000000001</v>
      </c>
      <c r="G1108">
        <v>27</v>
      </c>
      <c r="H1108">
        <v>784</v>
      </c>
      <c r="I1108">
        <v>849</v>
      </c>
      <c r="J1108">
        <v>-65</v>
      </c>
    </row>
    <row r="1109" spans="1:10" x14ac:dyDescent="0.25">
      <c r="A1109">
        <v>56</v>
      </c>
      <c r="B1109" t="s">
        <v>31</v>
      </c>
      <c r="C1109" t="s">
        <v>17</v>
      </c>
      <c r="D1109">
        <v>71</v>
      </c>
      <c r="E1109">
        <v>91</v>
      </c>
      <c r="F1109">
        <v>0.438</v>
      </c>
      <c r="G1109">
        <v>38</v>
      </c>
      <c r="H1109">
        <v>839</v>
      </c>
      <c r="I1109">
        <v>978</v>
      </c>
      <c r="J1109">
        <v>-139</v>
      </c>
    </row>
    <row r="1110" spans="1:10" x14ac:dyDescent="0.25">
      <c r="A1110">
        <v>56</v>
      </c>
      <c r="B1110" t="s">
        <v>31</v>
      </c>
      <c r="C1110" t="s">
        <v>15</v>
      </c>
      <c r="D1110">
        <v>71</v>
      </c>
      <c r="E1110">
        <v>91</v>
      </c>
      <c r="F1110">
        <v>0.438</v>
      </c>
      <c r="G1110">
        <v>38</v>
      </c>
      <c r="H1110">
        <v>923</v>
      </c>
      <c r="I1110">
        <v>1139</v>
      </c>
      <c r="J1110">
        <v>-216</v>
      </c>
    </row>
    <row r="1111" spans="1:10" x14ac:dyDescent="0.25">
      <c r="A1111">
        <v>56</v>
      </c>
      <c r="B1111" t="s">
        <v>31</v>
      </c>
      <c r="C1111" t="s">
        <v>18</v>
      </c>
      <c r="D1111">
        <v>44</v>
      </c>
      <c r="E1111">
        <v>118</v>
      </c>
      <c r="F1111">
        <v>0.27200000000000002</v>
      </c>
      <c r="G1111">
        <v>65</v>
      </c>
      <c r="H1111">
        <v>599</v>
      </c>
      <c r="I1111">
        <v>987</v>
      </c>
      <c r="J1111">
        <v>-388</v>
      </c>
    </row>
    <row r="1112" spans="1:10" x14ac:dyDescent="0.25">
      <c r="A1112">
        <v>56</v>
      </c>
      <c r="B1112" t="s">
        <v>32</v>
      </c>
      <c r="C1112" t="s">
        <v>19</v>
      </c>
      <c r="D1112">
        <v>109</v>
      </c>
      <c r="E1112">
        <v>53</v>
      </c>
      <c r="F1112">
        <v>0.67300000000000004</v>
      </c>
      <c r="G1112">
        <v>0</v>
      </c>
      <c r="H1112">
        <v>1090</v>
      </c>
      <c r="I1112">
        <v>691</v>
      </c>
      <c r="J1112">
        <v>399</v>
      </c>
    </row>
    <row r="1113" spans="1:10" x14ac:dyDescent="0.25">
      <c r="A1113">
        <v>56</v>
      </c>
      <c r="B1113" t="s">
        <v>32</v>
      </c>
      <c r="C1113" t="s">
        <v>20</v>
      </c>
      <c r="D1113">
        <v>94</v>
      </c>
      <c r="E1113">
        <v>68</v>
      </c>
      <c r="F1113">
        <v>0.57999999999999996</v>
      </c>
      <c r="G1113">
        <v>15</v>
      </c>
      <c r="H1113">
        <v>975</v>
      </c>
      <c r="I1113">
        <v>811</v>
      </c>
      <c r="J1113">
        <v>164</v>
      </c>
    </row>
    <row r="1114" spans="1:10" x14ac:dyDescent="0.25">
      <c r="A1114">
        <v>56</v>
      </c>
      <c r="B1114" t="s">
        <v>32</v>
      </c>
      <c r="C1114" t="s">
        <v>21</v>
      </c>
      <c r="D1114">
        <v>84</v>
      </c>
      <c r="E1114">
        <v>78</v>
      </c>
      <c r="F1114">
        <v>0.51900000000000002</v>
      </c>
      <c r="G1114">
        <v>25</v>
      </c>
      <c r="H1114">
        <v>910</v>
      </c>
      <c r="I1114">
        <v>902</v>
      </c>
      <c r="J1114">
        <v>8</v>
      </c>
    </row>
    <row r="1115" spans="1:10" x14ac:dyDescent="0.25">
      <c r="A1115">
        <v>56</v>
      </c>
      <c r="B1115" t="s">
        <v>32</v>
      </c>
      <c r="C1115" t="s">
        <v>22</v>
      </c>
      <c r="D1115">
        <v>65</v>
      </c>
      <c r="E1115">
        <v>97</v>
      </c>
      <c r="F1115">
        <v>0.40100000000000002</v>
      </c>
      <c r="G1115">
        <v>44</v>
      </c>
      <c r="H1115">
        <v>875</v>
      </c>
      <c r="I1115">
        <v>1022</v>
      </c>
      <c r="J1115">
        <v>-147</v>
      </c>
    </row>
    <row r="1116" spans="1:10" x14ac:dyDescent="0.25">
      <c r="A1116">
        <v>56</v>
      </c>
      <c r="B1116" t="s">
        <v>32</v>
      </c>
      <c r="C1116" t="s">
        <v>23</v>
      </c>
      <c r="D1116">
        <v>60</v>
      </c>
      <c r="E1116">
        <v>102</v>
      </c>
      <c r="F1116">
        <v>0.37</v>
      </c>
      <c r="G1116">
        <v>49</v>
      </c>
      <c r="H1116">
        <v>794</v>
      </c>
      <c r="I1116">
        <v>1001</v>
      </c>
      <c r="J1116">
        <v>-207</v>
      </c>
    </row>
    <row r="1117" spans="1:10" x14ac:dyDescent="0.25">
      <c r="A1117">
        <v>56</v>
      </c>
      <c r="B1117" t="s">
        <v>33</v>
      </c>
      <c r="C1117" t="s">
        <v>24</v>
      </c>
      <c r="D1117">
        <v>102</v>
      </c>
      <c r="E1117">
        <v>60</v>
      </c>
      <c r="F1117">
        <v>0.63</v>
      </c>
      <c r="G1117">
        <v>0</v>
      </c>
      <c r="H1117">
        <v>894</v>
      </c>
      <c r="I1117">
        <v>709</v>
      </c>
      <c r="J1117">
        <v>185</v>
      </c>
    </row>
    <row r="1118" spans="1:10" x14ac:dyDescent="0.25">
      <c r="A1118">
        <v>56</v>
      </c>
      <c r="B1118" t="s">
        <v>33</v>
      </c>
      <c r="C1118" t="s">
        <v>25</v>
      </c>
      <c r="D1118">
        <v>84</v>
      </c>
      <c r="E1118">
        <v>78</v>
      </c>
      <c r="F1118">
        <v>0.51900000000000002</v>
      </c>
      <c r="G1118">
        <v>18</v>
      </c>
      <c r="H1118">
        <v>802</v>
      </c>
      <c r="I1118">
        <v>742</v>
      </c>
      <c r="J1118">
        <v>60</v>
      </c>
    </row>
    <row r="1119" spans="1:10" x14ac:dyDescent="0.25">
      <c r="A1119">
        <v>56</v>
      </c>
      <c r="B1119" t="s">
        <v>33</v>
      </c>
      <c r="C1119" t="s">
        <v>26</v>
      </c>
      <c r="D1119">
        <v>80</v>
      </c>
      <c r="E1119">
        <v>82</v>
      </c>
      <c r="F1119">
        <v>0.49399999999999999</v>
      </c>
      <c r="G1119">
        <v>22</v>
      </c>
      <c r="H1119">
        <v>779</v>
      </c>
      <c r="I1119">
        <v>815</v>
      </c>
      <c r="J1119">
        <v>-36</v>
      </c>
    </row>
    <row r="1120" spans="1:10" x14ac:dyDescent="0.25">
      <c r="A1120">
        <v>56</v>
      </c>
      <c r="B1120" t="s">
        <v>33</v>
      </c>
      <c r="C1120" t="s">
        <v>27</v>
      </c>
      <c r="D1120">
        <v>75</v>
      </c>
      <c r="E1120">
        <v>87</v>
      </c>
      <c r="F1120">
        <v>0.46300000000000002</v>
      </c>
      <c r="G1120">
        <v>27</v>
      </c>
      <c r="H1120">
        <v>782</v>
      </c>
      <c r="I1120">
        <v>833</v>
      </c>
      <c r="J1120">
        <v>-51</v>
      </c>
    </row>
    <row r="1121" spans="1:10" x14ac:dyDescent="0.25">
      <c r="A1121">
        <v>56</v>
      </c>
      <c r="B1121" t="s">
        <v>33</v>
      </c>
      <c r="C1121" t="s">
        <v>28</v>
      </c>
      <c r="D1121">
        <v>49</v>
      </c>
      <c r="E1121">
        <v>113</v>
      </c>
      <c r="F1121">
        <v>0.30199999999999999</v>
      </c>
      <c r="G1121">
        <v>53</v>
      </c>
      <c r="H1121">
        <v>702</v>
      </c>
      <c r="I1121">
        <v>997</v>
      </c>
      <c r="J1121">
        <v>-295</v>
      </c>
    </row>
    <row r="1122" spans="1:10" x14ac:dyDescent="0.25">
      <c r="A1122">
        <v>57</v>
      </c>
      <c r="B1122" t="s">
        <v>30</v>
      </c>
      <c r="C1122" t="s">
        <v>8</v>
      </c>
      <c r="D1122">
        <v>100</v>
      </c>
      <c r="E1122">
        <v>62</v>
      </c>
      <c r="F1122">
        <v>0.61699999999999999</v>
      </c>
      <c r="G1122">
        <v>0</v>
      </c>
      <c r="H1122">
        <v>856</v>
      </c>
      <c r="I1122">
        <v>670</v>
      </c>
      <c r="J1122">
        <v>186</v>
      </c>
    </row>
    <row r="1123" spans="1:10" x14ac:dyDescent="0.25">
      <c r="A1123">
        <v>57</v>
      </c>
      <c r="B1123" t="s">
        <v>30</v>
      </c>
      <c r="C1123" t="s">
        <v>12</v>
      </c>
      <c r="D1123">
        <v>92</v>
      </c>
      <c r="E1123">
        <v>70</v>
      </c>
      <c r="F1123">
        <v>0.56799999999999995</v>
      </c>
      <c r="G1123">
        <v>8</v>
      </c>
      <c r="H1123">
        <v>951</v>
      </c>
      <c r="I1123">
        <v>872</v>
      </c>
      <c r="J1123">
        <v>79</v>
      </c>
    </row>
    <row r="1124" spans="1:10" x14ac:dyDescent="0.25">
      <c r="A1124">
        <v>57</v>
      </c>
      <c r="B1124" t="s">
        <v>30</v>
      </c>
      <c r="C1124" t="s">
        <v>11</v>
      </c>
      <c r="D1124">
        <v>89</v>
      </c>
      <c r="E1124">
        <v>73</v>
      </c>
      <c r="F1124">
        <v>0.54900000000000004</v>
      </c>
      <c r="G1124">
        <v>11</v>
      </c>
      <c r="H1124">
        <v>891</v>
      </c>
      <c r="I1124">
        <v>811</v>
      </c>
      <c r="J1124">
        <v>80</v>
      </c>
    </row>
    <row r="1125" spans="1:10" x14ac:dyDescent="0.25">
      <c r="A1125">
        <v>57</v>
      </c>
      <c r="B1125" t="s">
        <v>30</v>
      </c>
      <c r="C1125" t="s">
        <v>10</v>
      </c>
      <c r="D1125">
        <v>77</v>
      </c>
      <c r="E1125">
        <v>85</v>
      </c>
      <c r="F1125">
        <v>0.47499999999999998</v>
      </c>
      <c r="G1125">
        <v>23</v>
      </c>
      <c r="H1125">
        <v>927</v>
      </c>
      <c r="I1125">
        <v>893</v>
      </c>
      <c r="J1125">
        <v>34</v>
      </c>
    </row>
    <row r="1126" spans="1:10" x14ac:dyDescent="0.25">
      <c r="A1126">
        <v>57</v>
      </c>
      <c r="B1126" t="s">
        <v>30</v>
      </c>
      <c r="C1126" t="s">
        <v>13</v>
      </c>
      <c r="D1126">
        <v>74</v>
      </c>
      <c r="E1126">
        <v>88</v>
      </c>
      <c r="F1126">
        <v>0.45700000000000002</v>
      </c>
      <c r="G1126">
        <v>26</v>
      </c>
      <c r="H1126">
        <v>836</v>
      </c>
      <c r="I1126">
        <v>856</v>
      </c>
      <c r="J1126">
        <v>-20</v>
      </c>
    </row>
    <row r="1127" spans="1:10" x14ac:dyDescent="0.25">
      <c r="A1127">
        <v>57</v>
      </c>
      <c r="B1127" t="s">
        <v>31</v>
      </c>
      <c r="C1127" t="s">
        <v>14</v>
      </c>
      <c r="D1127">
        <v>103</v>
      </c>
      <c r="E1127">
        <v>59</v>
      </c>
      <c r="F1127">
        <v>0.63600000000000001</v>
      </c>
      <c r="G1127">
        <v>0</v>
      </c>
      <c r="H1127">
        <v>1022</v>
      </c>
      <c r="I1127">
        <v>755</v>
      </c>
      <c r="J1127">
        <v>267</v>
      </c>
    </row>
    <row r="1128" spans="1:10" x14ac:dyDescent="0.25">
      <c r="A1128">
        <v>57</v>
      </c>
      <c r="B1128" t="s">
        <v>31</v>
      </c>
      <c r="C1128" t="s">
        <v>15</v>
      </c>
      <c r="D1128">
        <v>77</v>
      </c>
      <c r="E1128">
        <v>85</v>
      </c>
      <c r="F1128">
        <v>0.47499999999999998</v>
      </c>
      <c r="G1128">
        <v>26</v>
      </c>
      <c r="H1128">
        <v>1013</v>
      </c>
      <c r="I1128">
        <v>1139</v>
      </c>
      <c r="J1128">
        <v>-126</v>
      </c>
    </row>
    <row r="1129" spans="1:10" x14ac:dyDescent="0.25">
      <c r="A1129">
        <v>57</v>
      </c>
      <c r="B1129" t="s">
        <v>31</v>
      </c>
      <c r="C1129" t="s">
        <v>17</v>
      </c>
      <c r="D1129">
        <v>69</v>
      </c>
      <c r="E1129">
        <v>93</v>
      </c>
      <c r="F1129">
        <v>0.42599999999999999</v>
      </c>
      <c r="G1129">
        <v>34</v>
      </c>
      <c r="H1129">
        <v>873</v>
      </c>
      <c r="I1129">
        <v>995</v>
      </c>
      <c r="J1129">
        <v>-122</v>
      </c>
    </row>
    <row r="1130" spans="1:10" x14ac:dyDescent="0.25">
      <c r="A1130">
        <v>57</v>
      </c>
      <c r="B1130" t="s">
        <v>31</v>
      </c>
      <c r="C1130" t="s">
        <v>16</v>
      </c>
      <c r="D1130">
        <v>68</v>
      </c>
      <c r="E1130">
        <v>94</v>
      </c>
      <c r="F1130">
        <v>0.42</v>
      </c>
      <c r="G1130">
        <v>35</v>
      </c>
      <c r="H1130">
        <v>717</v>
      </c>
      <c r="I1130">
        <v>841</v>
      </c>
      <c r="J1130">
        <v>-124</v>
      </c>
    </row>
    <row r="1131" spans="1:10" x14ac:dyDescent="0.25">
      <c r="A1131">
        <v>57</v>
      </c>
      <c r="B1131" t="s">
        <v>31</v>
      </c>
      <c r="C1131" t="s">
        <v>18</v>
      </c>
      <c r="D1131">
        <v>52</v>
      </c>
      <c r="E1131">
        <v>110</v>
      </c>
      <c r="F1131">
        <v>0.32100000000000001</v>
      </c>
      <c r="G1131">
        <v>51</v>
      </c>
      <c r="H1131">
        <v>642</v>
      </c>
      <c r="I1131">
        <v>925</v>
      </c>
      <c r="J1131">
        <v>-283</v>
      </c>
    </row>
    <row r="1132" spans="1:10" x14ac:dyDescent="0.25">
      <c r="A1132">
        <v>57</v>
      </c>
      <c r="B1132" t="s">
        <v>32</v>
      </c>
      <c r="C1132" t="s">
        <v>19</v>
      </c>
      <c r="D1132">
        <v>103</v>
      </c>
      <c r="E1132">
        <v>59</v>
      </c>
      <c r="F1132">
        <v>0.63600000000000001</v>
      </c>
      <c r="G1132">
        <v>0</v>
      </c>
      <c r="H1132">
        <v>973</v>
      </c>
      <c r="I1132">
        <v>776</v>
      </c>
      <c r="J1132">
        <v>197</v>
      </c>
    </row>
    <row r="1133" spans="1:10" x14ac:dyDescent="0.25">
      <c r="A1133">
        <v>57</v>
      </c>
      <c r="B1133" t="s">
        <v>32</v>
      </c>
      <c r="C1133" t="s">
        <v>20</v>
      </c>
      <c r="D1133">
        <v>90</v>
      </c>
      <c r="E1133">
        <v>72</v>
      </c>
      <c r="F1133">
        <v>0.55600000000000005</v>
      </c>
      <c r="G1133">
        <v>13</v>
      </c>
      <c r="H1133">
        <v>898</v>
      </c>
      <c r="I1133">
        <v>789</v>
      </c>
      <c r="J1133">
        <v>109</v>
      </c>
    </row>
    <row r="1134" spans="1:10" x14ac:dyDescent="0.25">
      <c r="A1134">
        <v>57</v>
      </c>
      <c r="B1134" t="s">
        <v>32</v>
      </c>
      <c r="C1134" t="s">
        <v>21</v>
      </c>
      <c r="D1134">
        <v>83</v>
      </c>
      <c r="E1134">
        <v>79</v>
      </c>
      <c r="F1134">
        <v>0.51200000000000001</v>
      </c>
      <c r="G1134">
        <v>20</v>
      </c>
      <c r="H1134">
        <v>997</v>
      </c>
      <c r="I1134">
        <v>953</v>
      </c>
      <c r="J1134">
        <v>44</v>
      </c>
    </row>
    <row r="1135" spans="1:10" x14ac:dyDescent="0.25">
      <c r="A1135">
        <v>57</v>
      </c>
      <c r="B1135" t="s">
        <v>32</v>
      </c>
      <c r="C1135" t="s">
        <v>22</v>
      </c>
      <c r="D1135">
        <v>78</v>
      </c>
      <c r="E1135">
        <v>84</v>
      </c>
      <c r="F1135">
        <v>0.48099999999999998</v>
      </c>
      <c r="G1135">
        <v>25</v>
      </c>
      <c r="H1135">
        <v>917</v>
      </c>
      <c r="I1135">
        <v>960</v>
      </c>
      <c r="J1135">
        <v>-43</v>
      </c>
    </row>
    <row r="1136" spans="1:10" x14ac:dyDescent="0.25">
      <c r="A1136">
        <v>57</v>
      </c>
      <c r="B1136" t="s">
        <v>32</v>
      </c>
      <c r="C1136" t="s">
        <v>23</v>
      </c>
      <c r="D1136">
        <v>47</v>
      </c>
      <c r="E1136">
        <v>115</v>
      </c>
      <c r="F1136">
        <v>0.28999999999999998</v>
      </c>
      <c r="G1136">
        <v>56</v>
      </c>
      <c r="H1136">
        <v>725</v>
      </c>
      <c r="I1136">
        <v>1024</v>
      </c>
      <c r="J1136">
        <v>-299</v>
      </c>
    </row>
    <row r="1137" spans="1:10" x14ac:dyDescent="0.25">
      <c r="A1137">
        <v>57</v>
      </c>
      <c r="B1137" t="s">
        <v>33</v>
      </c>
      <c r="C1137" t="s">
        <v>24</v>
      </c>
      <c r="D1137">
        <v>105</v>
      </c>
      <c r="E1137">
        <v>57</v>
      </c>
      <c r="F1137">
        <v>0.64800000000000002</v>
      </c>
      <c r="G1137">
        <v>0</v>
      </c>
      <c r="H1137">
        <v>901</v>
      </c>
      <c r="I1137">
        <v>667</v>
      </c>
      <c r="J1137">
        <v>234</v>
      </c>
    </row>
    <row r="1138" spans="1:10" x14ac:dyDescent="0.25">
      <c r="A1138">
        <v>57</v>
      </c>
      <c r="B1138" t="s">
        <v>33</v>
      </c>
      <c r="C1138" t="s">
        <v>26</v>
      </c>
      <c r="D1138">
        <v>92</v>
      </c>
      <c r="E1138">
        <v>70</v>
      </c>
      <c r="F1138">
        <v>0.56799999999999995</v>
      </c>
      <c r="G1138">
        <v>13</v>
      </c>
      <c r="H1138">
        <v>827</v>
      </c>
      <c r="I1138">
        <v>770</v>
      </c>
      <c r="J1138">
        <v>57</v>
      </c>
    </row>
    <row r="1139" spans="1:10" x14ac:dyDescent="0.25">
      <c r="A1139">
        <v>57</v>
      </c>
      <c r="B1139" t="s">
        <v>33</v>
      </c>
      <c r="C1139" t="s">
        <v>25</v>
      </c>
      <c r="D1139">
        <v>92</v>
      </c>
      <c r="E1139">
        <v>70</v>
      </c>
      <c r="F1139">
        <v>0.56799999999999995</v>
      </c>
      <c r="G1139">
        <v>13</v>
      </c>
      <c r="H1139">
        <v>862</v>
      </c>
      <c r="I1139">
        <v>765</v>
      </c>
      <c r="J1139">
        <v>97</v>
      </c>
    </row>
    <row r="1140" spans="1:10" x14ac:dyDescent="0.25">
      <c r="A1140">
        <v>57</v>
      </c>
      <c r="B1140" t="s">
        <v>33</v>
      </c>
      <c r="C1140" t="s">
        <v>27</v>
      </c>
      <c r="D1140">
        <v>76</v>
      </c>
      <c r="E1140">
        <v>86</v>
      </c>
      <c r="F1140">
        <v>0.46899999999999997</v>
      </c>
      <c r="G1140">
        <v>29</v>
      </c>
      <c r="H1140">
        <v>791</v>
      </c>
      <c r="I1140">
        <v>879</v>
      </c>
      <c r="J1140">
        <v>-88</v>
      </c>
    </row>
    <row r="1141" spans="1:10" x14ac:dyDescent="0.25">
      <c r="A1141">
        <v>57</v>
      </c>
      <c r="B1141" t="s">
        <v>33</v>
      </c>
      <c r="C1141" t="s">
        <v>28</v>
      </c>
      <c r="D1141">
        <v>53</v>
      </c>
      <c r="E1141">
        <v>109</v>
      </c>
      <c r="F1141">
        <v>0.32700000000000001</v>
      </c>
      <c r="G1141">
        <v>52</v>
      </c>
      <c r="H1141">
        <v>723</v>
      </c>
      <c r="I1141">
        <v>1002</v>
      </c>
      <c r="J1141">
        <v>-279</v>
      </c>
    </row>
    <row r="1142" spans="1:10" x14ac:dyDescent="0.25">
      <c r="A1142">
        <v>58</v>
      </c>
      <c r="B1142" t="s">
        <v>30</v>
      </c>
      <c r="C1142" t="s">
        <v>8</v>
      </c>
      <c r="D1142">
        <v>106</v>
      </c>
      <c r="E1142">
        <v>56</v>
      </c>
      <c r="F1142">
        <v>0.65400000000000003</v>
      </c>
      <c r="G1142">
        <v>0</v>
      </c>
      <c r="H1142">
        <v>894</v>
      </c>
      <c r="I1142">
        <v>653</v>
      </c>
      <c r="J1142">
        <v>241</v>
      </c>
    </row>
    <row r="1143" spans="1:10" x14ac:dyDescent="0.25">
      <c r="A1143">
        <v>58</v>
      </c>
      <c r="B1143" t="s">
        <v>30</v>
      </c>
      <c r="C1143" t="s">
        <v>12</v>
      </c>
      <c r="D1143">
        <v>92</v>
      </c>
      <c r="E1143">
        <v>70</v>
      </c>
      <c r="F1143">
        <v>0.56799999999999995</v>
      </c>
      <c r="G1143">
        <v>14</v>
      </c>
      <c r="H1143">
        <v>1023</v>
      </c>
      <c r="I1143">
        <v>917</v>
      </c>
      <c r="J1143">
        <v>106</v>
      </c>
    </row>
    <row r="1144" spans="1:10" x14ac:dyDescent="0.25">
      <c r="A1144">
        <v>58</v>
      </c>
      <c r="B1144" t="s">
        <v>30</v>
      </c>
      <c r="C1144" t="s">
        <v>11</v>
      </c>
      <c r="D1144">
        <v>89</v>
      </c>
      <c r="E1144">
        <v>73</v>
      </c>
      <c r="F1144">
        <v>0.54900000000000004</v>
      </c>
      <c r="G1144">
        <v>17</v>
      </c>
      <c r="H1144">
        <v>846</v>
      </c>
      <c r="I1144">
        <v>767</v>
      </c>
      <c r="J1144">
        <v>79</v>
      </c>
    </row>
    <row r="1145" spans="1:10" x14ac:dyDescent="0.25">
      <c r="A1145">
        <v>58</v>
      </c>
      <c r="B1145" t="s">
        <v>30</v>
      </c>
      <c r="C1145" t="s">
        <v>10</v>
      </c>
      <c r="D1145">
        <v>81</v>
      </c>
      <c r="E1145">
        <v>81</v>
      </c>
      <c r="F1145">
        <v>0.5</v>
      </c>
      <c r="G1145">
        <v>25</v>
      </c>
      <c r="H1145">
        <v>970</v>
      </c>
      <c r="I1145">
        <v>917</v>
      </c>
      <c r="J1145">
        <v>53</v>
      </c>
    </row>
    <row r="1146" spans="1:10" x14ac:dyDescent="0.25">
      <c r="A1146">
        <v>58</v>
      </c>
      <c r="B1146" t="s">
        <v>30</v>
      </c>
      <c r="C1146" t="s">
        <v>13</v>
      </c>
      <c r="D1146">
        <v>73</v>
      </c>
      <c r="E1146">
        <v>89</v>
      </c>
      <c r="F1146">
        <v>0.45100000000000001</v>
      </c>
      <c r="G1146">
        <v>33</v>
      </c>
      <c r="H1146">
        <v>840</v>
      </c>
      <c r="I1146">
        <v>888</v>
      </c>
      <c r="J1146">
        <v>-48</v>
      </c>
    </row>
    <row r="1147" spans="1:10" x14ac:dyDescent="0.25">
      <c r="A1147">
        <v>58</v>
      </c>
      <c r="B1147" t="s">
        <v>31</v>
      </c>
      <c r="C1147" t="s">
        <v>14</v>
      </c>
      <c r="D1147">
        <v>108</v>
      </c>
      <c r="E1147">
        <v>54</v>
      </c>
      <c r="F1147">
        <v>0.66700000000000004</v>
      </c>
      <c r="G1147">
        <v>0</v>
      </c>
      <c r="H1147">
        <v>947</v>
      </c>
      <c r="I1147">
        <v>697</v>
      </c>
      <c r="J1147">
        <v>250</v>
      </c>
    </row>
    <row r="1148" spans="1:10" x14ac:dyDescent="0.25">
      <c r="A1148">
        <v>58</v>
      </c>
      <c r="B1148" t="s">
        <v>31</v>
      </c>
      <c r="C1148" t="s">
        <v>15</v>
      </c>
      <c r="D1148">
        <v>74</v>
      </c>
      <c r="E1148">
        <v>88</v>
      </c>
      <c r="F1148">
        <v>0.45700000000000002</v>
      </c>
      <c r="G1148">
        <v>34</v>
      </c>
      <c r="H1148">
        <v>1047</v>
      </c>
      <c r="I1148">
        <v>1170</v>
      </c>
      <c r="J1148">
        <v>-123</v>
      </c>
    </row>
    <row r="1149" spans="1:10" x14ac:dyDescent="0.25">
      <c r="A1149">
        <v>58</v>
      </c>
      <c r="B1149" t="s">
        <v>31</v>
      </c>
      <c r="C1149" t="s">
        <v>17</v>
      </c>
      <c r="D1149">
        <v>68</v>
      </c>
      <c r="E1149">
        <v>94</v>
      </c>
      <c r="F1149">
        <v>0.42</v>
      </c>
      <c r="G1149">
        <v>40</v>
      </c>
      <c r="H1149">
        <v>837</v>
      </c>
      <c r="I1149">
        <v>963</v>
      </c>
      <c r="J1149">
        <v>-126</v>
      </c>
    </row>
    <row r="1150" spans="1:10" x14ac:dyDescent="0.25">
      <c r="A1150">
        <v>58</v>
      </c>
      <c r="B1150" t="s">
        <v>31</v>
      </c>
      <c r="C1150" t="s">
        <v>16</v>
      </c>
      <c r="D1150">
        <v>63</v>
      </c>
      <c r="E1150">
        <v>99</v>
      </c>
      <c r="F1150">
        <v>0.38900000000000001</v>
      </c>
      <c r="G1150">
        <v>45</v>
      </c>
      <c r="H1150">
        <v>728</v>
      </c>
      <c r="I1150">
        <v>870</v>
      </c>
      <c r="J1150">
        <v>-142</v>
      </c>
    </row>
    <row r="1151" spans="1:10" x14ac:dyDescent="0.25">
      <c r="A1151">
        <v>58</v>
      </c>
      <c r="B1151" t="s">
        <v>31</v>
      </c>
      <c r="C1151" t="s">
        <v>18</v>
      </c>
      <c r="D1151">
        <v>50</v>
      </c>
      <c r="E1151">
        <v>112</v>
      </c>
      <c r="F1151">
        <v>0.309</v>
      </c>
      <c r="G1151">
        <v>58</v>
      </c>
      <c r="H1151">
        <v>683</v>
      </c>
      <c r="I1151">
        <v>1032</v>
      </c>
      <c r="J1151">
        <v>-349</v>
      </c>
    </row>
    <row r="1152" spans="1:10" x14ac:dyDescent="0.25">
      <c r="A1152">
        <v>58</v>
      </c>
      <c r="B1152" t="s">
        <v>32</v>
      </c>
      <c r="C1152" t="s">
        <v>19</v>
      </c>
      <c r="D1152">
        <v>110</v>
      </c>
      <c r="E1152">
        <v>52</v>
      </c>
      <c r="F1152">
        <v>0.67900000000000005</v>
      </c>
      <c r="G1152">
        <v>0</v>
      </c>
      <c r="H1152">
        <v>1087</v>
      </c>
      <c r="I1152">
        <v>800</v>
      </c>
      <c r="J1152">
        <v>287</v>
      </c>
    </row>
    <row r="1153" spans="1:10" x14ac:dyDescent="0.25">
      <c r="A1153">
        <v>58</v>
      </c>
      <c r="B1153" t="s">
        <v>32</v>
      </c>
      <c r="C1153" t="s">
        <v>20</v>
      </c>
      <c r="D1153">
        <v>92</v>
      </c>
      <c r="E1153">
        <v>70</v>
      </c>
      <c r="F1153">
        <v>0.56799999999999995</v>
      </c>
      <c r="G1153">
        <v>18</v>
      </c>
      <c r="H1153">
        <v>1034</v>
      </c>
      <c r="I1153">
        <v>885</v>
      </c>
      <c r="J1153">
        <v>149</v>
      </c>
    </row>
    <row r="1154" spans="1:10" x14ac:dyDescent="0.25">
      <c r="A1154">
        <v>58</v>
      </c>
      <c r="B1154" t="s">
        <v>32</v>
      </c>
      <c r="C1154" t="s">
        <v>21</v>
      </c>
      <c r="D1154">
        <v>82</v>
      </c>
      <c r="E1154">
        <v>80</v>
      </c>
      <c r="F1154">
        <v>0.50600000000000001</v>
      </c>
      <c r="G1154">
        <v>28</v>
      </c>
      <c r="H1154">
        <v>903</v>
      </c>
      <c r="I1154">
        <v>898</v>
      </c>
      <c r="J1154">
        <v>5</v>
      </c>
    </row>
    <row r="1155" spans="1:10" x14ac:dyDescent="0.25">
      <c r="A1155">
        <v>58</v>
      </c>
      <c r="B1155" t="s">
        <v>32</v>
      </c>
      <c r="C1155" t="s">
        <v>22</v>
      </c>
      <c r="D1155">
        <v>73</v>
      </c>
      <c r="E1155">
        <v>89</v>
      </c>
      <c r="F1155">
        <v>0.45100000000000001</v>
      </c>
      <c r="G1155">
        <v>37</v>
      </c>
      <c r="H1155">
        <v>924</v>
      </c>
      <c r="I1155">
        <v>1010</v>
      </c>
      <c r="J1155">
        <v>-86</v>
      </c>
    </row>
    <row r="1156" spans="1:10" x14ac:dyDescent="0.25">
      <c r="A1156">
        <v>58</v>
      </c>
      <c r="B1156" t="s">
        <v>32</v>
      </c>
      <c r="C1156" t="s">
        <v>23</v>
      </c>
      <c r="D1156">
        <v>61</v>
      </c>
      <c r="E1156">
        <v>101</v>
      </c>
      <c r="F1156">
        <v>0.377</v>
      </c>
      <c r="G1156">
        <v>49</v>
      </c>
      <c r="H1156">
        <v>808</v>
      </c>
      <c r="I1156">
        <v>1040</v>
      </c>
      <c r="J1156">
        <v>-232</v>
      </c>
    </row>
    <row r="1157" spans="1:10" x14ac:dyDescent="0.25">
      <c r="A1157">
        <v>58</v>
      </c>
      <c r="B1157" t="s">
        <v>33</v>
      </c>
      <c r="C1157" t="s">
        <v>24</v>
      </c>
      <c r="D1157">
        <v>102</v>
      </c>
      <c r="E1157">
        <v>60</v>
      </c>
      <c r="F1157">
        <v>0.63</v>
      </c>
      <c r="G1157">
        <v>0</v>
      </c>
      <c r="H1157">
        <v>1002</v>
      </c>
      <c r="I1157">
        <v>784</v>
      </c>
      <c r="J1157">
        <v>218</v>
      </c>
    </row>
    <row r="1158" spans="1:10" x14ac:dyDescent="0.25">
      <c r="A1158">
        <v>58</v>
      </c>
      <c r="B1158" t="s">
        <v>33</v>
      </c>
      <c r="C1158" t="s">
        <v>25</v>
      </c>
      <c r="D1158">
        <v>88</v>
      </c>
      <c r="E1158">
        <v>74</v>
      </c>
      <c r="F1158">
        <v>0.54300000000000004</v>
      </c>
      <c r="G1158">
        <v>14</v>
      </c>
      <c r="H1158">
        <v>880</v>
      </c>
      <c r="I1158">
        <v>778</v>
      </c>
      <c r="J1158">
        <v>102</v>
      </c>
    </row>
    <row r="1159" spans="1:10" x14ac:dyDescent="0.25">
      <c r="A1159">
        <v>58</v>
      </c>
      <c r="B1159" t="s">
        <v>33</v>
      </c>
      <c r="C1159" t="s">
        <v>27</v>
      </c>
      <c r="D1159">
        <v>75</v>
      </c>
      <c r="E1159">
        <v>87</v>
      </c>
      <c r="F1159">
        <v>0.46300000000000002</v>
      </c>
      <c r="G1159">
        <v>27</v>
      </c>
      <c r="H1159">
        <v>825</v>
      </c>
      <c r="I1159">
        <v>920</v>
      </c>
      <c r="J1159">
        <v>-95</v>
      </c>
    </row>
    <row r="1160" spans="1:10" x14ac:dyDescent="0.25">
      <c r="A1160">
        <v>58</v>
      </c>
      <c r="B1160" t="s">
        <v>33</v>
      </c>
      <c r="C1160" t="s">
        <v>26</v>
      </c>
      <c r="D1160">
        <v>75</v>
      </c>
      <c r="E1160">
        <v>87</v>
      </c>
      <c r="F1160">
        <v>0.46300000000000002</v>
      </c>
      <c r="G1160">
        <v>27</v>
      </c>
      <c r="H1160">
        <v>808</v>
      </c>
      <c r="I1160">
        <v>839</v>
      </c>
      <c r="J1160">
        <v>-31</v>
      </c>
    </row>
    <row r="1161" spans="1:10" x14ac:dyDescent="0.25">
      <c r="A1161">
        <v>58</v>
      </c>
      <c r="B1161" t="s">
        <v>33</v>
      </c>
      <c r="C1161" t="s">
        <v>28</v>
      </c>
      <c r="D1161">
        <v>58</v>
      </c>
      <c r="E1161">
        <v>104</v>
      </c>
      <c r="F1161">
        <v>0.35799999999999998</v>
      </c>
      <c r="G1161">
        <v>44</v>
      </c>
      <c r="H1161">
        <v>723</v>
      </c>
      <c r="I1161">
        <v>981</v>
      </c>
      <c r="J1161">
        <v>-258</v>
      </c>
    </row>
    <row r="1162" spans="1:10" x14ac:dyDescent="0.25">
      <c r="A1162">
        <v>59</v>
      </c>
      <c r="B1162" t="s">
        <v>30</v>
      </c>
      <c r="C1162" t="s">
        <v>8</v>
      </c>
      <c r="D1162">
        <v>106</v>
      </c>
      <c r="E1162">
        <v>56</v>
      </c>
      <c r="F1162">
        <v>0.65400000000000003</v>
      </c>
      <c r="G1162">
        <v>0</v>
      </c>
      <c r="H1162">
        <v>921</v>
      </c>
      <c r="I1162">
        <v>664</v>
      </c>
      <c r="J1162">
        <v>257</v>
      </c>
    </row>
    <row r="1163" spans="1:10" x14ac:dyDescent="0.25">
      <c r="A1163">
        <v>59</v>
      </c>
      <c r="B1163" t="s">
        <v>30</v>
      </c>
      <c r="C1163" t="s">
        <v>10</v>
      </c>
      <c r="D1163">
        <v>98</v>
      </c>
      <c r="E1163">
        <v>64</v>
      </c>
      <c r="F1163">
        <v>0.60499999999999998</v>
      </c>
      <c r="G1163">
        <v>8</v>
      </c>
      <c r="H1163">
        <v>983</v>
      </c>
      <c r="I1163">
        <v>870</v>
      </c>
      <c r="J1163">
        <v>113</v>
      </c>
    </row>
    <row r="1164" spans="1:10" x14ac:dyDescent="0.25">
      <c r="A1164">
        <v>59</v>
      </c>
      <c r="B1164" t="s">
        <v>30</v>
      </c>
      <c r="C1164" t="s">
        <v>12</v>
      </c>
      <c r="D1164">
        <v>86</v>
      </c>
      <c r="E1164">
        <v>76</v>
      </c>
      <c r="F1164">
        <v>0.53100000000000003</v>
      </c>
      <c r="G1164">
        <v>20</v>
      </c>
      <c r="H1164">
        <v>859</v>
      </c>
      <c r="I1164">
        <v>849</v>
      </c>
      <c r="J1164">
        <v>10</v>
      </c>
    </row>
    <row r="1165" spans="1:10" x14ac:dyDescent="0.25">
      <c r="A1165">
        <v>59</v>
      </c>
      <c r="B1165" t="s">
        <v>30</v>
      </c>
      <c r="C1165" t="s">
        <v>13</v>
      </c>
      <c r="D1165">
        <v>84</v>
      </c>
      <c r="E1165">
        <v>78</v>
      </c>
      <c r="F1165">
        <v>0.51900000000000002</v>
      </c>
      <c r="G1165">
        <v>22</v>
      </c>
      <c r="H1165">
        <v>857</v>
      </c>
      <c r="I1165">
        <v>859</v>
      </c>
      <c r="J1165">
        <v>-2</v>
      </c>
    </row>
    <row r="1166" spans="1:10" x14ac:dyDescent="0.25">
      <c r="A1166">
        <v>59</v>
      </c>
      <c r="B1166" t="s">
        <v>30</v>
      </c>
      <c r="C1166" t="s">
        <v>11</v>
      </c>
      <c r="D1166">
        <v>78</v>
      </c>
      <c r="E1166">
        <v>84</v>
      </c>
      <c r="F1166">
        <v>0.48099999999999998</v>
      </c>
      <c r="G1166">
        <v>28</v>
      </c>
      <c r="H1166">
        <v>822</v>
      </c>
      <c r="I1166">
        <v>802</v>
      </c>
      <c r="J1166">
        <v>20</v>
      </c>
    </row>
    <row r="1167" spans="1:10" x14ac:dyDescent="0.25">
      <c r="A1167">
        <v>59</v>
      </c>
      <c r="B1167" t="s">
        <v>31</v>
      </c>
      <c r="C1167" t="s">
        <v>14</v>
      </c>
      <c r="D1167">
        <v>113</v>
      </c>
      <c r="E1167">
        <v>49</v>
      </c>
      <c r="F1167">
        <v>0.69799999999999995</v>
      </c>
      <c r="G1167">
        <v>0</v>
      </c>
      <c r="H1167">
        <v>993</v>
      </c>
      <c r="I1167">
        <v>686</v>
      </c>
      <c r="J1167">
        <v>307</v>
      </c>
    </row>
    <row r="1168" spans="1:10" x14ac:dyDescent="0.25">
      <c r="A1168">
        <v>59</v>
      </c>
      <c r="B1168" t="s">
        <v>31</v>
      </c>
      <c r="C1168" t="s">
        <v>16</v>
      </c>
      <c r="D1168">
        <v>80</v>
      </c>
      <c r="E1168">
        <v>82</v>
      </c>
      <c r="F1168">
        <v>0.49399999999999999</v>
      </c>
      <c r="G1168">
        <v>33</v>
      </c>
      <c r="H1168">
        <v>748</v>
      </c>
      <c r="I1168">
        <v>796</v>
      </c>
      <c r="J1168">
        <v>-48</v>
      </c>
    </row>
    <row r="1169" spans="1:10" x14ac:dyDescent="0.25">
      <c r="A1169">
        <v>59</v>
      </c>
      <c r="B1169" t="s">
        <v>31</v>
      </c>
      <c r="C1169" t="s">
        <v>15</v>
      </c>
      <c r="D1169">
        <v>74</v>
      </c>
      <c r="E1169">
        <v>88</v>
      </c>
      <c r="F1169">
        <v>0.45700000000000002</v>
      </c>
      <c r="G1169">
        <v>39</v>
      </c>
      <c r="H1169">
        <v>979</v>
      </c>
      <c r="I1169">
        <v>1140</v>
      </c>
      <c r="J1169">
        <v>-161</v>
      </c>
    </row>
    <row r="1170" spans="1:10" x14ac:dyDescent="0.25">
      <c r="A1170">
        <v>59</v>
      </c>
      <c r="B1170" t="s">
        <v>31</v>
      </c>
      <c r="C1170" t="s">
        <v>17</v>
      </c>
      <c r="D1170">
        <v>56</v>
      </c>
      <c r="E1170">
        <v>106</v>
      </c>
      <c r="F1170">
        <v>0.34599999999999997</v>
      </c>
      <c r="G1170">
        <v>57</v>
      </c>
      <c r="H1170">
        <v>846</v>
      </c>
      <c r="I1170">
        <v>1060</v>
      </c>
      <c r="J1170">
        <v>-214</v>
      </c>
    </row>
    <row r="1171" spans="1:10" x14ac:dyDescent="0.25">
      <c r="A1171">
        <v>59</v>
      </c>
      <c r="B1171" t="s">
        <v>31</v>
      </c>
      <c r="C1171" t="s">
        <v>18</v>
      </c>
      <c r="D1171">
        <v>40</v>
      </c>
      <c r="E1171">
        <v>122</v>
      </c>
      <c r="F1171">
        <v>0.247</v>
      </c>
      <c r="G1171">
        <v>73</v>
      </c>
      <c r="H1171">
        <v>636</v>
      </c>
      <c r="I1171">
        <v>980</v>
      </c>
      <c r="J1171">
        <v>-344</v>
      </c>
    </row>
    <row r="1172" spans="1:10" x14ac:dyDescent="0.25">
      <c r="A1172">
        <v>59</v>
      </c>
      <c r="B1172" t="s">
        <v>32</v>
      </c>
      <c r="C1172" t="s">
        <v>19</v>
      </c>
      <c r="D1172">
        <v>110</v>
      </c>
      <c r="E1172">
        <v>52</v>
      </c>
      <c r="F1172">
        <v>0.67900000000000005</v>
      </c>
      <c r="G1172">
        <v>0</v>
      </c>
      <c r="H1172">
        <v>1115</v>
      </c>
      <c r="I1172">
        <v>748</v>
      </c>
      <c r="J1172">
        <v>367</v>
      </c>
    </row>
    <row r="1173" spans="1:10" x14ac:dyDescent="0.25">
      <c r="A1173">
        <v>59</v>
      </c>
      <c r="B1173" t="s">
        <v>32</v>
      </c>
      <c r="C1173" t="s">
        <v>20</v>
      </c>
      <c r="D1173">
        <v>94</v>
      </c>
      <c r="E1173">
        <v>68</v>
      </c>
      <c r="F1173">
        <v>0.57999999999999996</v>
      </c>
      <c r="G1173">
        <v>16</v>
      </c>
      <c r="H1173">
        <v>999</v>
      </c>
      <c r="I1173">
        <v>833</v>
      </c>
      <c r="J1173">
        <v>166</v>
      </c>
    </row>
    <row r="1174" spans="1:10" x14ac:dyDescent="0.25">
      <c r="A1174">
        <v>59</v>
      </c>
      <c r="B1174" t="s">
        <v>32</v>
      </c>
      <c r="C1174" t="s">
        <v>21</v>
      </c>
      <c r="D1174">
        <v>82</v>
      </c>
      <c r="E1174">
        <v>80</v>
      </c>
      <c r="F1174">
        <v>0.50600000000000001</v>
      </c>
      <c r="G1174">
        <v>28</v>
      </c>
      <c r="H1174">
        <v>954</v>
      </c>
      <c r="I1174">
        <v>924</v>
      </c>
      <c r="J1174">
        <v>30</v>
      </c>
    </row>
    <row r="1175" spans="1:10" x14ac:dyDescent="0.25">
      <c r="A1175">
        <v>59</v>
      </c>
      <c r="B1175" t="s">
        <v>32</v>
      </c>
      <c r="C1175" t="s">
        <v>22</v>
      </c>
      <c r="D1175">
        <v>65</v>
      </c>
      <c r="E1175">
        <v>97</v>
      </c>
      <c r="F1175">
        <v>0.40100000000000002</v>
      </c>
      <c r="G1175">
        <v>45</v>
      </c>
      <c r="H1175">
        <v>804</v>
      </c>
      <c r="I1175">
        <v>1012</v>
      </c>
      <c r="J1175">
        <v>-208</v>
      </c>
    </row>
    <row r="1176" spans="1:10" x14ac:dyDescent="0.25">
      <c r="A1176">
        <v>59</v>
      </c>
      <c r="B1176" t="s">
        <v>32</v>
      </c>
      <c r="C1176" t="s">
        <v>23</v>
      </c>
      <c r="D1176">
        <v>62</v>
      </c>
      <c r="E1176">
        <v>100</v>
      </c>
      <c r="F1176">
        <v>0.38300000000000001</v>
      </c>
      <c r="G1176">
        <v>48</v>
      </c>
      <c r="H1176">
        <v>821</v>
      </c>
      <c r="I1176">
        <v>989</v>
      </c>
      <c r="J1176">
        <v>-168</v>
      </c>
    </row>
    <row r="1177" spans="1:10" x14ac:dyDescent="0.25">
      <c r="A1177">
        <v>59</v>
      </c>
      <c r="B1177" t="s">
        <v>33</v>
      </c>
      <c r="C1177" t="s">
        <v>26</v>
      </c>
      <c r="D1177">
        <v>96</v>
      </c>
      <c r="E1177">
        <v>66</v>
      </c>
      <c r="F1177">
        <v>0.59299999999999997</v>
      </c>
      <c r="G1177">
        <v>0</v>
      </c>
      <c r="H1177">
        <v>925</v>
      </c>
      <c r="I1177">
        <v>807</v>
      </c>
      <c r="J1177">
        <v>118</v>
      </c>
    </row>
    <row r="1178" spans="1:10" x14ac:dyDescent="0.25">
      <c r="A1178">
        <v>59</v>
      </c>
      <c r="B1178" t="s">
        <v>33</v>
      </c>
      <c r="C1178" t="s">
        <v>24</v>
      </c>
      <c r="D1178">
        <v>92</v>
      </c>
      <c r="E1178">
        <v>70</v>
      </c>
      <c r="F1178">
        <v>0.56799999999999995</v>
      </c>
      <c r="G1178">
        <v>4</v>
      </c>
      <c r="H1178">
        <v>889</v>
      </c>
      <c r="I1178">
        <v>787</v>
      </c>
      <c r="J1178">
        <v>102</v>
      </c>
    </row>
    <row r="1179" spans="1:10" x14ac:dyDescent="0.25">
      <c r="A1179">
        <v>59</v>
      </c>
      <c r="B1179" t="s">
        <v>33</v>
      </c>
      <c r="C1179" t="s">
        <v>25</v>
      </c>
      <c r="D1179">
        <v>87</v>
      </c>
      <c r="E1179">
        <v>75</v>
      </c>
      <c r="F1179">
        <v>0.53700000000000003</v>
      </c>
      <c r="G1179">
        <v>9</v>
      </c>
      <c r="H1179">
        <v>814</v>
      </c>
      <c r="I1179">
        <v>729</v>
      </c>
      <c r="J1179">
        <v>85</v>
      </c>
    </row>
    <row r="1180" spans="1:10" x14ac:dyDescent="0.25">
      <c r="A1180">
        <v>59</v>
      </c>
      <c r="B1180" t="s">
        <v>33</v>
      </c>
      <c r="C1180" t="s">
        <v>28</v>
      </c>
      <c r="D1180">
        <v>59</v>
      </c>
      <c r="E1180">
        <v>103</v>
      </c>
      <c r="F1180">
        <v>0.36399999999999999</v>
      </c>
      <c r="G1180">
        <v>37</v>
      </c>
      <c r="H1180">
        <v>720</v>
      </c>
      <c r="I1180">
        <v>936</v>
      </c>
      <c r="J1180">
        <v>-216</v>
      </c>
    </row>
    <row r="1181" spans="1:10" x14ac:dyDescent="0.25">
      <c r="A1181">
        <v>59</v>
      </c>
      <c r="B1181" t="s">
        <v>33</v>
      </c>
      <c r="C1181" t="s">
        <v>27</v>
      </c>
      <c r="D1181">
        <v>58</v>
      </c>
      <c r="E1181">
        <v>104</v>
      </c>
      <c r="F1181">
        <v>0.35799999999999998</v>
      </c>
      <c r="G1181">
        <v>38</v>
      </c>
      <c r="H1181">
        <v>747</v>
      </c>
      <c r="I1181">
        <v>961</v>
      </c>
      <c r="J1181">
        <v>-214</v>
      </c>
    </row>
    <row r="1182" spans="1:10" x14ac:dyDescent="0.25">
      <c r="A1182">
        <v>60</v>
      </c>
      <c r="B1182" t="s">
        <v>30</v>
      </c>
      <c r="C1182" t="s">
        <v>12</v>
      </c>
      <c r="D1182">
        <v>100</v>
      </c>
      <c r="E1182">
        <v>62</v>
      </c>
      <c r="F1182">
        <v>0.61699999999999999</v>
      </c>
      <c r="G1182">
        <v>0</v>
      </c>
      <c r="H1182">
        <v>981</v>
      </c>
      <c r="I1182">
        <v>804</v>
      </c>
      <c r="J1182">
        <v>177</v>
      </c>
    </row>
    <row r="1183" spans="1:10" x14ac:dyDescent="0.25">
      <c r="A1183">
        <v>60</v>
      </c>
      <c r="B1183" t="s">
        <v>30</v>
      </c>
      <c r="C1183" t="s">
        <v>10</v>
      </c>
      <c r="D1183">
        <v>99</v>
      </c>
      <c r="E1183">
        <v>63</v>
      </c>
      <c r="F1183">
        <v>0.61099999999999999</v>
      </c>
      <c r="G1183">
        <v>1</v>
      </c>
      <c r="H1183">
        <v>1007</v>
      </c>
      <c r="I1183">
        <v>867</v>
      </c>
      <c r="J1183">
        <v>140</v>
      </c>
    </row>
    <row r="1184" spans="1:10" x14ac:dyDescent="0.25">
      <c r="A1184">
        <v>60</v>
      </c>
      <c r="B1184" t="s">
        <v>30</v>
      </c>
      <c r="C1184" t="s">
        <v>8</v>
      </c>
      <c r="D1184">
        <v>91</v>
      </c>
      <c r="E1184">
        <v>71</v>
      </c>
      <c r="F1184">
        <v>0.56200000000000006</v>
      </c>
      <c r="G1184">
        <v>9</v>
      </c>
      <c r="H1184">
        <v>801</v>
      </c>
      <c r="I1184">
        <v>687</v>
      </c>
      <c r="J1184">
        <v>114</v>
      </c>
    </row>
    <row r="1185" spans="1:10" x14ac:dyDescent="0.25">
      <c r="A1185">
        <v>60</v>
      </c>
      <c r="B1185" t="s">
        <v>30</v>
      </c>
      <c r="C1185" t="s">
        <v>11</v>
      </c>
      <c r="D1185">
        <v>83</v>
      </c>
      <c r="E1185">
        <v>79</v>
      </c>
      <c r="F1185">
        <v>0.51200000000000001</v>
      </c>
      <c r="G1185">
        <v>17</v>
      </c>
      <c r="H1185">
        <v>858</v>
      </c>
      <c r="I1185">
        <v>815</v>
      </c>
      <c r="J1185">
        <v>43</v>
      </c>
    </row>
    <row r="1186" spans="1:10" x14ac:dyDescent="0.25">
      <c r="A1186">
        <v>60</v>
      </c>
      <c r="B1186" t="s">
        <v>30</v>
      </c>
      <c r="C1186" t="s">
        <v>13</v>
      </c>
      <c r="D1186">
        <v>79</v>
      </c>
      <c r="E1186">
        <v>83</v>
      </c>
      <c r="F1186">
        <v>0.48799999999999999</v>
      </c>
      <c r="G1186">
        <v>21</v>
      </c>
      <c r="H1186">
        <v>865</v>
      </c>
      <c r="I1186">
        <v>859</v>
      </c>
      <c r="J1186">
        <v>6</v>
      </c>
    </row>
    <row r="1187" spans="1:10" x14ac:dyDescent="0.25">
      <c r="A1187">
        <v>60</v>
      </c>
      <c r="B1187" t="s">
        <v>31</v>
      </c>
      <c r="C1187" t="s">
        <v>14</v>
      </c>
      <c r="D1187">
        <v>104</v>
      </c>
      <c r="E1187">
        <v>58</v>
      </c>
      <c r="F1187">
        <v>0.64200000000000002</v>
      </c>
      <c r="G1187">
        <v>0</v>
      </c>
      <c r="H1187">
        <v>959</v>
      </c>
      <c r="I1187">
        <v>733</v>
      </c>
      <c r="J1187">
        <v>226</v>
      </c>
    </row>
    <row r="1188" spans="1:10" x14ac:dyDescent="0.25">
      <c r="A1188">
        <v>60</v>
      </c>
      <c r="B1188" t="s">
        <v>31</v>
      </c>
      <c r="C1188" t="s">
        <v>17</v>
      </c>
      <c r="D1188">
        <v>70</v>
      </c>
      <c r="E1188">
        <v>92</v>
      </c>
      <c r="F1188">
        <v>0.432</v>
      </c>
      <c r="G1188">
        <v>34</v>
      </c>
      <c r="H1188">
        <v>845</v>
      </c>
      <c r="I1188">
        <v>1021</v>
      </c>
      <c r="J1188">
        <v>-176</v>
      </c>
    </row>
    <row r="1189" spans="1:10" x14ac:dyDescent="0.25">
      <c r="A1189">
        <v>60</v>
      </c>
      <c r="B1189" t="s">
        <v>31</v>
      </c>
      <c r="C1189" t="s">
        <v>16</v>
      </c>
      <c r="D1189">
        <v>70</v>
      </c>
      <c r="E1189">
        <v>92</v>
      </c>
      <c r="F1189">
        <v>0.432</v>
      </c>
      <c r="G1189">
        <v>34</v>
      </c>
      <c r="H1189">
        <v>831</v>
      </c>
      <c r="I1189">
        <v>896</v>
      </c>
      <c r="J1189">
        <v>-65</v>
      </c>
    </row>
    <row r="1190" spans="1:10" x14ac:dyDescent="0.25">
      <c r="A1190">
        <v>60</v>
      </c>
      <c r="B1190" t="s">
        <v>31</v>
      </c>
      <c r="C1190" t="s">
        <v>15</v>
      </c>
      <c r="D1190">
        <v>66</v>
      </c>
      <c r="E1190">
        <v>96</v>
      </c>
      <c r="F1190">
        <v>0.40699999999999997</v>
      </c>
      <c r="G1190">
        <v>38</v>
      </c>
      <c r="H1190">
        <v>984</v>
      </c>
      <c r="I1190">
        <v>1192</v>
      </c>
      <c r="J1190">
        <v>-208</v>
      </c>
    </row>
    <row r="1191" spans="1:10" x14ac:dyDescent="0.25">
      <c r="A1191">
        <v>60</v>
      </c>
      <c r="B1191" t="s">
        <v>31</v>
      </c>
      <c r="C1191" t="s">
        <v>18</v>
      </c>
      <c r="D1191">
        <v>40</v>
      </c>
      <c r="E1191">
        <v>122</v>
      </c>
      <c r="F1191">
        <v>0.247</v>
      </c>
      <c r="G1191">
        <v>64</v>
      </c>
      <c r="H1191">
        <v>675</v>
      </c>
      <c r="I1191">
        <v>1132</v>
      </c>
      <c r="J1191">
        <v>-457</v>
      </c>
    </row>
    <row r="1192" spans="1:10" x14ac:dyDescent="0.25">
      <c r="A1192">
        <v>60</v>
      </c>
      <c r="B1192" t="s">
        <v>32</v>
      </c>
      <c r="C1192" t="s">
        <v>19</v>
      </c>
      <c r="D1192">
        <v>117</v>
      </c>
      <c r="E1192">
        <v>45</v>
      </c>
      <c r="F1192">
        <v>0.72199999999999998</v>
      </c>
      <c r="G1192">
        <v>0</v>
      </c>
      <c r="H1192">
        <v>1070</v>
      </c>
      <c r="I1192">
        <v>681</v>
      </c>
      <c r="J1192">
        <v>389</v>
      </c>
    </row>
    <row r="1193" spans="1:10" x14ac:dyDescent="0.25">
      <c r="A1193">
        <v>60</v>
      </c>
      <c r="B1193" t="s">
        <v>32</v>
      </c>
      <c r="C1193" t="s">
        <v>20</v>
      </c>
      <c r="D1193">
        <v>93</v>
      </c>
      <c r="E1193">
        <v>69</v>
      </c>
      <c r="F1193">
        <v>0.57399999999999995</v>
      </c>
      <c r="G1193">
        <v>24</v>
      </c>
      <c r="H1193">
        <v>973</v>
      </c>
      <c r="I1193">
        <v>796</v>
      </c>
      <c r="J1193">
        <v>177</v>
      </c>
    </row>
    <row r="1194" spans="1:10" x14ac:dyDescent="0.25">
      <c r="A1194">
        <v>60</v>
      </c>
      <c r="B1194" t="s">
        <v>32</v>
      </c>
      <c r="C1194" t="s">
        <v>21</v>
      </c>
      <c r="D1194">
        <v>77</v>
      </c>
      <c r="E1194">
        <v>85</v>
      </c>
      <c r="F1194">
        <v>0.47499999999999998</v>
      </c>
      <c r="G1194">
        <v>40</v>
      </c>
      <c r="H1194">
        <v>908</v>
      </c>
      <c r="I1194">
        <v>941</v>
      </c>
      <c r="J1194">
        <v>-33</v>
      </c>
    </row>
    <row r="1195" spans="1:10" x14ac:dyDescent="0.25">
      <c r="A1195">
        <v>60</v>
      </c>
      <c r="B1195" t="s">
        <v>32</v>
      </c>
      <c r="C1195" t="s">
        <v>22</v>
      </c>
      <c r="D1195">
        <v>66</v>
      </c>
      <c r="E1195">
        <v>96</v>
      </c>
      <c r="F1195">
        <v>0.40699999999999997</v>
      </c>
      <c r="G1195">
        <v>51</v>
      </c>
      <c r="H1195">
        <v>934</v>
      </c>
      <c r="I1195">
        <v>1057</v>
      </c>
      <c r="J1195">
        <v>-123</v>
      </c>
    </row>
    <row r="1196" spans="1:10" x14ac:dyDescent="0.25">
      <c r="A1196">
        <v>60</v>
      </c>
      <c r="B1196" t="s">
        <v>32</v>
      </c>
      <c r="C1196" t="s">
        <v>23</v>
      </c>
      <c r="D1196">
        <v>48</v>
      </c>
      <c r="E1196">
        <v>114</v>
      </c>
      <c r="F1196">
        <v>0.29599999999999999</v>
      </c>
      <c r="G1196">
        <v>69</v>
      </c>
      <c r="H1196">
        <v>773</v>
      </c>
      <c r="I1196">
        <v>1091</v>
      </c>
      <c r="J1196">
        <v>-318</v>
      </c>
    </row>
    <row r="1197" spans="1:10" x14ac:dyDescent="0.25">
      <c r="A1197">
        <v>60</v>
      </c>
      <c r="B1197" t="s">
        <v>33</v>
      </c>
      <c r="C1197" t="s">
        <v>24</v>
      </c>
      <c r="D1197">
        <v>105</v>
      </c>
      <c r="E1197">
        <v>57</v>
      </c>
      <c r="F1197">
        <v>0.64800000000000002</v>
      </c>
      <c r="G1197">
        <v>0</v>
      </c>
      <c r="H1197">
        <v>966</v>
      </c>
      <c r="I1197">
        <v>686</v>
      </c>
      <c r="J1197">
        <v>280</v>
      </c>
    </row>
    <row r="1198" spans="1:10" x14ac:dyDescent="0.25">
      <c r="A1198">
        <v>60</v>
      </c>
      <c r="B1198" t="s">
        <v>33</v>
      </c>
      <c r="C1198" t="s">
        <v>25</v>
      </c>
      <c r="D1198">
        <v>97</v>
      </c>
      <c r="E1198">
        <v>65</v>
      </c>
      <c r="F1198">
        <v>0.59899999999999998</v>
      </c>
      <c r="G1198">
        <v>8</v>
      </c>
      <c r="H1198">
        <v>797</v>
      </c>
      <c r="I1198">
        <v>665</v>
      </c>
      <c r="J1198">
        <v>132</v>
      </c>
    </row>
    <row r="1199" spans="1:10" x14ac:dyDescent="0.25">
      <c r="A1199">
        <v>60</v>
      </c>
      <c r="B1199" t="s">
        <v>33</v>
      </c>
      <c r="C1199" t="s">
        <v>26</v>
      </c>
      <c r="D1199">
        <v>87</v>
      </c>
      <c r="E1199">
        <v>75</v>
      </c>
      <c r="F1199">
        <v>0.53700000000000003</v>
      </c>
      <c r="G1199">
        <v>18</v>
      </c>
      <c r="H1199">
        <v>876</v>
      </c>
      <c r="I1199">
        <v>855</v>
      </c>
      <c r="J1199">
        <v>21</v>
      </c>
    </row>
    <row r="1200" spans="1:10" x14ac:dyDescent="0.25">
      <c r="A1200">
        <v>60</v>
      </c>
      <c r="B1200" t="s">
        <v>33</v>
      </c>
      <c r="C1200" t="s">
        <v>27</v>
      </c>
      <c r="D1200">
        <v>79</v>
      </c>
      <c r="E1200">
        <v>83</v>
      </c>
      <c r="F1200">
        <v>0.48799999999999999</v>
      </c>
      <c r="G1200">
        <v>26</v>
      </c>
      <c r="H1200">
        <v>820</v>
      </c>
      <c r="I1200">
        <v>867</v>
      </c>
      <c r="J1200">
        <v>-47</v>
      </c>
    </row>
    <row r="1201" spans="1:10" x14ac:dyDescent="0.25">
      <c r="A1201">
        <v>60</v>
      </c>
      <c r="B1201" t="s">
        <v>33</v>
      </c>
      <c r="C1201" t="s">
        <v>28</v>
      </c>
      <c r="D1201">
        <v>49</v>
      </c>
      <c r="E1201">
        <v>113</v>
      </c>
      <c r="F1201">
        <v>0.30199999999999999</v>
      </c>
      <c r="G1201">
        <v>56</v>
      </c>
      <c r="H1201">
        <v>785</v>
      </c>
      <c r="I1201">
        <v>1063</v>
      </c>
      <c r="J1201">
        <v>-278</v>
      </c>
    </row>
    <row r="1202" spans="1:10" x14ac:dyDescent="0.25">
      <c r="A1202">
        <v>61</v>
      </c>
      <c r="B1202" t="s">
        <v>30</v>
      </c>
      <c r="C1202" t="s">
        <v>8</v>
      </c>
      <c r="D1202">
        <v>98</v>
      </c>
      <c r="E1202">
        <v>64</v>
      </c>
      <c r="F1202">
        <v>0.60499999999999998</v>
      </c>
      <c r="G1202">
        <v>0</v>
      </c>
      <c r="H1202">
        <v>890</v>
      </c>
      <c r="I1202">
        <v>694</v>
      </c>
      <c r="J1202">
        <v>196</v>
      </c>
    </row>
    <row r="1203" spans="1:10" x14ac:dyDescent="0.25">
      <c r="A1203">
        <v>61</v>
      </c>
      <c r="B1203" t="s">
        <v>30</v>
      </c>
      <c r="C1203" t="s">
        <v>10</v>
      </c>
      <c r="D1203">
        <v>85</v>
      </c>
      <c r="E1203">
        <v>77</v>
      </c>
      <c r="F1203">
        <v>0.52500000000000002</v>
      </c>
      <c r="G1203">
        <v>13</v>
      </c>
      <c r="H1203">
        <v>922</v>
      </c>
      <c r="I1203">
        <v>821</v>
      </c>
      <c r="J1203">
        <v>101</v>
      </c>
    </row>
    <row r="1204" spans="1:10" x14ac:dyDescent="0.25">
      <c r="A1204">
        <v>61</v>
      </c>
      <c r="B1204" t="s">
        <v>30</v>
      </c>
      <c r="C1204" t="s">
        <v>11</v>
      </c>
      <c r="D1204">
        <v>83</v>
      </c>
      <c r="E1204">
        <v>79</v>
      </c>
      <c r="F1204">
        <v>0.51200000000000001</v>
      </c>
      <c r="G1204">
        <v>15</v>
      </c>
      <c r="H1204">
        <v>827</v>
      </c>
      <c r="I1204">
        <v>824</v>
      </c>
      <c r="J1204">
        <v>3</v>
      </c>
    </row>
    <row r="1205" spans="1:10" x14ac:dyDescent="0.25">
      <c r="A1205">
        <v>61</v>
      </c>
      <c r="B1205" t="s">
        <v>30</v>
      </c>
      <c r="C1205" t="s">
        <v>13</v>
      </c>
      <c r="D1205">
        <v>82</v>
      </c>
      <c r="E1205">
        <v>80</v>
      </c>
      <c r="F1205">
        <v>0.50600000000000001</v>
      </c>
      <c r="G1205">
        <v>16</v>
      </c>
      <c r="H1205">
        <v>812</v>
      </c>
      <c r="I1205">
        <v>785</v>
      </c>
      <c r="J1205">
        <v>27</v>
      </c>
    </row>
    <row r="1206" spans="1:10" x14ac:dyDescent="0.25">
      <c r="A1206">
        <v>61</v>
      </c>
      <c r="B1206" t="s">
        <v>30</v>
      </c>
      <c r="C1206" t="s">
        <v>12</v>
      </c>
      <c r="D1206">
        <v>77</v>
      </c>
      <c r="E1206">
        <v>85</v>
      </c>
      <c r="F1206">
        <v>0.47499999999999998</v>
      </c>
      <c r="G1206">
        <v>21</v>
      </c>
      <c r="H1206">
        <v>875</v>
      </c>
      <c r="I1206">
        <v>867</v>
      </c>
      <c r="J1206">
        <v>8</v>
      </c>
    </row>
    <row r="1207" spans="1:10" x14ac:dyDescent="0.25">
      <c r="A1207">
        <v>61</v>
      </c>
      <c r="B1207" t="s">
        <v>31</v>
      </c>
      <c r="C1207" t="s">
        <v>14</v>
      </c>
      <c r="D1207">
        <v>113</v>
      </c>
      <c r="E1207">
        <v>49</v>
      </c>
      <c r="F1207">
        <v>0.69799999999999995</v>
      </c>
      <c r="G1207">
        <v>0</v>
      </c>
      <c r="H1207">
        <v>982</v>
      </c>
      <c r="I1207">
        <v>637</v>
      </c>
      <c r="J1207">
        <v>345</v>
      </c>
    </row>
    <row r="1208" spans="1:10" x14ac:dyDescent="0.25">
      <c r="A1208">
        <v>61</v>
      </c>
      <c r="B1208" t="s">
        <v>31</v>
      </c>
      <c r="C1208" t="s">
        <v>15</v>
      </c>
      <c r="D1208">
        <v>74</v>
      </c>
      <c r="E1208">
        <v>88</v>
      </c>
      <c r="F1208">
        <v>0.45700000000000002</v>
      </c>
      <c r="G1208">
        <v>39</v>
      </c>
      <c r="H1208">
        <v>1014</v>
      </c>
      <c r="I1208">
        <v>1204</v>
      </c>
      <c r="J1208">
        <v>-190</v>
      </c>
    </row>
    <row r="1209" spans="1:10" x14ac:dyDescent="0.25">
      <c r="A1209">
        <v>61</v>
      </c>
      <c r="B1209" t="s">
        <v>31</v>
      </c>
      <c r="C1209" t="s">
        <v>17</v>
      </c>
      <c r="D1209">
        <v>73</v>
      </c>
      <c r="E1209">
        <v>89</v>
      </c>
      <c r="F1209">
        <v>0.45100000000000001</v>
      </c>
      <c r="G1209">
        <v>40</v>
      </c>
      <c r="H1209">
        <v>811</v>
      </c>
      <c r="I1209">
        <v>915</v>
      </c>
      <c r="J1209">
        <v>-104</v>
      </c>
    </row>
    <row r="1210" spans="1:10" x14ac:dyDescent="0.25">
      <c r="A1210">
        <v>61</v>
      </c>
      <c r="B1210" t="s">
        <v>31</v>
      </c>
      <c r="C1210" t="s">
        <v>16</v>
      </c>
      <c r="D1210">
        <v>71</v>
      </c>
      <c r="E1210">
        <v>91</v>
      </c>
      <c r="F1210">
        <v>0.438</v>
      </c>
      <c r="G1210">
        <v>42</v>
      </c>
      <c r="H1210">
        <v>774</v>
      </c>
      <c r="I1210">
        <v>866</v>
      </c>
      <c r="J1210">
        <v>-92</v>
      </c>
    </row>
    <row r="1211" spans="1:10" x14ac:dyDescent="0.25">
      <c r="A1211">
        <v>61</v>
      </c>
      <c r="B1211" t="s">
        <v>31</v>
      </c>
      <c r="C1211" t="s">
        <v>18</v>
      </c>
      <c r="D1211">
        <v>39</v>
      </c>
      <c r="E1211">
        <v>123</v>
      </c>
      <c r="F1211">
        <v>0.24099999999999999</v>
      </c>
      <c r="G1211">
        <v>74</v>
      </c>
      <c r="H1211">
        <v>624</v>
      </c>
      <c r="I1211">
        <v>1042</v>
      </c>
      <c r="J1211">
        <v>-418</v>
      </c>
    </row>
    <row r="1212" spans="1:10" x14ac:dyDescent="0.25">
      <c r="A1212">
        <v>61</v>
      </c>
      <c r="B1212" t="s">
        <v>32</v>
      </c>
      <c r="C1212" t="s">
        <v>19</v>
      </c>
      <c r="D1212">
        <v>110</v>
      </c>
      <c r="E1212">
        <v>52</v>
      </c>
      <c r="F1212">
        <v>0.67900000000000005</v>
      </c>
      <c r="G1212">
        <v>0</v>
      </c>
      <c r="H1212">
        <v>1053</v>
      </c>
      <c r="I1212">
        <v>788</v>
      </c>
      <c r="J1212">
        <v>265</v>
      </c>
    </row>
    <row r="1213" spans="1:10" x14ac:dyDescent="0.25">
      <c r="A1213">
        <v>61</v>
      </c>
      <c r="B1213" t="s">
        <v>32</v>
      </c>
      <c r="C1213" t="s">
        <v>21</v>
      </c>
      <c r="D1213">
        <v>106</v>
      </c>
      <c r="E1213">
        <v>56</v>
      </c>
      <c r="F1213">
        <v>0.65400000000000003</v>
      </c>
      <c r="G1213">
        <v>4</v>
      </c>
      <c r="H1213">
        <v>1040</v>
      </c>
      <c r="I1213">
        <v>839</v>
      </c>
      <c r="J1213">
        <v>201</v>
      </c>
    </row>
    <row r="1214" spans="1:10" x14ac:dyDescent="0.25">
      <c r="A1214">
        <v>61</v>
      </c>
      <c r="B1214" t="s">
        <v>32</v>
      </c>
      <c r="C1214" t="s">
        <v>20</v>
      </c>
      <c r="D1214">
        <v>92</v>
      </c>
      <c r="E1214">
        <v>70</v>
      </c>
      <c r="F1214">
        <v>0.56799999999999995</v>
      </c>
      <c r="G1214">
        <v>18</v>
      </c>
      <c r="H1214">
        <v>922</v>
      </c>
      <c r="I1214">
        <v>774</v>
      </c>
      <c r="J1214">
        <v>148</v>
      </c>
    </row>
    <row r="1215" spans="1:10" x14ac:dyDescent="0.25">
      <c r="A1215">
        <v>61</v>
      </c>
      <c r="B1215" t="s">
        <v>32</v>
      </c>
      <c r="C1215" t="s">
        <v>22</v>
      </c>
      <c r="D1215">
        <v>66</v>
      </c>
      <c r="E1215">
        <v>96</v>
      </c>
      <c r="F1215">
        <v>0.40699999999999997</v>
      </c>
      <c r="G1215">
        <v>44</v>
      </c>
      <c r="H1215">
        <v>843</v>
      </c>
      <c r="I1215">
        <v>1000</v>
      </c>
      <c r="J1215">
        <v>-157</v>
      </c>
    </row>
    <row r="1216" spans="1:10" x14ac:dyDescent="0.25">
      <c r="A1216">
        <v>61</v>
      </c>
      <c r="B1216" t="s">
        <v>32</v>
      </c>
      <c r="C1216" t="s">
        <v>23</v>
      </c>
      <c r="D1216">
        <v>45</v>
      </c>
      <c r="E1216">
        <v>117</v>
      </c>
      <c r="F1216">
        <v>0.27800000000000002</v>
      </c>
      <c r="G1216">
        <v>65</v>
      </c>
      <c r="H1216">
        <v>731</v>
      </c>
      <c r="I1216">
        <v>1120</v>
      </c>
      <c r="J1216">
        <v>-389</v>
      </c>
    </row>
    <row r="1217" spans="1:10" x14ac:dyDescent="0.25">
      <c r="A1217">
        <v>61</v>
      </c>
      <c r="B1217" t="s">
        <v>33</v>
      </c>
      <c r="C1217" t="s">
        <v>24</v>
      </c>
      <c r="D1217">
        <v>106</v>
      </c>
      <c r="E1217">
        <v>56</v>
      </c>
      <c r="F1217">
        <v>0.65400000000000003</v>
      </c>
      <c r="G1217">
        <v>0</v>
      </c>
      <c r="H1217">
        <v>960</v>
      </c>
      <c r="I1217">
        <v>676</v>
      </c>
      <c r="J1217">
        <v>284</v>
      </c>
    </row>
    <row r="1218" spans="1:10" x14ac:dyDescent="0.25">
      <c r="A1218">
        <v>61</v>
      </c>
      <c r="B1218" t="s">
        <v>33</v>
      </c>
      <c r="C1218" t="s">
        <v>26</v>
      </c>
      <c r="D1218">
        <v>92</v>
      </c>
      <c r="E1218">
        <v>70</v>
      </c>
      <c r="F1218">
        <v>0.56799999999999995</v>
      </c>
      <c r="G1218">
        <v>14</v>
      </c>
      <c r="H1218">
        <v>887</v>
      </c>
      <c r="I1218">
        <v>785</v>
      </c>
      <c r="J1218">
        <v>102</v>
      </c>
    </row>
    <row r="1219" spans="1:10" x14ac:dyDescent="0.25">
      <c r="A1219">
        <v>61</v>
      </c>
      <c r="B1219" t="s">
        <v>33</v>
      </c>
      <c r="C1219" t="s">
        <v>25</v>
      </c>
      <c r="D1219">
        <v>92</v>
      </c>
      <c r="E1219">
        <v>70</v>
      </c>
      <c r="F1219">
        <v>0.56799999999999995</v>
      </c>
      <c r="G1219">
        <v>14</v>
      </c>
      <c r="H1219">
        <v>806</v>
      </c>
      <c r="I1219">
        <v>699</v>
      </c>
      <c r="J1219">
        <v>107</v>
      </c>
    </row>
    <row r="1220" spans="1:10" x14ac:dyDescent="0.25">
      <c r="A1220">
        <v>61</v>
      </c>
      <c r="B1220" t="s">
        <v>33</v>
      </c>
      <c r="C1220" t="s">
        <v>27</v>
      </c>
      <c r="D1220">
        <v>67</v>
      </c>
      <c r="E1220">
        <v>95</v>
      </c>
      <c r="F1220">
        <v>0.41399999999999998</v>
      </c>
      <c r="G1220">
        <v>39</v>
      </c>
      <c r="H1220">
        <v>817</v>
      </c>
      <c r="I1220">
        <v>944</v>
      </c>
      <c r="J1220">
        <v>-127</v>
      </c>
    </row>
    <row r="1221" spans="1:10" x14ac:dyDescent="0.25">
      <c r="A1221">
        <v>61</v>
      </c>
      <c r="B1221" t="s">
        <v>33</v>
      </c>
      <c r="C1221" t="s">
        <v>28</v>
      </c>
      <c r="D1221">
        <v>49</v>
      </c>
      <c r="E1221">
        <v>113</v>
      </c>
      <c r="F1221">
        <v>0.30199999999999999</v>
      </c>
      <c r="G1221">
        <v>57</v>
      </c>
      <c r="H1221">
        <v>699</v>
      </c>
      <c r="I1221">
        <v>1009</v>
      </c>
      <c r="J1221">
        <v>-310</v>
      </c>
    </row>
    <row r="1222" spans="1:10" x14ac:dyDescent="0.25">
      <c r="A1222">
        <v>62</v>
      </c>
      <c r="B1222" t="s">
        <v>30</v>
      </c>
      <c r="C1222" t="s">
        <v>12</v>
      </c>
      <c r="D1222">
        <v>95</v>
      </c>
      <c r="E1222">
        <v>67</v>
      </c>
      <c r="F1222">
        <v>0.58599999999999997</v>
      </c>
      <c r="G1222">
        <v>0</v>
      </c>
      <c r="H1222">
        <v>928</v>
      </c>
      <c r="I1222">
        <v>854</v>
      </c>
      <c r="J1222">
        <v>74</v>
      </c>
    </row>
    <row r="1223" spans="1:10" x14ac:dyDescent="0.25">
      <c r="A1223">
        <v>62</v>
      </c>
      <c r="B1223" t="s">
        <v>30</v>
      </c>
      <c r="C1223" t="s">
        <v>10</v>
      </c>
      <c r="D1223">
        <v>95</v>
      </c>
      <c r="E1223">
        <v>67</v>
      </c>
      <c r="F1223">
        <v>0.58599999999999997</v>
      </c>
      <c r="G1223">
        <v>0</v>
      </c>
      <c r="H1223">
        <v>1023</v>
      </c>
      <c r="I1223">
        <v>861</v>
      </c>
      <c r="J1223">
        <v>162</v>
      </c>
    </row>
    <row r="1224" spans="1:10" x14ac:dyDescent="0.25">
      <c r="A1224">
        <v>62</v>
      </c>
      <c r="B1224" t="s">
        <v>30</v>
      </c>
      <c r="C1224" t="s">
        <v>8</v>
      </c>
      <c r="D1224">
        <v>92</v>
      </c>
      <c r="E1224">
        <v>70</v>
      </c>
      <c r="F1224">
        <v>0.56799999999999995</v>
      </c>
      <c r="G1224">
        <v>3</v>
      </c>
      <c r="H1224">
        <v>914</v>
      </c>
      <c r="I1224">
        <v>735</v>
      </c>
      <c r="J1224">
        <v>179</v>
      </c>
    </row>
    <row r="1225" spans="1:10" x14ac:dyDescent="0.25">
      <c r="A1225">
        <v>62</v>
      </c>
      <c r="B1225" t="s">
        <v>30</v>
      </c>
      <c r="C1225" t="s">
        <v>11</v>
      </c>
      <c r="D1225">
        <v>91</v>
      </c>
      <c r="E1225">
        <v>71</v>
      </c>
      <c r="F1225">
        <v>0.56200000000000006</v>
      </c>
      <c r="G1225">
        <v>4</v>
      </c>
      <c r="H1225">
        <v>816</v>
      </c>
      <c r="I1225">
        <v>713</v>
      </c>
      <c r="J1225">
        <v>103</v>
      </c>
    </row>
    <row r="1226" spans="1:10" x14ac:dyDescent="0.25">
      <c r="A1226">
        <v>62</v>
      </c>
      <c r="B1226" t="s">
        <v>30</v>
      </c>
      <c r="C1226" t="s">
        <v>13</v>
      </c>
      <c r="D1226">
        <v>72</v>
      </c>
      <c r="E1226">
        <v>90</v>
      </c>
      <c r="F1226">
        <v>0.44400000000000001</v>
      </c>
      <c r="G1226">
        <v>23</v>
      </c>
      <c r="H1226">
        <v>862</v>
      </c>
      <c r="I1226">
        <v>899</v>
      </c>
      <c r="J1226">
        <v>-37</v>
      </c>
    </row>
    <row r="1227" spans="1:10" x14ac:dyDescent="0.25">
      <c r="A1227">
        <v>62</v>
      </c>
      <c r="B1227" t="s">
        <v>31</v>
      </c>
      <c r="C1227" t="s">
        <v>14</v>
      </c>
      <c r="D1227">
        <v>111</v>
      </c>
      <c r="E1227">
        <v>51</v>
      </c>
      <c r="F1227">
        <v>0.68500000000000005</v>
      </c>
      <c r="G1227">
        <v>0</v>
      </c>
      <c r="H1227">
        <v>1002</v>
      </c>
      <c r="I1227">
        <v>633</v>
      </c>
      <c r="J1227">
        <v>369</v>
      </c>
    </row>
    <row r="1228" spans="1:10" x14ac:dyDescent="0.25">
      <c r="A1228">
        <v>62</v>
      </c>
      <c r="B1228" t="s">
        <v>31</v>
      </c>
      <c r="C1228" t="s">
        <v>15</v>
      </c>
      <c r="D1228">
        <v>78</v>
      </c>
      <c r="E1228">
        <v>84</v>
      </c>
      <c r="F1228">
        <v>0.48099999999999998</v>
      </c>
      <c r="G1228">
        <v>33</v>
      </c>
      <c r="H1228">
        <v>975</v>
      </c>
      <c r="I1228">
        <v>1132</v>
      </c>
      <c r="J1228">
        <v>-157</v>
      </c>
    </row>
    <row r="1229" spans="1:10" x14ac:dyDescent="0.25">
      <c r="A1229">
        <v>62</v>
      </c>
      <c r="B1229" t="s">
        <v>31</v>
      </c>
      <c r="C1229" t="s">
        <v>16</v>
      </c>
      <c r="D1229">
        <v>68</v>
      </c>
      <c r="E1229">
        <v>94</v>
      </c>
      <c r="F1229">
        <v>0.42</v>
      </c>
      <c r="G1229">
        <v>43</v>
      </c>
      <c r="H1229">
        <v>735</v>
      </c>
      <c r="I1229">
        <v>874</v>
      </c>
      <c r="J1229">
        <v>-139</v>
      </c>
    </row>
    <row r="1230" spans="1:10" x14ac:dyDescent="0.25">
      <c r="A1230">
        <v>62</v>
      </c>
      <c r="B1230" t="s">
        <v>31</v>
      </c>
      <c r="C1230" t="s">
        <v>17</v>
      </c>
      <c r="D1230">
        <v>66</v>
      </c>
      <c r="E1230">
        <v>96</v>
      </c>
      <c r="F1230">
        <v>0.40699999999999997</v>
      </c>
      <c r="G1230">
        <v>45</v>
      </c>
      <c r="H1230">
        <v>822</v>
      </c>
      <c r="I1230">
        <v>979</v>
      </c>
      <c r="J1230">
        <v>-157</v>
      </c>
    </row>
    <row r="1231" spans="1:10" x14ac:dyDescent="0.25">
      <c r="A1231">
        <v>62</v>
      </c>
      <c r="B1231" t="s">
        <v>31</v>
      </c>
      <c r="C1231" t="s">
        <v>18</v>
      </c>
      <c r="D1231">
        <v>51</v>
      </c>
      <c r="E1231">
        <v>111</v>
      </c>
      <c r="F1231">
        <v>0.315</v>
      </c>
      <c r="G1231">
        <v>60</v>
      </c>
      <c r="H1231">
        <v>669</v>
      </c>
      <c r="I1231">
        <v>1011</v>
      </c>
      <c r="J1231">
        <v>-342</v>
      </c>
    </row>
    <row r="1232" spans="1:10" x14ac:dyDescent="0.25">
      <c r="A1232">
        <v>62</v>
      </c>
      <c r="B1232" t="s">
        <v>32</v>
      </c>
      <c r="C1232" t="s">
        <v>19</v>
      </c>
      <c r="D1232">
        <v>103</v>
      </c>
      <c r="E1232">
        <v>59</v>
      </c>
      <c r="F1232">
        <v>0.63600000000000001</v>
      </c>
      <c r="G1232">
        <v>0</v>
      </c>
      <c r="H1232">
        <v>1036</v>
      </c>
      <c r="I1232">
        <v>791</v>
      </c>
      <c r="J1232">
        <v>245</v>
      </c>
    </row>
    <row r="1233" spans="1:10" x14ac:dyDescent="0.25">
      <c r="A1233">
        <v>62</v>
      </c>
      <c r="B1233" t="s">
        <v>32</v>
      </c>
      <c r="C1233" t="s">
        <v>20</v>
      </c>
      <c r="D1233">
        <v>95</v>
      </c>
      <c r="E1233">
        <v>67</v>
      </c>
      <c r="F1233">
        <v>0.58599999999999997</v>
      </c>
      <c r="G1233">
        <v>8</v>
      </c>
      <c r="H1233">
        <v>964</v>
      </c>
      <c r="I1233">
        <v>824</v>
      </c>
      <c r="J1233">
        <v>140</v>
      </c>
    </row>
    <row r="1234" spans="1:10" x14ac:dyDescent="0.25">
      <c r="A1234">
        <v>62</v>
      </c>
      <c r="B1234" t="s">
        <v>32</v>
      </c>
      <c r="C1234" t="s">
        <v>21</v>
      </c>
      <c r="D1234">
        <v>87</v>
      </c>
      <c r="E1234">
        <v>75</v>
      </c>
      <c r="F1234">
        <v>0.53700000000000003</v>
      </c>
      <c r="G1234">
        <v>16</v>
      </c>
      <c r="H1234">
        <v>1016</v>
      </c>
      <c r="I1234">
        <v>886</v>
      </c>
      <c r="J1234">
        <v>130</v>
      </c>
    </row>
    <row r="1235" spans="1:10" x14ac:dyDescent="0.25">
      <c r="A1235">
        <v>62</v>
      </c>
      <c r="B1235" t="s">
        <v>32</v>
      </c>
      <c r="C1235" t="s">
        <v>22</v>
      </c>
      <c r="D1235">
        <v>69</v>
      </c>
      <c r="E1235">
        <v>93</v>
      </c>
      <c r="F1235">
        <v>0.42599999999999999</v>
      </c>
      <c r="G1235">
        <v>34</v>
      </c>
      <c r="H1235">
        <v>893</v>
      </c>
      <c r="I1235">
        <v>977</v>
      </c>
      <c r="J1235">
        <v>-84</v>
      </c>
    </row>
    <row r="1236" spans="1:10" x14ac:dyDescent="0.25">
      <c r="A1236">
        <v>62</v>
      </c>
      <c r="B1236" t="s">
        <v>32</v>
      </c>
      <c r="C1236" t="s">
        <v>23</v>
      </c>
      <c r="D1236">
        <v>50</v>
      </c>
      <c r="E1236">
        <v>112</v>
      </c>
      <c r="F1236">
        <v>0.309</v>
      </c>
      <c r="G1236">
        <v>53</v>
      </c>
      <c r="H1236">
        <v>699</v>
      </c>
      <c r="I1236">
        <v>1080</v>
      </c>
      <c r="J1236">
        <v>-381</v>
      </c>
    </row>
    <row r="1237" spans="1:10" x14ac:dyDescent="0.25">
      <c r="A1237">
        <v>62</v>
      </c>
      <c r="B1237" t="s">
        <v>33</v>
      </c>
      <c r="C1237" t="s">
        <v>24</v>
      </c>
      <c r="D1237">
        <v>97</v>
      </c>
      <c r="E1237">
        <v>65</v>
      </c>
      <c r="F1237">
        <v>0.59899999999999998</v>
      </c>
      <c r="G1237">
        <v>0</v>
      </c>
      <c r="H1237">
        <v>920</v>
      </c>
      <c r="I1237">
        <v>722</v>
      </c>
      <c r="J1237">
        <v>198</v>
      </c>
    </row>
    <row r="1238" spans="1:10" x14ac:dyDescent="0.25">
      <c r="A1238">
        <v>62</v>
      </c>
      <c r="B1238" t="s">
        <v>33</v>
      </c>
      <c r="C1238" t="s">
        <v>25</v>
      </c>
      <c r="D1238">
        <v>93</v>
      </c>
      <c r="E1238">
        <v>69</v>
      </c>
      <c r="F1238">
        <v>0.57399999999999995</v>
      </c>
      <c r="G1238">
        <v>4</v>
      </c>
      <c r="H1238">
        <v>850</v>
      </c>
      <c r="I1238">
        <v>772</v>
      </c>
      <c r="J1238">
        <v>78</v>
      </c>
    </row>
    <row r="1239" spans="1:10" x14ac:dyDescent="0.25">
      <c r="A1239">
        <v>62</v>
      </c>
      <c r="B1239" t="s">
        <v>33</v>
      </c>
      <c r="C1239" t="s">
        <v>26</v>
      </c>
      <c r="D1239">
        <v>78</v>
      </c>
      <c r="E1239">
        <v>84</v>
      </c>
      <c r="F1239">
        <v>0.48099999999999998</v>
      </c>
      <c r="G1239">
        <v>19</v>
      </c>
      <c r="H1239">
        <v>802</v>
      </c>
      <c r="I1239">
        <v>803</v>
      </c>
      <c r="J1239">
        <v>-1</v>
      </c>
    </row>
    <row r="1240" spans="1:10" x14ac:dyDescent="0.25">
      <c r="A1240">
        <v>62</v>
      </c>
      <c r="B1240" t="s">
        <v>33</v>
      </c>
      <c r="C1240" t="s">
        <v>27</v>
      </c>
      <c r="D1240">
        <v>75</v>
      </c>
      <c r="E1240">
        <v>87</v>
      </c>
      <c r="F1240">
        <v>0.46300000000000002</v>
      </c>
      <c r="G1240">
        <v>22</v>
      </c>
      <c r="H1240">
        <v>802</v>
      </c>
      <c r="I1240">
        <v>886</v>
      </c>
      <c r="J1240">
        <v>-84</v>
      </c>
    </row>
    <row r="1241" spans="1:10" x14ac:dyDescent="0.25">
      <c r="A1241">
        <v>62</v>
      </c>
      <c r="B1241" t="s">
        <v>33</v>
      </c>
      <c r="C1241" t="s">
        <v>28</v>
      </c>
      <c r="D1241">
        <v>54</v>
      </c>
      <c r="E1241">
        <v>108</v>
      </c>
      <c r="F1241">
        <v>0.33300000000000002</v>
      </c>
      <c r="G1241">
        <v>43</v>
      </c>
      <c r="H1241">
        <v>735</v>
      </c>
      <c r="I1241">
        <v>1031</v>
      </c>
      <c r="J1241">
        <v>-296</v>
      </c>
    </row>
    <row r="1242" spans="1:10" x14ac:dyDescent="0.25">
      <c r="A1242">
        <v>63</v>
      </c>
      <c r="B1242" t="s">
        <v>30</v>
      </c>
      <c r="C1242" t="s">
        <v>8</v>
      </c>
      <c r="D1242">
        <v>101</v>
      </c>
      <c r="E1242">
        <v>61</v>
      </c>
      <c r="F1242">
        <v>0.623</v>
      </c>
      <c r="G1242">
        <v>0</v>
      </c>
      <c r="H1242">
        <v>928</v>
      </c>
      <c r="I1242">
        <v>739</v>
      </c>
      <c r="J1242">
        <v>189</v>
      </c>
    </row>
    <row r="1243" spans="1:10" x14ac:dyDescent="0.25">
      <c r="A1243">
        <v>63</v>
      </c>
      <c r="B1243" t="s">
        <v>30</v>
      </c>
      <c r="C1243" t="s">
        <v>12</v>
      </c>
      <c r="D1243">
        <v>96</v>
      </c>
      <c r="E1243">
        <v>66</v>
      </c>
      <c r="F1243">
        <v>0.59299999999999997</v>
      </c>
      <c r="G1243">
        <v>5</v>
      </c>
      <c r="H1243">
        <v>930</v>
      </c>
      <c r="I1243">
        <v>862</v>
      </c>
      <c r="J1243">
        <v>68</v>
      </c>
    </row>
    <row r="1244" spans="1:10" x14ac:dyDescent="0.25">
      <c r="A1244">
        <v>63</v>
      </c>
      <c r="B1244" t="s">
        <v>30</v>
      </c>
      <c r="C1244" t="s">
        <v>10</v>
      </c>
      <c r="D1244">
        <v>94</v>
      </c>
      <c r="E1244">
        <v>68</v>
      </c>
      <c r="F1244">
        <v>0.57999999999999996</v>
      </c>
      <c r="G1244">
        <v>7</v>
      </c>
      <c r="H1244">
        <v>997</v>
      </c>
      <c r="I1244">
        <v>834</v>
      </c>
      <c r="J1244">
        <v>163</v>
      </c>
    </row>
    <row r="1245" spans="1:10" x14ac:dyDescent="0.25">
      <c r="A1245">
        <v>63</v>
      </c>
      <c r="B1245" t="s">
        <v>30</v>
      </c>
      <c r="C1245" t="s">
        <v>11</v>
      </c>
      <c r="D1245">
        <v>92</v>
      </c>
      <c r="E1245">
        <v>70</v>
      </c>
      <c r="F1245">
        <v>0.56799999999999995</v>
      </c>
      <c r="G1245">
        <v>9</v>
      </c>
      <c r="H1245">
        <v>887</v>
      </c>
      <c r="I1245">
        <v>854</v>
      </c>
      <c r="J1245">
        <v>33</v>
      </c>
    </row>
    <row r="1246" spans="1:10" x14ac:dyDescent="0.25">
      <c r="A1246">
        <v>63</v>
      </c>
      <c r="B1246" t="s">
        <v>30</v>
      </c>
      <c r="C1246" t="s">
        <v>13</v>
      </c>
      <c r="D1246">
        <v>63</v>
      </c>
      <c r="E1246">
        <v>99</v>
      </c>
      <c r="F1246">
        <v>0.38900000000000001</v>
      </c>
      <c r="G1246">
        <v>38</v>
      </c>
      <c r="H1246">
        <v>824</v>
      </c>
      <c r="I1246">
        <v>959</v>
      </c>
      <c r="J1246">
        <v>-135</v>
      </c>
    </row>
    <row r="1247" spans="1:10" x14ac:dyDescent="0.25">
      <c r="A1247">
        <v>63</v>
      </c>
      <c r="B1247" t="s">
        <v>31</v>
      </c>
      <c r="C1247" t="s">
        <v>14</v>
      </c>
      <c r="D1247">
        <v>101</v>
      </c>
      <c r="E1247">
        <v>61</v>
      </c>
      <c r="F1247">
        <v>0.623</v>
      </c>
      <c r="G1247">
        <v>0</v>
      </c>
      <c r="H1247">
        <v>912</v>
      </c>
      <c r="I1247">
        <v>717</v>
      </c>
      <c r="J1247">
        <v>195</v>
      </c>
    </row>
    <row r="1248" spans="1:10" x14ac:dyDescent="0.25">
      <c r="A1248">
        <v>63</v>
      </c>
      <c r="B1248" t="s">
        <v>31</v>
      </c>
      <c r="C1248" t="s">
        <v>15</v>
      </c>
      <c r="D1248">
        <v>78</v>
      </c>
      <c r="E1248">
        <v>84</v>
      </c>
      <c r="F1248">
        <v>0.48099999999999998</v>
      </c>
      <c r="G1248">
        <v>23</v>
      </c>
      <c r="H1248">
        <v>991</v>
      </c>
      <c r="I1248">
        <v>1073</v>
      </c>
      <c r="J1248">
        <v>-82</v>
      </c>
    </row>
    <row r="1249" spans="1:10" x14ac:dyDescent="0.25">
      <c r="A1249">
        <v>63</v>
      </c>
      <c r="B1249" t="s">
        <v>31</v>
      </c>
      <c r="C1249" t="s">
        <v>16</v>
      </c>
      <c r="D1249">
        <v>76</v>
      </c>
      <c r="E1249">
        <v>86</v>
      </c>
      <c r="F1249">
        <v>0.46899999999999997</v>
      </c>
      <c r="G1249">
        <v>25</v>
      </c>
      <c r="H1249">
        <v>778</v>
      </c>
      <c r="I1249">
        <v>906</v>
      </c>
      <c r="J1249">
        <v>-128</v>
      </c>
    </row>
    <row r="1250" spans="1:10" x14ac:dyDescent="0.25">
      <c r="A1250">
        <v>63</v>
      </c>
      <c r="B1250" t="s">
        <v>31</v>
      </c>
      <c r="C1250" t="s">
        <v>17</v>
      </c>
      <c r="D1250">
        <v>70</v>
      </c>
      <c r="E1250">
        <v>92</v>
      </c>
      <c r="F1250">
        <v>0.432</v>
      </c>
      <c r="G1250">
        <v>31</v>
      </c>
      <c r="H1250">
        <v>877</v>
      </c>
      <c r="I1250">
        <v>986</v>
      </c>
      <c r="J1250">
        <v>-109</v>
      </c>
    </row>
    <row r="1251" spans="1:10" x14ac:dyDescent="0.25">
      <c r="A1251">
        <v>63</v>
      </c>
      <c r="B1251" t="s">
        <v>31</v>
      </c>
      <c r="C1251" t="s">
        <v>18</v>
      </c>
      <c r="D1251">
        <v>41</v>
      </c>
      <c r="E1251">
        <v>121</v>
      </c>
      <c r="F1251">
        <v>0.253</v>
      </c>
      <c r="G1251">
        <v>60</v>
      </c>
      <c r="H1251">
        <v>687</v>
      </c>
      <c r="I1251">
        <v>1077</v>
      </c>
      <c r="J1251">
        <v>-390</v>
      </c>
    </row>
    <row r="1252" spans="1:10" x14ac:dyDescent="0.25">
      <c r="A1252">
        <v>63</v>
      </c>
      <c r="B1252" t="s">
        <v>32</v>
      </c>
      <c r="C1252" t="s">
        <v>19</v>
      </c>
      <c r="D1252">
        <v>102</v>
      </c>
      <c r="E1252">
        <v>60</v>
      </c>
      <c r="F1252">
        <v>0.63</v>
      </c>
      <c r="G1252">
        <v>0</v>
      </c>
      <c r="H1252">
        <v>927</v>
      </c>
      <c r="I1252">
        <v>746</v>
      </c>
      <c r="J1252">
        <v>181</v>
      </c>
    </row>
    <row r="1253" spans="1:10" x14ac:dyDescent="0.25">
      <c r="A1253">
        <v>63</v>
      </c>
      <c r="B1253" t="s">
        <v>32</v>
      </c>
      <c r="C1253" t="s">
        <v>20</v>
      </c>
      <c r="D1253">
        <v>87</v>
      </c>
      <c r="E1253">
        <v>75</v>
      </c>
      <c r="F1253">
        <v>0.53700000000000003</v>
      </c>
      <c r="G1253">
        <v>15</v>
      </c>
      <c r="H1253">
        <v>964</v>
      </c>
      <c r="I1253">
        <v>830</v>
      </c>
      <c r="J1253">
        <v>134</v>
      </c>
    </row>
    <row r="1254" spans="1:10" x14ac:dyDescent="0.25">
      <c r="A1254">
        <v>63</v>
      </c>
      <c r="B1254" t="s">
        <v>32</v>
      </c>
      <c r="C1254" t="s">
        <v>21</v>
      </c>
      <c r="D1254">
        <v>81</v>
      </c>
      <c r="E1254">
        <v>81</v>
      </c>
      <c r="F1254">
        <v>0.5</v>
      </c>
      <c r="G1254">
        <v>21</v>
      </c>
      <c r="H1254">
        <v>986</v>
      </c>
      <c r="I1254">
        <v>960</v>
      </c>
      <c r="J1254">
        <v>26</v>
      </c>
    </row>
    <row r="1255" spans="1:10" x14ac:dyDescent="0.25">
      <c r="A1255">
        <v>63</v>
      </c>
      <c r="B1255" t="s">
        <v>32</v>
      </c>
      <c r="C1255" t="s">
        <v>22</v>
      </c>
      <c r="D1255">
        <v>77</v>
      </c>
      <c r="E1255">
        <v>85</v>
      </c>
      <c r="F1255">
        <v>0.47499999999999998</v>
      </c>
      <c r="G1255">
        <v>25</v>
      </c>
      <c r="H1255">
        <v>945</v>
      </c>
      <c r="I1255">
        <v>1005</v>
      </c>
      <c r="J1255">
        <v>-60</v>
      </c>
    </row>
    <row r="1256" spans="1:10" x14ac:dyDescent="0.25">
      <c r="A1256">
        <v>63</v>
      </c>
      <c r="B1256" t="s">
        <v>32</v>
      </c>
      <c r="C1256" t="s">
        <v>23</v>
      </c>
      <c r="D1256">
        <v>50</v>
      </c>
      <c r="E1256">
        <v>112</v>
      </c>
      <c r="F1256">
        <v>0.309</v>
      </c>
      <c r="G1256">
        <v>52</v>
      </c>
      <c r="H1256">
        <v>786</v>
      </c>
      <c r="I1256">
        <v>1092</v>
      </c>
      <c r="J1256">
        <v>-306</v>
      </c>
    </row>
    <row r="1257" spans="1:10" x14ac:dyDescent="0.25">
      <c r="A1257">
        <v>63</v>
      </c>
      <c r="B1257" t="s">
        <v>33</v>
      </c>
      <c r="C1257" t="s">
        <v>24</v>
      </c>
      <c r="D1257">
        <v>113</v>
      </c>
      <c r="E1257">
        <v>49</v>
      </c>
      <c r="F1257">
        <v>0.69799999999999995</v>
      </c>
      <c r="G1257">
        <v>0</v>
      </c>
      <c r="H1257">
        <v>965</v>
      </c>
      <c r="I1257">
        <v>633</v>
      </c>
      <c r="J1257">
        <v>332</v>
      </c>
    </row>
    <row r="1258" spans="1:10" x14ac:dyDescent="0.25">
      <c r="A1258">
        <v>63</v>
      </c>
      <c r="B1258" t="s">
        <v>33</v>
      </c>
      <c r="C1258" t="s">
        <v>25</v>
      </c>
      <c r="D1258">
        <v>94</v>
      </c>
      <c r="E1258">
        <v>68</v>
      </c>
      <c r="F1258">
        <v>0.57999999999999996</v>
      </c>
      <c r="G1258">
        <v>19</v>
      </c>
      <c r="H1258">
        <v>917</v>
      </c>
      <c r="I1258">
        <v>740</v>
      </c>
      <c r="J1258">
        <v>177</v>
      </c>
    </row>
    <row r="1259" spans="1:10" x14ac:dyDescent="0.25">
      <c r="A1259">
        <v>63</v>
      </c>
      <c r="B1259" t="s">
        <v>33</v>
      </c>
      <c r="C1259" t="s">
        <v>26</v>
      </c>
      <c r="D1259">
        <v>76</v>
      </c>
      <c r="E1259">
        <v>86</v>
      </c>
      <c r="F1259">
        <v>0.46899999999999997</v>
      </c>
      <c r="G1259">
        <v>37</v>
      </c>
      <c r="H1259">
        <v>823</v>
      </c>
      <c r="I1259">
        <v>854</v>
      </c>
      <c r="J1259">
        <v>-31</v>
      </c>
    </row>
    <row r="1260" spans="1:10" x14ac:dyDescent="0.25">
      <c r="A1260">
        <v>63</v>
      </c>
      <c r="B1260" t="s">
        <v>33</v>
      </c>
      <c r="C1260" t="s">
        <v>27</v>
      </c>
      <c r="D1260">
        <v>75</v>
      </c>
      <c r="E1260">
        <v>87</v>
      </c>
      <c r="F1260">
        <v>0.46300000000000002</v>
      </c>
      <c r="G1260">
        <v>38</v>
      </c>
      <c r="H1260">
        <v>858</v>
      </c>
      <c r="I1260">
        <v>861</v>
      </c>
      <c r="J1260">
        <v>-3</v>
      </c>
    </row>
    <row r="1261" spans="1:10" x14ac:dyDescent="0.25">
      <c r="A1261">
        <v>63</v>
      </c>
      <c r="B1261" t="s">
        <v>33</v>
      </c>
      <c r="C1261" t="s">
        <v>28</v>
      </c>
      <c r="D1261">
        <v>53</v>
      </c>
      <c r="E1261">
        <v>109</v>
      </c>
      <c r="F1261">
        <v>0.32700000000000001</v>
      </c>
      <c r="G1261">
        <v>60</v>
      </c>
      <c r="H1261">
        <v>678</v>
      </c>
      <c r="I1261">
        <v>932</v>
      </c>
      <c r="J1261">
        <v>-254</v>
      </c>
    </row>
    <row r="1262" spans="1:10" x14ac:dyDescent="0.25">
      <c r="A1262">
        <v>64</v>
      </c>
      <c r="B1262" t="s">
        <v>30</v>
      </c>
      <c r="C1262" t="s">
        <v>8</v>
      </c>
      <c r="D1262">
        <v>104</v>
      </c>
      <c r="E1262">
        <v>58</v>
      </c>
      <c r="F1262">
        <v>0.64200000000000002</v>
      </c>
      <c r="G1262">
        <v>0</v>
      </c>
      <c r="H1262">
        <v>922</v>
      </c>
      <c r="I1262">
        <v>713</v>
      </c>
      <c r="J1262">
        <v>209</v>
      </c>
    </row>
    <row r="1263" spans="1:10" x14ac:dyDescent="0.25">
      <c r="A1263">
        <v>64</v>
      </c>
      <c r="B1263" t="s">
        <v>30</v>
      </c>
      <c r="C1263" t="s">
        <v>11</v>
      </c>
      <c r="D1263">
        <v>92</v>
      </c>
      <c r="E1263">
        <v>70</v>
      </c>
      <c r="F1263">
        <v>0.56799999999999995</v>
      </c>
      <c r="G1263">
        <v>12</v>
      </c>
      <c r="H1263">
        <v>837</v>
      </c>
      <c r="I1263">
        <v>757</v>
      </c>
      <c r="J1263">
        <v>80</v>
      </c>
    </row>
    <row r="1264" spans="1:10" x14ac:dyDescent="0.25">
      <c r="A1264">
        <v>64</v>
      </c>
      <c r="B1264" t="s">
        <v>30</v>
      </c>
      <c r="C1264" t="s">
        <v>12</v>
      </c>
      <c r="D1264">
        <v>91</v>
      </c>
      <c r="E1264">
        <v>71</v>
      </c>
      <c r="F1264">
        <v>0.56200000000000006</v>
      </c>
      <c r="G1264">
        <v>13</v>
      </c>
      <c r="H1264">
        <v>948</v>
      </c>
      <c r="I1264">
        <v>857</v>
      </c>
      <c r="J1264">
        <v>91</v>
      </c>
    </row>
    <row r="1265" spans="1:10" x14ac:dyDescent="0.25">
      <c r="A1265">
        <v>64</v>
      </c>
      <c r="B1265" t="s">
        <v>30</v>
      </c>
      <c r="C1265" t="s">
        <v>10</v>
      </c>
      <c r="D1265">
        <v>87</v>
      </c>
      <c r="E1265">
        <v>75</v>
      </c>
      <c r="F1265">
        <v>0.53700000000000003</v>
      </c>
      <c r="G1265">
        <v>17</v>
      </c>
      <c r="H1265">
        <v>933</v>
      </c>
      <c r="I1265">
        <v>827</v>
      </c>
      <c r="J1265">
        <v>106</v>
      </c>
    </row>
    <row r="1266" spans="1:10" x14ac:dyDescent="0.25">
      <c r="A1266">
        <v>64</v>
      </c>
      <c r="B1266" t="s">
        <v>30</v>
      </c>
      <c r="C1266" t="s">
        <v>13</v>
      </c>
      <c r="D1266">
        <v>76</v>
      </c>
      <c r="E1266">
        <v>86</v>
      </c>
      <c r="F1266">
        <v>0.46899999999999997</v>
      </c>
      <c r="G1266">
        <v>28</v>
      </c>
      <c r="H1266">
        <v>852</v>
      </c>
      <c r="I1266">
        <v>888</v>
      </c>
      <c r="J1266">
        <v>-36</v>
      </c>
    </row>
    <row r="1267" spans="1:10" x14ac:dyDescent="0.25">
      <c r="A1267">
        <v>64</v>
      </c>
      <c r="B1267" t="s">
        <v>31</v>
      </c>
      <c r="C1267" t="s">
        <v>14</v>
      </c>
      <c r="D1267">
        <v>120</v>
      </c>
      <c r="E1267">
        <v>42</v>
      </c>
      <c r="F1267">
        <v>0.74099999999999999</v>
      </c>
      <c r="G1267">
        <v>0</v>
      </c>
      <c r="H1267">
        <v>988</v>
      </c>
      <c r="I1267">
        <v>625</v>
      </c>
      <c r="J1267">
        <v>363</v>
      </c>
    </row>
    <row r="1268" spans="1:10" x14ac:dyDescent="0.25">
      <c r="A1268">
        <v>64</v>
      </c>
      <c r="B1268" t="s">
        <v>31</v>
      </c>
      <c r="C1268" t="s">
        <v>15</v>
      </c>
      <c r="D1268">
        <v>71</v>
      </c>
      <c r="E1268">
        <v>91</v>
      </c>
      <c r="F1268">
        <v>0.438</v>
      </c>
      <c r="G1268">
        <v>49</v>
      </c>
      <c r="H1268">
        <v>990</v>
      </c>
      <c r="I1268">
        <v>1182</v>
      </c>
      <c r="J1268">
        <v>-192</v>
      </c>
    </row>
    <row r="1269" spans="1:10" x14ac:dyDescent="0.25">
      <c r="A1269">
        <v>64</v>
      </c>
      <c r="B1269" t="s">
        <v>31</v>
      </c>
      <c r="C1269" t="s">
        <v>16</v>
      </c>
      <c r="D1269">
        <v>64</v>
      </c>
      <c r="E1269">
        <v>98</v>
      </c>
      <c r="F1269">
        <v>0.39500000000000002</v>
      </c>
      <c r="G1269">
        <v>56</v>
      </c>
      <c r="H1269">
        <v>750</v>
      </c>
      <c r="I1269">
        <v>912</v>
      </c>
      <c r="J1269">
        <v>-162</v>
      </c>
    </row>
    <row r="1270" spans="1:10" x14ac:dyDescent="0.25">
      <c r="A1270">
        <v>64</v>
      </c>
      <c r="B1270" t="s">
        <v>31</v>
      </c>
      <c r="C1270" t="s">
        <v>17</v>
      </c>
      <c r="D1270">
        <v>60</v>
      </c>
      <c r="E1270">
        <v>102</v>
      </c>
      <c r="F1270">
        <v>0.37</v>
      </c>
      <c r="G1270">
        <v>60</v>
      </c>
      <c r="H1270">
        <v>798</v>
      </c>
      <c r="I1270">
        <v>1013</v>
      </c>
      <c r="J1270">
        <v>-215</v>
      </c>
    </row>
    <row r="1271" spans="1:10" x14ac:dyDescent="0.25">
      <c r="A1271">
        <v>64</v>
      </c>
      <c r="B1271" t="s">
        <v>31</v>
      </c>
      <c r="C1271" t="s">
        <v>18</v>
      </c>
      <c r="D1271">
        <v>54</v>
      </c>
      <c r="E1271">
        <v>108</v>
      </c>
      <c r="F1271">
        <v>0.33300000000000002</v>
      </c>
      <c r="G1271">
        <v>66</v>
      </c>
      <c r="H1271">
        <v>692</v>
      </c>
      <c r="I1271">
        <v>970</v>
      </c>
      <c r="J1271">
        <v>-278</v>
      </c>
    </row>
    <row r="1272" spans="1:10" x14ac:dyDescent="0.25">
      <c r="A1272">
        <v>64</v>
      </c>
      <c r="B1272" t="s">
        <v>32</v>
      </c>
      <c r="C1272" t="s">
        <v>19</v>
      </c>
      <c r="D1272">
        <v>111</v>
      </c>
      <c r="E1272">
        <v>51</v>
      </c>
      <c r="F1272">
        <v>0.68500000000000005</v>
      </c>
      <c r="G1272">
        <v>0</v>
      </c>
      <c r="H1272">
        <v>1050</v>
      </c>
      <c r="I1272">
        <v>752</v>
      </c>
      <c r="J1272">
        <v>298</v>
      </c>
    </row>
    <row r="1273" spans="1:10" x14ac:dyDescent="0.25">
      <c r="A1273">
        <v>64</v>
      </c>
      <c r="B1273" t="s">
        <v>32</v>
      </c>
      <c r="C1273" t="s">
        <v>20</v>
      </c>
      <c r="D1273">
        <v>90</v>
      </c>
      <c r="E1273">
        <v>72</v>
      </c>
      <c r="F1273">
        <v>0.55600000000000005</v>
      </c>
      <c r="G1273">
        <v>21</v>
      </c>
      <c r="H1273">
        <v>985</v>
      </c>
      <c r="I1273">
        <v>849</v>
      </c>
      <c r="J1273">
        <v>136</v>
      </c>
    </row>
    <row r="1274" spans="1:10" x14ac:dyDescent="0.25">
      <c r="A1274">
        <v>64</v>
      </c>
      <c r="B1274" t="s">
        <v>32</v>
      </c>
      <c r="C1274" t="s">
        <v>21</v>
      </c>
      <c r="D1274">
        <v>84</v>
      </c>
      <c r="E1274">
        <v>78</v>
      </c>
      <c r="F1274">
        <v>0.51900000000000002</v>
      </c>
      <c r="G1274">
        <v>27</v>
      </c>
      <c r="H1274">
        <v>914</v>
      </c>
      <c r="I1274">
        <v>929</v>
      </c>
      <c r="J1274">
        <v>-15</v>
      </c>
    </row>
    <row r="1275" spans="1:10" x14ac:dyDescent="0.25">
      <c r="A1275">
        <v>64</v>
      </c>
      <c r="B1275" t="s">
        <v>32</v>
      </c>
      <c r="C1275" t="s">
        <v>22</v>
      </c>
      <c r="D1275">
        <v>61</v>
      </c>
      <c r="E1275">
        <v>101</v>
      </c>
      <c r="F1275">
        <v>0.377</v>
      </c>
      <c r="G1275">
        <v>50</v>
      </c>
      <c r="H1275">
        <v>922</v>
      </c>
      <c r="I1275">
        <v>1072</v>
      </c>
      <c r="J1275">
        <v>-150</v>
      </c>
    </row>
    <row r="1276" spans="1:10" x14ac:dyDescent="0.25">
      <c r="A1276">
        <v>64</v>
      </c>
      <c r="B1276" t="s">
        <v>32</v>
      </c>
      <c r="C1276" t="s">
        <v>23</v>
      </c>
      <c r="D1276">
        <v>60</v>
      </c>
      <c r="E1276">
        <v>102</v>
      </c>
      <c r="F1276">
        <v>0.37</v>
      </c>
      <c r="G1276">
        <v>51</v>
      </c>
      <c r="H1276">
        <v>803</v>
      </c>
      <c r="I1276">
        <v>1039</v>
      </c>
      <c r="J1276">
        <v>-236</v>
      </c>
    </row>
    <row r="1277" spans="1:10" x14ac:dyDescent="0.25">
      <c r="A1277">
        <v>64</v>
      </c>
      <c r="B1277" t="s">
        <v>33</v>
      </c>
      <c r="C1277" t="s">
        <v>25</v>
      </c>
      <c r="D1277">
        <v>99</v>
      </c>
      <c r="E1277">
        <v>63</v>
      </c>
      <c r="F1277">
        <v>0.61099999999999999</v>
      </c>
      <c r="G1277">
        <v>0</v>
      </c>
      <c r="H1277">
        <v>802</v>
      </c>
      <c r="I1277">
        <v>635</v>
      </c>
      <c r="J1277">
        <v>167</v>
      </c>
    </row>
    <row r="1278" spans="1:10" x14ac:dyDescent="0.25">
      <c r="A1278">
        <v>64</v>
      </c>
      <c r="B1278" t="s">
        <v>33</v>
      </c>
      <c r="C1278" t="s">
        <v>24</v>
      </c>
      <c r="D1278">
        <v>97</v>
      </c>
      <c r="E1278">
        <v>65</v>
      </c>
      <c r="F1278">
        <v>0.59899999999999998</v>
      </c>
      <c r="G1278">
        <v>2</v>
      </c>
      <c r="H1278">
        <v>889</v>
      </c>
      <c r="I1278">
        <v>645</v>
      </c>
      <c r="J1278">
        <v>244</v>
      </c>
    </row>
    <row r="1279" spans="1:10" x14ac:dyDescent="0.25">
      <c r="A1279">
        <v>64</v>
      </c>
      <c r="B1279" t="s">
        <v>33</v>
      </c>
      <c r="C1279" t="s">
        <v>26</v>
      </c>
      <c r="D1279">
        <v>69</v>
      </c>
      <c r="E1279">
        <v>93</v>
      </c>
      <c r="F1279">
        <v>0.42599999999999999</v>
      </c>
      <c r="G1279">
        <v>30</v>
      </c>
      <c r="H1279">
        <v>734</v>
      </c>
      <c r="I1279">
        <v>823</v>
      </c>
      <c r="J1279">
        <v>-89</v>
      </c>
    </row>
    <row r="1280" spans="1:10" x14ac:dyDescent="0.25">
      <c r="A1280">
        <v>64</v>
      </c>
      <c r="B1280" t="s">
        <v>33</v>
      </c>
      <c r="C1280" t="s">
        <v>28</v>
      </c>
      <c r="D1280">
        <v>67</v>
      </c>
      <c r="E1280">
        <v>95</v>
      </c>
      <c r="F1280">
        <v>0.41399999999999998</v>
      </c>
      <c r="G1280">
        <v>32</v>
      </c>
      <c r="H1280">
        <v>799</v>
      </c>
      <c r="I1280">
        <v>992</v>
      </c>
      <c r="J1280">
        <v>-193</v>
      </c>
    </row>
    <row r="1281" spans="1:10" x14ac:dyDescent="0.25">
      <c r="A1281">
        <v>64</v>
      </c>
      <c r="B1281" t="s">
        <v>33</v>
      </c>
      <c r="C1281" t="s">
        <v>27</v>
      </c>
      <c r="D1281">
        <v>63</v>
      </c>
      <c r="E1281">
        <v>99</v>
      </c>
      <c r="F1281">
        <v>0.38900000000000001</v>
      </c>
      <c r="G1281">
        <v>36</v>
      </c>
      <c r="H1281">
        <v>798</v>
      </c>
      <c r="I1281">
        <v>926</v>
      </c>
      <c r="J1281">
        <v>-128</v>
      </c>
    </row>
    <row r="1282" spans="1:10" x14ac:dyDescent="0.25">
      <c r="A1282">
        <v>65</v>
      </c>
      <c r="B1282" t="s">
        <v>30</v>
      </c>
      <c r="C1282" t="s">
        <v>8</v>
      </c>
      <c r="D1282">
        <v>101</v>
      </c>
      <c r="E1282">
        <v>61</v>
      </c>
      <c r="F1282">
        <v>0.623</v>
      </c>
      <c r="G1282">
        <v>0</v>
      </c>
      <c r="H1282">
        <v>911</v>
      </c>
      <c r="I1282">
        <v>654</v>
      </c>
      <c r="J1282">
        <v>257</v>
      </c>
    </row>
    <row r="1283" spans="1:10" x14ac:dyDescent="0.25">
      <c r="A1283">
        <v>65</v>
      </c>
      <c r="B1283" t="s">
        <v>30</v>
      </c>
      <c r="C1283" t="s">
        <v>10</v>
      </c>
      <c r="D1283">
        <v>99</v>
      </c>
      <c r="E1283">
        <v>63</v>
      </c>
      <c r="F1283">
        <v>0.61099999999999999</v>
      </c>
      <c r="G1283">
        <v>2</v>
      </c>
      <c r="H1283">
        <v>971</v>
      </c>
      <c r="I1283">
        <v>774</v>
      </c>
      <c r="J1283">
        <v>197</v>
      </c>
    </row>
    <row r="1284" spans="1:10" x14ac:dyDescent="0.25">
      <c r="A1284">
        <v>65</v>
      </c>
      <c r="B1284" t="s">
        <v>30</v>
      </c>
      <c r="C1284" t="s">
        <v>12</v>
      </c>
      <c r="D1284">
        <v>93</v>
      </c>
      <c r="E1284">
        <v>69</v>
      </c>
      <c r="F1284">
        <v>0.57399999999999995</v>
      </c>
      <c r="G1284">
        <v>8</v>
      </c>
      <c r="H1284">
        <v>923</v>
      </c>
      <c r="I1284">
        <v>844</v>
      </c>
      <c r="J1284">
        <v>79</v>
      </c>
    </row>
    <row r="1285" spans="1:10" x14ac:dyDescent="0.25">
      <c r="A1285">
        <v>65</v>
      </c>
      <c r="B1285" t="s">
        <v>30</v>
      </c>
      <c r="C1285" t="s">
        <v>11</v>
      </c>
      <c r="D1285">
        <v>87</v>
      </c>
      <c r="E1285">
        <v>75</v>
      </c>
      <c r="F1285">
        <v>0.53700000000000003</v>
      </c>
      <c r="G1285">
        <v>14</v>
      </c>
      <c r="H1285">
        <v>872</v>
      </c>
      <c r="I1285">
        <v>768</v>
      </c>
      <c r="J1285">
        <v>104</v>
      </c>
    </row>
    <row r="1286" spans="1:10" x14ac:dyDescent="0.25">
      <c r="A1286">
        <v>65</v>
      </c>
      <c r="B1286" t="s">
        <v>30</v>
      </c>
      <c r="C1286" t="s">
        <v>13</v>
      </c>
      <c r="D1286">
        <v>79</v>
      </c>
      <c r="E1286">
        <v>83</v>
      </c>
      <c r="F1286">
        <v>0.48799999999999999</v>
      </c>
      <c r="G1286">
        <v>22</v>
      </c>
      <c r="H1286">
        <v>824</v>
      </c>
      <c r="I1286">
        <v>852</v>
      </c>
      <c r="J1286">
        <v>-28</v>
      </c>
    </row>
    <row r="1287" spans="1:10" x14ac:dyDescent="0.25">
      <c r="A1287">
        <v>65</v>
      </c>
      <c r="B1287" t="s">
        <v>31</v>
      </c>
      <c r="C1287" t="s">
        <v>14</v>
      </c>
      <c r="D1287">
        <v>102</v>
      </c>
      <c r="E1287">
        <v>60</v>
      </c>
      <c r="F1287">
        <v>0.63</v>
      </c>
      <c r="G1287">
        <v>0</v>
      </c>
      <c r="H1287">
        <v>906</v>
      </c>
      <c r="I1287">
        <v>659</v>
      </c>
      <c r="J1287">
        <v>247</v>
      </c>
    </row>
    <row r="1288" spans="1:10" x14ac:dyDescent="0.25">
      <c r="A1288">
        <v>65</v>
      </c>
      <c r="B1288" t="s">
        <v>31</v>
      </c>
      <c r="C1288" t="s">
        <v>15</v>
      </c>
      <c r="D1288">
        <v>87</v>
      </c>
      <c r="E1288">
        <v>75</v>
      </c>
      <c r="F1288">
        <v>0.53700000000000003</v>
      </c>
      <c r="G1288">
        <v>15</v>
      </c>
      <c r="H1288">
        <v>999</v>
      </c>
      <c r="I1288">
        <v>1044</v>
      </c>
      <c r="J1288">
        <v>-45</v>
      </c>
    </row>
    <row r="1289" spans="1:10" x14ac:dyDescent="0.25">
      <c r="A1289">
        <v>65</v>
      </c>
      <c r="B1289" t="s">
        <v>31</v>
      </c>
      <c r="C1289" t="s">
        <v>16</v>
      </c>
      <c r="D1289">
        <v>78</v>
      </c>
      <c r="E1289">
        <v>84</v>
      </c>
      <c r="F1289">
        <v>0.48099999999999998</v>
      </c>
      <c r="G1289">
        <v>24</v>
      </c>
      <c r="H1289">
        <v>765</v>
      </c>
      <c r="I1289">
        <v>900</v>
      </c>
      <c r="J1289">
        <v>-135</v>
      </c>
    </row>
    <row r="1290" spans="1:10" x14ac:dyDescent="0.25">
      <c r="A1290">
        <v>65</v>
      </c>
      <c r="B1290" t="s">
        <v>31</v>
      </c>
      <c r="C1290" t="s">
        <v>17</v>
      </c>
      <c r="D1290">
        <v>45</v>
      </c>
      <c r="E1290">
        <v>117</v>
      </c>
      <c r="F1290">
        <v>0.27800000000000002</v>
      </c>
      <c r="G1290">
        <v>57</v>
      </c>
      <c r="H1290">
        <v>765</v>
      </c>
      <c r="I1290">
        <v>987</v>
      </c>
      <c r="J1290">
        <v>-222</v>
      </c>
    </row>
    <row r="1291" spans="1:10" x14ac:dyDescent="0.25">
      <c r="A1291">
        <v>65</v>
      </c>
      <c r="B1291" t="s">
        <v>31</v>
      </c>
      <c r="C1291" t="s">
        <v>18</v>
      </c>
      <c r="D1291">
        <v>40</v>
      </c>
      <c r="E1291">
        <v>122</v>
      </c>
      <c r="F1291">
        <v>0.247</v>
      </c>
      <c r="G1291">
        <v>62</v>
      </c>
      <c r="H1291">
        <v>618</v>
      </c>
      <c r="I1291">
        <v>1085</v>
      </c>
      <c r="J1291">
        <v>-467</v>
      </c>
    </row>
    <row r="1292" spans="1:10" x14ac:dyDescent="0.25">
      <c r="A1292">
        <v>65</v>
      </c>
      <c r="B1292" t="s">
        <v>32</v>
      </c>
      <c r="C1292" t="s">
        <v>19</v>
      </c>
      <c r="D1292">
        <v>110</v>
      </c>
      <c r="E1292">
        <v>52</v>
      </c>
      <c r="F1292">
        <v>0.67900000000000005</v>
      </c>
      <c r="G1292">
        <v>0</v>
      </c>
      <c r="H1292">
        <v>1005</v>
      </c>
      <c r="I1292">
        <v>705</v>
      </c>
      <c r="J1292">
        <v>300</v>
      </c>
    </row>
    <row r="1293" spans="1:10" x14ac:dyDescent="0.25">
      <c r="A1293">
        <v>65</v>
      </c>
      <c r="B1293" t="s">
        <v>32</v>
      </c>
      <c r="C1293" t="s">
        <v>20</v>
      </c>
      <c r="D1293">
        <v>94</v>
      </c>
      <c r="E1293">
        <v>68</v>
      </c>
      <c r="F1293">
        <v>0.57999999999999996</v>
      </c>
      <c r="G1293">
        <v>16</v>
      </c>
      <c r="H1293">
        <v>880</v>
      </c>
      <c r="I1293">
        <v>785</v>
      </c>
      <c r="J1293">
        <v>95</v>
      </c>
    </row>
    <row r="1294" spans="1:10" x14ac:dyDescent="0.25">
      <c r="A1294">
        <v>65</v>
      </c>
      <c r="B1294" t="s">
        <v>32</v>
      </c>
      <c r="C1294" t="s">
        <v>21</v>
      </c>
      <c r="D1294">
        <v>84</v>
      </c>
      <c r="E1294">
        <v>78</v>
      </c>
      <c r="F1294">
        <v>0.51900000000000002</v>
      </c>
      <c r="G1294">
        <v>26</v>
      </c>
      <c r="H1294">
        <v>931</v>
      </c>
      <c r="I1294">
        <v>865</v>
      </c>
      <c r="J1294">
        <v>66</v>
      </c>
    </row>
    <row r="1295" spans="1:10" x14ac:dyDescent="0.25">
      <c r="A1295">
        <v>65</v>
      </c>
      <c r="B1295" t="s">
        <v>32</v>
      </c>
      <c r="C1295" t="s">
        <v>22</v>
      </c>
      <c r="D1295">
        <v>65</v>
      </c>
      <c r="E1295">
        <v>97</v>
      </c>
      <c r="F1295">
        <v>0.40100000000000002</v>
      </c>
      <c r="G1295">
        <v>45</v>
      </c>
      <c r="H1295">
        <v>863</v>
      </c>
      <c r="I1295">
        <v>956</v>
      </c>
      <c r="J1295">
        <v>-93</v>
      </c>
    </row>
    <row r="1296" spans="1:10" x14ac:dyDescent="0.25">
      <c r="A1296">
        <v>65</v>
      </c>
      <c r="B1296" t="s">
        <v>32</v>
      </c>
      <c r="C1296" t="s">
        <v>23</v>
      </c>
      <c r="D1296">
        <v>55</v>
      </c>
      <c r="E1296">
        <v>107</v>
      </c>
      <c r="F1296">
        <v>0.34</v>
      </c>
      <c r="G1296">
        <v>55</v>
      </c>
      <c r="H1296">
        <v>754</v>
      </c>
      <c r="I1296">
        <v>1100</v>
      </c>
      <c r="J1296">
        <v>-346</v>
      </c>
    </row>
    <row r="1297" spans="1:10" x14ac:dyDescent="0.25">
      <c r="A1297">
        <v>65</v>
      </c>
      <c r="B1297" t="s">
        <v>33</v>
      </c>
      <c r="C1297" t="s">
        <v>24</v>
      </c>
      <c r="D1297">
        <v>108</v>
      </c>
      <c r="E1297">
        <v>54</v>
      </c>
      <c r="F1297">
        <v>0.66700000000000004</v>
      </c>
      <c r="G1297">
        <v>0</v>
      </c>
      <c r="H1297">
        <v>891</v>
      </c>
      <c r="I1297">
        <v>642</v>
      </c>
      <c r="J1297">
        <v>249</v>
      </c>
    </row>
    <row r="1298" spans="1:10" x14ac:dyDescent="0.25">
      <c r="A1298">
        <v>65</v>
      </c>
      <c r="B1298" t="s">
        <v>33</v>
      </c>
      <c r="C1298" t="s">
        <v>26</v>
      </c>
      <c r="D1298">
        <v>90</v>
      </c>
      <c r="E1298">
        <v>72</v>
      </c>
      <c r="F1298">
        <v>0.55600000000000005</v>
      </c>
      <c r="G1298">
        <v>18</v>
      </c>
      <c r="H1298">
        <v>868</v>
      </c>
      <c r="I1298">
        <v>812</v>
      </c>
      <c r="J1298">
        <v>56</v>
      </c>
    </row>
    <row r="1299" spans="1:10" x14ac:dyDescent="0.25">
      <c r="A1299">
        <v>65</v>
      </c>
      <c r="B1299" t="s">
        <v>33</v>
      </c>
      <c r="C1299" t="s">
        <v>25</v>
      </c>
      <c r="D1299">
        <v>84</v>
      </c>
      <c r="E1299">
        <v>78</v>
      </c>
      <c r="F1299">
        <v>0.51900000000000002</v>
      </c>
      <c r="G1299">
        <v>24</v>
      </c>
      <c r="H1299">
        <v>826</v>
      </c>
      <c r="I1299">
        <v>733</v>
      </c>
      <c r="J1299">
        <v>93</v>
      </c>
    </row>
    <row r="1300" spans="1:10" x14ac:dyDescent="0.25">
      <c r="A1300">
        <v>65</v>
      </c>
      <c r="B1300" t="s">
        <v>33</v>
      </c>
      <c r="C1300" t="s">
        <v>27</v>
      </c>
      <c r="D1300">
        <v>71</v>
      </c>
      <c r="E1300">
        <v>91</v>
      </c>
      <c r="F1300">
        <v>0.438</v>
      </c>
      <c r="G1300">
        <v>37</v>
      </c>
      <c r="H1300">
        <v>796</v>
      </c>
      <c r="I1300">
        <v>909</v>
      </c>
      <c r="J1300">
        <v>-113</v>
      </c>
    </row>
    <row r="1301" spans="1:10" x14ac:dyDescent="0.25">
      <c r="A1301">
        <v>65</v>
      </c>
      <c r="B1301" t="s">
        <v>33</v>
      </c>
      <c r="C1301" t="s">
        <v>28</v>
      </c>
      <c r="D1301">
        <v>48</v>
      </c>
      <c r="E1301">
        <v>114</v>
      </c>
      <c r="F1301">
        <v>0.29599999999999999</v>
      </c>
      <c r="G1301">
        <v>60</v>
      </c>
      <c r="H1301">
        <v>692</v>
      </c>
      <c r="I1301">
        <v>986</v>
      </c>
      <c r="J1301">
        <v>-294</v>
      </c>
    </row>
    <row r="1302" spans="1:10" x14ac:dyDescent="0.25">
      <c r="A1302">
        <v>66</v>
      </c>
      <c r="B1302" t="s">
        <v>30</v>
      </c>
      <c r="C1302" t="s">
        <v>8</v>
      </c>
      <c r="D1302">
        <v>94</v>
      </c>
      <c r="E1302">
        <v>68</v>
      </c>
      <c r="F1302">
        <v>0.57999999999999996</v>
      </c>
      <c r="G1302">
        <v>0</v>
      </c>
      <c r="H1302">
        <v>855</v>
      </c>
      <c r="I1302">
        <v>708</v>
      </c>
      <c r="J1302">
        <v>147</v>
      </c>
    </row>
    <row r="1303" spans="1:10" x14ac:dyDescent="0.25">
      <c r="A1303">
        <v>66</v>
      </c>
      <c r="B1303" t="s">
        <v>30</v>
      </c>
      <c r="C1303" t="s">
        <v>11</v>
      </c>
      <c r="D1303">
        <v>94</v>
      </c>
      <c r="E1303">
        <v>68</v>
      </c>
      <c r="F1303">
        <v>0.57999999999999996</v>
      </c>
      <c r="G1303">
        <v>0</v>
      </c>
      <c r="H1303">
        <v>892</v>
      </c>
      <c r="I1303">
        <v>809</v>
      </c>
      <c r="J1303">
        <v>83</v>
      </c>
    </row>
    <row r="1304" spans="1:10" x14ac:dyDescent="0.25">
      <c r="A1304">
        <v>66</v>
      </c>
      <c r="B1304" t="s">
        <v>30</v>
      </c>
      <c r="C1304" t="s">
        <v>10</v>
      </c>
      <c r="D1304">
        <v>93</v>
      </c>
      <c r="E1304">
        <v>69</v>
      </c>
      <c r="F1304">
        <v>0.57399999999999995</v>
      </c>
      <c r="G1304">
        <v>1</v>
      </c>
      <c r="H1304">
        <v>983</v>
      </c>
      <c r="I1304">
        <v>865</v>
      </c>
      <c r="J1304">
        <v>118</v>
      </c>
    </row>
    <row r="1305" spans="1:10" x14ac:dyDescent="0.25">
      <c r="A1305">
        <v>66</v>
      </c>
      <c r="B1305" t="s">
        <v>30</v>
      </c>
      <c r="C1305" t="s">
        <v>12</v>
      </c>
      <c r="D1305">
        <v>92</v>
      </c>
      <c r="E1305">
        <v>70</v>
      </c>
      <c r="F1305">
        <v>0.56799999999999995</v>
      </c>
      <c r="G1305">
        <v>2</v>
      </c>
      <c r="H1305">
        <v>959</v>
      </c>
      <c r="I1305">
        <v>892</v>
      </c>
      <c r="J1305">
        <v>67</v>
      </c>
    </row>
    <row r="1306" spans="1:10" x14ac:dyDescent="0.25">
      <c r="A1306">
        <v>66</v>
      </c>
      <c r="B1306" t="s">
        <v>30</v>
      </c>
      <c r="C1306" t="s">
        <v>13</v>
      </c>
      <c r="D1306">
        <v>79</v>
      </c>
      <c r="E1306">
        <v>83</v>
      </c>
      <c r="F1306">
        <v>0.48799999999999999</v>
      </c>
      <c r="G1306">
        <v>15</v>
      </c>
      <c r="H1306">
        <v>845</v>
      </c>
      <c r="I1306">
        <v>832</v>
      </c>
      <c r="J1306">
        <v>13</v>
      </c>
    </row>
    <row r="1307" spans="1:10" x14ac:dyDescent="0.25">
      <c r="A1307">
        <v>66</v>
      </c>
      <c r="B1307" t="s">
        <v>31</v>
      </c>
      <c r="C1307" t="s">
        <v>14</v>
      </c>
      <c r="D1307">
        <v>105</v>
      </c>
      <c r="E1307">
        <v>57</v>
      </c>
      <c r="F1307">
        <v>0.64800000000000002</v>
      </c>
      <c r="G1307">
        <v>0</v>
      </c>
      <c r="H1307">
        <v>1031</v>
      </c>
      <c r="I1307">
        <v>753</v>
      </c>
      <c r="J1307">
        <v>278</v>
      </c>
    </row>
    <row r="1308" spans="1:10" x14ac:dyDescent="0.25">
      <c r="A1308">
        <v>66</v>
      </c>
      <c r="B1308" t="s">
        <v>31</v>
      </c>
      <c r="C1308" t="s">
        <v>15</v>
      </c>
      <c r="D1308">
        <v>78</v>
      </c>
      <c r="E1308">
        <v>84</v>
      </c>
      <c r="F1308">
        <v>0.48099999999999998</v>
      </c>
      <c r="G1308">
        <v>27</v>
      </c>
      <c r="H1308">
        <v>1046</v>
      </c>
      <c r="I1308">
        <v>1175</v>
      </c>
      <c r="J1308">
        <v>-129</v>
      </c>
    </row>
    <row r="1309" spans="1:10" x14ac:dyDescent="0.25">
      <c r="A1309">
        <v>66</v>
      </c>
      <c r="B1309" t="s">
        <v>31</v>
      </c>
      <c r="C1309" t="s">
        <v>16</v>
      </c>
      <c r="D1309">
        <v>68</v>
      </c>
      <c r="E1309">
        <v>94</v>
      </c>
      <c r="F1309">
        <v>0.42</v>
      </c>
      <c r="G1309">
        <v>37</v>
      </c>
      <c r="H1309">
        <v>778</v>
      </c>
      <c r="I1309">
        <v>912</v>
      </c>
      <c r="J1309">
        <v>-134</v>
      </c>
    </row>
    <row r="1310" spans="1:10" x14ac:dyDescent="0.25">
      <c r="A1310">
        <v>66</v>
      </c>
      <c r="B1310" t="s">
        <v>31</v>
      </c>
      <c r="C1310" t="s">
        <v>17</v>
      </c>
      <c r="D1310">
        <v>62</v>
      </c>
      <c r="E1310">
        <v>100</v>
      </c>
      <c r="F1310">
        <v>0.38300000000000001</v>
      </c>
      <c r="G1310">
        <v>43</v>
      </c>
      <c r="H1310">
        <v>784</v>
      </c>
      <c r="I1310">
        <v>912</v>
      </c>
      <c r="J1310">
        <v>-128</v>
      </c>
    </row>
    <row r="1311" spans="1:10" x14ac:dyDescent="0.25">
      <c r="A1311">
        <v>66</v>
      </c>
      <c r="B1311" t="s">
        <v>31</v>
      </c>
      <c r="C1311" t="s">
        <v>18</v>
      </c>
      <c r="D1311">
        <v>43</v>
      </c>
      <c r="E1311">
        <v>119</v>
      </c>
      <c r="F1311">
        <v>0.26500000000000001</v>
      </c>
      <c r="G1311">
        <v>62</v>
      </c>
      <c r="H1311">
        <v>654</v>
      </c>
      <c r="I1311">
        <v>1029</v>
      </c>
      <c r="J1311">
        <v>-375</v>
      </c>
    </row>
    <row r="1312" spans="1:10" x14ac:dyDescent="0.25">
      <c r="A1312">
        <v>66</v>
      </c>
      <c r="B1312" t="s">
        <v>32</v>
      </c>
      <c r="C1312" t="s">
        <v>19</v>
      </c>
      <c r="D1312">
        <v>112</v>
      </c>
      <c r="E1312">
        <v>50</v>
      </c>
      <c r="F1312">
        <v>0.69099999999999995</v>
      </c>
      <c r="G1312">
        <v>0</v>
      </c>
      <c r="H1312">
        <v>1150</v>
      </c>
      <c r="I1312">
        <v>739</v>
      </c>
      <c r="J1312">
        <v>411</v>
      </c>
    </row>
    <row r="1313" spans="1:10" x14ac:dyDescent="0.25">
      <c r="A1313">
        <v>66</v>
      </c>
      <c r="B1313" t="s">
        <v>32</v>
      </c>
      <c r="C1313" t="s">
        <v>20</v>
      </c>
      <c r="D1313">
        <v>98</v>
      </c>
      <c r="E1313">
        <v>64</v>
      </c>
      <c r="F1313">
        <v>0.60499999999999998</v>
      </c>
      <c r="G1313">
        <v>14</v>
      </c>
      <c r="H1313">
        <v>940</v>
      </c>
      <c r="I1313">
        <v>742</v>
      </c>
      <c r="J1313">
        <v>198</v>
      </c>
    </row>
    <row r="1314" spans="1:10" x14ac:dyDescent="0.25">
      <c r="A1314">
        <v>66</v>
      </c>
      <c r="B1314" t="s">
        <v>32</v>
      </c>
      <c r="C1314" t="s">
        <v>22</v>
      </c>
      <c r="D1314">
        <v>83</v>
      </c>
      <c r="E1314">
        <v>79</v>
      </c>
      <c r="F1314">
        <v>0.51200000000000001</v>
      </c>
      <c r="G1314">
        <v>29</v>
      </c>
      <c r="H1314">
        <v>905</v>
      </c>
      <c r="I1314">
        <v>935</v>
      </c>
      <c r="J1314">
        <v>-30</v>
      </c>
    </row>
    <row r="1315" spans="1:10" x14ac:dyDescent="0.25">
      <c r="A1315">
        <v>66</v>
      </c>
      <c r="B1315" t="s">
        <v>32</v>
      </c>
      <c r="C1315" t="s">
        <v>21</v>
      </c>
      <c r="D1315">
        <v>75</v>
      </c>
      <c r="E1315">
        <v>87</v>
      </c>
      <c r="F1315">
        <v>0.46300000000000002</v>
      </c>
      <c r="G1315">
        <v>37</v>
      </c>
      <c r="H1315">
        <v>925</v>
      </c>
      <c r="I1315">
        <v>1042</v>
      </c>
      <c r="J1315">
        <v>-117</v>
      </c>
    </row>
    <row r="1316" spans="1:10" x14ac:dyDescent="0.25">
      <c r="A1316">
        <v>66</v>
      </c>
      <c r="B1316" t="s">
        <v>32</v>
      </c>
      <c r="C1316" t="s">
        <v>23</v>
      </c>
      <c r="D1316">
        <v>52</v>
      </c>
      <c r="E1316">
        <v>110</v>
      </c>
      <c r="F1316">
        <v>0.32100000000000001</v>
      </c>
      <c r="G1316">
        <v>60</v>
      </c>
      <c r="H1316">
        <v>780</v>
      </c>
      <c r="I1316">
        <v>1153</v>
      </c>
      <c r="J1316">
        <v>-373</v>
      </c>
    </row>
    <row r="1317" spans="1:10" x14ac:dyDescent="0.25">
      <c r="A1317">
        <v>66</v>
      </c>
      <c r="B1317" t="s">
        <v>33</v>
      </c>
      <c r="C1317" t="s">
        <v>24</v>
      </c>
      <c r="D1317">
        <v>96</v>
      </c>
      <c r="E1317">
        <v>66</v>
      </c>
      <c r="F1317">
        <v>0.59299999999999997</v>
      </c>
      <c r="G1317">
        <v>0</v>
      </c>
      <c r="H1317">
        <v>946</v>
      </c>
      <c r="I1317">
        <v>763</v>
      </c>
      <c r="J1317">
        <v>183</v>
      </c>
    </row>
    <row r="1318" spans="1:10" x14ac:dyDescent="0.25">
      <c r="A1318">
        <v>66</v>
      </c>
      <c r="B1318" t="s">
        <v>33</v>
      </c>
      <c r="C1318" t="s">
        <v>25</v>
      </c>
      <c r="D1318">
        <v>96</v>
      </c>
      <c r="E1318">
        <v>66</v>
      </c>
      <c r="F1318">
        <v>0.59299999999999997</v>
      </c>
      <c r="G1318">
        <v>0</v>
      </c>
      <c r="H1318">
        <v>864</v>
      </c>
      <c r="I1318">
        <v>650</v>
      </c>
      <c r="J1318">
        <v>214</v>
      </c>
    </row>
    <row r="1319" spans="1:10" x14ac:dyDescent="0.25">
      <c r="A1319">
        <v>66</v>
      </c>
      <c r="B1319" t="s">
        <v>33</v>
      </c>
      <c r="C1319" t="s">
        <v>26</v>
      </c>
      <c r="D1319">
        <v>78</v>
      </c>
      <c r="E1319">
        <v>84</v>
      </c>
      <c r="F1319">
        <v>0.48099999999999998</v>
      </c>
      <c r="G1319">
        <v>18</v>
      </c>
      <c r="H1319">
        <v>852</v>
      </c>
      <c r="I1319">
        <v>870</v>
      </c>
      <c r="J1319">
        <v>-18</v>
      </c>
    </row>
    <row r="1320" spans="1:10" x14ac:dyDescent="0.25">
      <c r="A1320">
        <v>66</v>
      </c>
      <c r="B1320" t="s">
        <v>33</v>
      </c>
      <c r="C1320" t="s">
        <v>27</v>
      </c>
      <c r="D1320">
        <v>70</v>
      </c>
      <c r="E1320">
        <v>92</v>
      </c>
      <c r="F1320">
        <v>0.432</v>
      </c>
      <c r="G1320">
        <v>26</v>
      </c>
      <c r="H1320">
        <v>775</v>
      </c>
      <c r="I1320">
        <v>918</v>
      </c>
      <c r="J1320">
        <v>-143</v>
      </c>
    </row>
    <row r="1321" spans="1:10" x14ac:dyDescent="0.25">
      <c r="A1321">
        <v>66</v>
      </c>
      <c r="B1321" t="s">
        <v>33</v>
      </c>
      <c r="C1321" t="s">
        <v>28</v>
      </c>
      <c r="D1321">
        <v>52</v>
      </c>
      <c r="E1321">
        <v>110</v>
      </c>
      <c r="F1321">
        <v>0.32100000000000001</v>
      </c>
      <c r="G1321">
        <v>44</v>
      </c>
      <c r="H1321">
        <v>738</v>
      </c>
      <c r="I1321">
        <v>1003</v>
      </c>
      <c r="J1321">
        <v>-265</v>
      </c>
    </row>
    <row r="1322" spans="1:10" x14ac:dyDescent="0.25">
      <c r="A1322">
        <v>67</v>
      </c>
      <c r="B1322" t="s">
        <v>30</v>
      </c>
      <c r="C1322" t="s">
        <v>8</v>
      </c>
      <c r="D1322">
        <v>98</v>
      </c>
      <c r="E1322">
        <v>64</v>
      </c>
      <c r="F1322">
        <v>0.60499999999999998</v>
      </c>
      <c r="G1322">
        <v>0</v>
      </c>
      <c r="H1322">
        <v>896</v>
      </c>
      <c r="I1322">
        <v>674</v>
      </c>
      <c r="J1322">
        <v>222</v>
      </c>
    </row>
    <row r="1323" spans="1:10" x14ac:dyDescent="0.25">
      <c r="A1323">
        <v>67</v>
      </c>
      <c r="B1323" t="s">
        <v>30</v>
      </c>
      <c r="C1323" t="s">
        <v>10</v>
      </c>
      <c r="D1323">
        <v>96</v>
      </c>
      <c r="E1323">
        <v>66</v>
      </c>
      <c r="F1323">
        <v>0.59299999999999997</v>
      </c>
      <c r="G1323">
        <v>2</v>
      </c>
      <c r="H1323">
        <v>1007</v>
      </c>
      <c r="I1323">
        <v>882</v>
      </c>
      <c r="J1323">
        <v>125</v>
      </c>
    </row>
    <row r="1324" spans="1:10" x14ac:dyDescent="0.25">
      <c r="A1324">
        <v>67</v>
      </c>
      <c r="B1324" t="s">
        <v>30</v>
      </c>
      <c r="C1324" t="s">
        <v>11</v>
      </c>
      <c r="D1324">
        <v>95</v>
      </c>
      <c r="E1324">
        <v>67</v>
      </c>
      <c r="F1324">
        <v>0.58599999999999997</v>
      </c>
      <c r="G1324">
        <v>3</v>
      </c>
      <c r="H1324">
        <v>894</v>
      </c>
      <c r="I1324">
        <v>772</v>
      </c>
      <c r="J1324">
        <v>122</v>
      </c>
    </row>
    <row r="1325" spans="1:10" x14ac:dyDescent="0.25">
      <c r="A1325">
        <v>67</v>
      </c>
      <c r="B1325" t="s">
        <v>30</v>
      </c>
      <c r="C1325" t="s">
        <v>12</v>
      </c>
      <c r="D1325">
        <v>92</v>
      </c>
      <c r="E1325">
        <v>70</v>
      </c>
      <c r="F1325">
        <v>0.56799999999999995</v>
      </c>
      <c r="G1325">
        <v>6</v>
      </c>
      <c r="H1325">
        <v>935</v>
      </c>
      <c r="I1325">
        <v>850</v>
      </c>
      <c r="J1325">
        <v>85</v>
      </c>
    </row>
    <row r="1326" spans="1:10" x14ac:dyDescent="0.25">
      <c r="A1326">
        <v>67</v>
      </c>
      <c r="B1326" t="s">
        <v>30</v>
      </c>
      <c r="C1326" t="s">
        <v>13</v>
      </c>
      <c r="D1326">
        <v>78</v>
      </c>
      <c r="E1326">
        <v>84</v>
      </c>
      <c r="F1326">
        <v>0.48099999999999998</v>
      </c>
      <c r="G1326">
        <v>20</v>
      </c>
      <c r="H1326">
        <v>800</v>
      </c>
      <c r="I1326">
        <v>864</v>
      </c>
      <c r="J1326">
        <v>-64</v>
      </c>
    </row>
    <row r="1327" spans="1:10" x14ac:dyDescent="0.25">
      <c r="A1327">
        <v>67</v>
      </c>
      <c r="B1327" t="s">
        <v>31</v>
      </c>
      <c r="C1327" t="s">
        <v>14</v>
      </c>
      <c r="D1327">
        <v>104</v>
      </c>
      <c r="E1327">
        <v>58</v>
      </c>
      <c r="F1327">
        <v>0.64200000000000002</v>
      </c>
      <c r="G1327">
        <v>0</v>
      </c>
      <c r="H1327">
        <v>981</v>
      </c>
      <c r="I1327">
        <v>717</v>
      </c>
      <c r="J1327">
        <v>264</v>
      </c>
    </row>
    <row r="1328" spans="1:10" x14ac:dyDescent="0.25">
      <c r="A1328">
        <v>67</v>
      </c>
      <c r="B1328" t="s">
        <v>31</v>
      </c>
      <c r="C1328" t="s">
        <v>15</v>
      </c>
      <c r="D1328">
        <v>78</v>
      </c>
      <c r="E1328">
        <v>84</v>
      </c>
      <c r="F1328">
        <v>0.48099999999999998</v>
      </c>
      <c r="G1328">
        <v>26</v>
      </c>
      <c r="H1328">
        <v>989</v>
      </c>
      <c r="I1328">
        <v>1137</v>
      </c>
      <c r="J1328">
        <v>-148</v>
      </c>
    </row>
    <row r="1329" spans="1:10" x14ac:dyDescent="0.25">
      <c r="A1329">
        <v>67</v>
      </c>
      <c r="B1329" t="s">
        <v>31</v>
      </c>
      <c r="C1329" t="s">
        <v>16</v>
      </c>
      <c r="D1329">
        <v>68</v>
      </c>
      <c r="E1329">
        <v>94</v>
      </c>
      <c r="F1329">
        <v>0.42</v>
      </c>
      <c r="G1329">
        <v>36</v>
      </c>
      <c r="H1329">
        <v>788</v>
      </c>
      <c r="I1329">
        <v>893</v>
      </c>
      <c r="J1329">
        <v>-105</v>
      </c>
    </row>
    <row r="1330" spans="1:10" x14ac:dyDescent="0.25">
      <c r="A1330">
        <v>67</v>
      </c>
      <c r="B1330" t="s">
        <v>31</v>
      </c>
      <c r="C1330" t="s">
        <v>17</v>
      </c>
      <c r="D1330">
        <v>56</v>
      </c>
      <c r="E1330">
        <v>106</v>
      </c>
      <c r="F1330">
        <v>0.34599999999999997</v>
      </c>
      <c r="G1330">
        <v>48</v>
      </c>
      <c r="H1330">
        <v>793</v>
      </c>
      <c r="I1330">
        <v>986</v>
      </c>
      <c r="J1330">
        <v>-193</v>
      </c>
    </row>
    <row r="1331" spans="1:10" x14ac:dyDescent="0.25">
      <c r="A1331">
        <v>67</v>
      </c>
      <c r="B1331" t="s">
        <v>31</v>
      </c>
      <c r="C1331" t="s">
        <v>18</v>
      </c>
      <c r="D1331">
        <v>47</v>
      </c>
      <c r="E1331">
        <v>115</v>
      </c>
      <c r="F1331">
        <v>0.28999999999999998</v>
      </c>
      <c r="G1331">
        <v>57</v>
      </c>
      <c r="H1331">
        <v>671</v>
      </c>
      <c r="I1331">
        <v>1078</v>
      </c>
      <c r="J1331">
        <v>-407</v>
      </c>
    </row>
    <row r="1332" spans="1:10" x14ac:dyDescent="0.25">
      <c r="A1332">
        <v>67</v>
      </c>
      <c r="B1332" t="s">
        <v>32</v>
      </c>
      <c r="C1332" t="s">
        <v>19</v>
      </c>
      <c r="D1332">
        <v>117</v>
      </c>
      <c r="E1332">
        <v>45</v>
      </c>
      <c r="F1332">
        <v>0.72199999999999998</v>
      </c>
      <c r="G1332">
        <v>0</v>
      </c>
      <c r="H1332">
        <v>1091</v>
      </c>
      <c r="I1332">
        <v>710</v>
      </c>
      <c r="J1332">
        <v>381</v>
      </c>
    </row>
    <row r="1333" spans="1:10" x14ac:dyDescent="0.25">
      <c r="A1333">
        <v>67</v>
      </c>
      <c r="B1333" t="s">
        <v>32</v>
      </c>
      <c r="C1333" t="s">
        <v>21</v>
      </c>
      <c r="D1333">
        <v>88</v>
      </c>
      <c r="E1333">
        <v>74</v>
      </c>
      <c r="F1333">
        <v>0.54300000000000004</v>
      </c>
      <c r="G1333">
        <v>29</v>
      </c>
      <c r="H1333">
        <v>1014</v>
      </c>
      <c r="I1333">
        <v>914</v>
      </c>
      <c r="J1333">
        <v>100</v>
      </c>
    </row>
    <row r="1334" spans="1:10" x14ac:dyDescent="0.25">
      <c r="A1334">
        <v>67</v>
      </c>
      <c r="B1334" t="s">
        <v>32</v>
      </c>
      <c r="C1334" t="s">
        <v>20</v>
      </c>
      <c r="D1334">
        <v>88</v>
      </c>
      <c r="E1334">
        <v>74</v>
      </c>
      <c r="F1334">
        <v>0.54300000000000004</v>
      </c>
      <c r="G1334">
        <v>29</v>
      </c>
      <c r="H1334">
        <v>995</v>
      </c>
      <c r="I1334">
        <v>865</v>
      </c>
      <c r="J1334">
        <v>130</v>
      </c>
    </row>
    <row r="1335" spans="1:10" x14ac:dyDescent="0.25">
      <c r="A1335">
        <v>67</v>
      </c>
      <c r="B1335" t="s">
        <v>32</v>
      </c>
      <c r="C1335" t="s">
        <v>22</v>
      </c>
      <c r="D1335">
        <v>61</v>
      </c>
      <c r="E1335">
        <v>101</v>
      </c>
      <c r="F1335">
        <v>0.377</v>
      </c>
      <c r="G1335">
        <v>56</v>
      </c>
      <c r="H1335">
        <v>788</v>
      </c>
      <c r="I1335">
        <v>953</v>
      </c>
      <c r="J1335">
        <v>-165</v>
      </c>
    </row>
    <row r="1336" spans="1:10" x14ac:dyDescent="0.25">
      <c r="A1336">
        <v>67</v>
      </c>
      <c r="B1336" t="s">
        <v>32</v>
      </c>
      <c r="C1336" t="s">
        <v>23</v>
      </c>
      <c r="D1336">
        <v>56</v>
      </c>
      <c r="E1336">
        <v>106</v>
      </c>
      <c r="F1336">
        <v>0.34599999999999997</v>
      </c>
      <c r="G1336">
        <v>61</v>
      </c>
      <c r="H1336">
        <v>749</v>
      </c>
      <c r="I1336">
        <v>1037</v>
      </c>
      <c r="J1336">
        <v>-288</v>
      </c>
    </row>
    <row r="1337" spans="1:10" x14ac:dyDescent="0.25">
      <c r="A1337">
        <v>67</v>
      </c>
      <c r="B1337" t="s">
        <v>33</v>
      </c>
      <c r="C1337" t="s">
        <v>24</v>
      </c>
      <c r="D1337">
        <v>104</v>
      </c>
      <c r="E1337">
        <v>58</v>
      </c>
      <c r="F1337">
        <v>0.64200000000000002</v>
      </c>
      <c r="G1337">
        <v>0</v>
      </c>
      <c r="H1337">
        <v>967</v>
      </c>
      <c r="I1337">
        <v>694</v>
      </c>
      <c r="J1337">
        <v>273</v>
      </c>
    </row>
    <row r="1338" spans="1:10" x14ac:dyDescent="0.25">
      <c r="A1338">
        <v>67</v>
      </c>
      <c r="B1338" t="s">
        <v>33</v>
      </c>
      <c r="C1338" t="s">
        <v>25</v>
      </c>
      <c r="D1338">
        <v>98</v>
      </c>
      <c r="E1338">
        <v>64</v>
      </c>
      <c r="F1338">
        <v>0.60499999999999998</v>
      </c>
      <c r="G1338">
        <v>6</v>
      </c>
      <c r="H1338">
        <v>859</v>
      </c>
      <c r="I1338">
        <v>701</v>
      </c>
      <c r="J1338">
        <v>158</v>
      </c>
    </row>
    <row r="1339" spans="1:10" x14ac:dyDescent="0.25">
      <c r="A1339">
        <v>67</v>
      </c>
      <c r="B1339" t="s">
        <v>33</v>
      </c>
      <c r="C1339" t="s">
        <v>26</v>
      </c>
      <c r="D1339">
        <v>82</v>
      </c>
      <c r="E1339">
        <v>80</v>
      </c>
      <c r="F1339">
        <v>0.50600000000000001</v>
      </c>
      <c r="G1339">
        <v>22</v>
      </c>
      <c r="H1339">
        <v>846</v>
      </c>
      <c r="I1339">
        <v>813</v>
      </c>
      <c r="J1339">
        <v>33</v>
      </c>
    </row>
    <row r="1340" spans="1:10" x14ac:dyDescent="0.25">
      <c r="A1340">
        <v>67</v>
      </c>
      <c r="B1340" t="s">
        <v>33</v>
      </c>
      <c r="C1340" t="s">
        <v>27</v>
      </c>
      <c r="D1340">
        <v>78</v>
      </c>
      <c r="E1340">
        <v>84</v>
      </c>
      <c r="F1340">
        <v>0.48099999999999998</v>
      </c>
      <c r="G1340">
        <v>26</v>
      </c>
      <c r="H1340">
        <v>852</v>
      </c>
      <c r="I1340">
        <v>915</v>
      </c>
      <c r="J1340">
        <v>-63</v>
      </c>
    </row>
    <row r="1341" spans="1:10" x14ac:dyDescent="0.25">
      <c r="A1341">
        <v>67</v>
      </c>
      <c r="B1341" t="s">
        <v>33</v>
      </c>
      <c r="C1341" t="s">
        <v>28</v>
      </c>
      <c r="D1341">
        <v>36</v>
      </c>
      <c r="E1341">
        <v>126</v>
      </c>
      <c r="F1341">
        <v>0.222</v>
      </c>
      <c r="G1341">
        <v>68</v>
      </c>
      <c r="H1341">
        <v>689</v>
      </c>
      <c r="I1341">
        <v>1149</v>
      </c>
      <c r="J1341">
        <v>-460</v>
      </c>
    </row>
    <row r="1342" spans="1:10" x14ac:dyDescent="0.25">
      <c r="A1342">
        <v>68</v>
      </c>
      <c r="B1342" t="s">
        <v>30</v>
      </c>
      <c r="C1342" t="s">
        <v>12</v>
      </c>
      <c r="D1342">
        <v>98</v>
      </c>
      <c r="E1342">
        <v>64</v>
      </c>
      <c r="F1342">
        <v>0.60499999999999998</v>
      </c>
      <c r="G1342">
        <v>0</v>
      </c>
      <c r="H1342">
        <v>994</v>
      </c>
      <c r="I1342">
        <v>888</v>
      </c>
      <c r="J1342">
        <v>106</v>
      </c>
    </row>
    <row r="1343" spans="1:10" x14ac:dyDescent="0.25">
      <c r="A1343">
        <v>68</v>
      </c>
      <c r="B1343" t="s">
        <v>30</v>
      </c>
      <c r="C1343" t="s">
        <v>11</v>
      </c>
      <c r="D1343">
        <v>98</v>
      </c>
      <c r="E1343">
        <v>64</v>
      </c>
      <c r="F1343">
        <v>0.60499999999999998</v>
      </c>
      <c r="G1343">
        <v>0</v>
      </c>
      <c r="H1343">
        <v>919</v>
      </c>
      <c r="I1343">
        <v>765</v>
      </c>
      <c r="J1343">
        <v>154</v>
      </c>
    </row>
    <row r="1344" spans="1:10" x14ac:dyDescent="0.25">
      <c r="A1344">
        <v>68</v>
      </c>
      <c r="B1344" t="s">
        <v>30</v>
      </c>
      <c r="C1344" t="s">
        <v>8</v>
      </c>
      <c r="D1344">
        <v>94</v>
      </c>
      <c r="E1344">
        <v>68</v>
      </c>
      <c r="F1344">
        <v>0.57999999999999996</v>
      </c>
      <c r="G1344">
        <v>4</v>
      </c>
      <c r="H1344">
        <v>843</v>
      </c>
      <c r="I1344">
        <v>703</v>
      </c>
      <c r="J1344">
        <v>140</v>
      </c>
    </row>
    <row r="1345" spans="1:10" x14ac:dyDescent="0.25">
      <c r="A1345">
        <v>68</v>
      </c>
      <c r="B1345" t="s">
        <v>30</v>
      </c>
      <c r="C1345" t="s">
        <v>10</v>
      </c>
      <c r="D1345">
        <v>91</v>
      </c>
      <c r="E1345">
        <v>71</v>
      </c>
      <c r="F1345">
        <v>0.56200000000000006</v>
      </c>
      <c r="G1345">
        <v>7</v>
      </c>
      <c r="H1345">
        <v>952</v>
      </c>
      <c r="I1345">
        <v>852</v>
      </c>
      <c r="J1345">
        <v>100</v>
      </c>
    </row>
    <row r="1346" spans="1:10" x14ac:dyDescent="0.25">
      <c r="A1346">
        <v>68</v>
      </c>
      <c r="B1346" t="s">
        <v>30</v>
      </c>
      <c r="C1346" t="s">
        <v>13</v>
      </c>
      <c r="D1346">
        <v>71</v>
      </c>
      <c r="E1346">
        <v>91</v>
      </c>
      <c r="F1346">
        <v>0.438</v>
      </c>
      <c r="G1346">
        <v>27</v>
      </c>
      <c r="H1346">
        <v>800</v>
      </c>
      <c r="I1346">
        <v>908</v>
      </c>
      <c r="J1346">
        <v>-108</v>
      </c>
    </row>
    <row r="1347" spans="1:10" x14ac:dyDescent="0.25">
      <c r="A1347">
        <v>68</v>
      </c>
      <c r="B1347" t="s">
        <v>31</v>
      </c>
      <c r="C1347" t="s">
        <v>14</v>
      </c>
      <c r="D1347">
        <v>110</v>
      </c>
      <c r="E1347">
        <v>52</v>
      </c>
      <c r="F1347">
        <v>0.67900000000000005</v>
      </c>
      <c r="G1347">
        <v>0</v>
      </c>
      <c r="H1347">
        <v>986</v>
      </c>
      <c r="I1347">
        <v>667</v>
      </c>
      <c r="J1347">
        <v>319</v>
      </c>
    </row>
    <row r="1348" spans="1:10" x14ac:dyDescent="0.25">
      <c r="A1348">
        <v>68</v>
      </c>
      <c r="B1348" t="s">
        <v>31</v>
      </c>
      <c r="C1348" t="s">
        <v>16</v>
      </c>
      <c r="D1348">
        <v>85</v>
      </c>
      <c r="E1348">
        <v>77</v>
      </c>
      <c r="F1348">
        <v>0.52500000000000002</v>
      </c>
      <c r="G1348">
        <v>25</v>
      </c>
      <c r="H1348">
        <v>836</v>
      </c>
      <c r="I1348">
        <v>890</v>
      </c>
      <c r="J1348">
        <v>-54</v>
      </c>
    </row>
    <row r="1349" spans="1:10" x14ac:dyDescent="0.25">
      <c r="A1349">
        <v>68</v>
      </c>
      <c r="B1349" t="s">
        <v>31</v>
      </c>
      <c r="C1349" t="s">
        <v>15</v>
      </c>
      <c r="D1349">
        <v>70</v>
      </c>
      <c r="E1349">
        <v>92</v>
      </c>
      <c r="F1349">
        <v>0.432</v>
      </c>
      <c r="G1349">
        <v>40</v>
      </c>
      <c r="H1349">
        <v>955</v>
      </c>
      <c r="I1349">
        <v>1151</v>
      </c>
      <c r="J1349">
        <v>-196</v>
      </c>
    </row>
    <row r="1350" spans="1:10" x14ac:dyDescent="0.25">
      <c r="A1350">
        <v>68</v>
      </c>
      <c r="B1350" t="s">
        <v>31</v>
      </c>
      <c r="C1350" t="s">
        <v>17</v>
      </c>
      <c r="D1350">
        <v>63</v>
      </c>
      <c r="E1350">
        <v>99</v>
      </c>
      <c r="F1350">
        <v>0.38900000000000001</v>
      </c>
      <c r="G1350">
        <v>47</v>
      </c>
      <c r="H1350">
        <v>822</v>
      </c>
      <c r="I1350">
        <v>971</v>
      </c>
      <c r="J1350">
        <v>-149</v>
      </c>
    </row>
    <row r="1351" spans="1:10" x14ac:dyDescent="0.25">
      <c r="A1351">
        <v>68</v>
      </c>
      <c r="B1351" t="s">
        <v>31</v>
      </c>
      <c r="C1351" t="s">
        <v>18</v>
      </c>
      <c r="D1351">
        <v>39</v>
      </c>
      <c r="E1351">
        <v>123</v>
      </c>
      <c r="F1351">
        <v>0.24099999999999999</v>
      </c>
      <c r="G1351">
        <v>71</v>
      </c>
      <c r="H1351">
        <v>633</v>
      </c>
      <c r="I1351">
        <v>1078</v>
      </c>
      <c r="J1351">
        <v>-445</v>
      </c>
    </row>
    <row r="1352" spans="1:10" x14ac:dyDescent="0.25">
      <c r="A1352">
        <v>68</v>
      </c>
      <c r="B1352" t="s">
        <v>32</v>
      </c>
      <c r="C1352" t="s">
        <v>19</v>
      </c>
      <c r="D1352">
        <v>103</v>
      </c>
      <c r="E1352">
        <v>59</v>
      </c>
      <c r="F1352">
        <v>0.63600000000000001</v>
      </c>
      <c r="G1352">
        <v>0</v>
      </c>
      <c r="H1352">
        <v>1094</v>
      </c>
      <c r="I1352">
        <v>858</v>
      </c>
      <c r="J1352">
        <v>236</v>
      </c>
    </row>
    <row r="1353" spans="1:10" x14ac:dyDescent="0.25">
      <c r="A1353">
        <v>68</v>
      </c>
      <c r="B1353" t="s">
        <v>32</v>
      </c>
      <c r="C1353" t="s">
        <v>21</v>
      </c>
      <c r="D1353">
        <v>88</v>
      </c>
      <c r="E1353">
        <v>74</v>
      </c>
      <c r="F1353">
        <v>0.54300000000000004</v>
      </c>
      <c r="G1353">
        <v>15</v>
      </c>
      <c r="H1353">
        <v>1021</v>
      </c>
      <c r="I1353">
        <v>934</v>
      </c>
      <c r="J1353">
        <v>87</v>
      </c>
    </row>
    <row r="1354" spans="1:10" x14ac:dyDescent="0.25">
      <c r="A1354">
        <v>68</v>
      </c>
      <c r="B1354" t="s">
        <v>32</v>
      </c>
      <c r="C1354" t="s">
        <v>20</v>
      </c>
      <c r="D1354">
        <v>87</v>
      </c>
      <c r="E1354">
        <v>75</v>
      </c>
      <c r="F1354">
        <v>0.53700000000000003</v>
      </c>
      <c r="G1354">
        <v>16</v>
      </c>
      <c r="H1354">
        <v>980</v>
      </c>
      <c r="I1354">
        <v>844</v>
      </c>
      <c r="J1354">
        <v>136</v>
      </c>
    </row>
    <row r="1355" spans="1:10" x14ac:dyDescent="0.25">
      <c r="A1355">
        <v>68</v>
      </c>
      <c r="B1355" t="s">
        <v>32</v>
      </c>
      <c r="C1355" t="s">
        <v>23</v>
      </c>
      <c r="D1355">
        <v>66</v>
      </c>
      <c r="E1355">
        <v>96</v>
      </c>
      <c r="F1355">
        <v>0.40699999999999997</v>
      </c>
      <c r="G1355">
        <v>37</v>
      </c>
      <c r="H1355">
        <v>768</v>
      </c>
      <c r="I1355">
        <v>1007</v>
      </c>
      <c r="J1355">
        <v>-239</v>
      </c>
    </row>
    <row r="1356" spans="1:10" x14ac:dyDescent="0.25">
      <c r="A1356">
        <v>68</v>
      </c>
      <c r="B1356" t="s">
        <v>32</v>
      </c>
      <c r="C1356" t="s">
        <v>22</v>
      </c>
      <c r="D1356">
        <v>62</v>
      </c>
      <c r="E1356">
        <v>100</v>
      </c>
      <c r="F1356">
        <v>0.38300000000000001</v>
      </c>
      <c r="G1356">
        <v>41</v>
      </c>
      <c r="H1356">
        <v>889</v>
      </c>
      <c r="I1356">
        <v>986</v>
      </c>
      <c r="J1356">
        <v>-97</v>
      </c>
    </row>
    <row r="1357" spans="1:10" x14ac:dyDescent="0.25">
      <c r="A1357">
        <v>68</v>
      </c>
      <c r="B1357" t="s">
        <v>33</v>
      </c>
      <c r="C1357" t="s">
        <v>24</v>
      </c>
      <c r="D1357">
        <v>110</v>
      </c>
      <c r="E1357">
        <v>52</v>
      </c>
      <c r="F1357">
        <v>0.67900000000000005</v>
      </c>
      <c r="G1357">
        <v>0</v>
      </c>
      <c r="H1357">
        <v>1071</v>
      </c>
      <c r="I1357">
        <v>703</v>
      </c>
      <c r="J1357">
        <v>368</v>
      </c>
    </row>
    <row r="1358" spans="1:10" x14ac:dyDescent="0.25">
      <c r="A1358">
        <v>68</v>
      </c>
      <c r="B1358" t="s">
        <v>33</v>
      </c>
      <c r="C1358" t="s">
        <v>25</v>
      </c>
      <c r="D1358">
        <v>88</v>
      </c>
      <c r="E1358">
        <v>74</v>
      </c>
      <c r="F1358">
        <v>0.54300000000000004</v>
      </c>
      <c r="G1358">
        <v>22</v>
      </c>
      <c r="H1358">
        <v>870</v>
      </c>
      <c r="I1358">
        <v>763</v>
      </c>
      <c r="J1358">
        <v>107</v>
      </c>
    </row>
    <row r="1359" spans="1:10" x14ac:dyDescent="0.25">
      <c r="A1359">
        <v>68</v>
      </c>
      <c r="B1359" t="s">
        <v>33</v>
      </c>
      <c r="C1359" t="s">
        <v>26</v>
      </c>
      <c r="D1359">
        <v>84</v>
      </c>
      <c r="E1359">
        <v>78</v>
      </c>
      <c r="F1359">
        <v>0.51900000000000002</v>
      </c>
      <c r="G1359">
        <v>26</v>
      </c>
      <c r="H1359">
        <v>863</v>
      </c>
      <c r="I1359">
        <v>818</v>
      </c>
      <c r="J1359">
        <v>45</v>
      </c>
    </row>
    <row r="1360" spans="1:10" x14ac:dyDescent="0.25">
      <c r="A1360">
        <v>68</v>
      </c>
      <c r="B1360" t="s">
        <v>33</v>
      </c>
      <c r="C1360" t="s">
        <v>28</v>
      </c>
      <c r="D1360">
        <v>58</v>
      </c>
      <c r="E1360">
        <v>104</v>
      </c>
      <c r="F1360">
        <v>0.35799999999999998</v>
      </c>
      <c r="G1360">
        <v>52</v>
      </c>
      <c r="H1360">
        <v>728</v>
      </c>
      <c r="I1360">
        <v>1011</v>
      </c>
      <c r="J1360">
        <v>-283</v>
      </c>
    </row>
    <row r="1361" spans="1:10" x14ac:dyDescent="0.25">
      <c r="A1361">
        <v>68</v>
      </c>
      <c r="B1361" t="s">
        <v>33</v>
      </c>
      <c r="C1361" t="s">
        <v>27</v>
      </c>
      <c r="D1361">
        <v>55</v>
      </c>
      <c r="E1361">
        <v>107</v>
      </c>
      <c r="F1361">
        <v>0.34</v>
      </c>
      <c r="G1361">
        <v>55</v>
      </c>
      <c r="H1361">
        <v>726</v>
      </c>
      <c r="I1361">
        <v>953</v>
      </c>
      <c r="J1361">
        <v>-227</v>
      </c>
    </row>
    <row r="1362" spans="1:10" x14ac:dyDescent="0.25">
      <c r="A1362">
        <v>69</v>
      </c>
      <c r="B1362" t="s">
        <v>30</v>
      </c>
      <c r="C1362" t="s">
        <v>10</v>
      </c>
      <c r="D1362">
        <v>97</v>
      </c>
      <c r="E1362">
        <v>65</v>
      </c>
      <c r="F1362">
        <v>0.59899999999999998</v>
      </c>
      <c r="G1362">
        <v>0</v>
      </c>
      <c r="H1362">
        <v>1043</v>
      </c>
      <c r="I1362">
        <v>876</v>
      </c>
      <c r="J1362">
        <v>167</v>
      </c>
    </row>
    <row r="1363" spans="1:10" x14ac:dyDescent="0.25">
      <c r="A1363">
        <v>69</v>
      </c>
      <c r="B1363" t="s">
        <v>30</v>
      </c>
      <c r="C1363" t="s">
        <v>12</v>
      </c>
      <c r="D1363">
        <v>94</v>
      </c>
      <c r="E1363">
        <v>68</v>
      </c>
      <c r="F1363">
        <v>0.57999999999999996</v>
      </c>
      <c r="G1363">
        <v>3</v>
      </c>
      <c r="H1363">
        <v>953</v>
      </c>
      <c r="I1363">
        <v>813</v>
      </c>
      <c r="J1363">
        <v>140</v>
      </c>
    </row>
    <row r="1364" spans="1:10" x14ac:dyDescent="0.25">
      <c r="A1364">
        <v>69</v>
      </c>
      <c r="B1364" t="s">
        <v>30</v>
      </c>
      <c r="C1364" t="s">
        <v>8</v>
      </c>
      <c r="D1364">
        <v>94</v>
      </c>
      <c r="E1364">
        <v>68</v>
      </c>
      <c r="F1364">
        <v>0.57999999999999996</v>
      </c>
      <c r="G1364">
        <v>3</v>
      </c>
      <c r="H1364">
        <v>840</v>
      </c>
      <c r="I1364">
        <v>683</v>
      </c>
      <c r="J1364">
        <v>157</v>
      </c>
    </row>
    <row r="1365" spans="1:10" x14ac:dyDescent="0.25">
      <c r="A1365">
        <v>69</v>
      </c>
      <c r="B1365" t="s">
        <v>30</v>
      </c>
      <c r="C1365" t="s">
        <v>13</v>
      </c>
      <c r="D1365">
        <v>78</v>
      </c>
      <c r="E1365">
        <v>84</v>
      </c>
      <c r="F1365">
        <v>0.48099999999999998</v>
      </c>
      <c r="G1365">
        <v>19</v>
      </c>
      <c r="H1365">
        <v>853</v>
      </c>
      <c r="I1365">
        <v>855</v>
      </c>
      <c r="J1365">
        <v>-2</v>
      </c>
    </row>
    <row r="1366" spans="1:10" x14ac:dyDescent="0.25">
      <c r="A1366">
        <v>69</v>
      </c>
      <c r="B1366" t="s">
        <v>30</v>
      </c>
      <c r="C1366" t="s">
        <v>11</v>
      </c>
      <c r="D1366">
        <v>76</v>
      </c>
      <c r="E1366">
        <v>86</v>
      </c>
      <c r="F1366">
        <v>0.46899999999999997</v>
      </c>
      <c r="G1366">
        <v>21</v>
      </c>
      <c r="H1366">
        <v>804</v>
      </c>
      <c r="I1366">
        <v>825</v>
      </c>
      <c r="J1366">
        <v>-21</v>
      </c>
    </row>
    <row r="1367" spans="1:10" x14ac:dyDescent="0.25">
      <c r="A1367">
        <v>69</v>
      </c>
      <c r="B1367" t="s">
        <v>31</v>
      </c>
      <c r="C1367" t="s">
        <v>14</v>
      </c>
      <c r="D1367">
        <v>112</v>
      </c>
      <c r="E1367">
        <v>50</v>
      </c>
      <c r="F1367">
        <v>0.69099999999999995</v>
      </c>
      <c r="G1367">
        <v>0</v>
      </c>
      <c r="H1367">
        <v>962</v>
      </c>
      <c r="I1367">
        <v>626</v>
      </c>
      <c r="J1367">
        <v>336</v>
      </c>
    </row>
    <row r="1368" spans="1:10" x14ac:dyDescent="0.25">
      <c r="A1368">
        <v>69</v>
      </c>
      <c r="B1368" t="s">
        <v>31</v>
      </c>
      <c r="C1368" t="s">
        <v>16</v>
      </c>
      <c r="D1368">
        <v>71</v>
      </c>
      <c r="E1368">
        <v>91</v>
      </c>
      <c r="F1368">
        <v>0.438</v>
      </c>
      <c r="G1368">
        <v>41</v>
      </c>
      <c r="H1368">
        <v>828</v>
      </c>
      <c r="I1368">
        <v>891</v>
      </c>
      <c r="J1368">
        <v>-63</v>
      </c>
    </row>
    <row r="1369" spans="1:10" x14ac:dyDescent="0.25">
      <c r="A1369">
        <v>69</v>
      </c>
      <c r="B1369" t="s">
        <v>31</v>
      </c>
      <c r="C1369" t="s">
        <v>17</v>
      </c>
      <c r="D1369">
        <v>67</v>
      </c>
      <c r="E1369">
        <v>95</v>
      </c>
      <c r="F1369">
        <v>0.41399999999999998</v>
      </c>
      <c r="G1369">
        <v>45</v>
      </c>
      <c r="H1369">
        <v>838</v>
      </c>
      <c r="I1369">
        <v>979</v>
      </c>
      <c r="J1369">
        <v>-141</v>
      </c>
    </row>
    <row r="1370" spans="1:10" x14ac:dyDescent="0.25">
      <c r="A1370">
        <v>69</v>
      </c>
      <c r="B1370" t="s">
        <v>31</v>
      </c>
      <c r="C1370" t="s">
        <v>15</v>
      </c>
      <c r="D1370">
        <v>59</v>
      </c>
      <c r="E1370">
        <v>103</v>
      </c>
      <c r="F1370">
        <v>0.36399999999999999</v>
      </c>
      <c r="G1370">
        <v>53</v>
      </c>
      <c r="H1370">
        <v>1000</v>
      </c>
      <c r="I1370">
        <v>1273</v>
      </c>
      <c r="J1370">
        <v>-273</v>
      </c>
    </row>
    <row r="1371" spans="1:10" x14ac:dyDescent="0.25">
      <c r="A1371">
        <v>69</v>
      </c>
      <c r="B1371" t="s">
        <v>31</v>
      </c>
      <c r="C1371" t="s">
        <v>18</v>
      </c>
      <c r="D1371">
        <v>47</v>
      </c>
      <c r="E1371">
        <v>115</v>
      </c>
      <c r="F1371">
        <v>0.28999999999999998</v>
      </c>
      <c r="G1371">
        <v>65</v>
      </c>
      <c r="H1371">
        <v>699</v>
      </c>
      <c r="I1371">
        <v>1029</v>
      </c>
      <c r="J1371">
        <v>-330</v>
      </c>
    </row>
    <row r="1372" spans="1:10" x14ac:dyDescent="0.25">
      <c r="A1372">
        <v>69</v>
      </c>
      <c r="B1372" t="s">
        <v>32</v>
      </c>
      <c r="C1372" t="s">
        <v>20</v>
      </c>
      <c r="D1372">
        <v>106</v>
      </c>
      <c r="E1372">
        <v>56</v>
      </c>
      <c r="F1372">
        <v>0.65400000000000003</v>
      </c>
      <c r="G1372">
        <v>0</v>
      </c>
      <c r="H1372">
        <v>1017</v>
      </c>
      <c r="I1372">
        <v>800</v>
      </c>
      <c r="J1372">
        <v>217</v>
      </c>
    </row>
    <row r="1373" spans="1:10" x14ac:dyDescent="0.25">
      <c r="A1373">
        <v>69</v>
      </c>
      <c r="B1373" t="s">
        <v>32</v>
      </c>
      <c r="C1373" t="s">
        <v>19</v>
      </c>
      <c r="D1373">
        <v>105</v>
      </c>
      <c r="E1373">
        <v>57</v>
      </c>
      <c r="F1373">
        <v>0.64800000000000002</v>
      </c>
      <c r="G1373">
        <v>1</v>
      </c>
      <c r="H1373">
        <v>1020</v>
      </c>
      <c r="I1373">
        <v>824</v>
      </c>
      <c r="J1373">
        <v>196</v>
      </c>
    </row>
    <row r="1374" spans="1:10" x14ac:dyDescent="0.25">
      <c r="A1374">
        <v>69</v>
      </c>
      <c r="B1374" t="s">
        <v>32</v>
      </c>
      <c r="C1374" t="s">
        <v>22</v>
      </c>
      <c r="D1374">
        <v>85</v>
      </c>
      <c r="E1374">
        <v>77</v>
      </c>
      <c r="F1374">
        <v>0.52500000000000002</v>
      </c>
      <c r="G1374">
        <v>21</v>
      </c>
      <c r="H1374">
        <v>909</v>
      </c>
      <c r="I1374">
        <v>949</v>
      </c>
      <c r="J1374">
        <v>-40</v>
      </c>
    </row>
    <row r="1375" spans="1:10" x14ac:dyDescent="0.25">
      <c r="A1375">
        <v>69</v>
      </c>
      <c r="B1375" t="s">
        <v>32</v>
      </c>
      <c r="C1375" t="s">
        <v>21</v>
      </c>
      <c r="D1375">
        <v>84</v>
      </c>
      <c r="E1375">
        <v>78</v>
      </c>
      <c r="F1375">
        <v>0.51900000000000002</v>
      </c>
      <c r="G1375">
        <v>22</v>
      </c>
      <c r="H1375">
        <v>968</v>
      </c>
      <c r="I1375">
        <v>872</v>
      </c>
      <c r="J1375">
        <v>96</v>
      </c>
    </row>
    <row r="1376" spans="1:10" x14ac:dyDescent="0.25">
      <c r="A1376">
        <v>69</v>
      </c>
      <c r="B1376" t="s">
        <v>32</v>
      </c>
      <c r="C1376" t="s">
        <v>23</v>
      </c>
      <c r="D1376">
        <v>53</v>
      </c>
      <c r="E1376">
        <v>109</v>
      </c>
      <c r="F1376">
        <v>0.32700000000000001</v>
      </c>
      <c r="G1376">
        <v>53</v>
      </c>
      <c r="H1376">
        <v>847</v>
      </c>
      <c r="I1376">
        <v>1055</v>
      </c>
      <c r="J1376">
        <v>-208</v>
      </c>
    </row>
    <row r="1377" spans="1:10" x14ac:dyDescent="0.25">
      <c r="A1377">
        <v>69</v>
      </c>
      <c r="B1377" t="s">
        <v>33</v>
      </c>
      <c r="C1377" t="s">
        <v>25</v>
      </c>
      <c r="D1377">
        <v>105</v>
      </c>
      <c r="E1377">
        <v>57</v>
      </c>
      <c r="F1377">
        <v>0.64800000000000002</v>
      </c>
      <c r="G1377">
        <v>0</v>
      </c>
      <c r="H1377">
        <v>878</v>
      </c>
      <c r="I1377">
        <v>642</v>
      </c>
      <c r="J1377">
        <v>236</v>
      </c>
    </row>
    <row r="1378" spans="1:10" x14ac:dyDescent="0.25">
      <c r="A1378">
        <v>69</v>
      </c>
      <c r="B1378" t="s">
        <v>33</v>
      </c>
      <c r="C1378" t="s">
        <v>24</v>
      </c>
      <c r="D1378">
        <v>97</v>
      </c>
      <c r="E1378">
        <v>65</v>
      </c>
      <c r="F1378">
        <v>0.59899999999999998</v>
      </c>
      <c r="G1378">
        <v>8</v>
      </c>
      <c r="H1378">
        <v>933</v>
      </c>
      <c r="I1378">
        <v>748</v>
      </c>
      <c r="J1378">
        <v>185</v>
      </c>
    </row>
    <row r="1379" spans="1:10" x14ac:dyDescent="0.25">
      <c r="A1379">
        <v>69</v>
      </c>
      <c r="B1379" t="s">
        <v>33</v>
      </c>
      <c r="C1379" t="s">
        <v>26</v>
      </c>
      <c r="D1379">
        <v>79</v>
      </c>
      <c r="E1379">
        <v>83</v>
      </c>
      <c r="F1379">
        <v>0.48799999999999999</v>
      </c>
      <c r="G1379">
        <v>26</v>
      </c>
      <c r="H1379">
        <v>835</v>
      </c>
      <c r="I1379">
        <v>875</v>
      </c>
      <c r="J1379">
        <v>-40</v>
      </c>
    </row>
    <row r="1380" spans="1:10" x14ac:dyDescent="0.25">
      <c r="A1380">
        <v>69</v>
      </c>
      <c r="B1380" t="s">
        <v>33</v>
      </c>
      <c r="C1380" t="s">
        <v>27</v>
      </c>
      <c r="D1380">
        <v>65</v>
      </c>
      <c r="E1380">
        <v>97</v>
      </c>
      <c r="F1380">
        <v>0.40100000000000002</v>
      </c>
      <c r="G1380">
        <v>40</v>
      </c>
      <c r="H1380">
        <v>735</v>
      </c>
      <c r="I1380">
        <v>924</v>
      </c>
      <c r="J1380">
        <v>-189</v>
      </c>
    </row>
    <row r="1381" spans="1:10" x14ac:dyDescent="0.25">
      <c r="A1381">
        <v>69</v>
      </c>
      <c r="B1381" t="s">
        <v>33</v>
      </c>
      <c r="C1381" t="s">
        <v>28</v>
      </c>
      <c r="D1381">
        <v>46</v>
      </c>
      <c r="E1381">
        <v>116</v>
      </c>
      <c r="F1381">
        <v>0.28399999999999997</v>
      </c>
      <c r="G1381">
        <v>59</v>
      </c>
      <c r="H1381">
        <v>669</v>
      </c>
      <c r="I1381">
        <v>1092</v>
      </c>
      <c r="J1381">
        <v>-423</v>
      </c>
    </row>
    <row r="1382" spans="1:10" x14ac:dyDescent="0.25">
      <c r="A1382">
        <v>70</v>
      </c>
      <c r="B1382" t="s">
        <v>30</v>
      </c>
      <c r="C1382" t="s">
        <v>12</v>
      </c>
      <c r="D1382">
        <v>106</v>
      </c>
      <c r="E1382">
        <v>56</v>
      </c>
      <c r="F1382">
        <v>0.65400000000000003</v>
      </c>
      <c r="G1382">
        <v>0</v>
      </c>
      <c r="H1382">
        <v>1074</v>
      </c>
      <c r="I1382">
        <v>821</v>
      </c>
      <c r="J1382">
        <v>253</v>
      </c>
    </row>
    <row r="1383" spans="1:10" x14ac:dyDescent="0.25">
      <c r="A1383">
        <v>70</v>
      </c>
      <c r="B1383" t="s">
        <v>30</v>
      </c>
      <c r="C1383" t="s">
        <v>11</v>
      </c>
      <c r="D1383">
        <v>103</v>
      </c>
      <c r="E1383">
        <v>59</v>
      </c>
      <c r="F1383">
        <v>0.63600000000000001</v>
      </c>
      <c r="G1383">
        <v>3</v>
      </c>
      <c r="H1383">
        <v>870</v>
      </c>
      <c r="I1383">
        <v>729</v>
      </c>
      <c r="J1383">
        <v>141</v>
      </c>
    </row>
    <row r="1384" spans="1:10" x14ac:dyDescent="0.25">
      <c r="A1384">
        <v>70</v>
      </c>
      <c r="B1384" t="s">
        <v>30</v>
      </c>
      <c r="C1384" t="s">
        <v>10</v>
      </c>
      <c r="D1384">
        <v>96</v>
      </c>
      <c r="E1384">
        <v>66</v>
      </c>
      <c r="F1384">
        <v>0.59299999999999997</v>
      </c>
      <c r="G1384">
        <v>10</v>
      </c>
      <c r="H1384">
        <v>1028</v>
      </c>
      <c r="I1384">
        <v>881</v>
      </c>
      <c r="J1384">
        <v>147</v>
      </c>
    </row>
    <row r="1385" spans="1:10" x14ac:dyDescent="0.25">
      <c r="A1385">
        <v>70</v>
      </c>
      <c r="B1385" t="s">
        <v>30</v>
      </c>
      <c r="C1385" t="s">
        <v>8</v>
      </c>
      <c r="D1385">
        <v>93</v>
      </c>
      <c r="E1385">
        <v>69</v>
      </c>
      <c r="F1385">
        <v>0.57399999999999995</v>
      </c>
      <c r="G1385">
        <v>13</v>
      </c>
      <c r="H1385">
        <v>861</v>
      </c>
      <c r="I1385">
        <v>696</v>
      </c>
      <c r="J1385">
        <v>165</v>
      </c>
    </row>
    <row r="1386" spans="1:10" x14ac:dyDescent="0.25">
      <c r="A1386">
        <v>70</v>
      </c>
      <c r="B1386" t="s">
        <v>30</v>
      </c>
      <c r="C1386" t="s">
        <v>13</v>
      </c>
      <c r="D1386">
        <v>71</v>
      </c>
      <c r="E1386">
        <v>91</v>
      </c>
      <c r="F1386">
        <v>0.438</v>
      </c>
      <c r="G1386">
        <v>35</v>
      </c>
      <c r="H1386">
        <v>775</v>
      </c>
      <c r="I1386">
        <v>896</v>
      </c>
      <c r="J1386">
        <v>-121</v>
      </c>
    </row>
    <row r="1387" spans="1:10" x14ac:dyDescent="0.25">
      <c r="A1387">
        <v>70</v>
      </c>
      <c r="B1387" t="s">
        <v>31</v>
      </c>
      <c r="C1387" t="s">
        <v>14</v>
      </c>
      <c r="D1387">
        <v>117</v>
      </c>
      <c r="E1387">
        <v>45</v>
      </c>
      <c r="F1387">
        <v>0.72199999999999998</v>
      </c>
      <c r="G1387">
        <v>0</v>
      </c>
      <c r="H1387">
        <v>972</v>
      </c>
      <c r="I1387">
        <v>639</v>
      </c>
      <c r="J1387">
        <v>333</v>
      </c>
    </row>
    <row r="1388" spans="1:10" x14ac:dyDescent="0.25">
      <c r="A1388">
        <v>70</v>
      </c>
      <c r="B1388" t="s">
        <v>31</v>
      </c>
      <c r="C1388" t="s">
        <v>16</v>
      </c>
      <c r="D1388">
        <v>67</v>
      </c>
      <c r="E1388">
        <v>95</v>
      </c>
      <c r="F1388">
        <v>0.41399999999999998</v>
      </c>
      <c r="G1388">
        <v>50</v>
      </c>
      <c r="H1388">
        <v>718</v>
      </c>
      <c r="I1388">
        <v>899</v>
      </c>
      <c r="J1388">
        <v>-181</v>
      </c>
    </row>
    <row r="1389" spans="1:10" x14ac:dyDescent="0.25">
      <c r="A1389">
        <v>70</v>
      </c>
      <c r="B1389" t="s">
        <v>31</v>
      </c>
      <c r="C1389" t="s">
        <v>17</v>
      </c>
      <c r="D1389">
        <v>66</v>
      </c>
      <c r="E1389">
        <v>96</v>
      </c>
      <c r="F1389">
        <v>0.40699999999999997</v>
      </c>
      <c r="G1389">
        <v>51</v>
      </c>
      <c r="H1389">
        <v>842</v>
      </c>
      <c r="I1389">
        <v>990</v>
      </c>
      <c r="J1389">
        <v>-148</v>
      </c>
    </row>
    <row r="1390" spans="1:10" x14ac:dyDescent="0.25">
      <c r="A1390">
        <v>70</v>
      </c>
      <c r="B1390" t="s">
        <v>31</v>
      </c>
      <c r="C1390" t="s">
        <v>15</v>
      </c>
      <c r="D1390">
        <v>59</v>
      </c>
      <c r="E1390">
        <v>103</v>
      </c>
      <c r="F1390">
        <v>0.36399999999999999</v>
      </c>
      <c r="G1390">
        <v>58</v>
      </c>
      <c r="H1390">
        <v>1002</v>
      </c>
      <c r="I1390">
        <v>1282</v>
      </c>
      <c r="J1390">
        <v>-280</v>
      </c>
    </row>
    <row r="1391" spans="1:10" x14ac:dyDescent="0.25">
      <c r="A1391">
        <v>70</v>
      </c>
      <c r="B1391" t="s">
        <v>31</v>
      </c>
      <c r="C1391" t="s">
        <v>18</v>
      </c>
      <c r="D1391">
        <v>42</v>
      </c>
      <c r="E1391">
        <v>120</v>
      </c>
      <c r="F1391">
        <v>0.25900000000000001</v>
      </c>
      <c r="G1391">
        <v>75</v>
      </c>
      <c r="H1391">
        <v>711</v>
      </c>
      <c r="I1391">
        <v>1163</v>
      </c>
      <c r="J1391">
        <v>-452</v>
      </c>
    </row>
    <row r="1392" spans="1:10" x14ac:dyDescent="0.25">
      <c r="A1392">
        <v>70</v>
      </c>
      <c r="B1392" t="s">
        <v>32</v>
      </c>
      <c r="C1392" t="s">
        <v>19</v>
      </c>
      <c r="D1392">
        <v>103</v>
      </c>
      <c r="E1392">
        <v>59</v>
      </c>
      <c r="F1392">
        <v>0.63600000000000001</v>
      </c>
      <c r="G1392">
        <v>0</v>
      </c>
      <c r="H1392">
        <v>1079</v>
      </c>
      <c r="I1392">
        <v>777</v>
      </c>
      <c r="J1392">
        <v>302</v>
      </c>
    </row>
    <row r="1393" spans="1:10" x14ac:dyDescent="0.25">
      <c r="A1393">
        <v>70</v>
      </c>
      <c r="B1393" t="s">
        <v>32</v>
      </c>
      <c r="C1393" t="s">
        <v>20</v>
      </c>
      <c r="D1393">
        <v>97</v>
      </c>
      <c r="E1393">
        <v>65</v>
      </c>
      <c r="F1393">
        <v>0.59899999999999998</v>
      </c>
      <c r="G1393">
        <v>6</v>
      </c>
      <c r="H1393">
        <v>977</v>
      </c>
      <c r="I1393">
        <v>855</v>
      </c>
      <c r="J1393">
        <v>122</v>
      </c>
    </row>
    <row r="1394" spans="1:10" x14ac:dyDescent="0.25">
      <c r="A1394">
        <v>70</v>
      </c>
      <c r="B1394" t="s">
        <v>32</v>
      </c>
      <c r="C1394" t="s">
        <v>21</v>
      </c>
      <c r="D1394">
        <v>82</v>
      </c>
      <c r="E1394">
        <v>80</v>
      </c>
      <c r="F1394">
        <v>0.50600000000000001</v>
      </c>
      <c r="G1394">
        <v>21</v>
      </c>
      <c r="H1394">
        <v>1005</v>
      </c>
      <c r="I1394">
        <v>919</v>
      </c>
      <c r="J1394">
        <v>86</v>
      </c>
    </row>
    <row r="1395" spans="1:10" x14ac:dyDescent="0.25">
      <c r="A1395">
        <v>70</v>
      </c>
      <c r="B1395" t="s">
        <v>32</v>
      </c>
      <c r="C1395" t="s">
        <v>22</v>
      </c>
      <c r="D1395">
        <v>82</v>
      </c>
      <c r="E1395">
        <v>80</v>
      </c>
      <c r="F1395">
        <v>0.50600000000000001</v>
      </c>
      <c r="G1395">
        <v>21</v>
      </c>
      <c r="H1395">
        <v>903</v>
      </c>
      <c r="I1395">
        <v>971</v>
      </c>
      <c r="J1395">
        <v>-68</v>
      </c>
    </row>
    <row r="1396" spans="1:10" x14ac:dyDescent="0.25">
      <c r="A1396">
        <v>70</v>
      </c>
      <c r="B1396" t="s">
        <v>32</v>
      </c>
      <c r="C1396" t="s">
        <v>23</v>
      </c>
      <c r="D1396">
        <v>34</v>
      </c>
      <c r="E1396">
        <v>128</v>
      </c>
      <c r="F1396">
        <v>0.21</v>
      </c>
      <c r="G1396">
        <v>69</v>
      </c>
      <c r="H1396">
        <v>774</v>
      </c>
      <c r="I1396">
        <v>1190</v>
      </c>
      <c r="J1396">
        <v>-416</v>
      </c>
    </row>
    <row r="1397" spans="1:10" x14ac:dyDescent="0.25">
      <c r="A1397">
        <v>70</v>
      </c>
      <c r="B1397" t="s">
        <v>33</v>
      </c>
      <c r="C1397" t="s">
        <v>24</v>
      </c>
      <c r="D1397">
        <v>103</v>
      </c>
      <c r="E1397">
        <v>59</v>
      </c>
      <c r="F1397">
        <v>0.63600000000000001</v>
      </c>
      <c r="G1397">
        <v>0</v>
      </c>
      <c r="H1397">
        <v>933</v>
      </c>
      <c r="I1397">
        <v>697</v>
      </c>
      <c r="J1397">
        <v>236</v>
      </c>
    </row>
    <row r="1398" spans="1:10" x14ac:dyDescent="0.25">
      <c r="A1398">
        <v>70</v>
      </c>
      <c r="B1398" t="s">
        <v>33</v>
      </c>
      <c r="C1398" t="s">
        <v>25</v>
      </c>
      <c r="D1398">
        <v>96</v>
      </c>
      <c r="E1398">
        <v>66</v>
      </c>
      <c r="F1398">
        <v>0.59299999999999997</v>
      </c>
      <c r="G1398">
        <v>7</v>
      </c>
      <c r="H1398">
        <v>880</v>
      </c>
      <c r="I1398">
        <v>708</v>
      </c>
      <c r="J1398">
        <v>172</v>
      </c>
    </row>
    <row r="1399" spans="1:10" x14ac:dyDescent="0.25">
      <c r="A1399">
        <v>70</v>
      </c>
      <c r="B1399" t="s">
        <v>33</v>
      </c>
      <c r="C1399" t="s">
        <v>26</v>
      </c>
      <c r="D1399">
        <v>79</v>
      </c>
      <c r="E1399">
        <v>83</v>
      </c>
      <c r="F1399">
        <v>0.48799999999999999</v>
      </c>
      <c r="G1399">
        <v>24</v>
      </c>
      <c r="H1399">
        <v>822</v>
      </c>
      <c r="I1399">
        <v>805</v>
      </c>
      <c r="J1399">
        <v>17</v>
      </c>
    </row>
    <row r="1400" spans="1:10" x14ac:dyDescent="0.25">
      <c r="A1400">
        <v>70</v>
      </c>
      <c r="B1400" t="s">
        <v>33</v>
      </c>
      <c r="C1400" t="s">
        <v>27</v>
      </c>
      <c r="D1400">
        <v>64</v>
      </c>
      <c r="E1400">
        <v>98</v>
      </c>
      <c r="F1400">
        <v>0.39500000000000002</v>
      </c>
      <c r="G1400">
        <v>39</v>
      </c>
      <c r="H1400">
        <v>841</v>
      </c>
      <c r="I1400">
        <v>942</v>
      </c>
      <c r="J1400">
        <v>-101</v>
      </c>
    </row>
    <row r="1401" spans="1:10" x14ac:dyDescent="0.25">
      <c r="A1401">
        <v>70</v>
      </c>
      <c r="B1401" t="s">
        <v>33</v>
      </c>
      <c r="C1401" t="s">
        <v>28</v>
      </c>
      <c r="D1401">
        <v>60</v>
      </c>
      <c r="E1401">
        <v>102</v>
      </c>
      <c r="F1401">
        <v>0.37</v>
      </c>
      <c r="G1401">
        <v>43</v>
      </c>
      <c r="H1401">
        <v>807</v>
      </c>
      <c r="I1401">
        <v>1014</v>
      </c>
      <c r="J1401">
        <v>-207</v>
      </c>
    </row>
    <row r="1402" spans="1:10" x14ac:dyDescent="0.25">
      <c r="A1402">
        <v>71</v>
      </c>
      <c r="B1402" t="s">
        <v>30</v>
      </c>
      <c r="C1402" t="s">
        <v>10</v>
      </c>
      <c r="D1402">
        <v>100</v>
      </c>
      <c r="E1402">
        <v>62</v>
      </c>
      <c r="F1402">
        <v>0.61699999999999999</v>
      </c>
      <c r="G1402">
        <v>0</v>
      </c>
      <c r="H1402">
        <v>983</v>
      </c>
      <c r="I1402">
        <v>830</v>
      </c>
      <c r="J1402">
        <v>153</v>
      </c>
    </row>
    <row r="1403" spans="1:10" x14ac:dyDescent="0.25">
      <c r="A1403">
        <v>71</v>
      </c>
      <c r="B1403" t="s">
        <v>30</v>
      </c>
      <c r="C1403" t="s">
        <v>8</v>
      </c>
      <c r="D1403">
        <v>93</v>
      </c>
      <c r="E1403">
        <v>69</v>
      </c>
      <c r="F1403">
        <v>0.57399999999999995</v>
      </c>
      <c r="G1403">
        <v>7</v>
      </c>
      <c r="H1403">
        <v>851</v>
      </c>
      <c r="I1403">
        <v>707</v>
      </c>
      <c r="J1403">
        <v>144</v>
      </c>
    </row>
    <row r="1404" spans="1:10" x14ac:dyDescent="0.25">
      <c r="A1404">
        <v>71</v>
      </c>
      <c r="B1404" t="s">
        <v>30</v>
      </c>
      <c r="C1404" t="s">
        <v>12</v>
      </c>
      <c r="D1404">
        <v>90</v>
      </c>
      <c r="E1404">
        <v>72</v>
      </c>
      <c r="F1404">
        <v>0.55600000000000005</v>
      </c>
      <c r="G1404">
        <v>10</v>
      </c>
      <c r="H1404">
        <v>918</v>
      </c>
      <c r="I1404">
        <v>811</v>
      </c>
      <c r="J1404">
        <v>107</v>
      </c>
    </row>
    <row r="1405" spans="1:10" x14ac:dyDescent="0.25">
      <c r="A1405">
        <v>71</v>
      </c>
      <c r="B1405" t="s">
        <v>30</v>
      </c>
      <c r="C1405" t="s">
        <v>11</v>
      </c>
      <c r="D1405">
        <v>89</v>
      </c>
      <c r="E1405">
        <v>73</v>
      </c>
      <c r="F1405">
        <v>0.54900000000000004</v>
      </c>
      <c r="G1405">
        <v>11</v>
      </c>
      <c r="H1405">
        <v>870</v>
      </c>
      <c r="I1405">
        <v>740</v>
      </c>
      <c r="J1405">
        <v>130</v>
      </c>
    </row>
    <row r="1406" spans="1:10" x14ac:dyDescent="0.25">
      <c r="A1406">
        <v>71</v>
      </c>
      <c r="B1406" t="s">
        <v>30</v>
      </c>
      <c r="C1406" t="s">
        <v>13</v>
      </c>
      <c r="D1406">
        <v>77</v>
      </c>
      <c r="E1406">
        <v>85</v>
      </c>
      <c r="F1406">
        <v>0.47499999999999998</v>
      </c>
      <c r="G1406">
        <v>23</v>
      </c>
      <c r="H1406">
        <v>814</v>
      </c>
      <c r="I1406">
        <v>880</v>
      </c>
      <c r="J1406">
        <v>-66</v>
      </c>
    </row>
    <row r="1407" spans="1:10" x14ac:dyDescent="0.25">
      <c r="A1407">
        <v>71</v>
      </c>
      <c r="B1407" t="s">
        <v>31</v>
      </c>
      <c r="C1407" t="s">
        <v>14</v>
      </c>
      <c r="D1407">
        <v>112</v>
      </c>
      <c r="E1407">
        <v>50</v>
      </c>
      <c r="F1407">
        <v>0.69099999999999995</v>
      </c>
      <c r="G1407">
        <v>0</v>
      </c>
      <c r="H1407">
        <v>993</v>
      </c>
      <c r="I1407">
        <v>685</v>
      </c>
      <c r="J1407">
        <v>308</v>
      </c>
    </row>
    <row r="1408" spans="1:10" x14ac:dyDescent="0.25">
      <c r="A1408">
        <v>71</v>
      </c>
      <c r="B1408" t="s">
        <v>31</v>
      </c>
      <c r="C1408" t="s">
        <v>16</v>
      </c>
      <c r="D1408">
        <v>88</v>
      </c>
      <c r="E1408">
        <v>74</v>
      </c>
      <c r="F1408">
        <v>0.54300000000000004</v>
      </c>
      <c r="G1408">
        <v>24</v>
      </c>
      <c r="H1408">
        <v>800</v>
      </c>
      <c r="I1408">
        <v>790</v>
      </c>
      <c r="J1408">
        <v>10</v>
      </c>
    </row>
    <row r="1409" spans="1:10" x14ac:dyDescent="0.25">
      <c r="A1409">
        <v>71</v>
      </c>
      <c r="B1409" t="s">
        <v>31</v>
      </c>
      <c r="C1409" t="s">
        <v>15</v>
      </c>
      <c r="D1409">
        <v>78</v>
      </c>
      <c r="E1409">
        <v>84</v>
      </c>
      <c r="F1409">
        <v>0.48099999999999998</v>
      </c>
      <c r="G1409">
        <v>34</v>
      </c>
      <c r="H1409">
        <v>998</v>
      </c>
      <c r="I1409">
        <v>1106</v>
      </c>
      <c r="J1409">
        <v>-108</v>
      </c>
    </row>
    <row r="1410" spans="1:10" x14ac:dyDescent="0.25">
      <c r="A1410">
        <v>71</v>
      </c>
      <c r="B1410" t="s">
        <v>31</v>
      </c>
      <c r="C1410" t="s">
        <v>17</v>
      </c>
      <c r="D1410">
        <v>58</v>
      </c>
      <c r="E1410">
        <v>104</v>
      </c>
      <c r="F1410">
        <v>0.35799999999999998</v>
      </c>
      <c r="G1410">
        <v>54</v>
      </c>
      <c r="H1410">
        <v>792</v>
      </c>
      <c r="I1410">
        <v>927</v>
      </c>
      <c r="J1410">
        <v>-135</v>
      </c>
    </row>
    <row r="1411" spans="1:10" x14ac:dyDescent="0.25">
      <c r="A1411">
        <v>71</v>
      </c>
      <c r="B1411" t="s">
        <v>31</v>
      </c>
      <c r="C1411" t="s">
        <v>18</v>
      </c>
      <c r="D1411">
        <v>45</v>
      </c>
      <c r="E1411">
        <v>117</v>
      </c>
      <c r="F1411">
        <v>0.27800000000000002</v>
      </c>
      <c r="G1411">
        <v>67</v>
      </c>
      <c r="H1411">
        <v>643</v>
      </c>
      <c r="I1411">
        <v>997</v>
      </c>
      <c r="J1411">
        <v>-354</v>
      </c>
    </row>
    <row r="1412" spans="1:10" x14ac:dyDescent="0.25">
      <c r="A1412">
        <v>71</v>
      </c>
      <c r="B1412" t="s">
        <v>32</v>
      </c>
      <c r="C1412" t="s">
        <v>20</v>
      </c>
      <c r="D1412">
        <v>101</v>
      </c>
      <c r="E1412">
        <v>61</v>
      </c>
      <c r="F1412">
        <v>0.623</v>
      </c>
      <c r="G1412">
        <v>0</v>
      </c>
      <c r="H1412">
        <v>957</v>
      </c>
      <c r="I1412">
        <v>759</v>
      </c>
      <c r="J1412">
        <v>198</v>
      </c>
    </row>
    <row r="1413" spans="1:10" x14ac:dyDescent="0.25">
      <c r="A1413">
        <v>71</v>
      </c>
      <c r="B1413" t="s">
        <v>32</v>
      </c>
      <c r="C1413" t="s">
        <v>19</v>
      </c>
      <c r="D1413">
        <v>100</v>
      </c>
      <c r="E1413">
        <v>62</v>
      </c>
      <c r="F1413">
        <v>0.61699999999999999</v>
      </c>
      <c r="G1413">
        <v>1</v>
      </c>
      <c r="H1413">
        <v>989</v>
      </c>
      <c r="I1413">
        <v>800</v>
      </c>
      <c r="J1413">
        <v>189</v>
      </c>
    </row>
    <row r="1414" spans="1:10" x14ac:dyDescent="0.25">
      <c r="A1414">
        <v>71</v>
      </c>
      <c r="B1414" t="s">
        <v>32</v>
      </c>
      <c r="C1414" t="s">
        <v>21</v>
      </c>
      <c r="D1414">
        <v>87</v>
      </c>
      <c r="E1414">
        <v>75</v>
      </c>
      <c r="F1414">
        <v>0.53700000000000003</v>
      </c>
      <c r="G1414">
        <v>14</v>
      </c>
      <c r="H1414">
        <v>979</v>
      </c>
      <c r="I1414">
        <v>941</v>
      </c>
      <c r="J1414">
        <v>38</v>
      </c>
    </row>
    <row r="1415" spans="1:10" x14ac:dyDescent="0.25">
      <c r="A1415">
        <v>71</v>
      </c>
      <c r="B1415" t="s">
        <v>32</v>
      </c>
      <c r="C1415" t="s">
        <v>22</v>
      </c>
      <c r="D1415">
        <v>73</v>
      </c>
      <c r="E1415">
        <v>89</v>
      </c>
      <c r="F1415">
        <v>0.45100000000000001</v>
      </c>
      <c r="G1415">
        <v>28</v>
      </c>
      <c r="H1415">
        <v>904</v>
      </c>
      <c r="I1415">
        <v>975</v>
      </c>
      <c r="J1415">
        <v>-71</v>
      </c>
    </row>
    <row r="1416" spans="1:10" x14ac:dyDescent="0.25">
      <c r="A1416">
        <v>71</v>
      </c>
      <c r="B1416" t="s">
        <v>32</v>
      </c>
      <c r="C1416" t="s">
        <v>23</v>
      </c>
      <c r="D1416">
        <v>54</v>
      </c>
      <c r="E1416">
        <v>108</v>
      </c>
      <c r="F1416">
        <v>0.33300000000000002</v>
      </c>
      <c r="G1416">
        <v>47</v>
      </c>
      <c r="H1416">
        <v>815</v>
      </c>
      <c r="I1416">
        <v>1095</v>
      </c>
      <c r="J1416">
        <v>-280</v>
      </c>
    </row>
    <row r="1417" spans="1:10" x14ac:dyDescent="0.25">
      <c r="A1417">
        <v>71</v>
      </c>
      <c r="B1417" t="s">
        <v>33</v>
      </c>
      <c r="C1417" t="s">
        <v>24</v>
      </c>
      <c r="D1417">
        <v>96</v>
      </c>
      <c r="E1417">
        <v>66</v>
      </c>
      <c r="F1417">
        <v>0.59299999999999997</v>
      </c>
      <c r="G1417">
        <v>0</v>
      </c>
      <c r="H1417">
        <v>944</v>
      </c>
      <c r="I1417">
        <v>790</v>
      </c>
      <c r="J1417">
        <v>154</v>
      </c>
    </row>
    <row r="1418" spans="1:10" x14ac:dyDescent="0.25">
      <c r="A1418">
        <v>71</v>
      </c>
      <c r="B1418" t="s">
        <v>33</v>
      </c>
      <c r="C1418" t="s">
        <v>26</v>
      </c>
      <c r="D1418">
        <v>86</v>
      </c>
      <c r="E1418">
        <v>76</v>
      </c>
      <c r="F1418">
        <v>0.53100000000000003</v>
      </c>
      <c r="G1418">
        <v>10</v>
      </c>
      <c r="H1418">
        <v>858</v>
      </c>
      <c r="I1418">
        <v>819</v>
      </c>
      <c r="J1418">
        <v>39</v>
      </c>
    </row>
    <row r="1419" spans="1:10" x14ac:dyDescent="0.25">
      <c r="A1419">
        <v>71</v>
      </c>
      <c r="B1419" t="s">
        <v>33</v>
      </c>
      <c r="C1419" t="s">
        <v>25</v>
      </c>
      <c r="D1419">
        <v>81</v>
      </c>
      <c r="E1419">
        <v>81</v>
      </c>
      <c r="F1419">
        <v>0.5</v>
      </c>
      <c r="G1419">
        <v>15</v>
      </c>
      <c r="H1419">
        <v>836</v>
      </c>
      <c r="I1419">
        <v>800</v>
      </c>
      <c r="J1419">
        <v>36</v>
      </c>
    </row>
    <row r="1420" spans="1:10" x14ac:dyDescent="0.25">
      <c r="A1420">
        <v>71</v>
      </c>
      <c r="B1420" t="s">
        <v>33</v>
      </c>
      <c r="C1420" t="s">
        <v>27</v>
      </c>
      <c r="D1420">
        <v>65</v>
      </c>
      <c r="E1420">
        <v>97</v>
      </c>
      <c r="F1420">
        <v>0.40100000000000002</v>
      </c>
      <c r="G1420">
        <v>31</v>
      </c>
      <c r="H1420">
        <v>760</v>
      </c>
      <c r="I1420">
        <v>913</v>
      </c>
      <c r="J1420">
        <v>-153</v>
      </c>
    </row>
    <row r="1421" spans="1:10" x14ac:dyDescent="0.25">
      <c r="A1421">
        <v>71</v>
      </c>
      <c r="B1421" t="s">
        <v>33</v>
      </c>
      <c r="C1421" t="s">
        <v>28</v>
      </c>
      <c r="D1421">
        <v>47</v>
      </c>
      <c r="E1421">
        <v>115</v>
      </c>
      <c r="F1421">
        <v>0.28999999999999998</v>
      </c>
      <c r="G1421">
        <v>49</v>
      </c>
      <c r="H1421">
        <v>693</v>
      </c>
      <c r="I1421">
        <v>1032</v>
      </c>
      <c r="J1421">
        <v>-339</v>
      </c>
    </row>
    <row r="1422" spans="1:10" x14ac:dyDescent="0.25">
      <c r="A1422">
        <v>72</v>
      </c>
      <c r="B1422" t="s">
        <v>30</v>
      </c>
      <c r="C1422" t="s">
        <v>8</v>
      </c>
      <c r="D1422">
        <v>98</v>
      </c>
      <c r="E1422">
        <v>64</v>
      </c>
      <c r="F1422">
        <v>0.60499999999999998</v>
      </c>
      <c r="G1422">
        <v>0</v>
      </c>
      <c r="H1422">
        <v>888</v>
      </c>
      <c r="I1422">
        <v>697</v>
      </c>
      <c r="J1422">
        <v>191</v>
      </c>
    </row>
    <row r="1423" spans="1:10" x14ac:dyDescent="0.25">
      <c r="A1423">
        <v>72</v>
      </c>
      <c r="B1423" t="s">
        <v>30</v>
      </c>
      <c r="C1423" t="s">
        <v>10</v>
      </c>
      <c r="D1423">
        <v>94</v>
      </c>
      <c r="E1423">
        <v>68</v>
      </c>
      <c r="F1423">
        <v>0.57999999999999996</v>
      </c>
      <c r="G1423">
        <v>4</v>
      </c>
      <c r="H1423">
        <v>914</v>
      </c>
      <c r="I1423">
        <v>807</v>
      </c>
      <c r="J1423">
        <v>107</v>
      </c>
    </row>
    <row r="1424" spans="1:10" x14ac:dyDescent="0.25">
      <c r="A1424">
        <v>72</v>
      </c>
      <c r="B1424" t="s">
        <v>30</v>
      </c>
      <c r="C1424" t="s">
        <v>11</v>
      </c>
      <c r="D1424">
        <v>92</v>
      </c>
      <c r="E1424">
        <v>70</v>
      </c>
      <c r="F1424">
        <v>0.56799999999999995</v>
      </c>
      <c r="G1424">
        <v>6</v>
      </c>
      <c r="H1424">
        <v>878</v>
      </c>
      <c r="I1424">
        <v>748</v>
      </c>
      <c r="J1424">
        <v>130</v>
      </c>
    </row>
    <row r="1425" spans="1:10" x14ac:dyDescent="0.25">
      <c r="A1425">
        <v>72</v>
      </c>
      <c r="B1425" t="s">
        <v>30</v>
      </c>
      <c r="C1425" t="s">
        <v>12</v>
      </c>
      <c r="D1425">
        <v>86</v>
      </c>
      <c r="E1425">
        <v>76</v>
      </c>
      <c r="F1425">
        <v>0.53100000000000003</v>
      </c>
      <c r="G1425">
        <v>12</v>
      </c>
      <c r="H1425">
        <v>935</v>
      </c>
      <c r="I1425">
        <v>856</v>
      </c>
      <c r="J1425">
        <v>79</v>
      </c>
    </row>
    <row r="1426" spans="1:10" x14ac:dyDescent="0.25">
      <c r="A1426">
        <v>72</v>
      </c>
      <c r="B1426" t="s">
        <v>30</v>
      </c>
      <c r="C1426" t="s">
        <v>13</v>
      </c>
      <c r="D1426">
        <v>79</v>
      </c>
      <c r="E1426">
        <v>83</v>
      </c>
      <c r="F1426">
        <v>0.48799999999999999</v>
      </c>
      <c r="G1426">
        <v>19</v>
      </c>
      <c r="H1426">
        <v>828</v>
      </c>
      <c r="I1426">
        <v>832</v>
      </c>
      <c r="J1426">
        <v>-4</v>
      </c>
    </row>
    <row r="1427" spans="1:10" x14ac:dyDescent="0.25">
      <c r="A1427">
        <v>72</v>
      </c>
      <c r="B1427" t="s">
        <v>31</v>
      </c>
      <c r="C1427" t="s">
        <v>14</v>
      </c>
      <c r="D1427">
        <v>114</v>
      </c>
      <c r="E1427">
        <v>48</v>
      </c>
      <c r="F1427">
        <v>0.70399999999999996</v>
      </c>
      <c r="G1427">
        <v>0</v>
      </c>
      <c r="H1427">
        <v>1000</v>
      </c>
      <c r="I1427">
        <v>640</v>
      </c>
      <c r="J1427">
        <v>360</v>
      </c>
    </row>
    <row r="1428" spans="1:10" x14ac:dyDescent="0.25">
      <c r="A1428">
        <v>72</v>
      </c>
      <c r="B1428" t="s">
        <v>31</v>
      </c>
      <c r="C1428" t="s">
        <v>15</v>
      </c>
      <c r="D1428">
        <v>80</v>
      </c>
      <c r="E1428">
        <v>82</v>
      </c>
      <c r="F1428">
        <v>0.49399999999999999</v>
      </c>
      <c r="G1428">
        <v>34</v>
      </c>
      <c r="H1428">
        <v>980</v>
      </c>
      <c r="I1428">
        <v>1148</v>
      </c>
      <c r="J1428">
        <v>-168</v>
      </c>
    </row>
    <row r="1429" spans="1:10" x14ac:dyDescent="0.25">
      <c r="A1429">
        <v>72</v>
      </c>
      <c r="B1429" t="s">
        <v>31</v>
      </c>
      <c r="C1429" t="s">
        <v>16</v>
      </c>
      <c r="D1429">
        <v>72</v>
      </c>
      <c r="E1429">
        <v>90</v>
      </c>
      <c r="F1429">
        <v>0.44400000000000001</v>
      </c>
      <c r="G1429">
        <v>42</v>
      </c>
      <c r="H1429">
        <v>712</v>
      </c>
      <c r="I1429">
        <v>873</v>
      </c>
      <c r="J1429">
        <v>-161</v>
      </c>
    </row>
    <row r="1430" spans="1:10" x14ac:dyDescent="0.25">
      <c r="A1430">
        <v>72</v>
      </c>
      <c r="B1430" t="s">
        <v>31</v>
      </c>
      <c r="C1430" t="s">
        <v>17</v>
      </c>
      <c r="D1430">
        <v>54</v>
      </c>
      <c r="E1430">
        <v>108</v>
      </c>
      <c r="F1430">
        <v>0.33300000000000002</v>
      </c>
      <c r="G1430">
        <v>60</v>
      </c>
      <c r="H1430">
        <v>807</v>
      </c>
      <c r="I1430">
        <v>1005</v>
      </c>
      <c r="J1430">
        <v>-198</v>
      </c>
    </row>
    <row r="1431" spans="1:10" x14ac:dyDescent="0.25">
      <c r="A1431">
        <v>72</v>
      </c>
      <c r="B1431" t="s">
        <v>31</v>
      </c>
      <c r="C1431" t="s">
        <v>18</v>
      </c>
      <c r="D1431">
        <v>39</v>
      </c>
      <c r="E1431">
        <v>123</v>
      </c>
      <c r="F1431">
        <v>0.24099999999999999</v>
      </c>
      <c r="G1431">
        <v>75</v>
      </c>
      <c r="H1431">
        <v>643</v>
      </c>
      <c r="I1431">
        <v>1084</v>
      </c>
      <c r="J1431">
        <v>-441</v>
      </c>
    </row>
    <row r="1432" spans="1:10" x14ac:dyDescent="0.25">
      <c r="A1432">
        <v>72</v>
      </c>
      <c r="B1432" t="s">
        <v>32</v>
      </c>
      <c r="C1432" t="s">
        <v>19</v>
      </c>
      <c r="D1432">
        <v>105</v>
      </c>
      <c r="E1432">
        <v>57</v>
      </c>
      <c r="F1432">
        <v>0.64800000000000002</v>
      </c>
      <c r="G1432">
        <v>0</v>
      </c>
      <c r="H1432">
        <v>1097</v>
      </c>
      <c r="I1432">
        <v>780</v>
      </c>
      <c r="J1432">
        <v>317</v>
      </c>
    </row>
    <row r="1433" spans="1:10" x14ac:dyDescent="0.25">
      <c r="A1433">
        <v>72</v>
      </c>
      <c r="B1433" t="s">
        <v>32</v>
      </c>
      <c r="C1433" t="s">
        <v>21</v>
      </c>
      <c r="D1433">
        <v>91</v>
      </c>
      <c r="E1433">
        <v>71</v>
      </c>
      <c r="F1433">
        <v>0.56200000000000006</v>
      </c>
      <c r="G1433">
        <v>14</v>
      </c>
      <c r="H1433">
        <v>939</v>
      </c>
      <c r="I1433">
        <v>833</v>
      </c>
      <c r="J1433">
        <v>106</v>
      </c>
    </row>
    <row r="1434" spans="1:10" x14ac:dyDescent="0.25">
      <c r="A1434">
        <v>72</v>
      </c>
      <c r="B1434" t="s">
        <v>32</v>
      </c>
      <c r="C1434" t="s">
        <v>20</v>
      </c>
      <c r="D1434">
        <v>90</v>
      </c>
      <c r="E1434">
        <v>72</v>
      </c>
      <c r="F1434">
        <v>0.55600000000000005</v>
      </c>
      <c r="G1434">
        <v>15</v>
      </c>
      <c r="H1434">
        <v>939</v>
      </c>
      <c r="I1434">
        <v>782</v>
      </c>
      <c r="J1434">
        <v>157</v>
      </c>
    </row>
    <row r="1435" spans="1:10" x14ac:dyDescent="0.25">
      <c r="A1435">
        <v>72</v>
      </c>
      <c r="B1435" t="s">
        <v>32</v>
      </c>
      <c r="C1435" t="s">
        <v>22</v>
      </c>
      <c r="D1435">
        <v>76</v>
      </c>
      <c r="E1435">
        <v>86</v>
      </c>
      <c r="F1435">
        <v>0.46899999999999997</v>
      </c>
      <c r="G1435">
        <v>29</v>
      </c>
      <c r="H1435">
        <v>860</v>
      </c>
      <c r="I1435">
        <v>973</v>
      </c>
      <c r="J1435">
        <v>-113</v>
      </c>
    </row>
    <row r="1436" spans="1:10" x14ac:dyDescent="0.25">
      <c r="A1436">
        <v>72</v>
      </c>
      <c r="B1436" t="s">
        <v>32</v>
      </c>
      <c r="C1436" t="s">
        <v>23</v>
      </c>
      <c r="D1436">
        <v>46</v>
      </c>
      <c r="E1436">
        <v>116</v>
      </c>
      <c r="F1436">
        <v>0.28399999999999997</v>
      </c>
      <c r="G1436">
        <v>59</v>
      </c>
      <c r="H1436">
        <v>674</v>
      </c>
      <c r="I1436">
        <v>1102</v>
      </c>
      <c r="J1436">
        <v>-428</v>
      </c>
    </row>
    <row r="1437" spans="1:10" x14ac:dyDescent="0.25">
      <c r="A1437">
        <v>72</v>
      </c>
      <c r="B1437" t="s">
        <v>33</v>
      </c>
      <c r="C1437" t="s">
        <v>25</v>
      </c>
      <c r="D1437">
        <v>99</v>
      </c>
      <c r="E1437">
        <v>63</v>
      </c>
      <c r="F1437">
        <v>0.61099999999999999</v>
      </c>
      <c r="G1437">
        <v>0</v>
      </c>
      <c r="H1437">
        <v>804</v>
      </c>
      <c r="I1437">
        <v>652</v>
      </c>
      <c r="J1437">
        <v>152</v>
      </c>
    </row>
    <row r="1438" spans="1:10" x14ac:dyDescent="0.25">
      <c r="A1438">
        <v>72</v>
      </c>
      <c r="B1438" t="s">
        <v>33</v>
      </c>
      <c r="C1438" t="s">
        <v>26</v>
      </c>
      <c r="D1438">
        <v>98</v>
      </c>
      <c r="E1438">
        <v>64</v>
      </c>
      <c r="F1438">
        <v>0.60499999999999998</v>
      </c>
      <c r="G1438">
        <v>1</v>
      </c>
      <c r="H1438">
        <v>919</v>
      </c>
      <c r="I1438">
        <v>733</v>
      </c>
      <c r="J1438">
        <v>186</v>
      </c>
    </row>
    <row r="1439" spans="1:10" x14ac:dyDescent="0.25">
      <c r="A1439">
        <v>72</v>
      </c>
      <c r="B1439" t="s">
        <v>33</v>
      </c>
      <c r="C1439" t="s">
        <v>24</v>
      </c>
      <c r="D1439">
        <v>96</v>
      </c>
      <c r="E1439">
        <v>66</v>
      </c>
      <c r="F1439">
        <v>0.59299999999999997</v>
      </c>
      <c r="G1439">
        <v>3</v>
      </c>
      <c r="H1439">
        <v>905</v>
      </c>
      <c r="I1439">
        <v>695</v>
      </c>
      <c r="J1439">
        <v>210</v>
      </c>
    </row>
    <row r="1440" spans="1:10" x14ac:dyDescent="0.25">
      <c r="A1440">
        <v>72</v>
      </c>
      <c r="B1440" t="s">
        <v>33</v>
      </c>
      <c r="C1440" t="s">
        <v>27</v>
      </c>
      <c r="D1440">
        <v>63</v>
      </c>
      <c r="E1440">
        <v>99</v>
      </c>
      <c r="F1440">
        <v>0.38900000000000001</v>
      </c>
      <c r="G1440">
        <v>36</v>
      </c>
      <c r="H1440">
        <v>759</v>
      </c>
      <c r="I1440">
        <v>880</v>
      </c>
      <c r="J1440">
        <v>-121</v>
      </c>
    </row>
    <row r="1441" spans="1:10" x14ac:dyDescent="0.25">
      <c r="A1441">
        <v>72</v>
      </c>
      <c r="B1441" t="s">
        <v>33</v>
      </c>
      <c r="C1441" t="s">
        <v>28</v>
      </c>
      <c r="D1441">
        <v>48</v>
      </c>
      <c r="E1441">
        <v>114</v>
      </c>
      <c r="F1441">
        <v>0.29599999999999999</v>
      </c>
      <c r="G1441">
        <v>51</v>
      </c>
      <c r="H1441">
        <v>656</v>
      </c>
      <c r="I1441">
        <v>1017</v>
      </c>
      <c r="J1441">
        <v>-361</v>
      </c>
    </row>
    <row r="1442" spans="1:10" x14ac:dyDescent="0.25">
      <c r="A1442">
        <v>73</v>
      </c>
      <c r="B1442" t="s">
        <v>30</v>
      </c>
      <c r="C1442" t="s">
        <v>12</v>
      </c>
      <c r="D1442">
        <v>102</v>
      </c>
      <c r="E1442">
        <v>60</v>
      </c>
      <c r="F1442">
        <v>0.63</v>
      </c>
      <c r="G1442">
        <v>0</v>
      </c>
      <c r="H1442">
        <v>978</v>
      </c>
      <c r="I1442">
        <v>827</v>
      </c>
      <c r="J1442">
        <v>151</v>
      </c>
    </row>
    <row r="1443" spans="1:10" x14ac:dyDescent="0.25">
      <c r="A1443">
        <v>73</v>
      </c>
      <c r="B1443" t="s">
        <v>30</v>
      </c>
      <c r="C1443" t="s">
        <v>8</v>
      </c>
      <c r="D1443">
        <v>101</v>
      </c>
      <c r="E1443">
        <v>61</v>
      </c>
      <c r="F1443">
        <v>0.623</v>
      </c>
      <c r="G1443">
        <v>1</v>
      </c>
      <c r="H1443">
        <v>881</v>
      </c>
      <c r="I1443">
        <v>627</v>
      </c>
      <c r="J1443">
        <v>254</v>
      </c>
    </row>
    <row r="1444" spans="1:10" x14ac:dyDescent="0.25">
      <c r="A1444">
        <v>73</v>
      </c>
      <c r="B1444" t="s">
        <v>30</v>
      </c>
      <c r="C1444" t="s">
        <v>10</v>
      </c>
      <c r="D1444">
        <v>94</v>
      </c>
      <c r="E1444">
        <v>68</v>
      </c>
      <c r="F1444">
        <v>0.57999999999999996</v>
      </c>
      <c r="G1444">
        <v>8</v>
      </c>
      <c r="H1444">
        <v>1036</v>
      </c>
      <c r="I1444">
        <v>877</v>
      </c>
      <c r="J1444">
        <v>159</v>
      </c>
    </row>
    <row r="1445" spans="1:10" x14ac:dyDescent="0.25">
      <c r="A1445">
        <v>73</v>
      </c>
      <c r="B1445" t="s">
        <v>30</v>
      </c>
      <c r="C1445" t="s">
        <v>11</v>
      </c>
      <c r="D1445">
        <v>93</v>
      </c>
      <c r="E1445">
        <v>69</v>
      </c>
      <c r="F1445">
        <v>0.57399999999999995</v>
      </c>
      <c r="G1445">
        <v>9</v>
      </c>
      <c r="H1445">
        <v>931</v>
      </c>
      <c r="I1445">
        <v>830</v>
      </c>
      <c r="J1445">
        <v>101</v>
      </c>
    </row>
    <row r="1446" spans="1:10" x14ac:dyDescent="0.25">
      <c r="A1446">
        <v>73</v>
      </c>
      <c r="B1446" t="s">
        <v>30</v>
      </c>
      <c r="C1446" t="s">
        <v>13</v>
      </c>
      <c r="D1446">
        <v>62</v>
      </c>
      <c r="E1446">
        <v>100</v>
      </c>
      <c r="F1446">
        <v>0.38300000000000001</v>
      </c>
      <c r="G1446">
        <v>40</v>
      </c>
      <c r="H1446">
        <v>810</v>
      </c>
      <c r="I1446">
        <v>916</v>
      </c>
      <c r="J1446">
        <v>-106</v>
      </c>
    </row>
    <row r="1447" spans="1:10" x14ac:dyDescent="0.25">
      <c r="A1447">
        <v>73</v>
      </c>
      <c r="B1447" t="s">
        <v>31</v>
      </c>
      <c r="C1447" t="s">
        <v>14</v>
      </c>
      <c r="D1447">
        <v>109</v>
      </c>
      <c r="E1447">
        <v>53</v>
      </c>
      <c r="F1447">
        <v>0.67300000000000004</v>
      </c>
      <c r="G1447">
        <v>0</v>
      </c>
      <c r="H1447">
        <v>913</v>
      </c>
      <c r="I1447">
        <v>637</v>
      </c>
      <c r="J1447">
        <v>276</v>
      </c>
    </row>
    <row r="1448" spans="1:10" x14ac:dyDescent="0.25">
      <c r="A1448">
        <v>73</v>
      </c>
      <c r="B1448" t="s">
        <v>31</v>
      </c>
      <c r="C1448" t="s">
        <v>15</v>
      </c>
      <c r="D1448">
        <v>83</v>
      </c>
      <c r="E1448">
        <v>79</v>
      </c>
      <c r="F1448">
        <v>0.51200000000000001</v>
      </c>
      <c r="G1448">
        <v>26</v>
      </c>
      <c r="H1448">
        <v>996</v>
      </c>
      <c r="I1448">
        <v>1103</v>
      </c>
      <c r="J1448">
        <v>-107</v>
      </c>
    </row>
    <row r="1449" spans="1:10" x14ac:dyDescent="0.25">
      <c r="A1449">
        <v>73</v>
      </c>
      <c r="B1449" t="s">
        <v>31</v>
      </c>
      <c r="C1449" t="s">
        <v>17</v>
      </c>
      <c r="D1449">
        <v>71</v>
      </c>
      <c r="E1449">
        <v>91</v>
      </c>
      <c r="F1449">
        <v>0.438</v>
      </c>
      <c r="G1449">
        <v>38</v>
      </c>
      <c r="H1449">
        <v>824</v>
      </c>
      <c r="I1449">
        <v>1020</v>
      </c>
      <c r="J1449">
        <v>-196</v>
      </c>
    </row>
    <row r="1450" spans="1:10" x14ac:dyDescent="0.25">
      <c r="A1450">
        <v>73</v>
      </c>
      <c r="B1450" t="s">
        <v>31</v>
      </c>
      <c r="C1450" t="s">
        <v>16</v>
      </c>
      <c r="D1450">
        <v>62</v>
      </c>
      <c r="E1450">
        <v>100</v>
      </c>
      <c r="F1450">
        <v>0.38300000000000001</v>
      </c>
      <c r="G1450">
        <v>47</v>
      </c>
      <c r="H1450">
        <v>780</v>
      </c>
      <c r="I1450">
        <v>966</v>
      </c>
      <c r="J1450">
        <v>-186</v>
      </c>
    </row>
    <row r="1451" spans="1:10" x14ac:dyDescent="0.25">
      <c r="A1451">
        <v>73</v>
      </c>
      <c r="B1451" t="s">
        <v>31</v>
      </c>
      <c r="C1451" t="s">
        <v>18</v>
      </c>
      <c r="D1451">
        <v>46</v>
      </c>
      <c r="E1451">
        <v>116</v>
      </c>
      <c r="F1451">
        <v>0.28399999999999997</v>
      </c>
      <c r="G1451">
        <v>63</v>
      </c>
      <c r="H1451">
        <v>671</v>
      </c>
      <c r="I1451">
        <v>1026</v>
      </c>
      <c r="J1451">
        <v>-355</v>
      </c>
    </row>
    <row r="1452" spans="1:10" x14ac:dyDescent="0.25">
      <c r="A1452">
        <v>73</v>
      </c>
      <c r="B1452" t="s">
        <v>32</v>
      </c>
      <c r="C1452" t="s">
        <v>19</v>
      </c>
      <c r="D1452">
        <v>117</v>
      </c>
      <c r="E1452">
        <v>45</v>
      </c>
      <c r="F1452">
        <v>0.72199999999999998</v>
      </c>
      <c r="G1452">
        <v>0</v>
      </c>
      <c r="H1452">
        <v>1083</v>
      </c>
      <c r="I1452">
        <v>684</v>
      </c>
      <c r="J1452">
        <v>399</v>
      </c>
    </row>
    <row r="1453" spans="1:10" x14ac:dyDescent="0.25">
      <c r="A1453">
        <v>73</v>
      </c>
      <c r="B1453" t="s">
        <v>32</v>
      </c>
      <c r="C1453" t="s">
        <v>20</v>
      </c>
      <c r="D1453">
        <v>95</v>
      </c>
      <c r="E1453">
        <v>67</v>
      </c>
      <c r="F1453">
        <v>0.58599999999999997</v>
      </c>
      <c r="G1453">
        <v>22</v>
      </c>
      <c r="H1453">
        <v>977</v>
      </c>
      <c r="I1453">
        <v>815</v>
      </c>
      <c r="J1453">
        <v>162</v>
      </c>
    </row>
    <row r="1454" spans="1:10" x14ac:dyDescent="0.25">
      <c r="A1454">
        <v>73</v>
      </c>
      <c r="B1454" t="s">
        <v>32</v>
      </c>
      <c r="C1454" t="s">
        <v>21</v>
      </c>
      <c r="D1454">
        <v>87</v>
      </c>
      <c r="E1454">
        <v>75</v>
      </c>
      <c r="F1454">
        <v>0.53700000000000003</v>
      </c>
      <c r="G1454">
        <v>30</v>
      </c>
      <c r="H1454">
        <v>956</v>
      </c>
      <c r="I1454">
        <v>935</v>
      </c>
      <c r="J1454">
        <v>21</v>
      </c>
    </row>
    <row r="1455" spans="1:10" x14ac:dyDescent="0.25">
      <c r="A1455">
        <v>73</v>
      </c>
      <c r="B1455" t="s">
        <v>32</v>
      </c>
      <c r="C1455" t="s">
        <v>22</v>
      </c>
      <c r="D1455">
        <v>69</v>
      </c>
      <c r="E1455">
        <v>93</v>
      </c>
      <c r="F1455">
        <v>0.42599999999999999</v>
      </c>
      <c r="G1455">
        <v>48</v>
      </c>
      <c r="H1455">
        <v>846</v>
      </c>
      <c r="I1455">
        <v>943</v>
      </c>
      <c r="J1455">
        <v>-97</v>
      </c>
    </row>
    <row r="1456" spans="1:10" x14ac:dyDescent="0.25">
      <c r="A1456">
        <v>73</v>
      </c>
      <c r="B1456" t="s">
        <v>32</v>
      </c>
      <c r="C1456" t="s">
        <v>23</v>
      </c>
      <c r="D1456">
        <v>49</v>
      </c>
      <c r="E1456">
        <v>113</v>
      </c>
      <c r="F1456">
        <v>0.30199999999999999</v>
      </c>
      <c r="G1456">
        <v>68</v>
      </c>
      <c r="H1456">
        <v>816</v>
      </c>
      <c r="I1456">
        <v>1150</v>
      </c>
      <c r="J1456">
        <v>-334</v>
      </c>
    </row>
    <row r="1457" spans="1:10" x14ac:dyDescent="0.25">
      <c r="A1457">
        <v>73</v>
      </c>
      <c r="B1457" t="s">
        <v>33</v>
      </c>
      <c r="C1457" t="s">
        <v>24</v>
      </c>
      <c r="D1457">
        <v>103</v>
      </c>
      <c r="E1457">
        <v>59</v>
      </c>
      <c r="F1457">
        <v>0.63600000000000001</v>
      </c>
      <c r="G1457">
        <v>0</v>
      </c>
      <c r="H1457">
        <v>942</v>
      </c>
      <c r="I1457">
        <v>716</v>
      </c>
      <c r="J1457">
        <v>226</v>
      </c>
    </row>
    <row r="1458" spans="1:10" x14ac:dyDescent="0.25">
      <c r="A1458">
        <v>73</v>
      </c>
      <c r="B1458" t="s">
        <v>33</v>
      </c>
      <c r="C1458" t="s">
        <v>25</v>
      </c>
      <c r="D1458">
        <v>77</v>
      </c>
      <c r="E1458">
        <v>85</v>
      </c>
      <c r="F1458">
        <v>0.47499999999999998</v>
      </c>
      <c r="G1458">
        <v>26</v>
      </c>
      <c r="H1458">
        <v>850</v>
      </c>
      <c r="I1458">
        <v>784</v>
      </c>
      <c r="J1458">
        <v>66</v>
      </c>
    </row>
    <row r="1459" spans="1:10" x14ac:dyDescent="0.25">
      <c r="A1459">
        <v>73</v>
      </c>
      <c r="B1459" t="s">
        <v>33</v>
      </c>
      <c r="C1459" t="s">
        <v>26</v>
      </c>
      <c r="D1459">
        <v>76</v>
      </c>
      <c r="E1459">
        <v>86</v>
      </c>
      <c r="F1459">
        <v>0.46899999999999997</v>
      </c>
      <c r="G1459">
        <v>27</v>
      </c>
      <c r="H1459">
        <v>843</v>
      </c>
      <c r="I1459">
        <v>854</v>
      </c>
      <c r="J1459">
        <v>-11</v>
      </c>
    </row>
    <row r="1460" spans="1:10" x14ac:dyDescent="0.25">
      <c r="A1460">
        <v>73</v>
      </c>
      <c r="B1460" t="s">
        <v>33</v>
      </c>
      <c r="C1460" t="s">
        <v>27</v>
      </c>
      <c r="D1460">
        <v>68</v>
      </c>
      <c r="E1460">
        <v>94</v>
      </c>
      <c r="F1460">
        <v>0.42</v>
      </c>
      <c r="G1460">
        <v>35</v>
      </c>
      <c r="H1460">
        <v>830</v>
      </c>
      <c r="I1460">
        <v>968</v>
      </c>
      <c r="J1460">
        <v>-138</v>
      </c>
    </row>
    <row r="1461" spans="1:10" x14ac:dyDescent="0.25">
      <c r="A1461">
        <v>73</v>
      </c>
      <c r="B1461" t="s">
        <v>33</v>
      </c>
      <c r="C1461" t="s">
        <v>28</v>
      </c>
      <c r="D1461">
        <v>56</v>
      </c>
      <c r="E1461">
        <v>106</v>
      </c>
      <c r="F1461">
        <v>0.34599999999999997</v>
      </c>
      <c r="G1461">
        <v>47</v>
      </c>
      <c r="H1461">
        <v>678</v>
      </c>
      <c r="I1461">
        <v>963</v>
      </c>
      <c r="J1461">
        <v>-285</v>
      </c>
    </row>
    <row r="1462" spans="1:10" x14ac:dyDescent="0.25">
      <c r="A1462">
        <v>74</v>
      </c>
      <c r="B1462" t="s">
        <v>30</v>
      </c>
      <c r="C1462" t="s">
        <v>11</v>
      </c>
      <c r="D1462">
        <v>92</v>
      </c>
      <c r="E1462">
        <v>70</v>
      </c>
      <c r="F1462">
        <v>0.56799999999999995</v>
      </c>
      <c r="G1462">
        <v>0</v>
      </c>
      <c r="H1462">
        <v>907</v>
      </c>
      <c r="I1462">
        <v>767</v>
      </c>
      <c r="J1462">
        <v>140</v>
      </c>
    </row>
    <row r="1463" spans="1:10" x14ac:dyDescent="0.25">
      <c r="A1463">
        <v>74</v>
      </c>
      <c r="B1463" t="s">
        <v>30</v>
      </c>
      <c r="C1463" t="s">
        <v>12</v>
      </c>
      <c r="D1463">
        <v>88</v>
      </c>
      <c r="E1463">
        <v>74</v>
      </c>
      <c r="F1463">
        <v>0.54300000000000004</v>
      </c>
      <c r="G1463">
        <v>4</v>
      </c>
      <c r="H1463">
        <v>904</v>
      </c>
      <c r="I1463">
        <v>839</v>
      </c>
      <c r="J1463">
        <v>65</v>
      </c>
    </row>
    <row r="1464" spans="1:10" x14ac:dyDescent="0.25">
      <c r="A1464">
        <v>74</v>
      </c>
      <c r="B1464" t="s">
        <v>30</v>
      </c>
      <c r="C1464" t="s">
        <v>10</v>
      </c>
      <c r="D1464">
        <v>85</v>
      </c>
      <c r="E1464">
        <v>77</v>
      </c>
      <c r="F1464">
        <v>0.52500000000000002</v>
      </c>
      <c r="G1464">
        <v>7</v>
      </c>
      <c r="H1464">
        <v>985</v>
      </c>
      <c r="I1464">
        <v>887</v>
      </c>
      <c r="J1464">
        <v>98</v>
      </c>
    </row>
    <row r="1465" spans="1:10" x14ac:dyDescent="0.25">
      <c r="A1465">
        <v>74</v>
      </c>
      <c r="B1465" t="s">
        <v>30</v>
      </c>
      <c r="C1465" t="s">
        <v>8</v>
      </c>
      <c r="D1465">
        <v>83</v>
      </c>
      <c r="E1465">
        <v>79</v>
      </c>
      <c r="F1465">
        <v>0.51200000000000001</v>
      </c>
      <c r="G1465">
        <v>9</v>
      </c>
      <c r="H1465">
        <v>760</v>
      </c>
      <c r="I1465">
        <v>682</v>
      </c>
      <c r="J1465">
        <v>78</v>
      </c>
    </row>
    <row r="1466" spans="1:10" x14ac:dyDescent="0.25">
      <c r="A1466">
        <v>74</v>
      </c>
      <c r="B1466" t="s">
        <v>30</v>
      </c>
      <c r="C1466" t="s">
        <v>13</v>
      </c>
      <c r="D1466">
        <v>71</v>
      </c>
      <c r="E1466">
        <v>91</v>
      </c>
      <c r="F1466">
        <v>0.438</v>
      </c>
      <c r="G1466">
        <v>21</v>
      </c>
      <c r="H1466">
        <v>824</v>
      </c>
      <c r="I1466">
        <v>908</v>
      </c>
      <c r="J1466">
        <v>-84</v>
      </c>
    </row>
    <row r="1467" spans="1:10" x14ac:dyDescent="0.25">
      <c r="A1467">
        <v>74</v>
      </c>
      <c r="B1467" t="s">
        <v>31</v>
      </c>
      <c r="C1467" t="s">
        <v>14</v>
      </c>
      <c r="D1467">
        <v>109</v>
      </c>
      <c r="E1467">
        <v>53</v>
      </c>
      <c r="F1467">
        <v>0.67300000000000004</v>
      </c>
      <c r="G1467">
        <v>0</v>
      </c>
      <c r="H1467">
        <v>979</v>
      </c>
      <c r="I1467">
        <v>678</v>
      </c>
      <c r="J1467">
        <v>301</v>
      </c>
    </row>
    <row r="1468" spans="1:10" x14ac:dyDescent="0.25">
      <c r="A1468">
        <v>74</v>
      </c>
      <c r="B1468" t="s">
        <v>31</v>
      </c>
      <c r="C1468" t="s">
        <v>16</v>
      </c>
      <c r="D1468">
        <v>80</v>
      </c>
      <c r="E1468">
        <v>82</v>
      </c>
      <c r="F1468">
        <v>0.49399999999999999</v>
      </c>
      <c r="G1468">
        <v>29</v>
      </c>
      <c r="H1468">
        <v>838</v>
      </c>
      <c r="I1468">
        <v>832</v>
      </c>
      <c r="J1468">
        <v>6</v>
      </c>
    </row>
    <row r="1469" spans="1:10" x14ac:dyDescent="0.25">
      <c r="A1469">
        <v>74</v>
      </c>
      <c r="B1469" t="s">
        <v>31</v>
      </c>
      <c r="C1469" t="s">
        <v>15</v>
      </c>
      <c r="D1469">
        <v>78</v>
      </c>
      <c r="E1469">
        <v>84</v>
      </c>
      <c r="F1469">
        <v>0.48099999999999998</v>
      </c>
      <c r="G1469">
        <v>31</v>
      </c>
      <c r="H1469">
        <v>994</v>
      </c>
      <c r="I1469">
        <v>1154</v>
      </c>
      <c r="J1469">
        <v>-160</v>
      </c>
    </row>
    <row r="1470" spans="1:10" x14ac:dyDescent="0.25">
      <c r="A1470">
        <v>74</v>
      </c>
      <c r="B1470" t="s">
        <v>31</v>
      </c>
      <c r="C1470" t="s">
        <v>17</v>
      </c>
      <c r="D1470">
        <v>70</v>
      </c>
      <c r="E1470">
        <v>92</v>
      </c>
      <c r="F1470">
        <v>0.432</v>
      </c>
      <c r="G1470">
        <v>39</v>
      </c>
      <c r="H1470">
        <v>842</v>
      </c>
      <c r="I1470">
        <v>897</v>
      </c>
      <c r="J1470">
        <v>-55</v>
      </c>
    </row>
    <row r="1471" spans="1:10" x14ac:dyDescent="0.25">
      <c r="A1471">
        <v>74</v>
      </c>
      <c r="B1471" t="s">
        <v>31</v>
      </c>
      <c r="C1471" t="s">
        <v>18</v>
      </c>
      <c r="D1471">
        <v>40</v>
      </c>
      <c r="E1471">
        <v>122</v>
      </c>
      <c r="F1471">
        <v>0.247</v>
      </c>
      <c r="G1471">
        <v>69</v>
      </c>
      <c r="H1471">
        <v>582</v>
      </c>
      <c r="I1471">
        <v>1077</v>
      </c>
      <c r="J1471">
        <v>-495</v>
      </c>
    </row>
    <row r="1472" spans="1:10" x14ac:dyDescent="0.25">
      <c r="A1472">
        <v>74</v>
      </c>
      <c r="B1472" t="s">
        <v>32</v>
      </c>
      <c r="C1472" t="s">
        <v>19</v>
      </c>
      <c r="D1472">
        <v>108</v>
      </c>
      <c r="E1472">
        <v>54</v>
      </c>
      <c r="F1472">
        <v>0.66700000000000004</v>
      </c>
      <c r="G1472">
        <v>0</v>
      </c>
      <c r="H1472">
        <v>994</v>
      </c>
      <c r="I1472">
        <v>766</v>
      </c>
      <c r="J1472">
        <v>228</v>
      </c>
    </row>
    <row r="1473" spans="1:10" x14ac:dyDescent="0.25">
      <c r="A1473">
        <v>74</v>
      </c>
      <c r="B1473" t="s">
        <v>32</v>
      </c>
      <c r="C1473" t="s">
        <v>21</v>
      </c>
      <c r="D1473">
        <v>91</v>
      </c>
      <c r="E1473">
        <v>71</v>
      </c>
      <c r="F1473">
        <v>0.56200000000000006</v>
      </c>
      <c r="G1473">
        <v>17</v>
      </c>
      <c r="H1473">
        <v>1061</v>
      </c>
      <c r="I1473">
        <v>920</v>
      </c>
      <c r="J1473">
        <v>141</v>
      </c>
    </row>
    <row r="1474" spans="1:10" x14ac:dyDescent="0.25">
      <c r="A1474">
        <v>74</v>
      </c>
      <c r="B1474" t="s">
        <v>32</v>
      </c>
      <c r="C1474" t="s">
        <v>20</v>
      </c>
      <c r="D1474">
        <v>86</v>
      </c>
      <c r="E1474">
        <v>76</v>
      </c>
      <c r="F1474">
        <v>0.53100000000000003</v>
      </c>
      <c r="G1474">
        <v>22</v>
      </c>
      <c r="H1474">
        <v>908</v>
      </c>
      <c r="I1474">
        <v>876</v>
      </c>
      <c r="J1474">
        <v>32</v>
      </c>
    </row>
    <row r="1475" spans="1:10" x14ac:dyDescent="0.25">
      <c r="A1475">
        <v>74</v>
      </c>
      <c r="B1475" t="s">
        <v>32</v>
      </c>
      <c r="C1475" t="s">
        <v>22</v>
      </c>
      <c r="D1475">
        <v>68</v>
      </c>
      <c r="E1475">
        <v>94</v>
      </c>
      <c r="F1475">
        <v>0.42</v>
      </c>
      <c r="G1475">
        <v>40</v>
      </c>
      <c r="H1475">
        <v>880</v>
      </c>
      <c r="I1475">
        <v>1002</v>
      </c>
      <c r="J1475">
        <v>-122</v>
      </c>
    </row>
    <row r="1476" spans="1:10" x14ac:dyDescent="0.25">
      <c r="A1476">
        <v>74</v>
      </c>
      <c r="B1476" t="s">
        <v>32</v>
      </c>
      <c r="C1476" t="s">
        <v>23</v>
      </c>
      <c r="D1476">
        <v>56</v>
      </c>
      <c r="E1476">
        <v>106</v>
      </c>
      <c r="F1476">
        <v>0.34599999999999997</v>
      </c>
      <c r="G1476">
        <v>52</v>
      </c>
      <c r="H1476">
        <v>739</v>
      </c>
      <c r="I1476">
        <v>1043</v>
      </c>
      <c r="J1476">
        <v>-304</v>
      </c>
    </row>
    <row r="1477" spans="1:10" x14ac:dyDescent="0.25">
      <c r="A1477">
        <v>74</v>
      </c>
      <c r="B1477" t="s">
        <v>33</v>
      </c>
      <c r="C1477" t="s">
        <v>24</v>
      </c>
      <c r="D1477">
        <v>102</v>
      </c>
      <c r="E1477">
        <v>60</v>
      </c>
      <c r="F1477">
        <v>0.63</v>
      </c>
      <c r="G1477">
        <v>0</v>
      </c>
      <c r="H1477">
        <v>970</v>
      </c>
      <c r="I1477">
        <v>680</v>
      </c>
      <c r="J1477">
        <v>290</v>
      </c>
    </row>
    <row r="1478" spans="1:10" x14ac:dyDescent="0.25">
      <c r="A1478">
        <v>74</v>
      </c>
      <c r="B1478" t="s">
        <v>33</v>
      </c>
      <c r="C1478" t="s">
        <v>26</v>
      </c>
      <c r="D1478">
        <v>95</v>
      </c>
      <c r="E1478">
        <v>67</v>
      </c>
      <c r="F1478">
        <v>0.58599999999999997</v>
      </c>
      <c r="G1478">
        <v>7</v>
      </c>
      <c r="H1478">
        <v>849</v>
      </c>
      <c r="I1478">
        <v>776</v>
      </c>
      <c r="J1478">
        <v>73</v>
      </c>
    </row>
    <row r="1479" spans="1:10" x14ac:dyDescent="0.25">
      <c r="A1479">
        <v>74</v>
      </c>
      <c r="B1479" t="s">
        <v>33</v>
      </c>
      <c r="C1479" t="s">
        <v>25</v>
      </c>
      <c r="D1479">
        <v>92</v>
      </c>
      <c r="E1479">
        <v>70</v>
      </c>
      <c r="F1479">
        <v>0.56799999999999995</v>
      </c>
      <c r="G1479">
        <v>10</v>
      </c>
      <c r="H1479">
        <v>816</v>
      </c>
      <c r="I1479">
        <v>726</v>
      </c>
      <c r="J1479">
        <v>90</v>
      </c>
    </row>
    <row r="1480" spans="1:10" x14ac:dyDescent="0.25">
      <c r="A1480">
        <v>74</v>
      </c>
      <c r="B1480" t="s">
        <v>33</v>
      </c>
      <c r="C1480" t="s">
        <v>27</v>
      </c>
      <c r="D1480">
        <v>65</v>
      </c>
      <c r="E1480">
        <v>97</v>
      </c>
      <c r="F1480">
        <v>0.40100000000000002</v>
      </c>
      <c r="G1480">
        <v>37</v>
      </c>
      <c r="H1480">
        <v>828</v>
      </c>
      <c r="I1480">
        <v>928</v>
      </c>
      <c r="J1480">
        <v>-100</v>
      </c>
    </row>
    <row r="1481" spans="1:10" x14ac:dyDescent="0.25">
      <c r="A1481">
        <v>74</v>
      </c>
      <c r="B1481" t="s">
        <v>33</v>
      </c>
      <c r="C1481" t="s">
        <v>28</v>
      </c>
      <c r="D1481">
        <v>61</v>
      </c>
      <c r="E1481">
        <v>101</v>
      </c>
      <c r="F1481">
        <v>0.377</v>
      </c>
      <c r="G1481">
        <v>41</v>
      </c>
      <c r="H1481">
        <v>732</v>
      </c>
      <c r="I1481">
        <v>954</v>
      </c>
      <c r="J1481">
        <v>-222</v>
      </c>
    </row>
    <row r="1482" spans="1:10" x14ac:dyDescent="0.25">
      <c r="A1482">
        <v>75</v>
      </c>
      <c r="B1482" t="s">
        <v>30</v>
      </c>
      <c r="C1482" t="s">
        <v>8</v>
      </c>
      <c r="D1482">
        <v>89</v>
      </c>
      <c r="E1482">
        <v>73</v>
      </c>
      <c r="F1482">
        <v>0.54900000000000004</v>
      </c>
      <c r="G1482">
        <v>0</v>
      </c>
      <c r="H1482">
        <v>801</v>
      </c>
      <c r="I1482">
        <v>703</v>
      </c>
      <c r="J1482">
        <v>98</v>
      </c>
    </row>
    <row r="1483" spans="1:10" x14ac:dyDescent="0.25">
      <c r="A1483">
        <v>75</v>
      </c>
      <c r="B1483" t="s">
        <v>30</v>
      </c>
      <c r="C1483" t="s">
        <v>12</v>
      </c>
      <c r="D1483">
        <v>87</v>
      </c>
      <c r="E1483">
        <v>75</v>
      </c>
      <c r="F1483">
        <v>0.53700000000000003</v>
      </c>
      <c r="G1483">
        <v>2</v>
      </c>
      <c r="H1483">
        <v>981</v>
      </c>
      <c r="I1483">
        <v>907</v>
      </c>
      <c r="J1483">
        <v>74</v>
      </c>
    </row>
    <row r="1484" spans="1:10" x14ac:dyDescent="0.25">
      <c r="A1484">
        <v>75</v>
      </c>
      <c r="B1484" t="s">
        <v>30</v>
      </c>
      <c r="C1484" t="s">
        <v>10</v>
      </c>
      <c r="D1484">
        <v>87</v>
      </c>
      <c r="E1484">
        <v>75</v>
      </c>
      <c r="F1484">
        <v>0.53700000000000003</v>
      </c>
      <c r="G1484">
        <v>2</v>
      </c>
      <c r="H1484">
        <v>950</v>
      </c>
      <c r="I1484">
        <v>868</v>
      </c>
      <c r="J1484">
        <v>82</v>
      </c>
    </row>
    <row r="1485" spans="1:10" x14ac:dyDescent="0.25">
      <c r="A1485">
        <v>75</v>
      </c>
      <c r="B1485" t="s">
        <v>30</v>
      </c>
      <c r="C1485" t="s">
        <v>13</v>
      </c>
      <c r="D1485">
        <v>82</v>
      </c>
      <c r="E1485">
        <v>80</v>
      </c>
      <c r="F1485">
        <v>0.50600000000000001</v>
      </c>
      <c r="G1485">
        <v>7</v>
      </c>
      <c r="H1485">
        <v>875</v>
      </c>
      <c r="I1485">
        <v>823</v>
      </c>
      <c r="J1485">
        <v>52</v>
      </c>
    </row>
    <row r="1486" spans="1:10" x14ac:dyDescent="0.25">
      <c r="A1486">
        <v>75</v>
      </c>
      <c r="B1486" t="s">
        <v>30</v>
      </c>
      <c r="C1486" t="s">
        <v>11</v>
      </c>
      <c r="D1486">
        <v>78</v>
      </c>
      <c r="E1486">
        <v>84</v>
      </c>
      <c r="F1486">
        <v>0.48099999999999998</v>
      </c>
      <c r="G1486">
        <v>11</v>
      </c>
      <c r="H1486">
        <v>844</v>
      </c>
      <c r="I1486">
        <v>835</v>
      </c>
      <c r="J1486">
        <v>9</v>
      </c>
    </row>
    <row r="1487" spans="1:10" x14ac:dyDescent="0.25">
      <c r="A1487">
        <v>75</v>
      </c>
      <c r="B1487" t="s">
        <v>31</v>
      </c>
      <c r="C1487" t="s">
        <v>14</v>
      </c>
      <c r="D1487">
        <v>111</v>
      </c>
      <c r="E1487">
        <v>51</v>
      </c>
      <c r="F1487">
        <v>0.68500000000000005</v>
      </c>
      <c r="G1487">
        <v>0</v>
      </c>
      <c r="H1487">
        <v>999</v>
      </c>
      <c r="I1487">
        <v>706</v>
      </c>
      <c r="J1487">
        <v>293</v>
      </c>
    </row>
    <row r="1488" spans="1:10" x14ac:dyDescent="0.25">
      <c r="A1488">
        <v>75</v>
      </c>
      <c r="B1488" t="s">
        <v>31</v>
      </c>
      <c r="C1488" t="s">
        <v>17</v>
      </c>
      <c r="D1488">
        <v>69</v>
      </c>
      <c r="E1488">
        <v>93</v>
      </c>
      <c r="F1488">
        <v>0.42599999999999999</v>
      </c>
      <c r="G1488">
        <v>42</v>
      </c>
      <c r="H1488">
        <v>772</v>
      </c>
      <c r="I1488">
        <v>913</v>
      </c>
      <c r="J1488">
        <v>-141</v>
      </c>
    </row>
    <row r="1489" spans="1:10" x14ac:dyDescent="0.25">
      <c r="A1489">
        <v>75</v>
      </c>
      <c r="B1489" t="s">
        <v>31</v>
      </c>
      <c r="C1489" t="s">
        <v>15</v>
      </c>
      <c r="D1489">
        <v>69</v>
      </c>
      <c r="E1489">
        <v>93</v>
      </c>
      <c r="F1489">
        <v>0.42599999999999999</v>
      </c>
      <c r="G1489">
        <v>42</v>
      </c>
      <c r="H1489">
        <v>933</v>
      </c>
      <c r="I1489">
        <v>1149</v>
      </c>
      <c r="J1489">
        <v>-216</v>
      </c>
    </row>
    <row r="1490" spans="1:10" x14ac:dyDescent="0.25">
      <c r="A1490">
        <v>75</v>
      </c>
      <c r="B1490" t="s">
        <v>31</v>
      </c>
      <c r="C1490" t="s">
        <v>16</v>
      </c>
      <c r="D1490">
        <v>68</v>
      </c>
      <c r="E1490">
        <v>94</v>
      </c>
      <c r="F1490">
        <v>0.42</v>
      </c>
      <c r="G1490">
        <v>43</v>
      </c>
      <c r="H1490">
        <v>717</v>
      </c>
      <c r="I1490">
        <v>771</v>
      </c>
      <c r="J1490">
        <v>-54</v>
      </c>
    </row>
    <row r="1491" spans="1:10" x14ac:dyDescent="0.25">
      <c r="A1491">
        <v>75</v>
      </c>
      <c r="B1491" t="s">
        <v>31</v>
      </c>
      <c r="C1491" t="s">
        <v>18</v>
      </c>
      <c r="D1491">
        <v>35</v>
      </c>
      <c r="E1491">
        <v>127</v>
      </c>
      <c r="F1491">
        <v>0.216</v>
      </c>
      <c r="G1491">
        <v>76</v>
      </c>
      <c r="H1491">
        <v>617</v>
      </c>
      <c r="I1491">
        <v>1050</v>
      </c>
      <c r="J1491">
        <v>-433</v>
      </c>
    </row>
    <row r="1492" spans="1:10" x14ac:dyDescent="0.25">
      <c r="A1492">
        <v>75</v>
      </c>
      <c r="B1492" t="s">
        <v>32</v>
      </c>
      <c r="C1492" t="s">
        <v>19</v>
      </c>
      <c r="D1492">
        <v>109</v>
      </c>
      <c r="E1492">
        <v>53</v>
      </c>
      <c r="F1492">
        <v>0.67300000000000004</v>
      </c>
      <c r="G1492">
        <v>0</v>
      </c>
      <c r="H1492">
        <v>1088</v>
      </c>
      <c r="I1492">
        <v>739</v>
      </c>
      <c r="J1492">
        <v>349</v>
      </c>
    </row>
    <row r="1493" spans="1:10" x14ac:dyDescent="0.25">
      <c r="A1493">
        <v>75</v>
      </c>
      <c r="B1493" t="s">
        <v>32</v>
      </c>
      <c r="C1493" t="s">
        <v>20</v>
      </c>
      <c r="D1493">
        <v>93</v>
      </c>
      <c r="E1493">
        <v>69</v>
      </c>
      <c r="F1493">
        <v>0.57399999999999995</v>
      </c>
      <c r="G1493">
        <v>16</v>
      </c>
      <c r="H1493">
        <v>936</v>
      </c>
      <c r="I1493">
        <v>860</v>
      </c>
      <c r="J1493">
        <v>76</v>
      </c>
    </row>
    <row r="1494" spans="1:10" x14ac:dyDescent="0.25">
      <c r="A1494">
        <v>75</v>
      </c>
      <c r="B1494" t="s">
        <v>32</v>
      </c>
      <c r="C1494" t="s">
        <v>21</v>
      </c>
      <c r="D1494">
        <v>87</v>
      </c>
      <c r="E1494">
        <v>75</v>
      </c>
      <c r="F1494">
        <v>0.53700000000000003</v>
      </c>
      <c r="G1494">
        <v>22</v>
      </c>
      <c r="H1494">
        <v>913</v>
      </c>
      <c r="I1494">
        <v>868</v>
      </c>
      <c r="J1494">
        <v>45</v>
      </c>
    </row>
    <row r="1495" spans="1:10" x14ac:dyDescent="0.25">
      <c r="A1495">
        <v>75</v>
      </c>
      <c r="B1495" t="s">
        <v>32</v>
      </c>
      <c r="C1495" t="s">
        <v>22</v>
      </c>
      <c r="D1495">
        <v>76</v>
      </c>
      <c r="E1495">
        <v>86</v>
      </c>
      <c r="F1495">
        <v>0.46899999999999997</v>
      </c>
      <c r="G1495">
        <v>33</v>
      </c>
      <c r="H1495">
        <v>876</v>
      </c>
      <c r="I1495">
        <v>968</v>
      </c>
      <c r="J1495">
        <v>-92</v>
      </c>
    </row>
    <row r="1496" spans="1:10" x14ac:dyDescent="0.25">
      <c r="A1496">
        <v>75</v>
      </c>
      <c r="B1496" t="s">
        <v>32</v>
      </c>
      <c r="C1496" t="s">
        <v>23</v>
      </c>
      <c r="D1496">
        <v>61</v>
      </c>
      <c r="E1496">
        <v>101</v>
      </c>
      <c r="F1496">
        <v>0.377</v>
      </c>
      <c r="G1496">
        <v>48</v>
      </c>
      <c r="H1496">
        <v>775</v>
      </c>
      <c r="I1496">
        <v>1033</v>
      </c>
      <c r="J1496">
        <v>-258</v>
      </c>
    </row>
    <row r="1497" spans="1:10" x14ac:dyDescent="0.25">
      <c r="A1497">
        <v>75</v>
      </c>
      <c r="B1497" t="s">
        <v>33</v>
      </c>
      <c r="C1497" t="s">
        <v>24</v>
      </c>
      <c r="D1497">
        <v>106</v>
      </c>
      <c r="E1497">
        <v>56</v>
      </c>
      <c r="F1497">
        <v>0.65400000000000003</v>
      </c>
      <c r="G1497">
        <v>0</v>
      </c>
      <c r="H1497">
        <v>867</v>
      </c>
      <c r="I1497">
        <v>640</v>
      </c>
      <c r="J1497">
        <v>227</v>
      </c>
    </row>
    <row r="1498" spans="1:10" x14ac:dyDescent="0.25">
      <c r="A1498">
        <v>75</v>
      </c>
      <c r="B1498" t="s">
        <v>33</v>
      </c>
      <c r="C1498" t="s">
        <v>25</v>
      </c>
      <c r="D1498">
        <v>97</v>
      </c>
      <c r="E1498">
        <v>65</v>
      </c>
      <c r="F1498">
        <v>0.59899999999999998</v>
      </c>
      <c r="G1498">
        <v>9</v>
      </c>
      <c r="H1498">
        <v>827</v>
      </c>
      <c r="I1498">
        <v>683</v>
      </c>
      <c r="J1498">
        <v>144</v>
      </c>
    </row>
    <row r="1499" spans="1:10" x14ac:dyDescent="0.25">
      <c r="A1499">
        <v>75</v>
      </c>
      <c r="B1499" t="s">
        <v>33</v>
      </c>
      <c r="C1499" t="s">
        <v>26</v>
      </c>
      <c r="D1499">
        <v>93</v>
      </c>
      <c r="E1499">
        <v>69</v>
      </c>
      <c r="F1499">
        <v>0.57399999999999995</v>
      </c>
      <c r="G1499">
        <v>13</v>
      </c>
      <c r="H1499">
        <v>866</v>
      </c>
      <c r="I1499">
        <v>749</v>
      </c>
      <c r="J1499">
        <v>117</v>
      </c>
    </row>
    <row r="1500" spans="1:10" x14ac:dyDescent="0.25">
      <c r="A1500">
        <v>75</v>
      </c>
      <c r="B1500" t="s">
        <v>33</v>
      </c>
      <c r="C1500" t="s">
        <v>27</v>
      </c>
      <c r="D1500">
        <v>70</v>
      </c>
      <c r="E1500">
        <v>92</v>
      </c>
      <c r="F1500">
        <v>0.432</v>
      </c>
      <c r="G1500">
        <v>36</v>
      </c>
      <c r="H1500">
        <v>781</v>
      </c>
      <c r="I1500">
        <v>881</v>
      </c>
      <c r="J1500">
        <v>-100</v>
      </c>
    </row>
    <row r="1501" spans="1:10" x14ac:dyDescent="0.25">
      <c r="A1501">
        <v>75</v>
      </c>
      <c r="B1501" t="s">
        <v>33</v>
      </c>
      <c r="C1501" t="s">
        <v>28</v>
      </c>
      <c r="D1501">
        <v>53</v>
      </c>
      <c r="E1501">
        <v>109</v>
      </c>
      <c r="F1501">
        <v>0.32700000000000001</v>
      </c>
      <c r="G1501">
        <v>53</v>
      </c>
      <c r="H1501">
        <v>667</v>
      </c>
      <c r="I1501">
        <v>939</v>
      </c>
      <c r="J1501">
        <v>-272</v>
      </c>
    </row>
    <row r="1502" spans="1:10" x14ac:dyDescent="0.25">
      <c r="A1502">
        <v>76</v>
      </c>
      <c r="B1502" t="s">
        <v>30</v>
      </c>
      <c r="C1502" t="s">
        <v>10</v>
      </c>
      <c r="D1502">
        <v>97</v>
      </c>
      <c r="E1502">
        <v>65</v>
      </c>
      <c r="F1502">
        <v>0.59899999999999998</v>
      </c>
      <c r="G1502">
        <v>0</v>
      </c>
      <c r="H1502">
        <v>979</v>
      </c>
      <c r="I1502">
        <v>814</v>
      </c>
      <c r="J1502">
        <v>165</v>
      </c>
    </row>
    <row r="1503" spans="1:10" x14ac:dyDescent="0.25">
      <c r="A1503">
        <v>76</v>
      </c>
      <c r="B1503" t="s">
        <v>30</v>
      </c>
      <c r="C1503" t="s">
        <v>12</v>
      </c>
      <c r="D1503">
        <v>95</v>
      </c>
      <c r="E1503">
        <v>67</v>
      </c>
      <c r="F1503">
        <v>0.58599999999999997</v>
      </c>
      <c r="G1503">
        <v>2</v>
      </c>
      <c r="H1503">
        <v>1017</v>
      </c>
      <c r="I1503">
        <v>855</v>
      </c>
      <c r="J1503">
        <v>162</v>
      </c>
    </row>
    <row r="1504" spans="1:10" x14ac:dyDescent="0.25">
      <c r="A1504">
        <v>76</v>
      </c>
      <c r="B1504" t="s">
        <v>30</v>
      </c>
      <c r="C1504" t="s">
        <v>8</v>
      </c>
      <c r="D1504">
        <v>89</v>
      </c>
      <c r="E1504">
        <v>73</v>
      </c>
      <c r="F1504">
        <v>0.54900000000000004</v>
      </c>
      <c r="G1504">
        <v>8</v>
      </c>
      <c r="H1504">
        <v>836</v>
      </c>
      <c r="I1504">
        <v>690</v>
      </c>
      <c r="J1504">
        <v>146</v>
      </c>
    </row>
    <row r="1505" spans="1:10" x14ac:dyDescent="0.25">
      <c r="A1505">
        <v>76</v>
      </c>
      <c r="B1505" t="s">
        <v>30</v>
      </c>
      <c r="C1505" t="s">
        <v>11</v>
      </c>
      <c r="D1505">
        <v>83</v>
      </c>
      <c r="E1505">
        <v>79</v>
      </c>
      <c r="F1505">
        <v>0.51200000000000001</v>
      </c>
      <c r="G1505">
        <v>14</v>
      </c>
      <c r="H1505">
        <v>837</v>
      </c>
      <c r="I1505">
        <v>787</v>
      </c>
      <c r="J1505">
        <v>50</v>
      </c>
    </row>
    <row r="1506" spans="1:10" x14ac:dyDescent="0.25">
      <c r="A1506">
        <v>76</v>
      </c>
      <c r="B1506" t="s">
        <v>30</v>
      </c>
      <c r="C1506" t="s">
        <v>13</v>
      </c>
      <c r="D1506">
        <v>79</v>
      </c>
      <c r="E1506">
        <v>83</v>
      </c>
      <c r="F1506">
        <v>0.48799999999999999</v>
      </c>
      <c r="G1506">
        <v>18</v>
      </c>
      <c r="H1506">
        <v>821</v>
      </c>
      <c r="I1506">
        <v>807</v>
      </c>
      <c r="J1506">
        <v>14</v>
      </c>
    </row>
    <row r="1507" spans="1:10" x14ac:dyDescent="0.25">
      <c r="A1507">
        <v>76</v>
      </c>
      <c r="B1507" t="s">
        <v>31</v>
      </c>
      <c r="C1507" t="s">
        <v>14</v>
      </c>
      <c r="D1507">
        <v>111</v>
      </c>
      <c r="E1507">
        <v>51</v>
      </c>
      <c r="F1507">
        <v>0.68500000000000005</v>
      </c>
      <c r="G1507">
        <v>0</v>
      </c>
      <c r="H1507">
        <v>1030</v>
      </c>
      <c r="I1507">
        <v>687</v>
      </c>
      <c r="J1507">
        <v>343</v>
      </c>
    </row>
    <row r="1508" spans="1:10" x14ac:dyDescent="0.25">
      <c r="A1508">
        <v>76</v>
      </c>
      <c r="B1508" t="s">
        <v>31</v>
      </c>
      <c r="C1508" t="s">
        <v>15</v>
      </c>
      <c r="D1508">
        <v>71</v>
      </c>
      <c r="E1508">
        <v>91</v>
      </c>
      <c r="F1508">
        <v>0.438</v>
      </c>
      <c r="G1508">
        <v>40</v>
      </c>
      <c r="H1508">
        <v>994</v>
      </c>
      <c r="I1508">
        <v>1123</v>
      </c>
      <c r="J1508">
        <v>-129</v>
      </c>
    </row>
    <row r="1509" spans="1:10" x14ac:dyDescent="0.25">
      <c r="A1509">
        <v>76</v>
      </c>
      <c r="B1509" t="s">
        <v>31</v>
      </c>
      <c r="C1509" t="s">
        <v>17</v>
      </c>
      <c r="D1509">
        <v>66</v>
      </c>
      <c r="E1509">
        <v>96</v>
      </c>
      <c r="F1509">
        <v>0.40699999999999997</v>
      </c>
      <c r="G1509">
        <v>45</v>
      </c>
      <c r="H1509">
        <v>818</v>
      </c>
      <c r="I1509">
        <v>1040</v>
      </c>
      <c r="J1509">
        <v>-222</v>
      </c>
    </row>
    <row r="1510" spans="1:10" x14ac:dyDescent="0.25">
      <c r="A1510">
        <v>76</v>
      </c>
      <c r="B1510" t="s">
        <v>31</v>
      </c>
      <c r="C1510" t="s">
        <v>16</v>
      </c>
      <c r="D1510">
        <v>63</v>
      </c>
      <c r="E1510">
        <v>99</v>
      </c>
      <c r="F1510">
        <v>0.38900000000000001</v>
      </c>
      <c r="G1510">
        <v>48</v>
      </c>
      <c r="H1510">
        <v>746</v>
      </c>
      <c r="I1510">
        <v>890</v>
      </c>
      <c r="J1510">
        <v>-144</v>
      </c>
    </row>
    <row r="1511" spans="1:10" x14ac:dyDescent="0.25">
      <c r="A1511">
        <v>76</v>
      </c>
      <c r="B1511" t="s">
        <v>31</v>
      </c>
      <c r="C1511" t="s">
        <v>18</v>
      </c>
      <c r="D1511">
        <v>46</v>
      </c>
      <c r="E1511">
        <v>116</v>
      </c>
      <c r="F1511">
        <v>0.28399999999999997</v>
      </c>
      <c r="G1511">
        <v>65</v>
      </c>
      <c r="H1511">
        <v>655</v>
      </c>
      <c r="I1511">
        <v>1026</v>
      </c>
      <c r="J1511">
        <v>-371</v>
      </c>
    </row>
    <row r="1512" spans="1:10" x14ac:dyDescent="0.25">
      <c r="A1512">
        <v>76</v>
      </c>
      <c r="B1512" t="s">
        <v>32</v>
      </c>
      <c r="C1512" t="s">
        <v>19</v>
      </c>
      <c r="D1512">
        <v>114</v>
      </c>
      <c r="E1512">
        <v>48</v>
      </c>
      <c r="F1512">
        <v>0.70399999999999996</v>
      </c>
      <c r="G1512">
        <v>0</v>
      </c>
      <c r="H1512">
        <v>1069</v>
      </c>
      <c r="I1512">
        <v>734</v>
      </c>
      <c r="J1512">
        <v>335</v>
      </c>
    </row>
    <row r="1513" spans="1:10" x14ac:dyDescent="0.25">
      <c r="A1513">
        <v>76</v>
      </c>
      <c r="B1513" t="s">
        <v>32</v>
      </c>
      <c r="C1513" t="s">
        <v>20</v>
      </c>
      <c r="D1513">
        <v>91</v>
      </c>
      <c r="E1513">
        <v>71</v>
      </c>
      <c r="F1513">
        <v>0.56200000000000006</v>
      </c>
      <c r="G1513">
        <v>23</v>
      </c>
      <c r="H1513">
        <v>947</v>
      </c>
      <c r="I1513">
        <v>807</v>
      </c>
      <c r="J1513">
        <v>140</v>
      </c>
    </row>
    <row r="1514" spans="1:10" x14ac:dyDescent="0.25">
      <c r="A1514">
        <v>76</v>
      </c>
      <c r="B1514" t="s">
        <v>32</v>
      </c>
      <c r="C1514" t="s">
        <v>21</v>
      </c>
      <c r="D1514">
        <v>90</v>
      </c>
      <c r="E1514">
        <v>72</v>
      </c>
      <c r="F1514">
        <v>0.55600000000000005</v>
      </c>
      <c r="G1514">
        <v>24</v>
      </c>
      <c r="H1514">
        <v>994</v>
      </c>
      <c r="I1514">
        <v>913</v>
      </c>
      <c r="J1514">
        <v>81</v>
      </c>
    </row>
    <row r="1515" spans="1:10" x14ac:dyDescent="0.25">
      <c r="A1515">
        <v>76</v>
      </c>
      <c r="B1515" t="s">
        <v>32</v>
      </c>
      <c r="C1515" t="s">
        <v>22</v>
      </c>
      <c r="D1515">
        <v>73</v>
      </c>
      <c r="E1515">
        <v>89</v>
      </c>
      <c r="F1515">
        <v>0.45100000000000001</v>
      </c>
      <c r="G1515">
        <v>41</v>
      </c>
      <c r="H1515">
        <v>822</v>
      </c>
      <c r="I1515">
        <v>932</v>
      </c>
      <c r="J1515">
        <v>-110</v>
      </c>
    </row>
    <row r="1516" spans="1:10" x14ac:dyDescent="0.25">
      <c r="A1516">
        <v>76</v>
      </c>
      <c r="B1516" t="s">
        <v>32</v>
      </c>
      <c r="C1516" t="s">
        <v>23</v>
      </c>
      <c r="D1516">
        <v>46</v>
      </c>
      <c r="E1516">
        <v>116</v>
      </c>
      <c r="F1516">
        <v>0.28399999999999997</v>
      </c>
      <c r="G1516">
        <v>68</v>
      </c>
      <c r="H1516">
        <v>746</v>
      </c>
      <c r="I1516">
        <v>1070</v>
      </c>
      <c r="J1516">
        <v>-324</v>
      </c>
    </row>
    <row r="1517" spans="1:10" x14ac:dyDescent="0.25">
      <c r="A1517">
        <v>76</v>
      </c>
      <c r="B1517" t="s">
        <v>33</v>
      </c>
      <c r="C1517" t="s">
        <v>24</v>
      </c>
      <c r="D1517">
        <v>110</v>
      </c>
      <c r="E1517">
        <v>52</v>
      </c>
      <c r="F1517">
        <v>0.67900000000000005</v>
      </c>
      <c r="G1517">
        <v>0</v>
      </c>
      <c r="H1517">
        <v>967</v>
      </c>
      <c r="I1517">
        <v>697</v>
      </c>
      <c r="J1517">
        <v>270</v>
      </c>
    </row>
    <row r="1518" spans="1:10" x14ac:dyDescent="0.25">
      <c r="A1518">
        <v>76</v>
      </c>
      <c r="B1518" t="s">
        <v>33</v>
      </c>
      <c r="C1518" t="s">
        <v>25</v>
      </c>
      <c r="D1518">
        <v>92</v>
      </c>
      <c r="E1518">
        <v>70</v>
      </c>
      <c r="F1518">
        <v>0.56799999999999995</v>
      </c>
      <c r="G1518">
        <v>18</v>
      </c>
      <c r="H1518">
        <v>804</v>
      </c>
      <c r="I1518">
        <v>716</v>
      </c>
      <c r="J1518">
        <v>88</v>
      </c>
    </row>
    <row r="1519" spans="1:10" x14ac:dyDescent="0.25">
      <c r="A1519">
        <v>76</v>
      </c>
      <c r="B1519" t="s">
        <v>33</v>
      </c>
      <c r="C1519" t="s">
        <v>26</v>
      </c>
      <c r="D1519">
        <v>76</v>
      </c>
      <c r="E1519">
        <v>86</v>
      </c>
      <c r="F1519">
        <v>0.46899999999999997</v>
      </c>
      <c r="G1519">
        <v>34</v>
      </c>
      <c r="H1519">
        <v>787</v>
      </c>
      <c r="I1519">
        <v>828</v>
      </c>
      <c r="J1519">
        <v>-41</v>
      </c>
    </row>
    <row r="1520" spans="1:10" x14ac:dyDescent="0.25">
      <c r="A1520">
        <v>76</v>
      </c>
      <c r="B1520" t="s">
        <v>33</v>
      </c>
      <c r="C1520" t="s">
        <v>27</v>
      </c>
      <c r="D1520">
        <v>71</v>
      </c>
      <c r="E1520">
        <v>91</v>
      </c>
      <c r="F1520">
        <v>0.438</v>
      </c>
      <c r="G1520">
        <v>39</v>
      </c>
      <c r="H1520">
        <v>752</v>
      </c>
      <c r="I1520">
        <v>880</v>
      </c>
      <c r="J1520">
        <v>-128</v>
      </c>
    </row>
    <row r="1521" spans="1:10" x14ac:dyDescent="0.25">
      <c r="A1521">
        <v>76</v>
      </c>
      <c r="B1521" t="s">
        <v>33</v>
      </c>
      <c r="C1521" t="s">
        <v>28</v>
      </c>
      <c r="D1521">
        <v>57</v>
      </c>
      <c r="E1521">
        <v>105</v>
      </c>
      <c r="F1521">
        <v>0.35199999999999998</v>
      </c>
      <c r="G1521">
        <v>53</v>
      </c>
      <c r="H1521">
        <v>674</v>
      </c>
      <c r="I1521">
        <v>999</v>
      </c>
      <c r="J1521">
        <v>-325</v>
      </c>
    </row>
    <row r="1522" spans="1:10" x14ac:dyDescent="0.25">
      <c r="A1522">
        <v>77</v>
      </c>
      <c r="B1522" t="s">
        <v>30</v>
      </c>
      <c r="C1522" t="s">
        <v>8</v>
      </c>
      <c r="D1522">
        <v>98</v>
      </c>
      <c r="E1522">
        <v>64</v>
      </c>
      <c r="F1522">
        <v>0.60499999999999998</v>
      </c>
      <c r="G1522">
        <v>0</v>
      </c>
      <c r="H1522">
        <v>921</v>
      </c>
      <c r="I1522">
        <v>683</v>
      </c>
      <c r="J1522">
        <v>238</v>
      </c>
    </row>
    <row r="1523" spans="1:10" x14ac:dyDescent="0.25">
      <c r="A1523">
        <v>77</v>
      </c>
      <c r="B1523" t="s">
        <v>30</v>
      </c>
      <c r="C1523" t="s">
        <v>12</v>
      </c>
      <c r="D1523">
        <v>89</v>
      </c>
      <c r="E1523">
        <v>73</v>
      </c>
      <c r="F1523">
        <v>0.54900000000000004</v>
      </c>
      <c r="G1523">
        <v>9</v>
      </c>
      <c r="H1523">
        <v>990</v>
      </c>
      <c r="I1523">
        <v>876</v>
      </c>
      <c r="J1523">
        <v>114</v>
      </c>
    </row>
    <row r="1524" spans="1:10" x14ac:dyDescent="0.25">
      <c r="A1524">
        <v>77</v>
      </c>
      <c r="B1524" t="s">
        <v>30</v>
      </c>
      <c r="C1524" t="s">
        <v>10</v>
      </c>
      <c r="D1524">
        <v>86</v>
      </c>
      <c r="E1524">
        <v>76</v>
      </c>
      <c r="F1524">
        <v>0.53100000000000003</v>
      </c>
      <c r="G1524">
        <v>12</v>
      </c>
      <c r="H1524">
        <v>968</v>
      </c>
      <c r="I1524">
        <v>888</v>
      </c>
      <c r="J1524">
        <v>80</v>
      </c>
    </row>
    <row r="1525" spans="1:10" x14ac:dyDescent="0.25">
      <c r="A1525">
        <v>77</v>
      </c>
      <c r="B1525" t="s">
        <v>30</v>
      </c>
      <c r="C1525" t="s">
        <v>11</v>
      </c>
      <c r="D1525">
        <v>86</v>
      </c>
      <c r="E1525">
        <v>76</v>
      </c>
      <c r="F1525">
        <v>0.53100000000000003</v>
      </c>
      <c r="G1525">
        <v>12</v>
      </c>
      <c r="H1525">
        <v>789</v>
      </c>
      <c r="I1525">
        <v>738</v>
      </c>
      <c r="J1525">
        <v>51</v>
      </c>
    </row>
    <row r="1526" spans="1:10" x14ac:dyDescent="0.25">
      <c r="A1526">
        <v>77</v>
      </c>
      <c r="B1526" t="s">
        <v>30</v>
      </c>
      <c r="C1526" t="s">
        <v>13</v>
      </c>
      <c r="D1526">
        <v>84</v>
      </c>
      <c r="E1526">
        <v>78</v>
      </c>
      <c r="F1526">
        <v>0.51900000000000002</v>
      </c>
      <c r="G1526">
        <v>14</v>
      </c>
      <c r="H1526">
        <v>865</v>
      </c>
      <c r="I1526">
        <v>831</v>
      </c>
      <c r="J1526">
        <v>34</v>
      </c>
    </row>
    <row r="1527" spans="1:10" x14ac:dyDescent="0.25">
      <c r="A1527">
        <v>77</v>
      </c>
      <c r="B1527" t="s">
        <v>31</v>
      </c>
      <c r="C1527" t="s">
        <v>14</v>
      </c>
      <c r="D1527">
        <v>110</v>
      </c>
      <c r="E1527">
        <v>52</v>
      </c>
      <c r="F1527">
        <v>0.67900000000000005</v>
      </c>
      <c r="G1527">
        <v>0</v>
      </c>
      <c r="H1527">
        <v>974</v>
      </c>
      <c r="I1527">
        <v>674</v>
      </c>
      <c r="J1527">
        <v>300</v>
      </c>
    </row>
    <row r="1528" spans="1:10" x14ac:dyDescent="0.25">
      <c r="A1528">
        <v>77</v>
      </c>
      <c r="B1528" t="s">
        <v>31</v>
      </c>
      <c r="C1528" t="s">
        <v>15</v>
      </c>
      <c r="D1528">
        <v>75</v>
      </c>
      <c r="E1528">
        <v>87</v>
      </c>
      <c r="F1528">
        <v>0.46300000000000002</v>
      </c>
      <c r="G1528">
        <v>35</v>
      </c>
      <c r="H1528">
        <v>993</v>
      </c>
      <c r="I1528">
        <v>1234</v>
      </c>
      <c r="J1528">
        <v>-241</v>
      </c>
    </row>
    <row r="1529" spans="1:10" x14ac:dyDescent="0.25">
      <c r="A1529">
        <v>77</v>
      </c>
      <c r="B1529" t="s">
        <v>31</v>
      </c>
      <c r="C1529" t="s">
        <v>17</v>
      </c>
      <c r="D1529">
        <v>69</v>
      </c>
      <c r="E1529">
        <v>93</v>
      </c>
      <c r="F1529">
        <v>0.42599999999999999</v>
      </c>
      <c r="G1529">
        <v>41</v>
      </c>
      <c r="H1529">
        <v>851</v>
      </c>
      <c r="I1529">
        <v>1001</v>
      </c>
      <c r="J1529">
        <v>-150</v>
      </c>
    </row>
    <row r="1530" spans="1:10" x14ac:dyDescent="0.25">
      <c r="A1530">
        <v>77</v>
      </c>
      <c r="B1530" t="s">
        <v>31</v>
      </c>
      <c r="C1530" t="s">
        <v>16</v>
      </c>
      <c r="D1530">
        <v>62</v>
      </c>
      <c r="E1530">
        <v>100</v>
      </c>
      <c r="F1530">
        <v>0.38300000000000001</v>
      </c>
      <c r="G1530">
        <v>48</v>
      </c>
      <c r="H1530">
        <v>769</v>
      </c>
      <c r="I1530">
        <v>936</v>
      </c>
      <c r="J1530">
        <v>-167</v>
      </c>
    </row>
    <row r="1531" spans="1:10" x14ac:dyDescent="0.25">
      <c r="A1531">
        <v>77</v>
      </c>
      <c r="B1531" t="s">
        <v>31</v>
      </c>
      <c r="C1531" t="s">
        <v>18</v>
      </c>
      <c r="D1531">
        <v>40</v>
      </c>
      <c r="E1531">
        <v>122</v>
      </c>
      <c r="F1531">
        <v>0.247</v>
      </c>
      <c r="G1531">
        <v>70</v>
      </c>
      <c r="H1531">
        <v>661</v>
      </c>
      <c r="I1531">
        <v>1067</v>
      </c>
      <c r="J1531">
        <v>-406</v>
      </c>
    </row>
    <row r="1532" spans="1:10" x14ac:dyDescent="0.25">
      <c r="A1532">
        <v>77</v>
      </c>
      <c r="B1532" t="s">
        <v>32</v>
      </c>
      <c r="C1532" t="s">
        <v>19</v>
      </c>
      <c r="D1532">
        <v>110</v>
      </c>
      <c r="E1532">
        <v>52</v>
      </c>
      <c r="F1532">
        <v>0.67900000000000005</v>
      </c>
      <c r="G1532">
        <v>0</v>
      </c>
      <c r="H1532">
        <v>1122</v>
      </c>
      <c r="I1532">
        <v>804</v>
      </c>
      <c r="J1532">
        <v>318</v>
      </c>
    </row>
    <row r="1533" spans="1:10" x14ac:dyDescent="0.25">
      <c r="A1533">
        <v>77</v>
      </c>
      <c r="B1533" t="s">
        <v>32</v>
      </c>
      <c r="C1533" t="s">
        <v>20</v>
      </c>
      <c r="D1533">
        <v>101</v>
      </c>
      <c r="E1533">
        <v>61</v>
      </c>
      <c r="F1533">
        <v>0.623</v>
      </c>
      <c r="G1533">
        <v>9</v>
      </c>
      <c r="H1533">
        <v>1052</v>
      </c>
      <c r="I1533">
        <v>837</v>
      </c>
      <c r="J1533">
        <v>215</v>
      </c>
    </row>
    <row r="1534" spans="1:10" x14ac:dyDescent="0.25">
      <c r="A1534">
        <v>77</v>
      </c>
      <c r="B1534" t="s">
        <v>32</v>
      </c>
      <c r="C1534" t="s">
        <v>21</v>
      </c>
      <c r="D1534">
        <v>81</v>
      </c>
      <c r="E1534">
        <v>81</v>
      </c>
      <c r="F1534">
        <v>0.5</v>
      </c>
      <c r="G1534">
        <v>29</v>
      </c>
      <c r="H1534">
        <v>916</v>
      </c>
      <c r="I1534">
        <v>924</v>
      </c>
      <c r="J1534">
        <v>-8</v>
      </c>
    </row>
    <row r="1535" spans="1:10" x14ac:dyDescent="0.25">
      <c r="A1535">
        <v>77</v>
      </c>
      <c r="B1535" t="s">
        <v>32</v>
      </c>
      <c r="C1535" t="s">
        <v>22</v>
      </c>
      <c r="D1535">
        <v>77</v>
      </c>
      <c r="E1535">
        <v>85</v>
      </c>
      <c r="F1535">
        <v>0.47499999999999998</v>
      </c>
      <c r="G1535">
        <v>33</v>
      </c>
      <c r="H1535">
        <v>931</v>
      </c>
      <c r="I1535">
        <v>945</v>
      </c>
      <c r="J1535">
        <v>-14</v>
      </c>
    </row>
    <row r="1536" spans="1:10" x14ac:dyDescent="0.25">
      <c r="A1536">
        <v>77</v>
      </c>
      <c r="B1536" t="s">
        <v>32</v>
      </c>
      <c r="C1536" t="s">
        <v>23</v>
      </c>
      <c r="D1536">
        <v>56</v>
      </c>
      <c r="E1536">
        <v>106</v>
      </c>
      <c r="F1536">
        <v>0.34599999999999997</v>
      </c>
      <c r="G1536">
        <v>54</v>
      </c>
      <c r="H1536">
        <v>858</v>
      </c>
      <c r="I1536">
        <v>1078</v>
      </c>
      <c r="J1536">
        <v>-220</v>
      </c>
    </row>
    <row r="1537" spans="1:10" x14ac:dyDescent="0.25">
      <c r="A1537">
        <v>77</v>
      </c>
      <c r="B1537" t="s">
        <v>33</v>
      </c>
      <c r="C1537" t="s">
        <v>24</v>
      </c>
      <c r="D1537">
        <v>98</v>
      </c>
      <c r="E1537">
        <v>64</v>
      </c>
      <c r="F1537">
        <v>0.60499999999999998</v>
      </c>
      <c r="G1537">
        <v>0</v>
      </c>
      <c r="H1537">
        <v>879</v>
      </c>
      <c r="I1537">
        <v>700</v>
      </c>
      <c r="J1537">
        <v>179</v>
      </c>
    </row>
    <row r="1538" spans="1:10" x14ac:dyDescent="0.25">
      <c r="A1538">
        <v>77</v>
      </c>
      <c r="B1538" t="s">
        <v>33</v>
      </c>
      <c r="C1538" t="s">
        <v>25</v>
      </c>
      <c r="D1538">
        <v>91</v>
      </c>
      <c r="E1538">
        <v>71</v>
      </c>
      <c r="F1538">
        <v>0.56200000000000006</v>
      </c>
      <c r="G1538">
        <v>7</v>
      </c>
      <c r="H1538">
        <v>822</v>
      </c>
      <c r="I1538">
        <v>704</v>
      </c>
      <c r="J1538">
        <v>118</v>
      </c>
    </row>
    <row r="1539" spans="1:10" x14ac:dyDescent="0.25">
      <c r="A1539">
        <v>77</v>
      </c>
      <c r="B1539" t="s">
        <v>33</v>
      </c>
      <c r="C1539" t="s">
        <v>26</v>
      </c>
      <c r="D1539">
        <v>90</v>
      </c>
      <c r="E1539">
        <v>72</v>
      </c>
      <c r="F1539">
        <v>0.55600000000000005</v>
      </c>
      <c r="G1539">
        <v>8</v>
      </c>
      <c r="H1539">
        <v>839</v>
      </c>
      <c r="I1539">
        <v>776</v>
      </c>
      <c r="J1539">
        <v>63</v>
      </c>
    </row>
    <row r="1540" spans="1:10" x14ac:dyDescent="0.25">
      <c r="A1540">
        <v>77</v>
      </c>
      <c r="B1540" t="s">
        <v>33</v>
      </c>
      <c r="C1540" t="s">
        <v>27</v>
      </c>
      <c r="D1540">
        <v>65</v>
      </c>
      <c r="E1540">
        <v>97</v>
      </c>
      <c r="F1540">
        <v>0.40100000000000002</v>
      </c>
      <c r="G1540">
        <v>33</v>
      </c>
      <c r="H1540">
        <v>749</v>
      </c>
      <c r="I1540">
        <v>930</v>
      </c>
      <c r="J1540">
        <v>-181</v>
      </c>
    </row>
    <row r="1541" spans="1:10" x14ac:dyDescent="0.25">
      <c r="A1541">
        <v>77</v>
      </c>
      <c r="B1541" t="s">
        <v>33</v>
      </c>
      <c r="C1541" t="s">
        <v>28</v>
      </c>
      <c r="D1541">
        <v>52</v>
      </c>
      <c r="E1541">
        <v>110</v>
      </c>
      <c r="F1541">
        <v>0.32100000000000001</v>
      </c>
      <c r="G1541">
        <v>46</v>
      </c>
      <c r="H1541">
        <v>681</v>
      </c>
      <c r="I1541">
        <v>1004</v>
      </c>
      <c r="J1541">
        <v>-323</v>
      </c>
    </row>
    <row r="1542" spans="1:10" x14ac:dyDescent="0.25">
      <c r="A1542">
        <v>78</v>
      </c>
      <c r="B1542" t="s">
        <v>30</v>
      </c>
      <c r="C1542" t="s">
        <v>12</v>
      </c>
      <c r="D1542">
        <v>93</v>
      </c>
      <c r="E1542">
        <v>69</v>
      </c>
      <c r="F1542">
        <v>0.57399999999999995</v>
      </c>
      <c r="G1542">
        <v>0</v>
      </c>
      <c r="H1542">
        <v>933</v>
      </c>
      <c r="I1542">
        <v>852</v>
      </c>
      <c r="J1542">
        <v>81</v>
      </c>
    </row>
    <row r="1543" spans="1:10" x14ac:dyDescent="0.25">
      <c r="A1543">
        <v>78</v>
      </c>
      <c r="B1543" t="s">
        <v>30</v>
      </c>
      <c r="C1543" t="s">
        <v>8</v>
      </c>
      <c r="D1543">
        <v>93</v>
      </c>
      <c r="E1543">
        <v>69</v>
      </c>
      <c r="F1543">
        <v>0.57399999999999995</v>
      </c>
      <c r="G1543">
        <v>0</v>
      </c>
      <c r="H1543">
        <v>886</v>
      </c>
      <c r="I1543">
        <v>682</v>
      </c>
      <c r="J1543">
        <v>204</v>
      </c>
    </row>
    <row r="1544" spans="1:10" x14ac:dyDescent="0.25">
      <c r="A1544">
        <v>78</v>
      </c>
      <c r="B1544" t="s">
        <v>30</v>
      </c>
      <c r="C1544" t="s">
        <v>11</v>
      </c>
      <c r="D1544">
        <v>91</v>
      </c>
      <c r="E1544">
        <v>71</v>
      </c>
      <c r="F1544">
        <v>0.56200000000000006</v>
      </c>
      <c r="G1544">
        <v>2</v>
      </c>
      <c r="H1544">
        <v>970</v>
      </c>
      <c r="I1544">
        <v>739</v>
      </c>
      <c r="J1544">
        <v>231</v>
      </c>
    </row>
    <row r="1545" spans="1:10" x14ac:dyDescent="0.25">
      <c r="A1545">
        <v>78</v>
      </c>
      <c r="B1545" t="s">
        <v>30</v>
      </c>
      <c r="C1545" t="s">
        <v>10</v>
      </c>
      <c r="D1545">
        <v>84</v>
      </c>
      <c r="E1545">
        <v>78</v>
      </c>
      <c r="F1545">
        <v>0.51900000000000002</v>
      </c>
      <c r="G1545">
        <v>9</v>
      </c>
      <c r="H1545">
        <v>975</v>
      </c>
      <c r="I1545">
        <v>903</v>
      </c>
      <c r="J1545">
        <v>72</v>
      </c>
    </row>
    <row r="1546" spans="1:10" x14ac:dyDescent="0.25">
      <c r="A1546">
        <v>78</v>
      </c>
      <c r="B1546" t="s">
        <v>30</v>
      </c>
      <c r="C1546" t="s">
        <v>13</v>
      </c>
      <c r="D1546">
        <v>65</v>
      </c>
      <c r="E1546">
        <v>97</v>
      </c>
      <c r="F1546">
        <v>0.40100000000000002</v>
      </c>
      <c r="G1546">
        <v>28</v>
      </c>
      <c r="H1546">
        <v>786</v>
      </c>
      <c r="I1546">
        <v>911</v>
      </c>
      <c r="J1546">
        <v>-125</v>
      </c>
    </row>
    <row r="1547" spans="1:10" x14ac:dyDescent="0.25">
      <c r="A1547">
        <v>78</v>
      </c>
      <c r="B1547" t="s">
        <v>31</v>
      </c>
      <c r="C1547" t="s">
        <v>14</v>
      </c>
      <c r="D1547">
        <v>97</v>
      </c>
      <c r="E1547">
        <v>65</v>
      </c>
      <c r="F1547">
        <v>0.59899999999999998</v>
      </c>
      <c r="G1547">
        <v>0</v>
      </c>
      <c r="H1547">
        <v>965</v>
      </c>
      <c r="I1547">
        <v>722</v>
      </c>
      <c r="J1547">
        <v>243</v>
      </c>
    </row>
    <row r="1548" spans="1:10" x14ac:dyDescent="0.25">
      <c r="A1548">
        <v>78</v>
      </c>
      <c r="B1548" t="s">
        <v>31</v>
      </c>
      <c r="C1548" t="s">
        <v>16</v>
      </c>
      <c r="D1548">
        <v>79</v>
      </c>
      <c r="E1548">
        <v>83</v>
      </c>
      <c r="F1548">
        <v>0.48799999999999999</v>
      </c>
      <c r="G1548">
        <v>18</v>
      </c>
      <c r="H1548">
        <v>713</v>
      </c>
      <c r="I1548">
        <v>776</v>
      </c>
      <c r="J1548">
        <v>-63</v>
      </c>
    </row>
    <row r="1549" spans="1:10" x14ac:dyDescent="0.25">
      <c r="A1549">
        <v>78</v>
      </c>
      <c r="B1549" t="s">
        <v>31</v>
      </c>
      <c r="C1549" t="s">
        <v>15</v>
      </c>
      <c r="D1549">
        <v>69</v>
      </c>
      <c r="E1549">
        <v>93</v>
      </c>
      <c r="F1549">
        <v>0.42599999999999999</v>
      </c>
      <c r="G1549">
        <v>28</v>
      </c>
      <c r="H1549">
        <v>891</v>
      </c>
      <c r="I1549">
        <v>1157</v>
      </c>
      <c r="J1549">
        <v>-266</v>
      </c>
    </row>
    <row r="1550" spans="1:10" x14ac:dyDescent="0.25">
      <c r="A1550">
        <v>78</v>
      </c>
      <c r="B1550" t="s">
        <v>31</v>
      </c>
      <c r="C1550" t="s">
        <v>17</v>
      </c>
      <c r="D1550">
        <v>59</v>
      </c>
      <c r="E1550">
        <v>103</v>
      </c>
      <c r="F1550">
        <v>0.36399999999999999</v>
      </c>
      <c r="G1550">
        <v>38</v>
      </c>
      <c r="H1550">
        <v>760</v>
      </c>
      <c r="I1550">
        <v>997</v>
      </c>
      <c r="J1550">
        <v>-237</v>
      </c>
    </row>
    <row r="1551" spans="1:10" x14ac:dyDescent="0.25">
      <c r="A1551">
        <v>78</v>
      </c>
      <c r="B1551" t="s">
        <v>31</v>
      </c>
      <c r="C1551" t="s">
        <v>18</v>
      </c>
      <c r="D1551">
        <v>40</v>
      </c>
      <c r="E1551">
        <v>122</v>
      </c>
      <c r="F1551">
        <v>0.247</v>
      </c>
      <c r="G1551">
        <v>57</v>
      </c>
      <c r="H1551">
        <v>632</v>
      </c>
      <c r="I1551">
        <v>1073</v>
      </c>
      <c r="J1551">
        <v>-441</v>
      </c>
    </row>
    <row r="1552" spans="1:10" x14ac:dyDescent="0.25">
      <c r="A1552">
        <v>78</v>
      </c>
      <c r="B1552" t="s">
        <v>32</v>
      </c>
      <c r="C1552" t="s">
        <v>19</v>
      </c>
      <c r="D1552">
        <v>116</v>
      </c>
      <c r="E1552">
        <v>46</v>
      </c>
      <c r="F1552">
        <v>0.71599999999999997</v>
      </c>
      <c r="G1552">
        <v>0</v>
      </c>
      <c r="H1552">
        <v>1072</v>
      </c>
      <c r="I1552">
        <v>684</v>
      </c>
      <c r="J1552">
        <v>388</v>
      </c>
    </row>
    <row r="1553" spans="1:10" x14ac:dyDescent="0.25">
      <c r="A1553">
        <v>78</v>
      </c>
      <c r="B1553" t="s">
        <v>32</v>
      </c>
      <c r="C1553" t="s">
        <v>20</v>
      </c>
      <c r="D1553">
        <v>104</v>
      </c>
      <c r="E1553">
        <v>58</v>
      </c>
      <c r="F1553">
        <v>0.64200000000000002</v>
      </c>
      <c r="G1553">
        <v>12</v>
      </c>
      <c r="H1553">
        <v>969</v>
      </c>
      <c r="I1553">
        <v>773</v>
      </c>
      <c r="J1553">
        <v>196</v>
      </c>
    </row>
    <row r="1554" spans="1:10" x14ac:dyDescent="0.25">
      <c r="A1554">
        <v>78</v>
      </c>
      <c r="B1554" t="s">
        <v>32</v>
      </c>
      <c r="C1554" t="s">
        <v>21</v>
      </c>
      <c r="D1554">
        <v>85</v>
      </c>
      <c r="E1554">
        <v>77</v>
      </c>
      <c r="F1554">
        <v>0.52500000000000002</v>
      </c>
      <c r="G1554">
        <v>31</v>
      </c>
      <c r="H1554">
        <v>959</v>
      </c>
      <c r="I1554">
        <v>907</v>
      </c>
      <c r="J1554">
        <v>52</v>
      </c>
    </row>
    <row r="1555" spans="1:10" x14ac:dyDescent="0.25">
      <c r="A1555">
        <v>78</v>
      </c>
      <c r="B1555" t="s">
        <v>32</v>
      </c>
      <c r="C1555" t="s">
        <v>22</v>
      </c>
      <c r="D1555">
        <v>70</v>
      </c>
      <c r="E1555">
        <v>92</v>
      </c>
      <c r="F1555">
        <v>0.432</v>
      </c>
      <c r="G1555">
        <v>46</v>
      </c>
      <c r="H1555">
        <v>854</v>
      </c>
      <c r="I1555">
        <v>955</v>
      </c>
      <c r="J1555">
        <v>-101</v>
      </c>
    </row>
    <row r="1556" spans="1:10" x14ac:dyDescent="0.25">
      <c r="A1556">
        <v>78</v>
      </c>
      <c r="B1556" t="s">
        <v>32</v>
      </c>
      <c r="C1556" t="s">
        <v>23</v>
      </c>
      <c r="D1556">
        <v>58</v>
      </c>
      <c r="E1556">
        <v>104</v>
      </c>
      <c r="F1556">
        <v>0.35799999999999998</v>
      </c>
      <c r="G1556">
        <v>58</v>
      </c>
      <c r="H1556">
        <v>817</v>
      </c>
      <c r="I1556">
        <v>1057</v>
      </c>
      <c r="J1556">
        <v>-240</v>
      </c>
    </row>
    <row r="1557" spans="1:10" x14ac:dyDescent="0.25">
      <c r="A1557">
        <v>78</v>
      </c>
      <c r="B1557" t="s">
        <v>33</v>
      </c>
      <c r="C1557" t="s">
        <v>25</v>
      </c>
      <c r="D1557">
        <v>94</v>
      </c>
      <c r="E1557">
        <v>68</v>
      </c>
      <c r="F1557">
        <v>0.57999999999999996</v>
      </c>
      <c r="G1557">
        <v>0</v>
      </c>
      <c r="H1557">
        <v>872</v>
      </c>
      <c r="I1557">
        <v>756</v>
      </c>
      <c r="J1557">
        <v>116</v>
      </c>
    </row>
    <row r="1558" spans="1:10" x14ac:dyDescent="0.25">
      <c r="A1558">
        <v>78</v>
      </c>
      <c r="B1558" t="s">
        <v>33</v>
      </c>
      <c r="C1558" t="s">
        <v>26</v>
      </c>
      <c r="D1558">
        <v>93</v>
      </c>
      <c r="E1558">
        <v>69</v>
      </c>
      <c r="F1558">
        <v>0.57399999999999995</v>
      </c>
      <c r="G1558">
        <v>1</v>
      </c>
      <c r="H1558">
        <v>845</v>
      </c>
      <c r="I1558">
        <v>767</v>
      </c>
      <c r="J1558">
        <v>78</v>
      </c>
    </row>
    <row r="1559" spans="1:10" x14ac:dyDescent="0.25">
      <c r="A1559">
        <v>78</v>
      </c>
      <c r="B1559" t="s">
        <v>33</v>
      </c>
      <c r="C1559" t="s">
        <v>24</v>
      </c>
      <c r="D1559">
        <v>90</v>
      </c>
      <c r="E1559">
        <v>72</v>
      </c>
      <c r="F1559">
        <v>0.55600000000000005</v>
      </c>
      <c r="G1559">
        <v>4</v>
      </c>
      <c r="H1559">
        <v>875</v>
      </c>
      <c r="I1559">
        <v>725</v>
      </c>
      <c r="J1559">
        <v>150</v>
      </c>
    </row>
    <row r="1560" spans="1:10" x14ac:dyDescent="0.25">
      <c r="A1560">
        <v>78</v>
      </c>
      <c r="B1560" t="s">
        <v>33</v>
      </c>
      <c r="C1560" t="s">
        <v>27</v>
      </c>
      <c r="D1560">
        <v>74</v>
      </c>
      <c r="E1560">
        <v>88</v>
      </c>
      <c r="F1560">
        <v>0.45700000000000002</v>
      </c>
      <c r="G1560">
        <v>20</v>
      </c>
      <c r="H1560">
        <v>778</v>
      </c>
      <c r="I1560">
        <v>893</v>
      </c>
      <c r="J1560">
        <v>-115</v>
      </c>
    </row>
    <row r="1561" spans="1:10" x14ac:dyDescent="0.25">
      <c r="A1561">
        <v>78</v>
      </c>
      <c r="B1561" t="s">
        <v>33</v>
      </c>
      <c r="C1561" t="s">
        <v>28</v>
      </c>
      <c r="D1561">
        <v>66</v>
      </c>
      <c r="E1561">
        <v>96</v>
      </c>
      <c r="F1561">
        <v>0.40699999999999997</v>
      </c>
      <c r="G1561">
        <v>28</v>
      </c>
      <c r="H1561">
        <v>797</v>
      </c>
      <c r="I1561">
        <v>1020</v>
      </c>
      <c r="J1561">
        <v>-223</v>
      </c>
    </row>
    <row r="1562" spans="1:10" x14ac:dyDescent="0.25">
      <c r="A1562">
        <v>79</v>
      </c>
      <c r="B1562" t="s">
        <v>30</v>
      </c>
      <c r="C1562" t="s">
        <v>8</v>
      </c>
      <c r="D1562">
        <v>98</v>
      </c>
      <c r="E1562">
        <v>64</v>
      </c>
      <c r="F1562">
        <v>0.60499999999999998</v>
      </c>
      <c r="G1562">
        <v>0</v>
      </c>
      <c r="H1562">
        <v>865</v>
      </c>
      <c r="I1562">
        <v>679</v>
      </c>
      <c r="J1562">
        <v>186</v>
      </c>
    </row>
    <row r="1563" spans="1:10" x14ac:dyDescent="0.25">
      <c r="A1563">
        <v>79</v>
      </c>
      <c r="B1563" t="s">
        <v>30</v>
      </c>
      <c r="C1563" t="s">
        <v>10</v>
      </c>
      <c r="D1563">
        <v>92</v>
      </c>
      <c r="E1563">
        <v>70</v>
      </c>
      <c r="F1563">
        <v>0.56799999999999995</v>
      </c>
      <c r="G1563">
        <v>6</v>
      </c>
      <c r="H1563">
        <v>960</v>
      </c>
      <c r="I1563">
        <v>845</v>
      </c>
      <c r="J1563">
        <v>115</v>
      </c>
    </row>
    <row r="1564" spans="1:10" x14ac:dyDescent="0.25">
      <c r="A1564">
        <v>79</v>
      </c>
      <c r="B1564" t="s">
        <v>30</v>
      </c>
      <c r="C1564" t="s">
        <v>12</v>
      </c>
      <c r="D1564">
        <v>87</v>
      </c>
      <c r="E1564">
        <v>75</v>
      </c>
      <c r="F1564">
        <v>0.53700000000000003</v>
      </c>
      <c r="G1564">
        <v>11</v>
      </c>
      <c r="H1564">
        <v>875</v>
      </c>
      <c r="I1564">
        <v>834</v>
      </c>
      <c r="J1564">
        <v>41</v>
      </c>
    </row>
    <row r="1565" spans="1:10" x14ac:dyDescent="0.25">
      <c r="A1565">
        <v>79</v>
      </c>
      <c r="B1565" t="s">
        <v>30</v>
      </c>
      <c r="C1565" t="s">
        <v>11</v>
      </c>
      <c r="D1565">
        <v>87</v>
      </c>
      <c r="E1565">
        <v>75</v>
      </c>
      <c r="F1565">
        <v>0.53700000000000003</v>
      </c>
      <c r="G1565">
        <v>11</v>
      </c>
      <c r="H1565">
        <v>826</v>
      </c>
      <c r="I1565">
        <v>808</v>
      </c>
      <c r="J1565">
        <v>18</v>
      </c>
    </row>
    <row r="1566" spans="1:10" x14ac:dyDescent="0.25">
      <c r="A1566">
        <v>79</v>
      </c>
      <c r="B1566" t="s">
        <v>30</v>
      </c>
      <c r="C1566" t="s">
        <v>13</v>
      </c>
      <c r="D1566">
        <v>82</v>
      </c>
      <c r="E1566">
        <v>80</v>
      </c>
      <c r="F1566">
        <v>0.50600000000000001</v>
      </c>
      <c r="G1566">
        <v>16</v>
      </c>
      <c r="H1566">
        <v>789</v>
      </c>
      <c r="I1566">
        <v>789</v>
      </c>
      <c r="J1566">
        <v>0</v>
      </c>
    </row>
    <row r="1567" spans="1:10" x14ac:dyDescent="0.25">
      <c r="A1567">
        <v>79</v>
      </c>
      <c r="B1567" t="s">
        <v>31</v>
      </c>
      <c r="C1567" t="s">
        <v>14</v>
      </c>
      <c r="D1567">
        <v>109</v>
      </c>
      <c r="E1567">
        <v>53</v>
      </c>
      <c r="F1567">
        <v>0.67300000000000004</v>
      </c>
      <c r="G1567">
        <v>0</v>
      </c>
      <c r="H1567">
        <v>1044</v>
      </c>
      <c r="I1567">
        <v>697</v>
      </c>
      <c r="J1567">
        <v>347</v>
      </c>
    </row>
    <row r="1568" spans="1:10" x14ac:dyDescent="0.25">
      <c r="A1568">
        <v>79</v>
      </c>
      <c r="B1568" t="s">
        <v>31</v>
      </c>
      <c r="C1568" t="s">
        <v>16</v>
      </c>
      <c r="D1568">
        <v>73</v>
      </c>
      <c r="E1568">
        <v>89</v>
      </c>
      <c r="F1568">
        <v>0.45100000000000001</v>
      </c>
      <c r="G1568">
        <v>36</v>
      </c>
      <c r="H1568">
        <v>724</v>
      </c>
      <c r="I1568">
        <v>845</v>
      </c>
      <c r="J1568">
        <v>-121</v>
      </c>
    </row>
    <row r="1569" spans="1:10" x14ac:dyDescent="0.25">
      <c r="A1569">
        <v>79</v>
      </c>
      <c r="B1569" t="s">
        <v>31</v>
      </c>
      <c r="C1569" t="s">
        <v>15</v>
      </c>
      <c r="D1569">
        <v>69</v>
      </c>
      <c r="E1569">
        <v>93</v>
      </c>
      <c r="F1569">
        <v>0.42599999999999999</v>
      </c>
      <c r="G1569">
        <v>40</v>
      </c>
      <c r="H1569">
        <v>1019</v>
      </c>
      <c r="I1569">
        <v>1218</v>
      </c>
      <c r="J1569">
        <v>-199</v>
      </c>
    </row>
    <row r="1570" spans="1:10" x14ac:dyDescent="0.25">
      <c r="A1570">
        <v>79</v>
      </c>
      <c r="B1570" t="s">
        <v>31</v>
      </c>
      <c r="C1570" t="s">
        <v>17</v>
      </c>
      <c r="D1570">
        <v>65</v>
      </c>
      <c r="E1570">
        <v>97</v>
      </c>
      <c r="F1570">
        <v>0.40100000000000002</v>
      </c>
      <c r="G1570">
        <v>44</v>
      </c>
      <c r="H1570">
        <v>893</v>
      </c>
      <c r="I1570">
        <v>1017</v>
      </c>
      <c r="J1570">
        <v>-124</v>
      </c>
    </row>
    <row r="1571" spans="1:10" x14ac:dyDescent="0.25">
      <c r="A1571">
        <v>79</v>
      </c>
      <c r="B1571" t="s">
        <v>31</v>
      </c>
      <c r="C1571" t="s">
        <v>18</v>
      </c>
      <c r="D1571">
        <v>45</v>
      </c>
      <c r="E1571">
        <v>117</v>
      </c>
      <c r="F1571">
        <v>0.27800000000000002</v>
      </c>
      <c r="G1571">
        <v>64</v>
      </c>
      <c r="H1571">
        <v>651</v>
      </c>
      <c r="I1571">
        <v>1012</v>
      </c>
      <c r="J1571">
        <v>-361</v>
      </c>
    </row>
    <row r="1572" spans="1:10" x14ac:dyDescent="0.25">
      <c r="A1572">
        <v>79</v>
      </c>
      <c r="B1572" t="s">
        <v>32</v>
      </c>
      <c r="C1572" t="s">
        <v>19</v>
      </c>
      <c r="D1572">
        <v>103</v>
      </c>
      <c r="E1572">
        <v>59</v>
      </c>
      <c r="F1572">
        <v>0.63600000000000001</v>
      </c>
      <c r="G1572">
        <v>0</v>
      </c>
      <c r="H1572">
        <v>984</v>
      </c>
      <c r="I1572">
        <v>777</v>
      </c>
      <c r="J1572">
        <v>207</v>
      </c>
    </row>
    <row r="1573" spans="1:10" x14ac:dyDescent="0.25">
      <c r="A1573">
        <v>79</v>
      </c>
      <c r="B1573" t="s">
        <v>32</v>
      </c>
      <c r="C1573" t="s">
        <v>20</v>
      </c>
      <c r="D1573">
        <v>92</v>
      </c>
      <c r="E1573">
        <v>70</v>
      </c>
      <c r="F1573">
        <v>0.56799999999999995</v>
      </c>
      <c r="G1573">
        <v>11</v>
      </c>
      <c r="H1573">
        <v>1007</v>
      </c>
      <c r="I1573">
        <v>844</v>
      </c>
      <c r="J1573">
        <v>163</v>
      </c>
    </row>
    <row r="1574" spans="1:10" x14ac:dyDescent="0.25">
      <c r="A1574">
        <v>79</v>
      </c>
      <c r="B1574" t="s">
        <v>32</v>
      </c>
      <c r="C1574" t="s">
        <v>21</v>
      </c>
      <c r="D1574">
        <v>78</v>
      </c>
      <c r="E1574">
        <v>84</v>
      </c>
      <c r="F1574">
        <v>0.48099999999999998</v>
      </c>
      <c r="G1574">
        <v>25</v>
      </c>
      <c r="H1574">
        <v>957</v>
      </c>
      <c r="I1574">
        <v>978</v>
      </c>
      <c r="J1574">
        <v>-21</v>
      </c>
    </row>
    <row r="1575" spans="1:10" x14ac:dyDescent="0.25">
      <c r="A1575">
        <v>79</v>
      </c>
      <c r="B1575" t="s">
        <v>32</v>
      </c>
      <c r="C1575" t="s">
        <v>22</v>
      </c>
      <c r="D1575">
        <v>74</v>
      </c>
      <c r="E1575">
        <v>88</v>
      </c>
      <c r="F1575">
        <v>0.45700000000000002</v>
      </c>
      <c r="G1575">
        <v>29</v>
      </c>
      <c r="H1575">
        <v>985</v>
      </c>
      <c r="I1575">
        <v>1025</v>
      </c>
      <c r="J1575">
        <v>-40</v>
      </c>
    </row>
    <row r="1576" spans="1:10" x14ac:dyDescent="0.25">
      <c r="A1576">
        <v>79</v>
      </c>
      <c r="B1576" t="s">
        <v>32</v>
      </c>
      <c r="C1576" t="s">
        <v>23</v>
      </c>
      <c r="D1576">
        <v>54</v>
      </c>
      <c r="E1576">
        <v>108</v>
      </c>
      <c r="F1576">
        <v>0.33300000000000002</v>
      </c>
      <c r="G1576">
        <v>49</v>
      </c>
      <c r="H1576">
        <v>755</v>
      </c>
      <c r="I1576">
        <v>1107</v>
      </c>
      <c r="J1576">
        <v>-352</v>
      </c>
    </row>
    <row r="1577" spans="1:10" x14ac:dyDescent="0.25">
      <c r="A1577">
        <v>79</v>
      </c>
      <c r="B1577" t="s">
        <v>33</v>
      </c>
      <c r="C1577" t="s">
        <v>24</v>
      </c>
      <c r="D1577">
        <v>107</v>
      </c>
      <c r="E1577">
        <v>55</v>
      </c>
      <c r="F1577">
        <v>0.66</v>
      </c>
      <c r="G1577">
        <v>0</v>
      </c>
      <c r="H1577">
        <v>993</v>
      </c>
      <c r="I1577">
        <v>710</v>
      </c>
      <c r="J1577">
        <v>283</v>
      </c>
    </row>
    <row r="1578" spans="1:10" x14ac:dyDescent="0.25">
      <c r="A1578">
        <v>79</v>
      </c>
      <c r="B1578" t="s">
        <v>33</v>
      </c>
      <c r="C1578" t="s">
        <v>25</v>
      </c>
      <c r="D1578">
        <v>91</v>
      </c>
      <c r="E1578">
        <v>71</v>
      </c>
      <c r="F1578">
        <v>0.56200000000000006</v>
      </c>
      <c r="G1578">
        <v>16</v>
      </c>
      <c r="H1578">
        <v>822</v>
      </c>
      <c r="I1578">
        <v>725</v>
      </c>
      <c r="J1578">
        <v>97</v>
      </c>
    </row>
    <row r="1579" spans="1:10" x14ac:dyDescent="0.25">
      <c r="A1579">
        <v>79</v>
      </c>
      <c r="B1579" t="s">
        <v>33</v>
      </c>
      <c r="C1579" t="s">
        <v>26</v>
      </c>
      <c r="D1579">
        <v>80</v>
      </c>
      <c r="E1579">
        <v>82</v>
      </c>
      <c r="F1579">
        <v>0.49399999999999999</v>
      </c>
      <c r="G1579">
        <v>27</v>
      </c>
      <c r="H1579">
        <v>883</v>
      </c>
      <c r="I1579">
        <v>783</v>
      </c>
      <c r="J1579">
        <v>100</v>
      </c>
    </row>
    <row r="1580" spans="1:10" x14ac:dyDescent="0.25">
      <c r="A1580">
        <v>79</v>
      </c>
      <c r="B1580" t="s">
        <v>33</v>
      </c>
      <c r="C1580" t="s">
        <v>27</v>
      </c>
      <c r="D1580">
        <v>76</v>
      </c>
      <c r="E1580">
        <v>86</v>
      </c>
      <c r="F1580">
        <v>0.46899999999999997</v>
      </c>
      <c r="G1580">
        <v>31</v>
      </c>
      <c r="H1580">
        <v>840</v>
      </c>
      <c r="I1580">
        <v>912</v>
      </c>
      <c r="J1580">
        <v>-72</v>
      </c>
    </row>
    <row r="1581" spans="1:10" x14ac:dyDescent="0.25">
      <c r="A1581">
        <v>79</v>
      </c>
      <c r="B1581" t="s">
        <v>33</v>
      </c>
      <c r="C1581" t="s">
        <v>28</v>
      </c>
      <c r="D1581">
        <v>58</v>
      </c>
      <c r="E1581">
        <v>104</v>
      </c>
      <c r="F1581">
        <v>0.35799999999999998</v>
      </c>
      <c r="G1581">
        <v>49</v>
      </c>
      <c r="H1581">
        <v>749</v>
      </c>
      <c r="I1581">
        <v>1016</v>
      </c>
      <c r="J1581">
        <v>-267</v>
      </c>
    </row>
    <row r="1582" spans="1:10" x14ac:dyDescent="0.25">
      <c r="A1582">
        <v>80</v>
      </c>
      <c r="B1582" t="s">
        <v>30</v>
      </c>
      <c r="C1582" t="s">
        <v>8</v>
      </c>
      <c r="D1582">
        <v>98</v>
      </c>
      <c r="E1582">
        <v>64</v>
      </c>
      <c r="F1582">
        <v>0.60499999999999998</v>
      </c>
      <c r="G1582">
        <v>0</v>
      </c>
      <c r="H1582">
        <v>915</v>
      </c>
      <c r="I1582">
        <v>747</v>
      </c>
      <c r="J1582">
        <v>168</v>
      </c>
    </row>
    <row r="1583" spans="1:10" x14ac:dyDescent="0.25">
      <c r="A1583">
        <v>80</v>
      </c>
      <c r="B1583" t="s">
        <v>30</v>
      </c>
      <c r="C1583" t="s">
        <v>10</v>
      </c>
      <c r="D1583">
        <v>97</v>
      </c>
      <c r="E1583">
        <v>65</v>
      </c>
      <c r="F1583">
        <v>0.59899999999999998</v>
      </c>
      <c r="G1583">
        <v>1</v>
      </c>
      <c r="H1583">
        <v>942</v>
      </c>
      <c r="I1583">
        <v>782</v>
      </c>
      <c r="J1583">
        <v>160</v>
      </c>
    </row>
    <row r="1584" spans="1:10" x14ac:dyDescent="0.25">
      <c r="A1584">
        <v>80</v>
      </c>
      <c r="B1584" t="s">
        <v>30</v>
      </c>
      <c r="C1584" t="s">
        <v>13</v>
      </c>
      <c r="D1584">
        <v>83</v>
      </c>
      <c r="E1584">
        <v>79</v>
      </c>
      <c r="F1584">
        <v>0.51200000000000001</v>
      </c>
      <c r="G1584">
        <v>15</v>
      </c>
      <c r="H1584">
        <v>885</v>
      </c>
      <c r="I1584">
        <v>836</v>
      </c>
      <c r="J1584">
        <v>49</v>
      </c>
    </row>
    <row r="1585" spans="1:10" x14ac:dyDescent="0.25">
      <c r="A1585">
        <v>80</v>
      </c>
      <c r="B1585" t="s">
        <v>30</v>
      </c>
      <c r="C1585" t="s">
        <v>12</v>
      </c>
      <c r="D1585">
        <v>81</v>
      </c>
      <c r="E1585">
        <v>81</v>
      </c>
      <c r="F1585">
        <v>0.5</v>
      </c>
      <c r="G1585">
        <v>17</v>
      </c>
      <c r="H1585">
        <v>956</v>
      </c>
      <c r="I1585">
        <v>913</v>
      </c>
      <c r="J1585">
        <v>43</v>
      </c>
    </row>
    <row r="1586" spans="1:10" x14ac:dyDescent="0.25">
      <c r="A1586">
        <v>80</v>
      </c>
      <c r="B1586" t="s">
        <v>30</v>
      </c>
      <c r="C1586" t="s">
        <v>11</v>
      </c>
      <c r="D1586">
        <v>77</v>
      </c>
      <c r="E1586">
        <v>85</v>
      </c>
      <c r="F1586">
        <v>0.47499999999999998</v>
      </c>
      <c r="G1586">
        <v>21</v>
      </c>
      <c r="H1586">
        <v>867</v>
      </c>
      <c r="I1586">
        <v>830</v>
      </c>
      <c r="J1586">
        <v>37</v>
      </c>
    </row>
    <row r="1587" spans="1:10" x14ac:dyDescent="0.25">
      <c r="A1587">
        <v>80</v>
      </c>
      <c r="B1587" t="s">
        <v>31</v>
      </c>
      <c r="C1587" t="s">
        <v>14</v>
      </c>
      <c r="D1587">
        <v>126</v>
      </c>
      <c r="E1587">
        <v>36</v>
      </c>
      <c r="F1587">
        <v>0.77800000000000002</v>
      </c>
      <c r="G1587">
        <v>0</v>
      </c>
      <c r="H1587">
        <v>1014</v>
      </c>
      <c r="I1587">
        <v>616</v>
      </c>
      <c r="J1587">
        <v>398</v>
      </c>
    </row>
    <row r="1588" spans="1:10" x14ac:dyDescent="0.25">
      <c r="A1588">
        <v>80</v>
      </c>
      <c r="B1588" t="s">
        <v>31</v>
      </c>
      <c r="C1588" t="s">
        <v>16</v>
      </c>
      <c r="D1588">
        <v>83</v>
      </c>
      <c r="E1588">
        <v>79</v>
      </c>
      <c r="F1588">
        <v>0.51200000000000001</v>
      </c>
      <c r="G1588">
        <v>43</v>
      </c>
      <c r="H1588">
        <v>838</v>
      </c>
      <c r="I1588">
        <v>803</v>
      </c>
      <c r="J1588">
        <v>35</v>
      </c>
    </row>
    <row r="1589" spans="1:10" x14ac:dyDescent="0.25">
      <c r="A1589">
        <v>80</v>
      </c>
      <c r="B1589" t="s">
        <v>31</v>
      </c>
      <c r="C1589" t="s">
        <v>17</v>
      </c>
      <c r="D1589">
        <v>68</v>
      </c>
      <c r="E1589">
        <v>94</v>
      </c>
      <c r="F1589">
        <v>0.42</v>
      </c>
      <c r="G1589">
        <v>58</v>
      </c>
      <c r="H1589">
        <v>852</v>
      </c>
      <c r="I1589">
        <v>1016</v>
      </c>
      <c r="J1589">
        <v>-164</v>
      </c>
    </row>
    <row r="1590" spans="1:10" x14ac:dyDescent="0.25">
      <c r="A1590">
        <v>80</v>
      </c>
      <c r="B1590" t="s">
        <v>31</v>
      </c>
      <c r="C1590" t="s">
        <v>15</v>
      </c>
      <c r="D1590">
        <v>60</v>
      </c>
      <c r="E1590">
        <v>102</v>
      </c>
      <c r="F1590">
        <v>0.37</v>
      </c>
      <c r="G1590">
        <v>66</v>
      </c>
      <c r="H1590">
        <v>893</v>
      </c>
      <c r="I1590">
        <v>1128</v>
      </c>
      <c r="J1590">
        <v>-235</v>
      </c>
    </row>
    <row r="1591" spans="1:10" x14ac:dyDescent="0.25">
      <c r="A1591">
        <v>80</v>
      </c>
      <c r="B1591" t="s">
        <v>31</v>
      </c>
      <c r="C1591" t="s">
        <v>18</v>
      </c>
      <c r="D1591">
        <v>46</v>
      </c>
      <c r="E1591">
        <v>116</v>
      </c>
      <c r="F1591">
        <v>0.28399999999999997</v>
      </c>
      <c r="G1591">
        <v>80</v>
      </c>
      <c r="H1591">
        <v>637</v>
      </c>
      <c r="I1591">
        <v>972</v>
      </c>
      <c r="J1591">
        <v>-335</v>
      </c>
    </row>
    <row r="1592" spans="1:10" x14ac:dyDescent="0.25">
      <c r="A1592">
        <v>80</v>
      </c>
      <c r="B1592" t="s">
        <v>32</v>
      </c>
      <c r="C1592" t="s">
        <v>19</v>
      </c>
      <c r="D1592">
        <v>103</v>
      </c>
      <c r="E1592">
        <v>59</v>
      </c>
      <c r="F1592">
        <v>0.63600000000000001</v>
      </c>
      <c r="G1592">
        <v>0</v>
      </c>
      <c r="H1592">
        <v>996</v>
      </c>
      <c r="I1592">
        <v>756</v>
      </c>
      <c r="J1592">
        <v>240</v>
      </c>
    </row>
    <row r="1593" spans="1:10" x14ac:dyDescent="0.25">
      <c r="A1593">
        <v>80</v>
      </c>
      <c r="B1593" t="s">
        <v>32</v>
      </c>
      <c r="C1593" t="s">
        <v>21</v>
      </c>
      <c r="D1593">
        <v>92</v>
      </c>
      <c r="E1593">
        <v>70</v>
      </c>
      <c r="F1593">
        <v>0.56799999999999995</v>
      </c>
      <c r="G1593">
        <v>11</v>
      </c>
      <c r="H1593">
        <v>942</v>
      </c>
      <c r="I1593">
        <v>870</v>
      </c>
      <c r="J1593">
        <v>72</v>
      </c>
    </row>
    <row r="1594" spans="1:10" x14ac:dyDescent="0.25">
      <c r="A1594">
        <v>80</v>
      </c>
      <c r="B1594" t="s">
        <v>32</v>
      </c>
      <c r="C1594" t="s">
        <v>20</v>
      </c>
      <c r="D1594">
        <v>88</v>
      </c>
      <c r="E1594">
        <v>74</v>
      </c>
      <c r="F1594">
        <v>0.54300000000000004</v>
      </c>
      <c r="G1594">
        <v>15</v>
      </c>
      <c r="H1594">
        <v>920</v>
      </c>
      <c r="I1594">
        <v>842</v>
      </c>
      <c r="J1594">
        <v>78</v>
      </c>
    </row>
    <row r="1595" spans="1:10" x14ac:dyDescent="0.25">
      <c r="A1595">
        <v>80</v>
      </c>
      <c r="B1595" t="s">
        <v>32</v>
      </c>
      <c r="C1595" t="s">
        <v>22</v>
      </c>
      <c r="D1595">
        <v>63</v>
      </c>
      <c r="E1595">
        <v>99</v>
      </c>
      <c r="F1595">
        <v>0.38900000000000001</v>
      </c>
      <c r="G1595">
        <v>40</v>
      </c>
      <c r="H1595">
        <v>844</v>
      </c>
      <c r="I1595">
        <v>954</v>
      </c>
      <c r="J1595">
        <v>-110</v>
      </c>
    </row>
    <row r="1596" spans="1:10" x14ac:dyDescent="0.25">
      <c r="A1596">
        <v>80</v>
      </c>
      <c r="B1596" t="s">
        <v>32</v>
      </c>
      <c r="C1596" t="s">
        <v>23</v>
      </c>
      <c r="D1596">
        <v>49</v>
      </c>
      <c r="E1596">
        <v>113</v>
      </c>
      <c r="F1596">
        <v>0.30199999999999999</v>
      </c>
      <c r="G1596">
        <v>54</v>
      </c>
      <c r="H1596">
        <v>729</v>
      </c>
      <c r="I1596">
        <v>1075</v>
      </c>
      <c r="J1596">
        <v>-346</v>
      </c>
    </row>
    <row r="1597" spans="1:10" x14ac:dyDescent="0.25">
      <c r="A1597">
        <v>80</v>
      </c>
      <c r="B1597" t="s">
        <v>33</v>
      </c>
      <c r="C1597" t="s">
        <v>24</v>
      </c>
      <c r="D1597">
        <v>100</v>
      </c>
      <c r="E1597">
        <v>62</v>
      </c>
      <c r="F1597">
        <v>0.61699999999999999</v>
      </c>
      <c r="G1597">
        <v>0</v>
      </c>
      <c r="H1597">
        <v>961</v>
      </c>
      <c r="I1597">
        <v>785</v>
      </c>
      <c r="J1597">
        <v>176</v>
      </c>
    </row>
    <row r="1598" spans="1:10" x14ac:dyDescent="0.25">
      <c r="A1598">
        <v>80</v>
      </c>
      <c r="B1598" t="s">
        <v>33</v>
      </c>
      <c r="C1598" t="s">
        <v>25</v>
      </c>
      <c r="D1598">
        <v>94</v>
      </c>
      <c r="E1598">
        <v>68</v>
      </c>
      <c r="F1598">
        <v>0.57999999999999996</v>
      </c>
      <c r="G1598">
        <v>6</v>
      </c>
      <c r="H1598">
        <v>785</v>
      </c>
      <c r="I1598">
        <v>735</v>
      </c>
      <c r="J1598">
        <v>50</v>
      </c>
    </row>
    <row r="1599" spans="1:10" x14ac:dyDescent="0.25">
      <c r="A1599">
        <v>80</v>
      </c>
      <c r="B1599" t="s">
        <v>33</v>
      </c>
      <c r="C1599" t="s">
        <v>26</v>
      </c>
      <c r="D1599">
        <v>88</v>
      </c>
      <c r="E1599">
        <v>74</v>
      </c>
      <c r="F1599">
        <v>0.54300000000000004</v>
      </c>
      <c r="G1599">
        <v>12</v>
      </c>
      <c r="H1599">
        <v>832</v>
      </c>
      <c r="I1599">
        <v>769</v>
      </c>
      <c r="J1599">
        <v>63</v>
      </c>
    </row>
    <row r="1600" spans="1:10" x14ac:dyDescent="0.25">
      <c r="A1600">
        <v>80</v>
      </c>
      <c r="B1600" t="s">
        <v>33</v>
      </c>
      <c r="C1600" t="s">
        <v>27</v>
      </c>
      <c r="D1600">
        <v>73</v>
      </c>
      <c r="E1600">
        <v>89</v>
      </c>
      <c r="F1600">
        <v>0.45100000000000001</v>
      </c>
      <c r="G1600">
        <v>27</v>
      </c>
      <c r="H1600">
        <v>765</v>
      </c>
      <c r="I1600">
        <v>850</v>
      </c>
      <c r="J1600">
        <v>-85</v>
      </c>
    </row>
    <row r="1601" spans="1:10" x14ac:dyDescent="0.25">
      <c r="A1601">
        <v>80</v>
      </c>
      <c r="B1601" t="s">
        <v>33</v>
      </c>
      <c r="C1601" t="s">
        <v>28</v>
      </c>
      <c r="D1601">
        <v>51</v>
      </c>
      <c r="E1601">
        <v>111</v>
      </c>
      <c r="F1601">
        <v>0.315</v>
      </c>
      <c r="G1601">
        <v>49</v>
      </c>
      <c r="H1601">
        <v>721</v>
      </c>
      <c r="I1601">
        <v>1015</v>
      </c>
      <c r="J1601">
        <v>-294</v>
      </c>
    </row>
    <row r="1602" spans="1:10" x14ac:dyDescent="0.25">
      <c r="A1602">
        <v>81</v>
      </c>
      <c r="B1602" t="s">
        <v>30</v>
      </c>
      <c r="C1602" t="s">
        <v>8</v>
      </c>
      <c r="D1602">
        <v>98</v>
      </c>
      <c r="E1602">
        <v>64</v>
      </c>
      <c r="F1602">
        <v>0.60499999999999998</v>
      </c>
      <c r="G1602">
        <v>0</v>
      </c>
      <c r="H1602">
        <v>866</v>
      </c>
      <c r="I1602">
        <v>670</v>
      </c>
      <c r="J1602">
        <v>196</v>
      </c>
    </row>
    <row r="1603" spans="1:10" x14ac:dyDescent="0.25">
      <c r="A1603">
        <v>81</v>
      </c>
      <c r="B1603" t="s">
        <v>30</v>
      </c>
      <c r="C1603" t="s">
        <v>12</v>
      </c>
      <c r="D1603">
        <v>97</v>
      </c>
      <c r="E1603">
        <v>65</v>
      </c>
      <c r="F1603">
        <v>0.59899999999999998</v>
      </c>
      <c r="G1603">
        <v>1</v>
      </c>
      <c r="H1603">
        <v>964</v>
      </c>
      <c r="I1603">
        <v>826</v>
      </c>
      <c r="J1603">
        <v>138</v>
      </c>
    </row>
    <row r="1604" spans="1:10" x14ac:dyDescent="0.25">
      <c r="A1604">
        <v>81</v>
      </c>
      <c r="B1604" t="s">
        <v>30</v>
      </c>
      <c r="C1604" t="s">
        <v>10</v>
      </c>
      <c r="D1604">
        <v>91</v>
      </c>
      <c r="E1604">
        <v>71</v>
      </c>
      <c r="F1604">
        <v>0.56200000000000006</v>
      </c>
      <c r="G1604">
        <v>7</v>
      </c>
      <c r="H1604">
        <v>980</v>
      </c>
      <c r="I1604">
        <v>849</v>
      </c>
      <c r="J1604">
        <v>131</v>
      </c>
    </row>
    <row r="1605" spans="1:10" x14ac:dyDescent="0.25">
      <c r="A1605">
        <v>81</v>
      </c>
      <c r="B1605" t="s">
        <v>30</v>
      </c>
      <c r="C1605" t="s">
        <v>11</v>
      </c>
      <c r="D1605">
        <v>84</v>
      </c>
      <c r="E1605">
        <v>78</v>
      </c>
      <c r="F1605">
        <v>0.51900000000000002</v>
      </c>
      <c r="G1605">
        <v>14</v>
      </c>
      <c r="H1605">
        <v>881</v>
      </c>
      <c r="I1605">
        <v>859</v>
      </c>
      <c r="J1605">
        <v>22</v>
      </c>
    </row>
    <row r="1606" spans="1:10" x14ac:dyDescent="0.25">
      <c r="A1606">
        <v>81</v>
      </c>
      <c r="B1606" t="s">
        <v>30</v>
      </c>
      <c r="C1606" t="s">
        <v>13</v>
      </c>
      <c r="D1606">
        <v>71</v>
      </c>
      <c r="E1606">
        <v>91</v>
      </c>
      <c r="F1606">
        <v>0.438</v>
      </c>
      <c r="G1606">
        <v>27</v>
      </c>
      <c r="H1606">
        <v>802</v>
      </c>
      <c r="I1606">
        <v>910</v>
      </c>
      <c r="J1606">
        <v>-108</v>
      </c>
    </row>
    <row r="1607" spans="1:10" x14ac:dyDescent="0.25">
      <c r="A1607">
        <v>81</v>
      </c>
      <c r="B1607" t="s">
        <v>31</v>
      </c>
      <c r="C1607" t="s">
        <v>14</v>
      </c>
      <c r="D1607">
        <v>106</v>
      </c>
      <c r="E1607">
        <v>56</v>
      </c>
      <c r="F1607">
        <v>0.65400000000000003</v>
      </c>
      <c r="G1607">
        <v>0</v>
      </c>
      <c r="H1607">
        <v>988</v>
      </c>
      <c r="I1607">
        <v>714</v>
      </c>
      <c r="J1607">
        <v>274</v>
      </c>
    </row>
    <row r="1608" spans="1:10" x14ac:dyDescent="0.25">
      <c r="A1608">
        <v>81</v>
      </c>
      <c r="B1608" t="s">
        <v>31</v>
      </c>
      <c r="C1608" t="s">
        <v>15</v>
      </c>
      <c r="D1608">
        <v>72</v>
      </c>
      <c r="E1608">
        <v>90</v>
      </c>
      <c r="F1608">
        <v>0.44400000000000001</v>
      </c>
      <c r="G1608">
        <v>34</v>
      </c>
      <c r="H1608">
        <v>1001</v>
      </c>
      <c r="I1608">
        <v>1167</v>
      </c>
      <c r="J1608">
        <v>-166</v>
      </c>
    </row>
    <row r="1609" spans="1:10" x14ac:dyDescent="0.25">
      <c r="A1609">
        <v>81</v>
      </c>
      <c r="B1609" t="s">
        <v>31</v>
      </c>
      <c r="C1609" t="s">
        <v>16</v>
      </c>
      <c r="D1609">
        <v>67</v>
      </c>
      <c r="E1609">
        <v>95</v>
      </c>
      <c r="F1609">
        <v>0.41399999999999998</v>
      </c>
      <c r="G1609">
        <v>39</v>
      </c>
      <c r="H1609">
        <v>757</v>
      </c>
      <c r="I1609">
        <v>910</v>
      </c>
      <c r="J1609">
        <v>-153</v>
      </c>
    </row>
    <row r="1610" spans="1:10" x14ac:dyDescent="0.25">
      <c r="A1610">
        <v>81</v>
      </c>
      <c r="B1610" t="s">
        <v>31</v>
      </c>
      <c r="C1610" t="s">
        <v>17</v>
      </c>
      <c r="D1610">
        <v>54</v>
      </c>
      <c r="E1610">
        <v>108</v>
      </c>
      <c r="F1610">
        <v>0.33300000000000002</v>
      </c>
      <c r="G1610">
        <v>52</v>
      </c>
      <c r="H1610">
        <v>813</v>
      </c>
      <c r="I1610">
        <v>1057</v>
      </c>
      <c r="J1610">
        <v>-244</v>
      </c>
    </row>
    <row r="1611" spans="1:10" x14ac:dyDescent="0.25">
      <c r="A1611">
        <v>81</v>
      </c>
      <c r="B1611" t="s">
        <v>31</v>
      </c>
      <c r="C1611" t="s">
        <v>18</v>
      </c>
      <c r="D1611">
        <v>53</v>
      </c>
      <c r="E1611">
        <v>109</v>
      </c>
      <c r="F1611">
        <v>0.32700000000000001</v>
      </c>
      <c r="G1611">
        <v>53</v>
      </c>
      <c r="H1611">
        <v>698</v>
      </c>
      <c r="I1611">
        <v>1058</v>
      </c>
      <c r="J1611">
        <v>-360</v>
      </c>
    </row>
    <row r="1612" spans="1:10" x14ac:dyDescent="0.25">
      <c r="A1612">
        <v>81</v>
      </c>
      <c r="B1612" t="s">
        <v>32</v>
      </c>
      <c r="C1612" t="s">
        <v>19</v>
      </c>
      <c r="D1612">
        <v>112</v>
      </c>
      <c r="E1612">
        <v>50</v>
      </c>
      <c r="F1612">
        <v>0.69099999999999995</v>
      </c>
      <c r="G1612">
        <v>0</v>
      </c>
      <c r="H1612">
        <v>1071</v>
      </c>
      <c r="I1612">
        <v>759</v>
      </c>
      <c r="J1612">
        <v>312</v>
      </c>
    </row>
    <row r="1613" spans="1:10" x14ac:dyDescent="0.25">
      <c r="A1613">
        <v>81</v>
      </c>
      <c r="B1613" t="s">
        <v>32</v>
      </c>
      <c r="C1613" t="s">
        <v>20</v>
      </c>
      <c r="D1613">
        <v>109</v>
      </c>
      <c r="E1613">
        <v>53</v>
      </c>
      <c r="F1613">
        <v>0.67300000000000004</v>
      </c>
      <c r="G1613">
        <v>3</v>
      </c>
      <c r="H1613">
        <v>1114</v>
      </c>
      <c r="I1613">
        <v>740</v>
      </c>
      <c r="J1613">
        <v>374</v>
      </c>
    </row>
    <row r="1614" spans="1:10" x14ac:dyDescent="0.25">
      <c r="A1614">
        <v>81</v>
      </c>
      <c r="B1614" t="s">
        <v>32</v>
      </c>
      <c r="C1614" t="s">
        <v>21</v>
      </c>
      <c r="D1614">
        <v>78</v>
      </c>
      <c r="E1614">
        <v>84</v>
      </c>
      <c r="F1614">
        <v>0.48099999999999998</v>
      </c>
      <c r="G1614">
        <v>34</v>
      </c>
      <c r="H1614">
        <v>957</v>
      </c>
      <c r="I1614">
        <v>931</v>
      </c>
      <c r="J1614">
        <v>26</v>
      </c>
    </row>
    <row r="1615" spans="1:10" x14ac:dyDescent="0.25">
      <c r="A1615">
        <v>81</v>
      </c>
      <c r="B1615" t="s">
        <v>32</v>
      </c>
      <c r="C1615" t="s">
        <v>22</v>
      </c>
      <c r="D1615">
        <v>76</v>
      </c>
      <c r="E1615">
        <v>86</v>
      </c>
      <c r="F1615">
        <v>0.46899999999999997</v>
      </c>
      <c r="G1615">
        <v>36</v>
      </c>
      <c r="H1615">
        <v>916</v>
      </c>
      <c r="I1615">
        <v>945</v>
      </c>
      <c r="J1615">
        <v>-29</v>
      </c>
    </row>
    <row r="1616" spans="1:10" x14ac:dyDescent="0.25">
      <c r="A1616">
        <v>81</v>
      </c>
      <c r="B1616" t="s">
        <v>32</v>
      </c>
      <c r="C1616" t="s">
        <v>23</v>
      </c>
      <c r="D1616">
        <v>59</v>
      </c>
      <c r="E1616">
        <v>103</v>
      </c>
      <c r="F1616">
        <v>0.36399999999999999</v>
      </c>
      <c r="G1616">
        <v>53</v>
      </c>
      <c r="H1616">
        <v>803</v>
      </c>
      <c r="I1616">
        <v>1125</v>
      </c>
      <c r="J1616">
        <v>-322</v>
      </c>
    </row>
    <row r="1617" spans="1:10" x14ac:dyDescent="0.25">
      <c r="A1617">
        <v>81</v>
      </c>
      <c r="B1617" t="s">
        <v>33</v>
      </c>
      <c r="C1617" t="s">
        <v>24</v>
      </c>
      <c r="D1617">
        <v>99</v>
      </c>
      <c r="E1617">
        <v>63</v>
      </c>
      <c r="F1617">
        <v>0.61099999999999999</v>
      </c>
      <c r="G1617">
        <v>0</v>
      </c>
      <c r="H1617">
        <v>886</v>
      </c>
      <c r="I1617">
        <v>726</v>
      </c>
      <c r="J1617">
        <v>160</v>
      </c>
    </row>
    <row r="1618" spans="1:10" x14ac:dyDescent="0.25">
      <c r="A1618">
        <v>81</v>
      </c>
      <c r="B1618" t="s">
        <v>33</v>
      </c>
      <c r="C1618" t="s">
        <v>25</v>
      </c>
      <c r="D1618">
        <v>94</v>
      </c>
      <c r="E1618">
        <v>68</v>
      </c>
      <c r="F1618">
        <v>0.57999999999999996</v>
      </c>
      <c r="G1618">
        <v>5</v>
      </c>
      <c r="H1618">
        <v>797</v>
      </c>
      <c r="I1618">
        <v>735</v>
      </c>
      <c r="J1618">
        <v>62</v>
      </c>
    </row>
    <row r="1619" spans="1:10" x14ac:dyDescent="0.25">
      <c r="A1619">
        <v>81</v>
      </c>
      <c r="B1619" t="s">
        <v>33</v>
      </c>
      <c r="C1619" t="s">
        <v>26</v>
      </c>
      <c r="D1619">
        <v>78</v>
      </c>
      <c r="E1619">
        <v>84</v>
      </c>
      <c r="F1619">
        <v>0.48099999999999998</v>
      </c>
      <c r="G1619">
        <v>21</v>
      </c>
      <c r="H1619">
        <v>838</v>
      </c>
      <c r="I1619">
        <v>773</v>
      </c>
      <c r="J1619">
        <v>65</v>
      </c>
    </row>
    <row r="1620" spans="1:10" x14ac:dyDescent="0.25">
      <c r="A1620">
        <v>81</v>
      </c>
      <c r="B1620" t="s">
        <v>33</v>
      </c>
      <c r="C1620" t="s">
        <v>27</v>
      </c>
      <c r="D1620">
        <v>75</v>
      </c>
      <c r="E1620">
        <v>87</v>
      </c>
      <c r="F1620">
        <v>0.46300000000000002</v>
      </c>
      <c r="G1620">
        <v>24</v>
      </c>
      <c r="H1620">
        <v>794</v>
      </c>
      <c r="I1620">
        <v>834</v>
      </c>
      <c r="J1620">
        <v>-40</v>
      </c>
    </row>
    <row r="1621" spans="1:10" x14ac:dyDescent="0.25">
      <c r="A1621">
        <v>81</v>
      </c>
      <c r="B1621" t="s">
        <v>33</v>
      </c>
      <c r="C1621" t="s">
        <v>28</v>
      </c>
      <c r="D1621">
        <v>47</v>
      </c>
      <c r="E1621">
        <v>115</v>
      </c>
      <c r="F1621">
        <v>0.28999999999999998</v>
      </c>
      <c r="G1621">
        <v>52</v>
      </c>
      <c r="H1621">
        <v>708</v>
      </c>
      <c r="I1621">
        <v>1046</v>
      </c>
      <c r="J1621">
        <v>-338</v>
      </c>
    </row>
    <row r="1622" spans="1:10" x14ac:dyDescent="0.25">
      <c r="A1622">
        <v>82</v>
      </c>
      <c r="B1622" t="s">
        <v>30</v>
      </c>
      <c r="C1622" t="s">
        <v>8</v>
      </c>
      <c r="D1622">
        <v>103</v>
      </c>
      <c r="E1622">
        <v>59</v>
      </c>
      <c r="F1622">
        <v>0.63600000000000001</v>
      </c>
      <c r="G1622">
        <v>0</v>
      </c>
      <c r="H1622">
        <v>882</v>
      </c>
      <c r="I1622">
        <v>662</v>
      </c>
      <c r="J1622">
        <v>220</v>
      </c>
    </row>
    <row r="1623" spans="1:10" x14ac:dyDescent="0.25">
      <c r="A1623">
        <v>82</v>
      </c>
      <c r="B1623" t="s">
        <v>30</v>
      </c>
      <c r="C1623" t="s">
        <v>10</v>
      </c>
      <c r="D1623">
        <v>93</v>
      </c>
      <c r="E1623">
        <v>69</v>
      </c>
      <c r="F1623">
        <v>0.57399999999999995</v>
      </c>
      <c r="G1623">
        <v>10</v>
      </c>
      <c r="H1623">
        <v>990</v>
      </c>
      <c r="I1623">
        <v>850</v>
      </c>
      <c r="J1623">
        <v>140</v>
      </c>
    </row>
    <row r="1624" spans="1:10" x14ac:dyDescent="0.25">
      <c r="A1624">
        <v>82</v>
      </c>
      <c r="B1624" t="s">
        <v>30</v>
      </c>
      <c r="C1624" t="s">
        <v>12</v>
      </c>
      <c r="D1624">
        <v>87</v>
      </c>
      <c r="E1624">
        <v>75</v>
      </c>
      <c r="F1624">
        <v>0.53700000000000003</v>
      </c>
      <c r="G1624">
        <v>16</v>
      </c>
      <c r="H1624">
        <v>864</v>
      </c>
      <c r="I1624">
        <v>830</v>
      </c>
      <c r="J1624">
        <v>34</v>
      </c>
    </row>
    <row r="1625" spans="1:10" x14ac:dyDescent="0.25">
      <c r="A1625">
        <v>82</v>
      </c>
      <c r="B1625" t="s">
        <v>30</v>
      </c>
      <c r="C1625" t="s">
        <v>11</v>
      </c>
      <c r="D1625">
        <v>87</v>
      </c>
      <c r="E1625">
        <v>75</v>
      </c>
      <c r="F1625">
        <v>0.53700000000000003</v>
      </c>
      <c r="G1625">
        <v>16</v>
      </c>
      <c r="H1625">
        <v>911</v>
      </c>
      <c r="I1625">
        <v>859</v>
      </c>
      <c r="J1625">
        <v>52</v>
      </c>
    </row>
    <row r="1626" spans="1:10" x14ac:dyDescent="0.25">
      <c r="A1626">
        <v>82</v>
      </c>
      <c r="B1626" t="s">
        <v>30</v>
      </c>
      <c r="C1626" t="s">
        <v>13</v>
      </c>
      <c r="D1626">
        <v>67</v>
      </c>
      <c r="E1626">
        <v>95</v>
      </c>
      <c r="F1626">
        <v>0.41399999999999998</v>
      </c>
      <c r="G1626">
        <v>36</v>
      </c>
      <c r="H1626">
        <v>750</v>
      </c>
      <c r="I1626">
        <v>818</v>
      </c>
      <c r="J1626">
        <v>-68</v>
      </c>
    </row>
    <row r="1627" spans="1:10" x14ac:dyDescent="0.25">
      <c r="A1627">
        <v>82</v>
      </c>
      <c r="B1627" t="s">
        <v>31</v>
      </c>
      <c r="C1627" t="s">
        <v>14</v>
      </c>
      <c r="D1627">
        <v>123</v>
      </c>
      <c r="E1627">
        <v>39</v>
      </c>
      <c r="F1627">
        <v>0.75900000000000001</v>
      </c>
      <c r="G1627">
        <v>0</v>
      </c>
      <c r="H1627">
        <v>990</v>
      </c>
      <c r="I1627">
        <v>611</v>
      </c>
      <c r="J1627">
        <v>379</v>
      </c>
    </row>
    <row r="1628" spans="1:10" x14ac:dyDescent="0.25">
      <c r="A1628">
        <v>82</v>
      </c>
      <c r="B1628" t="s">
        <v>31</v>
      </c>
      <c r="C1628" t="s">
        <v>15</v>
      </c>
      <c r="D1628">
        <v>76</v>
      </c>
      <c r="E1628">
        <v>86</v>
      </c>
      <c r="F1628">
        <v>0.46899999999999997</v>
      </c>
      <c r="G1628">
        <v>47</v>
      </c>
      <c r="H1628">
        <v>990</v>
      </c>
      <c r="I1628">
        <v>1124</v>
      </c>
      <c r="J1628">
        <v>-134</v>
      </c>
    </row>
    <row r="1629" spans="1:10" x14ac:dyDescent="0.25">
      <c r="A1629">
        <v>82</v>
      </c>
      <c r="B1629" t="s">
        <v>31</v>
      </c>
      <c r="C1629" t="s">
        <v>16</v>
      </c>
      <c r="D1629">
        <v>71</v>
      </c>
      <c r="E1629">
        <v>91</v>
      </c>
      <c r="F1629">
        <v>0.438</v>
      </c>
      <c r="G1629">
        <v>52</v>
      </c>
      <c r="H1629">
        <v>713</v>
      </c>
      <c r="I1629">
        <v>870</v>
      </c>
      <c r="J1629">
        <v>-157</v>
      </c>
    </row>
    <row r="1630" spans="1:10" x14ac:dyDescent="0.25">
      <c r="A1630">
        <v>82</v>
      </c>
      <c r="B1630" t="s">
        <v>31</v>
      </c>
      <c r="C1630" t="s">
        <v>17</v>
      </c>
      <c r="D1630">
        <v>67</v>
      </c>
      <c r="E1630">
        <v>95</v>
      </c>
      <c r="F1630">
        <v>0.41399999999999998</v>
      </c>
      <c r="G1630">
        <v>56</v>
      </c>
      <c r="H1630">
        <v>816</v>
      </c>
      <c r="I1630">
        <v>991</v>
      </c>
      <c r="J1630">
        <v>-175</v>
      </c>
    </row>
    <row r="1631" spans="1:10" x14ac:dyDescent="0.25">
      <c r="A1631">
        <v>82</v>
      </c>
      <c r="B1631" t="s">
        <v>31</v>
      </c>
      <c r="C1631" t="s">
        <v>18</v>
      </c>
      <c r="D1631">
        <v>37</v>
      </c>
      <c r="E1631">
        <v>125</v>
      </c>
      <c r="F1631">
        <v>0.22800000000000001</v>
      </c>
      <c r="G1631">
        <v>86</v>
      </c>
      <c r="H1631">
        <v>616</v>
      </c>
      <c r="I1631">
        <v>1070</v>
      </c>
      <c r="J1631">
        <v>-454</v>
      </c>
    </row>
    <row r="1632" spans="1:10" x14ac:dyDescent="0.25">
      <c r="A1632">
        <v>82</v>
      </c>
      <c r="B1632" t="s">
        <v>32</v>
      </c>
      <c r="C1632" t="s">
        <v>19</v>
      </c>
      <c r="D1632">
        <v>98</v>
      </c>
      <c r="E1632">
        <v>64</v>
      </c>
      <c r="F1632">
        <v>0.60499999999999998</v>
      </c>
      <c r="G1632">
        <v>0</v>
      </c>
      <c r="H1632">
        <v>1033</v>
      </c>
      <c r="I1632">
        <v>762</v>
      </c>
      <c r="J1632">
        <v>271</v>
      </c>
    </row>
    <row r="1633" spans="1:10" x14ac:dyDescent="0.25">
      <c r="A1633">
        <v>82</v>
      </c>
      <c r="B1633" t="s">
        <v>32</v>
      </c>
      <c r="C1633" t="s">
        <v>20</v>
      </c>
      <c r="D1633">
        <v>90</v>
      </c>
      <c r="E1633">
        <v>72</v>
      </c>
      <c r="F1633">
        <v>0.55600000000000005</v>
      </c>
      <c r="G1633">
        <v>8</v>
      </c>
      <c r="H1633">
        <v>925</v>
      </c>
      <c r="I1633">
        <v>817</v>
      </c>
      <c r="J1633">
        <v>108</v>
      </c>
    </row>
    <row r="1634" spans="1:10" x14ac:dyDescent="0.25">
      <c r="A1634">
        <v>82</v>
      </c>
      <c r="B1634" t="s">
        <v>32</v>
      </c>
      <c r="C1634" t="s">
        <v>21</v>
      </c>
      <c r="D1634">
        <v>86</v>
      </c>
      <c r="E1634">
        <v>76</v>
      </c>
      <c r="F1634">
        <v>0.53100000000000003</v>
      </c>
      <c r="G1634">
        <v>12</v>
      </c>
      <c r="H1634">
        <v>982</v>
      </c>
      <c r="I1634">
        <v>881</v>
      </c>
      <c r="J1634">
        <v>101</v>
      </c>
    </row>
    <row r="1635" spans="1:10" x14ac:dyDescent="0.25">
      <c r="A1635">
        <v>82</v>
      </c>
      <c r="B1635" t="s">
        <v>32</v>
      </c>
      <c r="C1635" t="s">
        <v>22</v>
      </c>
      <c r="D1635">
        <v>73</v>
      </c>
      <c r="E1635">
        <v>89</v>
      </c>
      <c r="F1635">
        <v>0.45100000000000001</v>
      </c>
      <c r="G1635">
        <v>25</v>
      </c>
      <c r="H1635">
        <v>951</v>
      </c>
      <c r="I1635">
        <v>983</v>
      </c>
      <c r="J1635">
        <v>-32</v>
      </c>
    </row>
    <row r="1636" spans="1:10" x14ac:dyDescent="0.25">
      <c r="A1636">
        <v>82</v>
      </c>
      <c r="B1636" t="s">
        <v>32</v>
      </c>
      <c r="C1636" t="s">
        <v>23</v>
      </c>
      <c r="D1636">
        <v>62</v>
      </c>
      <c r="E1636">
        <v>100</v>
      </c>
      <c r="F1636">
        <v>0.38300000000000001</v>
      </c>
      <c r="G1636">
        <v>36</v>
      </c>
      <c r="H1636">
        <v>772</v>
      </c>
      <c r="I1636">
        <v>966</v>
      </c>
      <c r="J1636">
        <v>-194</v>
      </c>
    </row>
    <row r="1637" spans="1:10" x14ac:dyDescent="0.25">
      <c r="A1637">
        <v>82</v>
      </c>
      <c r="B1637" t="s">
        <v>33</v>
      </c>
      <c r="C1637" t="s">
        <v>24</v>
      </c>
      <c r="D1637">
        <v>114</v>
      </c>
      <c r="E1637">
        <v>48</v>
      </c>
      <c r="F1637">
        <v>0.70399999999999996</v>
      </c>
      <c r="G1637">
        <v>0</v>
      </c>
      <c r="H1637">
        <v>922</v>
      </c>
      <c r="I1637">
        <v>654</v>
      </c>
      <c r="J1637">
        <v>268</v>
      </c>
    </row>
    <row r="1638" spans="1:10" x14ac:dyDescent="0.25">
      <c r="A1638">
        <v>82</v>
      </c>
      <c r="B1638" t="s">
        <v>33</v>
      </c>
      <c r="C1638" t="s">
        <v>26</v>
      </c>
      <c r="D1638">
        <v>87</v>
      </c>
      <c r="E1638">
        <v>75</v>
      </c>
      <c r="F1638">
        <v>0.53700000000000003</v>
      </c>
      <c r="G1638">
        <v>27</v>
      </c>
      <c r="H1638">
        <v>885</v>
      </c>
      <c r="I1638">
        <v>825</v>
      </c>
      <c r="J1638">
        <v>60</v>
      </c>
    </row>
    <row r="1639" spans="1:10" x14ac:dyDescent="0.25">
      <c r="A1639">
        <v>82</v>
      </c>
      <c r="B1639" t="s">
        <v>33</v>
      </c>
      <c r="C1639" t="s">
        <v>25</v>
      </c>
      <c r="D1639">
        <v>78</v>
      </c>
      <c r="E1639">
        <v>84</v>
      </c>
      <c r="F1639">
        <v>0.48099999999999998</v>
      </c>
      <c r="G1639">
        <v>36</v>
      </c>
      <c r="H1639">
        <v>805</v>
      </c>
      <c r="I1639">
        <v>786</v>
      </c>
      <c r="J1639">
        <v>19</v>
      </c>
    </row>
    <row r="1640" spans="1:10" x14ac:dyDescent="0.25">
      <c r="A1640">
        <v>82</v>
      </c>
      <c r="B1640" t="s">
        <v>33</v>
      </c>
      <c r="C1640" t="s">
        <v>27</v>
      </c>
      <c r="D1640">
        <v>68</v>
      </c>
      <c r="E1640">
        <v>94</v>
      </c>
      <c r="F1640">
        <v>0.42</v>
      </c>
      <c r="G1640">
        <v>46</v>
      </c>
      <c r="H1640">
        <v>824</v>
      </c>
      <c r="I1640">
        <v>981</v>
      </c>
      <c r="J1640">
        <v>-157</v>
      </c>
    </row>
    <row r="1641" spans="1:10" x14ac:dyDescent="0.25">
      <c r="A1641">
        <v>82</v>
      </c>
      <c r="B1641" t="s">
        <v>33</v>
      </c>
      <c r="C1641" t="s">
        <v>28</v>
      </c>
      <c r="D1641">
        <v>53</v>
      </c>
      <c r="E1641">
        <v>109</v>
      </c>
      <c r="F1641">
        <v>0.32700000000000001</v>
      </c>
      <c r="G1641">
        <v>61</v>
      </c>
      <c r="H1641">
        <v>689</v>
      </c>
      <c r="I1641">
        <v>970</v>
      </c>
      <c r="J1641">
        <v>-281</v>
      </c>
    </row>
    <row r="1642" spans="1:10" x14ac:dyDescent="0.25">
      <c r="A1642">
        <v>83</v>
      </c>
      <c r="B1642" t="s">
        <v>30</v>
      </c>
      <c r="C1642" t="s">
        <v>8</v>
      </c>
      <c r="D1642">
        <v>98</v>
      </c>
      <c r="E1642">
        <v>64</v>
      </c>
      <c r="F1642">
        <v>0.60499999999999998</v>
      </c>
      <c r="G1642">
        <v>0</v>
      </c>
      <c r="H1642">
        <v>861</v>
      </c>
      <c r="I1642">
        <v>692</v>
      </c>
      <c r="J1642">
        <v>169</v>
      </c>
    </row>
    <row r="1643" spans="1:10" x14ac:dyDescent="0.25">
      <c r="A1643">
        <v>83</v>
      </c>
      <c r="B1643" t="s">
        <v>30</v>
      </c>
      <c r="C1643" t="s">
        <v>11</v>
      </c>
      <c r="D1643">
        <v>95</v>
      </c>
      <c r="E1643">
        <v>67</v>
      </c>
      <c r="F1643">
        <v>0.58599999999999997</v>
      </c>
      <c r="G1643">
        <v>3</v>
      </c>
      <c r="H1643">
        <v>900</v>
      </c>
      <c r="I1643">
        <v>796</v>
      </c>
      <c r="J1643">
        <v>104</v>
      </c>
    </row>
    <row r="1644" spans="1:10" x14ac:dyDescent="0.25">
      <c r="A1644">
        <v>83</v>
      </c>
      <c r="B1644" t="s">
        <v>30</v>
      </c>
      <c r="C1644" t="s">
        <v>12</v>
      </c>
      <c r="D1644">
        <v>89</v>
      </c>
      <c r="E1644">
        <v>73</v>
      </c>
      <c r="F1644">
        <v>0.54900000000000004</v>
      </c>
      <c r="G1644">
        <v>9</v>
      </c>
      <c r="H1644">
        <v>966</v>
      </c>
      <c r="I1644">
        <v>881</v>
      </c>
      <c r="J1644">
        <v>85</v>
      </c>
    </row>
    <row r="1645" spans="1:10" x14ac:dyDescent="0.25">
      <c r="A1645">
        <v>83</v>
      </c>
      <c r="B1645" t="s">
        <v>30</v>
      </c>
      <c r="C1645" t="s">
        <v>10</v>
      </c>
      <c r="D1645">
        <v>87</v>
      </c>
      <c r="E1645">
        <v>75</v>
      </c>
      <c r="F1645">
        <v>0.53700000000000003</v>
      </c>
      <c r="G1645">
        <v>11</v>
      </c>
      <c r="H1645">
        <v>943</v>
      </c>
      <c r="I1645">
        <v>923</v>
      </c>
      <c r="J1645">
        <v>20</v>
      </c>
    </row>
    <row r="1646" spans="1:10" x14ac:dyDescent="0.25">
      <c r="A1646">
        <v>83</v>
      </c>
      <c r="B1646" t="s">
        <v>30</v>
      </c>
      <c r="C1646" t="s">
        <v>13</v>
      </c>
      <c r="D1646">
        <v>76</v>
      </c>
      <c r="E1646">
        <v>86</v>
      </c>
      <c r="F1646">
        <v>0.46899999999999997</v>
      </c>
      <c r="G1646">
        <v>22</v>
      </c>
      <c r="H1646">
        <v>819</v>
      </c>
      <c r="I1646">
        <v>896</v>
      </c>
      <c r="J1646">
        <v>-77</v>
      </c>
    </row>
    <row r="1647" spans="1:10" x14ac:dyDescent="0.25">
      <c r="A1647">
        <v>83</v>
      </c>
      <c r="B1647" t="s">
        <v>31</v>
      </c>
      <c r="C1647" t="s">
        <v>14</v>
      </c>
      <c r="D1647">
        <v>106</v>
      </c>
      <c r="E1647">
        <v>56</v>
      </c>
      <c r="F1647">
        <v>0.65400000000000003</v>
      </c>
      <c r="G1647">
        <v>0</v>
      </c>
      <c r="H1647">
        <v>939</v>
      </c>
      <c r="I1647">
        <v>675</v>
      </c>
      <c r="J1647">
        <v>264</v>
      </c>
    </row>
    <row r="1648" spans="1:10" x14ac:dyDescent="0.25">
      <c r="A1648">
        <v>83</v>
      </c>
      <c r="B1648" t="s">
        <v>31</v>
      </c>
      <c r="C1648" t="s">
        <v>17</v>
      </c>
      <c r="D1648">
        <v>73</v>
      </c>
      <c r="E1648">
        <v>89</v>
      </c>
      <c r="F1648">
        <v>0.45100000000000001</v>
      </c>
      <c r="G1648">
        <v>33</v>
      </c>
      <c r="H1648">
        <v>875</v>
      </c>
      <c r="I1648">
        <v>987</v>
      </c>
      <c r="J1648">
        <v>-112</v>
      </c>
    </row>
    <row r="1649" spans="1:10" x14ac:dyDescent="0.25">
      <c r="A1649">
        <v>83</v>
      </c>
      <c r="B1649" t="s">
        <v>31</v>
      </c>
      <c r="C1649" t="s">
        <v>15</v>
      </c>
      <c r="D1649">
        <v>73</v>
      </c>
      <c r="E1649">
        <v>89</v>
      </c>
      <c r="F1649">
        <v>0.45100000000000001</v>
      </c>
      <c r="G1649">
        <v>33</v>
      </c>
      <c r="H1649">
        <v>965</v>
      </c>
      <c r="I1649">
        <v>1138</v>
      </c>
      <c r="J1649">
        <v>-173</v>
      </c>
    </row>
    <row r="1650" spans="1:10" x14ac:dyDescent="0.25">
      <c r="A1650">
        <v>83</v>
      </c>
      <c r="B1650" t="s">
        <v>31</v>
      </c>
      <c r="C1650" t="s">
        <v>16</v>
      </c>
      <c r="D1650">
        <v>70</v>
      </c>
      <c r="E1650">
        <v>92</v>
      </c>
      <c r="F1650">
        <v>0.432</v>
      </c>
      <c r="G1650">
        <v>36</v>
      </c>
      <c r="H1650">
        <v>816</v>
      </c>
      <c r="I1650">
        <v>870</v>
      </c>
      <c r="J1650">
        <v>-54</v>
      </c>
    </row>
    <row r="1651" spans="1:10" x14ac:dyDescent="0.25">
      <c r="A1651">
        <v>83</v>
      </c>
      <c r="B1651" t="s">
        <v>31</v>
      </c>
      <c r="C1651" t="s">
        <v>18</v>
      </c>
      <c r="D1651">
        <v>36</v>
      </c>
      <c r="E1651">
        <v>126</v>
      </c>
      <c r="F1651">
        <v>0.222</v>
      </c>
      <c r="G1651">
        <v>70</v>
      </c>
      <c r="H1651">
        <v>619</v>
      </c>
      <c r="I1651">
        <v>1042</v>
      </c>
      <c r="J1651">
        <v>-423</v>
      </c>
    </row>
    <row r="1652" spans="1:10" x14ac:dyDescent="0.25">
      <c r="A1652">
        <v>83</v>
      </c>
      <c r="B1652" t="s">
        <v>32</v>
      </c>
      <c r="C1652" t="s">
        <v>19</v>
      </c>
      <c r="D1652">
        <v>103</v>
      </c>
      <c r="E1652">
        <v>59</v>
      </c>
      <c r="F1652">
        <v>0.63600000000000001</v>
      </c>
      <c r="G1652">
        <v>0</v>
      </c>
      <c r="H1652">
        <v>1020</v>
      </c>
      <c r="I1652">
        <v>790</v>
      </c>
      <c r="J1652">
        <v>230</v>
      </c>
    </row>
    <row r="1653" spans="1:10" x14ac:dyDescent="0.25">
      <c r="A1653">
        <v>83</v>
      </c>
      <c r="B1653" t="s">
        <v>32</v>
      </c>
      <c r="C1653" t="s">
        <v>20</v>
      </c>
      <c r="D1653">
        <v>91</v>
      </c>
      <c r="E1653">
        <v>71</v>
      </c>
      <c r="F1653">
        <v>0.56200000000000006</v>
      </c>
      <c r="G1653">
        <v>12</v>
      </c>
      <c r="H1653">
        <v>939</v>
      </c>
      <c r="I1653">
        <v>798</v>
      </c>
      <c r="J1653">
        <v>141</v>
      </c>
    </row>
    <row r="1654" spans="1:10" x14ac:dyDescent="0.25">
      <c r="A1654">
        <v>83</v>
      </c>
      <c r="B1654" t="s">
        <v>32</v>
      </c>
      <c r="C1654" t="s">
        <v>22</v>
      </c>
      <c r="D1654">
        <v>77</v>
      </c>
      <c r="E1654">
        <v>85</v>
      </c>
      <c r="F1654">
        <v>0.47499999999999998</v>
      </c>
      <c r="G1654">
        <v>26</v>
      </c>
      <c r="H1654">
        <v>878</v>
      </c>
      <c r="I1654">
        <v>932</v>
      </c>
      <c r="J1654">
        <v>-54</v>
      </c>
    </row>
    <row r="1655" spans="1:10" x14ac:dyDescent="0.25">
      <c r="A1655">
        <v>83</v>
      </c>
      <c r="B1655" t="s">
        <v>32</v>
      </c>
      <c r="C1655" t="s">
        <v>21</v>
      </c>
      <c r="D1655">
        <v>74</v>
      </c>
      <c r="E1655">
        <v>88</v>
      </c>
      <c r="F1655">
        <v>0.45700000000000002</v>
      </c>
      <c r="G1655">
        <v>29</v>
      </c>
      <c r="H1655">
        <v>920</v>
      </c>
      <c r="I1655">
        <v>905</v>
      </c>
      <c r="J1655">
        <v>15</v>
      </c>
    </row>
    <row r="1656" spans="1:10" x14ac:dyDescent="0.25">
      <c r="A1656">
        <v>83</v>
      </c>
      <c r="B1656" t="s">
        <v>32</v>
      </c>
      <c r="C1656" t="s">
        <v>23</v>
      </c>
      <c r="D1656">
        <v>53</v>
      </c>
      <c r="E1656">
        <v>109</v>
      </c>
      <c r="F1656">
        <v>0.32700000000000001</v>
      </c>
      <c r="G1656">
        <v>50</v>
      </c>
      <c r="H1656">
        <v>766</v>
      </c>
      <c r="I1656">
        <v>1054</v>
      </c>
      <c r="J1656">
        <v>-288</v>
      </c>
    </row>
    <row r="1657" spans="1:10" x14ac:dyDescent="0.25">
      <c r="A1657">
        <v>83</v>
      </c>
      <c r="B1657" t="s">
        <v>33</v>
      </c>
      <c r="C1657" t="s">
        <v>24</v>
      </c>
      <c r="D1657">
        <v>98</v>
      </c>
      <c r="E1657">
        <v>64</v>
      </c>
      <c r="F1657">
        <v>0.60499999999999998</v>
      </c>
      <c r="G1657">
        <v>0</v>
      </c>
      <c r="H1657">
        <v>950</v>
      </c>
      <c r="I1657">
        <v>694</v>
      </c>
      <c r="J1657">
        <v>256</v>
      </c>
    </row>
    <row r="1658" spans="1:10" x14ac:dyDescent="0.25">
      <c r="A1658">
        <v>83</v>
      </c>
      <c r="B1658" t="s">
        <v>33</v>
      </c>
      <c r="C1658" t="s">
        <v>25</v>
      </c>
      <c r="D1658">
        <v>97</v>
      </c>
      <c r="E1658">
        <v>65</v>
      </c>
      <c r="F1658">
        <v>0.59899999999999998</v>
      </c>
      <c r="G1658">
        <v>1</v>
      </c>
      <c r="H1658">
        <v>773</v>
      </c>
      <c r="I1658">
        <v>637</v>
      </c>
      <c r="J1658">
        <v>136</v>
      </c>
    </row>
    <row r="1659" spans="1:10" x14ac:dyDescent="0.25">
      <c r="A1659">
        <v>83</v>
      </c>
      <c r="B1659" t="s">
        <v>33</v>
      </c>
      <c r="C1659" t="s">
        <v>26</v>
      </c>
      <c r="D1659">
        <v>89</v>
      </c>
      <c r="E1659">
        <v>73</v>
      </c>
      <c r="F1659">
        <v>0.54900000000000004</v>
      </c>
      <c r="G1659">
        <v>9</v>
      </c>
      <c r="H1659">
        <v>828</v>
      </c>
      <c r="I1659">
        <v>815</v>
      </c>
      <c r="J1659">
        <v>13</v>
      </c>
    </row>
    <row r="1660" spans="1:10" x14ac:dyDescent="0.25">
      <c r="A1660">
        <v>83</v>
      </c>
      <c r="B1660" t="s">
        <v>33</v>
      </c>
      <c r="C1660" t="s">
        <v>27</v>
      </c>
      <c r="D1660">
        <v>73</v>
      </c>
      <c r="E1660">
        <v>89</v>
      </c>
      <c r="F1660">
        <v>0.45100000000000001</v>
      </c>
      <c r="G1660">
        <v>25</v>
      </c>
      <c r="H1660">
        <v>835</v>
      </c>
      <c r="I1660">
        <v>886</v>
      </c>
      <c r="J1660">
        <v>-51</v>
      </c>
    </row>
    <row r="1661" spans="1:10" x14ac:dyDescent="0.25">
      <c r="A1661">
        <v>83</v>
      </c>
      <c r="B1661" t="s">
        <v>33</v>
      </c>
      <c r="C1661" t="s">
        <v>28</v>
      </c>
      <c r="D1661">
        <v>62</v>
      </c>
      <c r="E1661">
        <v>100</v>
      </c>
      <c r="F1661">
        <v>0.38300000000000001</v>
      </c>
      <c r="G1661">
        <v>36</v>
      </c>
      <c r="H1661">
        <v>726</v>
      </c>
      <c r="I1661">
        <v>927</v>
      </c>
      <c r="J1661">
        <v>-201</v>
      </c>
    </row>
    <row r="1662" spans="1:10" x14ac:dyDescent="0.25">
      <c r="A1662">
        <v>84</v>
      </c>
      <c r="B1662" t="s">
        <v>30</v>
      </c>
      <c r="C1662" t="s">
        <v>8</v>
      </c>
      <c r="D1662">
        <v>103</v>
      </c>
      <c r="E1662">
        <v>59</v>
      </c>
      <c r="F1662">
        <v>0.63600000000000001</v>
      </c>
      <c r="G1662">
        <v>0</v>
      </c>
      <c r="H1662">
        <v>873</v>
      </c>
      <c r="I1662">
        <v>618</v>
      </c>
      <c r="J1662">
        <v>255</v>
      </c>
    </row>
    <row r="1663" spans="1:10" x14ac:dyDescent="0.25">
      <c r="A1663">
        <v>84</v>
      </c>
      <c r="B1663" t="s">
        <v>30</v>
      </c>
      <c r="C1663" t="s">
        <v>12</v>
      </c>
      <c r="D1663">
        <v>94</v>
      </c>
      <c r="E1663">
        <v>68</v>
      </c>
      <c r="F1663">
        <v>0.57999999999999996</v>
      </c>
      <c r="G1663">
        <v>9</v>
      </c>
      <c r="H1663">
        <v>1011</v>
      </c>
      <c r="I1663">
        <v>897</v>
      </c>
      <c r="J1663">
        <v>114</v>
      </c>
    </row>
    <row r="1664" spans="1:10" x14ac:dyDescent="0.25">
      <c r="A1664">
        <v>84</v>
      </c>
      <c r="B1664" t="s">
        <v>30</v>
      </c>
      <c r="C1664" t="s">
        <v>11</v>
      </c>
      <c r="D1664">
        <v>88</v>
      </c>
      <c r="E1664">
        <v>74</v>
      </c>
      <c r="F1664">
        <v>0.54300000000000004</v>
      </c>
      <c r="G1664">
        <v>15</v>
      </c>
      <c r="H1664">
        <v>869</v>
      </c>
      <c r="I1664">
        <v>780</v>
      </c>
      <c r="J1664">
        <v>89</v>
      </c>
    </row>
    <row r="1665" spans="1:10" x14ac:dyDescent="0.25">
      <c r="A1665">
        <v>84</v>
      </c>
      <c r="B1665" t="s">
        <v>30</v>
      </c>
      <c r="C1665" t="s">
        <v>10</v>
      </c>
      <c r="D1665">
        <v>85</v>
      </c>
      <c r="E1665">
        <v>77</v>
      </c>
      <c r="F1665">
        <v>0.52500000000000002</v>
      </c>
      <c r="G1665">
        <v>18</v>
      </c>
      <c r="H1665">
        <v>918</v>
      </c>
      <c r="I1665">
        <v>861</v>
      </c>
      <c r="J1665">
        <v>57</v>
      </c>
    </row>
    <row r="1666" spans="1:10" x14ac:dyDescent="0.25">
      <c r="A1666">
        <v>84</v>
      </c>
      <c r="B1666" t="s">
        <v>30</v>
      </c>
      <c r="C1666" t="s">
        <v>13</v>
      </c>
      <c r="D1666">
        <v>78</v>
      </c>
      <c r="E1666">
        <v>84</v>
      </c>
      <c r="F1666">
        <v>0.48099999999999998</v>
      </c>
      <c r="G1666">
        <v>25</v>
      </c>
      <c r="H1666">
        <v>815</v>
      </c>
      <c r="I1666">
        <v>871</v>
      </c>
      <c r="J1666">
        <v>-56</v>
      </c>
    </row>
    <row r="1667" spans="1:10" x14ac:dyDescent="0.25">
      <c r="A1667">
        <v>84</v>
      </c>
      <c r="B1667" t="s">
        <v>31</v>
      </c>
      <c r="C1667" t="s">
        <v>14</v>
      </c>
      <c r="D1667">
        <v>104</v>
      </c>
      <c r="E1667">
        <v>58</v>
      </c>
      <c r="F1667">
        <v>0.64200000000000002</v>
      </c>
      <c r="G1667">
        <v>0</v>
      </c>
      <c r="H1667">
        <v>908</v>
      </c>
      <c r="I1667">
        <v>679</v>
      </c>
      <c r="J1667">
        <v>229</v>
      </c>
    </row>
    <row r="1668" spans="1:10" x14ac:dyDescent="0.25">
      <c r="A1668">
        <v>84</v>
      </c>
      <c r="B1668" t="s">
        <v>31</v>
      </c>
      <c r="C1668" t="s">
        <v>15</v>
      </c>
      <c r="D1668">
        <v>75</v>
      </c>
      <c r="E1668">
        <v>87</v>
      </c>
      <c r="F1668">
        <v>0.46300000000000002</v>
      </c>
      <c r="G1668">
        <v>29</v>
      </c>
      <c r="H1668">
        <v>1010</v>
      </c>
      <c r="I1668">
        <v>1131</v>
      </c>
      <c r="J1668">
        <v>-121</v>
      </c>
    </row>
    <row r="1669" spans="1:10" x14ac:dyDescent="0.25">
      <c r="A1669">
        <v>84</v>
      </c>
      <c r="B1669" t="s">
        <v>31</v>
      </c>
      <c r="C1669" t="s">
        <v>17</v>
      </c>
      <c r="D1669">
        <v>67</v>
      </c>
      <c r="E1669">
        <v>95</v>
      </c>
      <c r="F1669">
        <v>0.41399999999999998</v>
      </c>
      <c r="G1669">
        <v>37</v>
      </c>
      <c r="H1669">
        <v>870</v>
      </c>
      <c r="I1669">
        <v>1011</v>
      </c>
      <c r="J1669">
        <v>-141</v>
      </c>
    </row>
    <row r="1670" spans="1:10" x14ac:dyDescent="0.25">
      <c r="A1670">
        <v>84</v>
      </c>
      <c r="B1670" t="s">
        <v>31</v>
      </c>
      <c r="C1670" t="s">
        <v>16</v>
      </c>
      <c r="D1670">
        <v>62</v>
      </c>
      <c r="E1670">
        <v>100</v>
      </c>
      <c r="F1670">
        <v>0.38300000000000001</v>
      </c>
      <c r="G1670">
        <v>42</v>
      </c>
      <c r="H1670">
        <v>786</v>
      </c>
      <c r="I1670">
        <v>972</v>
      </c>
      <c r="J1670">
        <v>-186</v>
      </c>
    </row>
    <row r="1671" spans="1:10" x14ac:dyDescent="0.25">
      <c r="A1671">
        <v>84</v>
      </c>
      <c r="B1671" t="s">
        <v>31</v>
      </c>
      <c r="C1671" t="s">
        <v>18</v>
      </c>
      <c r="D1671">
        <v>52</v>
      </c>
      <c r="E1671">
        <v>110</v>
      </c>
      <c r="F1671">
        <v>0.32100000000000001</v>
      </c>
      <c r="G1671">
        <v>52</v>
      </c>
      <c r="H1671">
        <v>698</v>
      </c>
      <c r="I1671">
        <v>1009</v>
      </c>
      <c r="J1671">
        <v>-311</v>
      </c>
    </row>
    <row r="1672" spans="1:10" x14ac:dyDescent="0.25">
      <c r="A1672">
        <v>84</v>
      </c>
      <c r="B1672" t="s">
        <v>32</v>
      </c>
      <c r="C1672" t="s">
        <v>19</v>
      </c>
      <c r="D1672">
        <v>104</v>
      </c>
      <c r="E1672">
        <v>58</v>
      </c>
      <c r="F1672">
        <v>0.64200000000000002</v>
      </c>
      <c r="G1672">
        <v>0</v>
      </c>
      <c r="H1672">
        <v>1104</v>
      </c>
      <c r="I1672">
        <v>825</v>
      </c>
      <c r="J1672">
        <v>279</v>
      </c>
    </row>
    <row r="1673" spans="1:10" x14ac:dyDescent="0.25">
      <c r="A1673">
        <v>84</v>
      </c>
      <c r="B1673" t="s">
        <v>32</v>
      </c>
      <c r="C1673" t="s">
        <v>21</v>
      </c>
      <c r="D1673">
        <v>85</v>
      </c>
      <c r="E1673">
        <v>77</v>
      </c>
      <c r="F1673">
        <v>0.52500000000000002</v>
      </c>
      <c r="G1673">
        <v>19</v>
      </c>
      <c r="H1673">
        <v>929</v>
      </c>
      <c r="I1673">
        <v>880</v>
      </c>
      <c r="J1673">
        <v>49</v>
      </c>
    </row>
    <row r="1674" spans="1:10" x14ac:dyDescent="0.25">
      <c r="A1674">
        <v>84</v>
      </c>
      <c r="B1674" t="s">
        <v>32</v>
      </c>
      <c r="C1674" t="s">
        <v>20</v>
      </c>
      <c r="D1674">
        <v>85</v>
      </c>
      <c r="E1674">
        <v>77</v>
      </c>
      <c r="F1674">
        <v>0.52500000000000002</v>
      </c>
      <c r="G1674">
        <v>19</v>
      </c>
      <c r="H1674">
        <v>962</v>
      </c>
      <c r="I1674">
        <v>885</v>
      </c>
      <c r="J1674">
        <v>77</v>
      </c>
    </row>
    <row r="1675" spans="1:10" x14ac:dyDescent="0.25">
      <c r="A1675">
        <v>84</v>
      </c>
      <c r="B1675" t="s">
        <v>32</v>
      </c>
      <c r="C1675" t="s">
        <v>22</v>
      </c>
      <c r="D1675">
        <v>78</v>
      </c>
      <c r="E1675">
        <v>84</v>
      </c>
      <c r="F1675">
        <v>0.48099999999999998</v>
      </c>
      <c r="G1675">
        <v>26</v>
      </c>
      <c r="H1675">
        <v>961</v>
      </c>
      <c r="I1675">
        <v>988</v>
      </c>
      <c r="J1675">
        <v>-27</v>
      </c>
    </row>
    <row r="1676" spans="1:10" x14ac:dyDescent="0.25">
      <c r="A1676">
        <v>84</v>
      </c>
      <c r="B1676" t="s">
        <v>32</v>
      </c>
      <c r="C1676" t="s">
        <v>23</v>
      </c>
      <c r="D1676">
        <v>54</v>
      </c>
      <c r="E1676">
        <v>108</v>
      </c>
      <c r="F1676">
        <v>0.33300000000000002</v>
      </c>
      <c r="G1676">
        <v>50</v>
      </c>
      <c r="H1676">
        <v>770</v>
      </c>
      <c r="I1676">
        <v>1039</v>
      </c>
      <c r="J1676">
        <v>-269</v>
      </c>
    </row>
    <row r="1677" spans="1:10" x14ac:dyDescent="0.25">
      <c r="A1677">
        <v>84</v>
      </c>
      <c r="B1677" t="s">
        <v>33</v>
      </c>
      <c r="C1677" t="s">
        <v>24</v>
      </c>
      <c r="D1677">
        <v>110</v>
      </c>
      <c r="E1677">
        <v>52</v>
      </c>
      <c r="F1677">
        <v>0.67900000000000005</v>
      </c>
      <c r="G1677">
        <v>0</v>
      </c>
      <c r="H1677">
        <v>973</v>
      </c>
      <c r="I1677">
        <v>715</v>
      </c>
      <c r="J1677">
        <v>258</v>
      </c>
    </row>
    <row r="1678" spans="1:10" x14ac:dyDescent="0.25">
      <c r="A1678">
        <v>84</v>
      </c>
      <c r="B1678" t="s">
        <v>33</v>
      </c>
      <c r="C1678" t="s">
        <v>26</v>
      </c>
      <c r="D1678">
        <v>90</v>
      </c>
      <c r="E1678">
        <v>72</v>
      </c>
      <c r="F1678">
        <v>0.55600000000000005</v>
      </c>
      <c r="G1678">
        <v>20</v>
      </c>
      <c r="H1678">
        <v>900</v>
      </c>
      <c r="I1678">
        <v>784</v>
      </c>
      <c r="J1678">
        <v>116</v>
      </c>
    </row>
    <row r="1679" spans="1:10" x14ac:dyDescent="0.25">
      <c r="A1679">
        <v>84</v>
      </c>
      <c r="B1679" t="s">
        <v>33</v>
      </c>
      <c r="C1679" t="s">
        <v>25</v>
      </c>
      <c r="D1679">
        <v>84</v>
      </c>
      <c r="E1679">
        <v>78</v>
      </c>
      <c r="F1679">
        <v>0.51900000000000002</v>
      </c>
      <c r="G1679">
        <v>26</v>
      </c>
      <c r="H1679">
        <v>748</v>
      </c>
      <c r="I1679">
        <v>706</v>
      </c>
      <c r="J1679">
        <v>42</v>
      </c>
    </row>
    <row r="1680" spans="1:10" x14ac:dyDescent="0.25">
      <c r="A1680">
        <v>84</v>
      </c>
      <c r="B1680" t="s">
        <v>33</v>
      </c>
      <c r="C1680" t="s">
        <v>27</v>
      </c>
      <c r="D1680">
        <v>77</v>
      </c>
      <c r="E1680">
        <v>85</v>
      </c>
      <c r="F1680">
        <v>0.47499999999999998</v>
      </c>
      <c r="G1680">
        <v>33</v>
      </c>
      <c r="H1680">
        <v>728</v>
      </c>
      <c r="I1680">
        <v>859</v>
      </c>
      <c r="J1680">
        <v>-131</v>
      </c>
    </row>
    <row r="1681" spans="1:10" x14ac:dyDescent="0.25">
      <c r="A1681">
        <v>84</v>
      </c>
      <c r="B1681" t="s">
        <v>33</v>
      </c>
      <c r="C1681" t="s">
        <v>28</v>
      </c>
      <c r="D1681">
        <v>45</v>
      </c>
      <c r="E1681">
        <v>117</v>
      </c>
      <c r="F1681">
        <v>0.27800000000000002</v>
      </c>
      <c r="G1681">
        <v>65</v>
      </c>
      <c r="H1681">
        <v>712</v>
      </c>
      <c r="I1681">
        <v>1035</v>
      </c>
      <c r="J1681">
        <v>-323</v>
      </c>
    </row>
    <row r="1682" spans="1:10" x14ac:dyDescent="0.25">
      <c r="A1682">
        <v>85</v>
      </c>
      <c r="B1682" t="s">
        <v>30</v>
      </c>
      <c r="C1682" t="s">
        <v>12</v>
      </c>
      <c r="D1682">
        <v>94</v>
      </c>
      <c r="E1682">
        <v>68</v>
      </c>
      <c r="F1682">
        <v>0.57999999999999996</v>
      </c>
      <c r="G1682">
        <v>0</v>
      </c>
      <c r="H1682">
        <v>939</v>
      </c>
      <c r="I1682">
        <v>839</v>
      </c>
      <c r="J1682">
        <v>100</v>
      </c>
    </row>
    <row r="1683" spans="1:10" x14ac:dyDescent="0.25">
      <c r="A1683">
        <v>85</v>
      </c>
      <c r="B1683" t="s">
        <v>30</v>
      </c>
      <c r="C1683" t="s">
        <v>8</v>
      </c>
      <c r="D1683">
        <v>93</v>
      </c>
      <c r="E1683">
        <v>69</v>
      </c>
      <c r="F1683">
        <v>0.57399999999999995</v>
      </c>
      <c r="G1683">
        <v>1</v>
      </c>
      <c r="H1683">
        <v>832</v>
      </c>
      <c r="I1683">
        <v>688</v>
      </c>
      <c r="J1683">
        <v>144</v>
      </c>
    </row>
    <row r="1684" spans="1:10" x14ac:dyDescent="0.25">
      <c r="A1684">
        <v>85</v>
      </c>
      <c r="B1684" t="s">
        <v>30</v>
      </c>
      <c r="C1684" t="s">
        <v>11</v>
      </c>
      <c r="D1684">
        <v>90</v>
      </c>
      <c r="E1684">
        <v>72</v>
      </c>
      <c r="F1684">
        <v>0.55600000000000005</v>
      </c>
      <c r="G1684">
        <v>4</v>
      </c>
      <c r="H1684">
        <v>977</v>
      </c>
      <c r="I1684">
        <v>804</v>
      </c>
      <c r="J1684">
        <v>173</v>
      </c>
    </row>
    <row r="1685" spans="1:10" x14ac:dyDescent="0.25">
      <c r="A1685">
        <v>85</v>
      </c>
      <c r="B1685" t="s">
        <v>30</v>
      </c>
      <c r="C1685" t="s">
        <v>10</v>
      </c>
      <c r="D1685">
        <v>88</v>
      </c>
      <c r="E1685">
        <v>74</v>
      </c>
      <c r="F1685">
        <v>0.54300000000000004</v>
      </c>
      <c r="G1685">
        <v>6</v>
      </c>
      <c r="H1685">
        <v>879</v>
      </c>
      <c r="I1685">
        <v>828</v>
      </c>
      <c r="J1685">
        <v>51</v>
      </c>
    </row>
    <row r="1686" spans="1:10" x14ac:dyDescent="0.25">
      <c r="A1686">
        <v>85</v>
      </c>
      <c r="B1686" t="s">
        <v>30</v>
      </c>
      <c r="C1686" t="s">
        <v>13</v>
      </c>
      <c r="D1686">
        <v>74</v>
      </c>
      <c r="E1686">
        <v>88</v>
      </c>
      <c r="F1686">
        <v>0.45700000000000002</v>
      </c>
      <c r="G1686">
        <v>20</v>
      </c>
      <c r="H1686">
        <v>807</v>
      </c>
      <c r="I1686">
        <v>899</v>
      </c>
      <c r="J1686">
        <v>-92</v>
      </c>
    </row>
    <row r="1687" spans="1:10" x14ac:dyDescent="0.25">
      <c r="A1687">
        <v>85</v>
      </c>
      <c r="B1687" t="s">
        <v>31</v>
      </c>
      <c r="C1687" t="s">
        <v>14</v>
      </c>
      <c r="D1687">
        <v>115</v>
      </c>
      <c r="E1687">
        <v>47</v>
      </c>
      <c r="F1687">
        <v>0.71</v>
      </c>
      <c r="G1687">
        <v>0</v>
      </c>
      <c r="H1687">
        <v>1013</v>
      </c>
      <c r="I1687">
        <v>614</v>
      </c>
      <c r="J1687">
        <v>399</v>
      </c>
    </row>
    <row r="1688" spans="1:10" x14ac:dyDescent="0.25">
      <c r="A1688">
        <v>85</v>
      </c>
      <c r="B1688" t="s">
        <v>31</v>
      </c>
      <c r="C1688" t="s">
        <v>15</v>
      </c>
      <c r="D1688">
        <v>76</v>
      </c>
      <c r="E1688">
        <v>86</v>
      </c>
      <c r="F1688">
        <v>0.46899999999999997</v>
      </c>
      <c r="G1688">
        <v>39</v>
      </c>
      <c r="H1688">
        <v>1025</v>
      </c>
      <c r="I1688">
        <v>1151</v>
      </c>
      <c r="J1688">
        <v>-126</v>
      </c>
    </row>
    <row r="1689" spans="1:10" x14ac:dyDescent="0.25">
      <c r="A1689">
        <v>85</v>
      </c>
      <c r="B1689" t="s">
        <v>31</v>
      </c>
      <c r="C1689" t="s">
        <v>16</v>
      </c>
      <c r="D1689">
        <v>64</v>
      </c>
      <c r="E1689">
        <v>98</v>
      </c>
      <c r="F1689">
        <v>0.39500000000000002</v>
      </c>
      <c r="G1689">
        <v>51</v>
      </c>
      <c r="H1689">
        <v>736</v>
      </c>
      <c r="I1689">
        <v>920</v>
      </c>
      <c r="J1689">
        <v>-184</v>
      </c>
    </row>
    <row r="1690" spans="1:10" x14ac:dyDescent="0.25">
      <c r="A1690">
        <v>85</v>
      </c>
      <c r="B1690" t="s">
        <v>31</v>
      </c>
      <c r="C1690" t="s">
        <v>17</v>
      </c>
      <c r="D1690">
        <v>63</v>
      </c>
      <c r="E1690">
        <v>99</v>
      </c>
      <c r="F1690">
        <v>0.38900000000000001</v>
      </c>
      <c r="G1690">
        <v>52</v>
      </c>
      <c r="H1690">
        <v>800</v>
      </c>
      <c r="I1690">
        <v>879</v>
      </c>
      <c r="J1690">
        <v>-79</v>
      </c>
    </row>
    <row r="1691" spans="1:10" x14ac:dyDescent="0.25">
      <c r="A1691">
        <v>85</v>
      </c>
      <c r="B1691" t="s">
        <v>31</v>
      </c>
      <c r="C1691" t="s">
        <v>18</v>
      </c>
      <c r="D1691">
        <v>51</v>
      </c>
      <c r="E1691">
        <v>111</v>
      </c>
      <c r="F1691">
        <v>0.315</v>
      </c>
      <c r="G1691">
        <v>64</v>
      </c>
      <c r="H1691">
        <v>684</v>
      </c>
      <c r="I1691">
        <v>1003</v>
      </c>
      <c r="J1691">
        <v>-319</v>
      </c>
    </row>
    <row r="1692" spans="1:10" x14ac:dyDescent="0.25">
      <c r="A1692">
        <v>85</v>
      </c>
      <c r="B1692" t="s">
        <v>32</v>
      </c>
      <c r="C1692" t="s">
        <v>19</v>
      </c>
      <c r="D1692">
        <v>104</v>
      </c>
      <c r="E1692">
        <v>58</v>
      </c>
      <c r="F1692">
        <v>0.64200000000000002</v>
      </c>
      <c r="G1692">
        <v>0</v>
      </c>
      <c r="H1692">
        <v>988</v>
      </c>
      <c r="I1692">
        <v>783</v>
      </c>
      <c r="J1692">
        <v>205</v>
      </c>
    </row>
    <row r="1693" spans="1:10" x14ac:dyDescent="0.25">
      <c r="A1693">
        <v>85</v>
      </c>
      <c r="B1693" t="s">
        <v>32</v>
      </c>
      <c r="C1693" t="s">
        <v>20</v>
      </c>
      <c r="D1693">
        <v>99</v>
      </c>
      <c r="E1693">
        <v>63</v>
      </c>
      <c r="F1693">
        <v>0.61099999999999999</v>
      </c>
      <c r="G1693">
        <v>5</v>
      </c>
      <c r="H1693">
        <v>924</v>
      </c>
      <c r="I1693">
        <v>762</v>
      </c>
      <c r="J1693">
        <v>162</v>
      </c>
    </row>
    <row r="1694" spans="1:10" x14ac:dyDescent="0.25">
      <c r="A1694">
        <v>85</v>
      </c>
      <c r="B1694" t="s">
        <v>32</v>
      </c>
      <c r="C1694" t="s">
        <v>21</v>
      </c>
      <c r="D1694">
        <v>84</v>
      </c>
      <c r="E1694">
        <v>78</v>
      </c>
      <c r="F1694">
        <v>0.51900000000000002</v>
      </c>
      <c r="G1694">
        <v>20</v>
      </c>
      <c r="H1694">
        <v>968</v>
      </c>
      <c r="I1694">
        <v>952</v>
      </c>
      <c r="J1694">
        <v>16</v>
      </c>
    </row>
    <row r="1695" spans="1:10" x14ac:dyDescent="0.25">
      <c r="A1695">
        <v>85</v>
      </c>
      <c r="B1695" t="s">
        <v>32</v>
      </c>
      <c r="C1695" t="s">
        <v>22</v>
      </c>
      <c r="D1695">
        <v>79</v>
      </c>
      <c r="E1695">
        <v>83</v>
      </c>
      <c r="F1695">
        <v>0.48799999999999999</v>
      </c>
      <c r="G1695">
        <v>25</v>
      </c>
      <c r="H1695">
        <v>864</v>
      </c>
      <c r="I1695">
        <v>936</v>
      </c>
      <c r="J1695">
        <v>-72</v>
      </c>
    </row>
    <row r="1696" spans="1:10" x14ac:dyDescent="0.25">
      <c r="A1696">
        <v>85</v>
      </c>
      <c r="B1696" t="s">
        <v>32</v>
      </c>
      <c r="C1696" t="s">
        <v>23</v>
      </c>
      <c r="D1696">
        <v>54</v>
      </c>
      <c r="E1696">
        <v>108</v>
      </c>
      <c r="F1696">
        <v>0.33300000000000002</v>
      </c>
      <c r="G1696">
        <v>50</v>
      </c>
      <c r="H1696">
        <v>758</v>
      </c>
      <c r="I1696">
        <v>1051</v>
      </c>
      <c r="J1696">
        <v>-293</v>
      </c>
    </row>
    <row r="1697" spans="1:10" x14ac:dyDescent="0.25">
      <c r="A1697">
        <v>85</v>
      </c>
      <c r="B1697" t="s">
        <v>33</v>
      </c>
      <c r="C1697" t="s">
        <v>24</v>
      </c>
      <c r="D1697">
        <v>95</v>
      </c>
      <c r="E1697">
        <v>67</v>
      </c>
      <c r="F1697">
        <v>0.58599999999999997</v>
      </c>
      <c r="G1697">
        <v>0</v>
      </c>
      <c r="H1697">
        <v>919</v>
      </c>
      <c r="I1697">
        <v>762</v>
      </c>
      <c r="J1697">
        <v>157</v>
      </c>
    </row>
    <row r="1698" spans="1:10" x14ac:dyDescent="0.25">
      <c r="A1698">
        <v>85</v>
      </c>
      <c r="B1698" t="s">
        <v>33</v>
      </c>
      <c r="C1698" t="s">
        <v>25</v>
      </c>
      <c r="D1698">
        <v>82</v>
      </c>
      <c r="E1698">
        <v>80</v>
      </c>
      <c r="F1698">
        <v>0.50600000000000001</v>
      </c>
      <c r="G1698">
        <v>13</v>
      </c>
      <c r="H1698">
        <v>750</v>
      </c>
      <c r="I1698">
        <v>729</v>
      </c>
      <c r="J1698">
        <v>21</v>
      </c>
    </row>
    <row r="1699" spans="1:10" x14ac:dyDescent="0.25">
      <c r="A1699">
        <v>85</v>
      </c>
      <c r="B1699" t="s">
        <v>33</v>
      </c>
      <c r="C1699" t="s">
        <v>26</v>
      </c>
      <c r="D1699">
        <v>80</v>
      </c>
      <c r="E1699">
        <v>82</v>
      </c>
      <c r="F1699">
        <v>0.49399999999999999</v>
      </c>
      <c r="G1699">
        <v>15</v>
      </c>
      <c r="H1699">
        <v>905</v>
      </c>
      <c r="I1699">
        <v>886</v>
      </c>
      <c r="J1699">
        <v>19</v>
      </c>
    </row>
    <row r="1700" spans="1:10" x14ac:dyDescent="0.25">
      <c r="A1700">
        <v>85</v>
      </c>
      <c r="B1700" t="s">
        <v>33</v>
      </c>
      <c r="C1700" t="s">
        <v>27</v>
      </c>
      <c r="D1700">
        <v>73</v>
      </c>
      <c r="E1700">
        <v>89</v>
      </c>
      <c r="F1700">
        <v>0.45100000000000001</v>
      </c>
      <c r="G1700">
        <v>22</v>
      </c>
      <c r="H1700">
        <v>830</v>
      </c>
      <c r="I1700">
        <v>969</v>
      </c>
      <c r="J1700">
        <v>-139</v>
      </c>
    </row>
    <row r="1701" spans="1:10" x14ac:dyDescent="0.25">
      <c r="A1701">
        <v>85</v>
      </c>
      <c r="B1701" t="s">
        <v>33</v>
      </c>
      <c r="C1701" t="s">
        <v>28</v>
      </c>
      <c r="D1701">
        <v>62</v>
      </c>
      <c r="E1701">
        <v>100</v>
      </c>
      <c r="F1701">
        <v>0.38300000000000001</v>
      </c>
      <c r="G1701">
        <v>33</v>
      </c>
      <c r="H1701">
        <v>828</v>
      </c>
      <c r="I1701">
        <v>971</v>
      </c>
      <c r="J1701">
        <v>-143</v>
      </c>
    </row>
    <row r="1702" spans="1:10" x14ac:dyDescent="0.25">
      <c r="A1702">
        <v>86</v>
      </c>
      <c r="B1702" t="s">
        <v>30</v>
      </c>
      <c r="C1702" t="s">
        <v>8</v>
      </c>
      <c r="D1702">
        <v>104</v>
      </c>
      <c r="E1702">
        <v>58</v>
      </c>
      <c r="F1702">
        <v>0.64200000000000002</v>
      </c>
      <c r="G1702">
        <v>0</v>
      </c>
      <c r="H1702">
        <v>873</v>
      </c>
      <c r="I1702">
        <v>627</v>
      </c>
      <c r="J1702">
        <v>246</v>
      </c>
    </row>
    <row r="1703" spans="1:10" x14ac:dyDescent="0.25">
      <c r="A1703">
        <v>86</v>
      </c>
      <c r="B1703" t="s">
        <v>30</v>
      </c>
      <c r="C1703" t="s">
        <v>11</v>
      </c>
      <c r="D1703">
        <v>97</v>
      </c>
      <c r="E1703">
        <v>65</v>
      </c>
      <c r="F1703">
        <v>0.59899999999999998</v>
      </c>
      <c r="G1703">
        <v>7</v>
      </c>
      <c r="H1703">
        <v>953</v>
      </c>
      <c r="I1703">
        <v>827</v>
      </c>
      <c r="J1703">
        <v>126</v>
      </c>
    </row>
    <row r="1704" spans="1:10" x14ac:dyDescent="0.25">
      <c r="A1704">
        <v>86</v>
      </c>
      <c r="B1704" t="s">
        <v>30</v>
      </c>
      <c r="C1704" t="s">
        <v>10</v>
      </c>
      <c r="D1704">
        <v>93</v>
      </c>
      <c r="E1704">
        <v>69</v>
      </c>
      <c r="F1704">
        <v>0.57399999999999995</v>
      </c>
      <c r="G1704">
        <v>11</v>
      </c>
      <c r="H1704">
        <v>1020</v>
      </c>
      <c r="I1704">
        <v>880</v>
      </c>
      <c r="J1704">
        <v>140</v>
      </c>
    </row>
    <row r="1705" spans="1:10" x14ac:dyDescent="0.25">
      <c r="A1705">
        <v>86</v>
      </c>
      <c r="B1705" t="s">
        <v>30</v>
      </c>
      <c r="C1705" t="s">
        <v>12</v>
      </c>
      <c r="D1705">
        <v>83</v>
      </c>
      <c r="E1705">
        <v>79</v>
      </c>
      <c r="F1705">
        <v>0.51200000000000001</v>
      </c>
      <c r="G1705">
        <v>21</v>
      </c>
      <c r="H1705">
        <v>935</v>
      </c>
      <c r="I1705">
        <v>868</v>
      </c>
      <c r="J1705">
        <v>67</v>
      </c>
    </row>
    <row r="1706" spans="1:10" x14ac:dyDescent="0.25">
      <c r="A1706">
        <v>86</v>
      </c>
      <c r="B1706" t="s">
        <v>30</v>
      </c>
      <c r="C1706" t="s">
        <v>13</v>
      </c>
      <c r="D1706">
        <v>76</v>
      </c>
      <c r="E1706">
        <v>86</v>
      </c>
      <c r="F1706">
        <v>0.46899999999999997</v>
      </c>
      <c r="G1706">
        <v>28</v>
      </c>
      <c r="H1706">
        <v>833</v>
      </c>
      <c r="I1706">
        <v>918</v>
      </c>
      <c r="J1706">
        <v>-85</v>
      </c>
    </row>
    <row r="1707" spans="1:10" x14ac:dyDescent="0.25">
      <c r="A1707">
        <v>86</v>
      </c>
      <c r="B1707" t="s">
        <v>31</v>
      </c>
      <c r="C1707" t="s">
        <v>14</v>
      </c>
      <c r="D1707">
        <v>103</v>
      </c>
      <c r="E1707">
        <v>59</v>
      </c>
      <c r="F1707">
        <v>0.63600000000000001</v>
      </c>
      <c r="G1707">
        <v>0</v>
      </c>
      <c r="H1707">
        <v>976</v>
      </c>
      <c r="I1707">
        <v>687</v>
      </c>
      <c r="J1707">
        <v>289</v>
      </c>
    </row>
    <row r="1708" spans="1:10" x14ac:dyDescent="0.25">
      <c r="A1708">
        <v>86</v>
      </c>
      <c r="B1708" t="s">
        <v>31</v>
      </c>
      <c r="C1708" t="s">
        <v>16</v>
      </c>
      <c r="D1708">
        <v>76</v>
      </c>
      <c r="E1708">
        <v>86</v>
      </c>
      <c r="F1708">
        <v>0.46899999999999997</v>
      </c>
      <c r="G1708">
        <v>27</v>
      </c>
      <c r="H1708">
        <v>799</v>
      </c>
      <c r="I1708">
        <v>887</v>
      </c>
      <c r="J1708">
        <v>-88</v>
      </c>
    </row>
    <row r="1709" spans="1:10" x14ac:dyDescent="0.25">
      <c r="A1709">
        <v>86</v>
      </c>
      <c r="B1709" t="s">
        <v>31</v>
      </c>
      <c r="C1709" t="s">
        <v>15</v>
      </c>
      <c r="D1709">
        <v>71</v>
      </c>
      <c r="E1709">
        <v>91</v>
      </c>
      <c r="F1709">
        <v>0.438</v>
      </c>
      <c r="G1709">
        <v>32</v>
      </c>
      <c r="H1709">
        <v>990</v>
      </c>
      <c r="I1709">
        <v>1218</v>
      </c>
      <c r="J1709">
        <v>-228</v>
      </c>
    </row>
    <row r="1710" spans="1:10" x14ac:dyDescent="0.25">
      <c r="A1710">
        <v>86</v>
      </c>
      <c r="B1710" t="s">
        <v>31</v>
      </c>
      <c r="C1710" t="s">
        <v>17</v>
      </c>
      <c r="D1710">
        <v>65</v>
      </c>
      <c r="E1710">
        <v>97</v>
      </c>
      <c r="F1710">
        <v>0.40100000000000002</v>
      </c>
      <c r="G1710">
        <v>38</v>
      </c>
      <c r="H1710">
        <v>831</v>
      </c>
      <c r="I1710">
        <v>962</v>
      </c>
      <c r="J1710">
        <v>-131</v>
      </c>
    </row>
    <row r="1711" spans="1:10" x14ac:dyDescent="0.25">
      <c r="A1711">
        <v>86</v>
      </c>
      <c r="B1711" t="s">
        <v>31</v>
      </c>
      <c r="C1711" t="s">
        <v>18</v>
      </c>
      <c r="D1711">
        <v>35</v>
      </c>
      <c r="E1711">
        <v>127</v>
      </c>
      <c r="F1711">
        <v>0.216</v>
      </c>
      <c r="G1711">
        <v>68</v>
      </c>
      <c r="H1711">
        <v>575</v>
      </c>
      <c r="I1711">
        <v>1052</v>
      </c>
      <c r="J1711">
        <v>-477</v>
      </c>
    </row>
    <row r="1712" spans="1:10" x14ac:dyDescent="0.25">
      <c r="A1712">
        <v>86</v>
      </c>
      <c r="B1712" t="s">
        <v>32</v>
      </c>
      <c r="C1712" t="s">
        <v>19</v>
      </c>
      <c r="D1712">
        <v>104</v>
      </c>
      <c r="E1712">
        <v>58</v>
      </c>
      <c r="F1712">
        <v>0.64200000000000002</v>
      </c>
      <c r="G1712">
        <v>0</v>
      </c>
      <c r="H1712">
        <v>980</v>
      </c>
      <c r="I1712">
        <v>745</v>
      </c>
      <c r="J1712">
        <v>235</v>
      </c>
    </row>
    <row r="1713" spans="1:10" x14ac:dyDescent="0.25">
      <c r="A1713">
        <v>86</v>
      </c>
      <c r="B1713" t="s">
        <v>32</v>
      </c>
      <c r="C1713" t="s">
        <v>20</v>
      </c>
      <c r="D1713">
        <v>88</v>
      </c>
      <c r="E1713">
        <v>74</v>
      </c>
      <c r="F1713">
        <v>0.54300000000000004</v>
      </c>
      <c r="G1713">
        <v>16</v>
      </c>
      <c r="H1713">
        <v>943</v>
      </c>
      <c r="I1713">
        <v>866</v>
      </c>
      <c r="J1713">
        <v>77</v>
      </c>
    </row>
    <row r="1714" spans="1:10" x14ac:dyDescent="0.25">
      <c r="A1714">
        <v>86</v>
      </c>
      <c r="B1714" t="s">
        <v>32</v>
      </c>
      <c r="C1714" t="s">
        <v>21</v>
      </c>
      <c r="D1714">
        <v>86</v>
      </c>
      <c r="E1714">
        <v>76</v>
      </c>
      <c r="F1714">
        <v>0.53100000000000003</v>
      </c>
      <c r="G1714">
        <v>18</v>
      </c>
      <c r="H1714">
        <v>990</v>
      </c>
      <c r="I1714">
        <v>969</v>
      </c>
      <c r="J1714">
        <v>21</v>
      </c>
    </row>
    <row r="1715" spans="1:10" x14ac:dyDescent="0.25">
      <c r="A1715">
        <v>86</v>
      </c>
      <c r="B1715" t="s">
        <v>32</v>
      </c>
      <c r="C1715" t="s">
        <v>22</v>
      </c>
      <c r="D1715">
        <v>76</v>
      </c>
      <c r="E1715">
        <v>86</v>
      </c>
      <c r="F1715">
        <v>0.46899999999999997</v>
      </c>
      <c r="G1715">
        <v>28</v>
      </c>
      <c r="H1715">
        <v>904</v>
      </c>
      <c r="I1715">
        <v>934</v>
      </c>
      <c r="J1715">
        <v>-30</v>
      </c>
    </row>
    <row r="1716" spans="1:10" x14ac:dyDescent="0.25">
      <c r="A1716">
        <v>86</v>
      </c>
      <c r="B1716" t="s">
        <v>32</v>
      </c>
      <c r="C1716" t="s">
        <v>23</v>
      </c>
      <c r="D1716">
        <v>56</v>
      </c>
      <c r="E1716">
        <v>106</v>
      </c>
      <c r="F1716">
        <v>0.34599999999999997</v>
      </c>
      <c r="G1716">
        <v>48</v>
      </c>
      <c r="H1716">
        <v>776</v>
      </c>
      <c r="I1716">
        <v>1064</v>
      </c>
      <c r="J1716">
        <v>-288</v>
      </c>
    </row>
    <row r="1717" spans="1:10" x14ac:dyDescent="0.25">
      <c r="A1717">
        <v>86</v>
      </c>
      <c r="B1717" t="s">
        <v>33</v>
      </c>
      <c r="C1717" t="s">
        <v>24</v>
      </c>
      <c r="D1717">
        <v>99</v>
      </c>
      <c r="E1717">
        <v>63</v>
      </c>
      <c r="F1717">
        <v>0.61099999999999999</v>
      </c>
      <c r="G1717">
        <v>0</v>
      </c>
      <c r="H1717">
        <v>959</v>
      </c>
      <c r="I1717">
        <v>714</v>
      </c>
      <c r="J1717">
        <v>245</v>
      </c>
    </row>
    <row r="1718" spans="1:10" x14ac:dyDescent="0.25">
      <c r="A1718">
        <v>86</v>
      </c>
      <c r="B1718" t="s">
        <v>33</v>
      </c>
      <c r="C1718" t="s">
        <v>25</v>
      </c>
      <c r="D1718">
        <v>95</v>
      </c>
      <c r="E1718">
        <v>67</v>
      </c>
      <c r="F1718">
        <v>0.58599999999999997</v>
      </c>
      <c r="G1718">
        <v>4</v>
      </c>
      <c r="H1718">
        <v>851</v>
      </c>
      <c r="I1718">
        <v>698</v>
      </c>
      <c r="J1718">
        <v>153</v>
      </c>
    </row>
    <row r="1719" spans="1:10" x14ac:dyDescent="0.25">
      <c r="A1719">
        <v>86</v>
      </c>
      <c r="B1719" t="s">
        <v>33</v>
      </c>
      <c r="C1719" t="s">
        <v>26</v>
      </c>
      <c r="D1719">
        <v>81</v>
      </c>
      <c r="E1719">
        <v>81</v>
      </c>
      <c r="F1719">
        <v>0.5</v>
      </c>
      <c r="G1719">
        <v>18</v>
      </c>
      <c r="H1719">
        <v>823</v>
      </c>
      <c r="I1719">
        <v>791</v>
      </c>
      <c r="J1719">
        <v>32</v>
      </c>
    </row>
    <row r="1720" spans="1:10" x14ac:dyDescent="0.25">
      <c r="A1720">
        <v>86</v>
      </c>
      <c r="B1720" t="s">
        <v>33</v>
      </c>
      <c r="C1720" t="s">
        <v>27</v>
      </c>
      <c r="D1720">
        <v>76</v>
      </c>
      <c r="E1720">
        <v>86</v>
      </c>
      <c r="F1720">
        <v>0.46899999999999997</v>
      </c>
      <c r="G1720">
        <v>23</v>
      </c>
      <c r="H1720">
        <v>804</v>
      </c>
      <c r="I1720">
        <v>904</v>
      </c>
      <c r="J1720">
        <v>-100</v>
      </c>
    </row>
    <row r="1721" spans="1:10" x14ac:dyDescent="0.25">
      <c r="A1721">
        <v>86</v>
      </c>
      <c r="B1721" t="s">
        <v>33</v>
      </c>
      <c r="C1721" t="s">
        <v>28</v>
      </c>
      <c r="D1721">
        <v>56</v>
      </c>
      <c r="E1721">
        <v>106</v>
      </c>
      <c r="F1721">
        <v>0.34599999999999997</v>
      </c>
      <c r="G1721">
        <v>43</v>
      </c>
      <c r="H1721">
        <v>772</v>
      </c>
      <c r="I1721">
        <v>976</v>
      </c>
      <c r="J1721">
        <v>-204</v>
      </c>
    </row>
    <row r="1722" spans="1:10" x14ac:dyDescent="0.25">
      <c r="A1722">
        <v>87</v>
      </c>
      <c r="B1722" t="s">
        <v>30</v>
      </c>
      <c r="C1722" t="s">
        <v>8</v>
      </c>
      <c r="D1722">
        <v>92</v>
      </c>
      <c r="E1722">
        <v>70</v>
      </c>
      <c r="F1722">
        <v>0.56799999999999995</v>
      </c>
      <c r="G1722">
        <v>0</v>
      </c>
      <c r="H1722">
        <v>870</v>
      </c>
      <c r="I1722">
        <v>669</v>
      </c>
      <c r="J1722">
        <v>201</v>
      </c>
    </row>
    <row r="1723" spans="1:10" x14ac:dyDescent="0.25">
      <c r="A1723">
        <v>87</v>
      </c>
      <c r="B1723" t="s">
        <v>30</v>
      </c>
      <c r="C1723" t="s">
        <v>10</v>
      </c>
      <c r="D1723">
        <v>92</v>
      </c>
      <c r="E1723">
        <v>70</v>
      </c>
      <c r="F1723">
        <v>0.56799999999999995</v>
      </c>
      <c r="G1723">
        <v>0</v>
      </c>
      <c r="H1723">
        <v>973</v>
      </c>
      <c r="I1723">
        <v>861</v>
      </c>
      <c r="J1723">
        <v>112</v>
      </c>
    </row>
    <row r="1724" spans="1:10" x14ac:dyDescent="0.25">
      <c r="A1724">
        <v>87</v>
      </c>
      <c r="B1724" t="s">
        <v>30</v>
      </c>
      <c r="C1724" t="s">
        <v>11</v>
      </c>
      <c r="D1724">
        <v>91</v>
      </c>
      <c r="E1724">
        <v>71</v>
      </c>
      <c r="F1724">
        <v>0.56200000000000006</v>
      </c>
      <c r="G1724">
        <v>1</v>
      </c>
      <c r="H1724">
        <v>878</v>
      </c>
      <c r="I1724">
        <v>772</v>
      </c>
      <c r="J1724">
        <v>106</v>
      </c>
    </row>
    <row r="1725" spans="1:10" x14ac:dyDescent="0.25">
      <c r="A1725">
        <v>87</v>
      </c>
      <c r="B1725" t="s">
        <v>30</v>
      </c>
      <c r="C1725" t="s">
        <v>12</v>
      </c>
      <c r="D1725">
        <v>86</v>
      </c>
      <c r="E1725">
        <v>76</v>
      </c>
      <c r="F1725">
        <v>0.53100000000000003</v>
      </c>
      <c r="G1725">
        <v>6</v>
      </c>
      <c r="H1725">
        <v>949</v>
      </c>
      <c r="I1725">
        <v>920</v>
      </c>
      <c r="J1725">
        <v>29</v>
      </c>
    </row>
    <row r="1726" spans="1:10" x14ac:dyDescent="0.25">
      <c r="A1726">
        <v>87</v>
      </c>
      <c r="B1726" t="s">
        <v>30</v>
      </c>
      <c r="C1726" t="s">
        <v>13</v>
      </c>
      <c r="D1726">
        <v>71</v>
      </c>
      <c r="E1726">
        <v>91</v>
      </c>
      <c r="F1726">
        <v>0.438</v>
      </c>
      <c r="G1726">
        <v>21</v>
      </c>
      <c r="H1726">
        <v>771</v>
      </c>
      <c r="I1726">
        <v>855</v>
      </c>
      <c r="J1726">
        <v>-84</v>
      </c>
    </row>
    <row r="1727" spans="1:10" x14ac:dyDescent="0.25">
      <c r="A1727">
        <v>87</v>
      </c>
      <c r="B1727" t="s">
        <v>31</v>
      </c>
      <c r="C1727" t="s">
        <v>14</v>
      </c>
      <c r="D1727">
        <v>101</v>
      </c>
      <c r="E1727">
        <v>61</v>
      </c>
      <c r="F1727">
        <v>0.623</v>
      </c>
      <c r="G1727">
        <v>0</v>
      </c>
      <c r="H1727">
        <v>910</v>
      </c>
      <c r="I1727">
        <v>708</v>
      </c>
      <c r="J1727">
        <v>202</v>
      </c>
    </row>
    <row r="1728" spans="1:10" x14ac:dyDescent="0.25">
      <c r="A1728">
        <v>87</v>
      </c>
      <c r="B1728" t="s">
        <v>31</v>
      </c>
      <c r="C1728" t="s">
        <v>15</v>
      </c>
      <c r="D1728">
        <v>68</v>
      </c>
      <c r="E1728">
        <v>94</v>
      </c>
      <c r="F1728">
        <v>0.42</v>
      </c>
      <c r="G1728">
        <v>33</v>
      </c>
      <c r="H1728">
        <v>996</v>
      </c>
      <c r="I1728">
        <v>1211</v>
      </c>
      <c r="J1728">
        <v>-215</v>
      </c>
    </row>
    <row r="1729" spans="1:10" x14ac:dyDescent="0.25">
      <c r="A1729">
        <v>87</v>
      </c>
      <c r="B1729" t="s">
        <v>31</v>
      </c>
      <c r="C1729" t="s">
        <v>17</v>
      </c>
      <c r="D1729">
        <v>65</v>
      </c>
      <c r="E1729">
        <v>97</v>
      </c>
      <c r="F1729">
        <v>0.40100000000000002</v>
      </c>
      <c r="G1729">
        <v>36</v>
      </c>
      <c r="H1729">
        <v>838</v>
      </c>
      <c r="I1729">
        <v>950</v>
      </c>
      <c r="J1729">
        <v>-112</v>
      </c>
    </row>
    <row r="1730" spans="1:10" x14ac:dyDescent="0.25">
      <c r="A1730">
        <v>87</v>
      </c>
      <c r="B1730" t="s">
        <v>31</v>
      </c>
      <c r="C1730" t="s">
        <v>16</v>
      </c>
      <c r="D1730">
        <v>60</v>
      </c>
      <c r="E1730">
        <v>102</v>
      </c>
      <c r="F1730">
        <v>0.37</v>
      </c>
      <c r="G1730">
        <v>41</v>
      </c>
      <c r="H1730">
        <v>759</v>
      </c>
      <c r="I1730">
        <v>933</v>
      </c>
      <c r="J1730">
        <v>-174</v>
      </c>
    </row>
    <row r="1731" spans="1:10" x14ac:dyDescent="0.25">
      <c r="A1731">
        <v>87</v>
      </c>
      <c r="B1731" t="s">
        <v>31</v>
      </c>
      <c r="C1731" t="s">
        <v>18</v>
      </c>
      <c r="D1731">
        <v>54</v>
      </c>
      <c r="E1731">
        <v>108</v>
      </c>
      <c r="F1731">
        <v>0.33300000000000002</v>
      </c>
      <c r="G1731">
        <v>47</v>
      </c>
      <c r="H1731">
        <v>626</v>
      </c>
      <c r="I1731">
        <v>924</v>
      </c>
      <c r="J1731">
        <v>-298</v>
      </c>
    </row>
    <row r="1732" spans="1:10" x14ac:dyDescent="0.25">
      <c r="A1732">
        <v>87</v>
      </c>
      <c r="B1732" t="s">
        <v>32</v>
      </c>
      <c r="C1732" t="s">
        <v>19</v>
      </c>
      <c r="D1732">
        <v>109</v>
      </c>
      <c r="E1732">
        <v>53</v>
      </c>
      <c r="F1732">
        <v>0.67300000000000004</v>
      </c>
      <c r="G1732">
        <v>0</v>
      </c>
      <c r="H1732">
        <v>1036</v>
      </c>
      <c r="I1732">
        <v>690</v>
      </c>
      <c r="J1732">
        <v>346</v>
      </c>
    </row>
    <row r="1733" spans="1:10" x14ac:dyDescent="0.25">
      <c r="A1733">
        <v>87</v>
      </c>
      <c r="B1733" t="s">
        <v>32</v>
      </c>
      <c r="C1733" t="s">
        <v>20</v>
      </c>
      <c r="D1733">
        <v>95</v>
      </c>
      <c r="E1733">
        <v>67</v>
      </c>
      <c r="F1733">
        <v>0.58599999999999997</v>
      </c>
      <c r="G1733">
        <v>14</v>
      </c>
      <c r="H1733">
        <v>956</v>
      </c>
      <c r="I1733">
        <v>800</v>
      </c>
      <c r="J1733">
        <v>156</v>
      </c>
    </row>
    <row r="1734" spans="1:10" x14ac:dyDescent="0.25">
      <c r="A1734">
        <v>87</v>
      </c>
      <c r="B1734" t="s">
        <v>32</v>
      </c>
      <c r="C1734" t="s">
        <v>21</v>
      </c>
      <c r="D1734">
        <v>89</v>
      </c>
      <c r="E1734">
        <v>73</v>
      </c>
      <c r="F1734">
        <v>0.54900000000000004</v>
      </c>
      <c r="G1734">
        <v>20</v>
      </c>
      <c r="H1734">
        <v>961</v>
      </c>
      <c r="I1734">
        <v>904</v>
      </c>
      <c r="J1734">
        <v>57</v>
      </c>
    </row>
    <row r="1735" spans="1:10" x14ac:dyDescent="0.25">
      <c r="A1735">
        <v>87</v>
      </c>
      <c r="B1735" t="s">
        <v>32</v>
      </c>
      <c r="C1735" t="s">
        <v>22</v>
      </c>
      <c r="D1735">
        <v>81</v>
      </c>
      <c r="E1735">
        <v>81</v>
      </c>
      <c r="F1735">
        <v>0.5</v>
      </c>
      <c r="G1735">
        <v>28</v>
      </c>
      <c r="H1735">
        <v>954</v>
      </c>
      <c r="I1735">
        <v>966</v>
      </c>
      <c r="J1735">
        <v>-12</v>
      </c>
    </row>
    <row r="1736" spans="1:10" x14ac:dyDescent="0.25">
      <c r="A1736">
        <v>87</v>
      </c>
      <c r="B1736" t="s">
        <v>32</v>
      </c>
      <c r="C1736" t="s">
        <v>23</v>
      </c>
      <c r="D1736">
        <v>61</v>
      </c>
      <c r="E1736">
        <v>101</v>
      </c>
      <c r="F1736">
        <v>0.377</v>
      </c>
      <c r="G1736">
        <v>48</v>
      </c>
      <c r="H1736">
        <v>792</v>
      </c>
      <c r="I1736">
        <v>1013</v>
      </c>
      <c r="J1736">
        <v>-221</v>
      </c>
    </row>
    <row r="1737" spans="1:10" x14ac:dyDescent="0.25">
      <c r="A1737">
        <v>87</v>
      </c>
      <c r="B1737" t="s">
        <v>33</v>
      </c>
      <c r="C1737" t="s">
        <v>24</v>
      </c>
      <c r="D1737">
        <v>99</v>
      </c>
      <c r="E1737">
        <v>63</v>
      </c>
      <c r="F1737">
        <v>0.61099999999999999</v>
      </c>
      <c r="G1737">
        <v>0</v>
      </c>
      <c r="H1737">
        <v>918</v>
      </c>
      <c r="I1737">
        <v>749</v>
      </c>
      <c r="J1737">
        <v>169</v>
      </c>
    </row>
    <row r="1738" spans="1:10" x14ac:dyDescent="0.25">
      <c r="A1738">
        <v>87</v>
      </c>
      <c r="B1738" t="s">
        <v>33</v>
      </c>
      <c r="C1738" t="s">
        <v>25</v>
      </c>
      <c r="D1738">
        <v>97</v>
      </c>
      <c r="E1738">
        <v>65</v>
      </c>
      <c r="F1738">
        <v>0.59899999999999998</v>
      </c>
      <c r="G1738">
        <v>2</v>
      </c>
      <c r="H1738">
        <v>780</v>
      </c>
      <c r="I1738">
        <v>615</v>
      </c>
      <c r="J1738">
        <v>165</v>
      </c>
    </row>
    <row r="1739" spans="1:10" x14ac:dyDescent="0.25">
      <c r="A1739">
        <v>87</v>
      </c>
      <c r="B1739" t="s">
        <v>33</v>
      </c>
      <c r="C1739" t="s">
        <v>26</v>
      </c>
      <c r="D1739">
        <v>78</v>
      </c>
      <c r="E1739">
        <v>84</v>
      </c>
      <c r="F1739">
        <v>0.48099999999999998</v>
      </c>
      <c r="G1739">
        <v>21</v>
      </c>
      <c r="H1739">
        <v>828</v>
      </c>
      <c r="I1739">
        <v>910</v>
      </c>
      <c r="J1739">
        <v>-82</v>
      </c>
    </row>
    <row r="1740" spans="1:10" x14ac:dyDescent="0.25">
      <c r="A1740">
        <v>87</v>
      </c>
      <c r="B1740" t="s">
        <v>33</v>
      </c>
      <c r="C1740" t="s">
        <v>27</v>
      </c>
      <c r="D1740">
        <v>70</v>
      </c>
      <c r="E1740">
        <v>92</v>
      </c>
      <c r="F1740">
        <v>0.432</v>
      </c>
      <c r="G1740">
        <v>29</v>
      </c>
      <c r="H1740">
        <v>777</v>
      </c>
      <c r="I1740">
        <v>874</v>
      </c>
      <c r="J1740">
        <v>-97</v>
      </c>
    </row>
    <row r="1741" spans="1:10" x14ac:dyDescent="0.25">
      <c r="A1741">
        <v>87</v>
      </c>
      <c r="B1741" t="s">
        <v>33</v>
      </c>
      <c r="C1741" t="s">
        <v>28</v>
      </c>
      <c r="D1741">
        <v>61</v>
      </c>
      <c r="E1741">
        <v>101</v>
      </c>
      <c r="F1741">
        <v>0.377</v>
      </c>
      <c r="G1741">
        <v>38</v>
      </c>
      <c r="H1741">
        <v>678</v>
      </c>
      <c r="I1741">
        <v>926</v>
      </c>
      <c r="J1741">
        <v>-248</v>
      </c>
    </row>
    <row r="1742" spans="1:10" x14ac:dyDescent="0.25">
      <c r="A1742">
        <v>88</v>
      </c>
      <c r="B1742" t="s">
        <v>30</v>
      </c>
      <c r="C1742" t="s">
        <v>12</v>
      </c>
      <c r="D1742">
        <v>99</v>
      </c>
      <c r="E1742">
        <v>63</v>
      </c>
      <c r="F1742">
        <v>0.61099999999999999</v>
      </c>
      <c r="G1742">
        <v>0</v>
      </c>
      <c r="H1742">
        <v>1015</v>
      </c>
      <c r="I1742">
        <v>835</v>
      </c>
      <c r="J1742">
        <v>180</v>
      </c>
    </row>
    <row r="1743" spans="1:10" x14ac:dyDescent="0.25">
      <c r="A1743">
        <v>88</v>
      </c>
      <c r="B1743" t="s">
        <v>30</v>
      </c>
      <c r="C1743" t="s">
        <v>8</v>
      </c>
      <c r="D1743">
        <v>92</v>
      </c>
      <c r="E1743">
        <v>70</v>
      </c>
      <c r="F1743">
        <v>0.56799999999999995</v>
      </c>
      <c r="G1743">
        <v>7</v>
      </c>
      <c r="H1743">
        <v>904</v>
      </c>
      <c r="I1743">
        <v>685</v>
      </c>
      <c r="J1743">
        <v>219</v>
      </c>
    </row>
    <row r="1744" spans="1:10" x14ac:dyDescent="0.25">
      <c r="A1744">
        <v>88</v>
      </c>
      <c r="B1744" t="s">
        <v>30</v>
      </c>
      <c r="C1744" t="s">
        <v>11</v>
      </c>
      <c r="D1744">
        <v>92</v>
      </c>
      <c r="E1744">
        <v>70</v>
      </c>
      <c r="F1744">
        <v>0.56799999999999995</v>
      </c>
      <c r="G1744">
        <v>7</v>
      </c>
      <c r="H1744">
        <v>885</v>
      </c>
      <c r="I1744">
        <v>804</v>
      </c>
      <c r="J1744">
        <v>81</v>
      </c>
    </row>
    <row r="1745" spans="1:10" x14ac:dyDescent="0.25">
      <c r="A1745">
        <v>88</v>
      </c>
      <c r="B1745" t="s">
        <v>30</v>
      </c>
      <c r="C1745" t="s">
        <v>10</v>
      </c>
      <c r="D1745">
        <v>90</v>
      </c>
      <c r="E1745">
        <v>72</v>
      </c>
      <c r="F1745">
        <v>0.55600000000000005</v>
      </c>
      <c r="G1745">
        <v>9</v>
      </c>
      <c r="H1745">
        <v>957</v>
      </c>
      <c r="I1745">
        <v>876</v>
      </c>
      <c r="J1745">
        <v>81</v>
      </c>
    </row>
    <row r="1746" spans="1:10" x14ac:dyDescent="0.25">
      <c r="A1746">
        <v>88</v>
      </c>
      <c r="B1746" t="s">
        <v>30</v>
      </c>
      <c r="C1746" t="s">
        <v>13</v>
      </c>
      <c r="D1746">
        <v>81</v>
      </c>
      <c r="E1746">
        <v>81</v>
      </c>
      <c r="F1746">
        <v>0.5</v>
      </c>
      <c r="G1746">
        <v>18</v>
      </c>
      <c r="H1746">
        <v>885</v>
      </c>
      <c r="I1746">
        <v>858</v>
      </c>
      <c r="J1746">
        <v>27</v>
      </c>
    </row>
    <row r="1747" spans="1:10" x14ac:dyDescent="0.25">
      <c r="A1747">
        <v>88</v>
      </c>
      <c r="B1747" t="s">
        <v>31</v>
      </c>
      <c r="C1747" t="s">
        <v>14</v>
      </c>
      <c r="D1747">
        <v>119</v>
      </c>
      <c r="E1747">
        <v>43</v>
      </c>
      <c r="F1747">
        <v>0.73499999999999999</v>
      </c>
      <c r="G1747">
        <v>0</v>
      </c>
      <c r="H1747">
        <v>1008</v>
      </c>
      <c r="I1747">
        <v>697</v>
      </c>
      <c r="J1747">
        <v>311</v>
      </c>
    </row>
    <row r="1748" spans="1:10" x14ac:dyDescent="0.25">
      <c r="A1748">
        <v>88</v>
      </c>
      <c r="B1748" t="s">
        <v>31</v>
      </c>
      <c r="C1748" t="s">
        <v>16</v>
      </c>
      <c r="D1748">
        <v>70</v>
      </c>
      <c r="E1748">
        <v>92</v>
      </c>
      <c r="F1748">
        <v>0.432</v>
      </c>
      <c r="G1748">
        <v>49</v>
      </c>
      <c r="H1748">
        <v>747</v>
      </c>
      <c r="I1748">
        <v>832</v>
      </c>
      <c r="J1748">
        <v>-85</v>
      </c>
    </row>
    <row r="1749" spans="1:10" x14ac:dyDescent="0.25">
      <c r="A1749">
        <v>88</v>
      </c>
      <c r="B1749" t="s">
        <v>31</v>
      </c>
      <c r="C1749" t="s">
        <v>15</v>
      </c>
      <c r="D1749">
        <v>66</v>
      </c>
      <c r="E1749">
        <v>96</v>
      </c>
      <c r="F1749">
        <v>0.40699999999999997</v>
      </c>
      <c r="G1749">
        <v>53</v>
      </c>
      <c r="H1749">
        <v>906</v>
      </c>
      <c r="I1749">
        <v>1205</v>
      </c>
      <c r="J1749">
        <v>-299</v>
      </c>
    </row>
    <row r="1750" spans="1:10" x14ac:dyDescent="0.25">
      <c r="A1750">
        <v>88</v>
      </c>
      <c r="B1750" t="s">
        <v>31</v>
      </c>
      <c r="C1750" t="s">
        <v>17</v>
      </c>
      <c r="D1750">
        <v>60</v>
      </c>
      <c r="E1750">
        <v>102</v>
      </c>
      <c r="F1750">
        <v>0.37</v>
      </c>
      <c r="G1750">
        <v>59</v>
      </c>
      <c r="H1750">
        <v>817</v>
      </c>
      <c r="I1750">
        <v>967</v>
      </c>
      <c r="J1750">
        <v>-150</v>
      </c>
    </row>
    <row r="1751" spans="1:10" x14ac:dyDescent="0.25">
      <c r="A1751">
        <v>88</v>
      </c>
      <c r="B1751" t="s">
        <v>31</v>
      </c>
      <c r="C1751" t="s">
        <v>18</v>
      </c>
      <c r="D1751">
        <v>56</v>
      </c>
      <c r="E1751">
        <v>106</v>
      </c>
      <c r="F1751">
        <v>0.34599999999999997</v>
      </c>
      <c r="G1751">
        <v>63</v>
      </c>
      <c r="H1751">
        <v>763</v>
      </c>
      <c r="I1751">
        <v>997</v>
      </c>
      <c r="J1751">
        <v>-234</v>
      </c>
    </row>
    <row r="1752" spans="1:10" x14ac:dyDescent="0.25">
      <c r="A1752">
        <v>88</v>
      </c>
      <c r="B1752" t="s">
        <v>32</v>
      </c>
      <c r="C1752" t="s">
        <v>19</v>
      </c>
      <c r="D1752">
        <v>108</v>
      </c>
      <c r="E1752">
        <v>54</v>
      </c>
      <c r="F1752">
        <v>0.66700000000000004</v>
      </c>
      <c r="G1752">
        <v>0</v>
      </c>
      <c r="H1752">
        <v>1086</v>
      </c>
      <c r="I1752">
        <v>798</v>
      </c>
      <c r="J1752">
        <v>288</v>
      </c>
    </row>
    <row r="1753" spans="1:10" x14ac:dyDescent="0.25">
      <c r="A1753">
        <v>88</v>
      </c>
      <c r="B1753" t="s">
        <v>32</v>
      </c>
      <c r="C1753" t="s">
        <v>21</v>
      </c>
      <c r="D1753">
        <v>93</v>
      </c>
      <c r="E1753">
        <v>69</v>
      </c>
      <c r="F1753">
        <v>0.57399999999999995</v>
      </c>
      <c r="G1753">
        <v>15</v>
      </c>
      <c r="H1753">
        <v>997</v>
      </c>
      <c r="I1753">
        <v>907</v>
      </c>
      <c r="J1753">
        <v>90</v>
      </c>
    </row>
    <row r="1754" spans="1:10" x14ac:dyDescent="0.25">
      <c r="A1754">
        <v>88</v>
      </c>
      <c r="B1754" t="s">
        <v>32</v>
      </c>
      <c r="C1754" t="s">
        <v>20</v>
      </c>
      <c r="D1754">
        <v>89</v>
      </c>
      <c r="E1754">
        <v>73</v>
      </c>
      <c r="F1754">
        <v>0.54900000000000004</v>
      </c>
      <c r="G1754">
        <v>19</v>
      </c>
      <c r="H1754">
        <v>1011</v>
      </c>
      <c r="I1754">
        <v>941</v>
      </c>
      <c r="J1754">
        <v>70</v>
      </c>
    </row>
    <row r="1755" spans="1:10" x14ac:dyDescent="0.25">
      <c r="A1755">
        <v>88</v>
      </c>
      <c r="B1755" t="s">
        <v>32</v>
      </c>
      <c r="C1755" t="s">
        <v>22</v>
      </c>
      <c r="D1755">
        <v>63</v>
      </c>
      <c r="E1755">
        <v>99</v>
      </c>
      <c r="F1755">
        <v>0.38900000000000001</v>
      </c>
      <c r="G1755">
        <v>45</v>
      </c>
      <c r="H1755">
        <v>842</v>
      </c>
      <c r="I1755">
        <v>1038</v>
      </c>
      <c r="J1755">
        <v>-196</v>
      </c>
    </row>
    <row r="1756" spans="1:10" x14ac:dyDescent="0.25">
      <c r="A1756">
        <v>88</v>
      </c>
      <c r="B1756" t="s">
        <v>32</v>
      </c>
      <c r="C1756" t="s">
        <v>23</v>
      </c>
      <c r="D1756">
        <v>60</v>
      </c>
      <c r="E1756">
        <v>102</v>
      </c>
      <c r="F1756">
        <v>0.37</v>
      </c>
      <c r="G1756">
        <v>48</v>
      </c>
      <c r="H1756">
        <v>845</v>
      </c>
      <c r="I1756">
        <v>1110</v>
      </c>
      <c r="J1756">
        <v>-265</v>
      </c>
    </row>
    <row r="1757" spans="1:10" x14ac:dyDescent="0.25">
      <c r="A1757">
        <v>88</v>
      </c>
      <c r="B1757" t="s">
        <v>33</v>
      </c>
      <c r="C1757" t="s">
        <v>24</v>
      </c>
      <c r="D1757">
        <v>97</v>
      </c>
      <c r="E1757">
        <v>65</v>
      </c>
      <c r="F1757">
        <v>0.59899999999999998</v>
      </c>
      <c r="G1757">
        <v>0</v>
      </c>
      <c r="H1757">
        <v>903</v>
      </c>
      <c r="I1757">
        <v>741</v>
      </c>
      <c r="J1757">
        <v>162</v>
      </c>
    </row>
    <row r="1758" spans="1:10" x14ac:dyDescent="0.25">
      <c r="A1758">
        <v>88</v>
      </c>
      <c r="B1758" t="s">
        <v>33</v>
      </c>
      <c r="C1758" t="s">
        <v>25</v>
      </c>
      <c r="D1758">
        <v>91</v>
      </c>
      <c r="E1758">
        <v>71</v>
      </c>
      <c r="F1758">
        <v>0.56200000000000006</v>
      </c>
      <c r="G1758">
        <v>6</v>
      </c>
      <c r="H1758">
        <v>917</v>
      </c>
      <c r="I1758">
        <v>773</v>
      </c>
      <c r="J1758">
        <v>144</v>
      </c>
    </row>
    <row r="1759" spans="1:10" x14ac:dyDescent="0.25">
      <c r="A1759">
        <v>88</v>
      </c>
      <c r="B1759" t="s">
        <v>33</v>
      </c>
      <c r="C1759" t="s">
        <v>26</v>
      </c>
      <c r="D1759">
        <v>80</v>
      </c>
      <c r="E1759">
        <v>82</v>
      </c>
      <c r="F1759">
        <v>0.49399999999999999</v>
      </c>
      <c r="G1759">
        <v>17</v>
      </c>
      <c r="H1759">
        <v>833</v>
      </c>
      <c r="I1759">
        <v>802</v>
      </c>
      <c r="J1759">
        <v>31</v>
      </c>
    </row>
    <row r="1760" spans="1:10" x14ac:dyDescent="0.25">
      <c r="A1760">
        <v>88</v>
      </c>
      <c r="B1760" t="s">
        <v>33</v>
      </c>
      <c r="C1760" t="s">
        <v>27</v>
      </c>
      <c r="D1760">
        <v>68</v>
      </c>
      <c r="E1760">
        <v>94</v>
      </c>
      <c r="F1760">
        <v>0.42</v>
      </c>
      <c r="G1760">
        <v>29</v>
      </c>
      <c r="H1760">
        <v>778</v>
      </c>
      <c r="I1760">
        <v>895</v>
      </c>
      <c r="J1760">
        <v>-117</v>
      </c>
    </row>
    <row r="1761" spans="1:10" x14ac:dyDescent="0.25">
      <c r="A1761">
        <v>88</v>
      </c>
      <c r="B1761" t="s">
        <v>33</v>
      </c>
      <c r="C1761" t="s">
        <v>28</v>
      </c>
      <c r="D1761">
        <v>46</v>
      </c>
      <c r="E1761">
        <v>116</v>
      </c>
      <c r="F1761">
        <v>0.28399999999999997</v>
      </c>
      <c r="G1761">
        <v>51</v>
      </c>
      <c r="H1761">
        <v>743</v>
      </c>
      <c r="I1761">
        <v>1081</v>
      </c>
      <c r="J1761">
        <v>-338</v>
      </c>
    </row>
    <row r="1762" spans="1:10" x14ac:dyDescent="0.25">
      <c r="A1762">
        <v>89</v>
      </c>
      <c r="B1762" t="s">
        <v>30</v>
      </c>
      <c r="C1762" t="s">
        <v>8</v>
      </c>
      <c r="D1762">
        <v>93</v>
      </c>
      <c r="E1762">
        <v>69</v>
      </c>
      <c r="F1762">
        <v>0.57399999999999995</v>
      </c>
      <c r="G1762">
        <v>0</v>
      </c>
      <c r="H1762">
        <v>808</v>
      </c>
      <c r="I1762">
        <v>704</v>
      </c>
      <c r="J1762">
        <v>104</v>
      </c>
    </row>
    <row r="1763" spans="1:10" x14ac:dyDescent="0.25">
      <c r="A1763">
        <v>89</v>
      </c>
      <c r="B1763" t="s">
        <v>30</v>
      </c>
      <c r="C1763" t="s">
        <v>12</v>
      </c>
      <c r="D1763">
        <v>89</v>
      </c>
      <c r="E1763">
        <v>73</v>
      </c>
      <c r="F1763">
        <v>0.54900000000000004</v>
      </c>
      <c r="G1763">
        <v>4</v>
      </c>
      <c r="H1763">
        <v>903</v>
      </c>
      <c r="I1763">
        <v>832</v>
      </c>
      <c r="J1763">
        <v>71</v>
      </c>
    </row>
    <row r="1764" spans="1:10" x14ac:dyDescent="0.25">
      <c r="A1764">
        <v>89</v>
      </c>
      <c r="B1764" t="s">
        <v>30</v>
      </c>
      <c r="C1764" t="s">
        <v>10</v>
      </c>
      <c r="D1764">
        <v>89</v>
      </c>
      <c r="E1764">
        <v>73</v>
      </c>
      <c r="F1764">
        <v>0.54900000000000004</v>
      </c>
      <c r="G1764">
        <v>4</v>
      </c>
      <c r="H1764">
        <v>920</v>
      </c>
      <c r="I1764">
        <v>815</v>
      </c>
      <c r="J1764">
        <v>105</v>
      </c>
    </row>
    <row r="1765" spans="1:10" x14ac:dyDescent="0.25">
      <c r="A1765">
        <v>89</v>
      </c>
      <c r="B1765" t="s">
        <v>30</v>
      </c>
      <c r="C1765" t="s">
        <v>11</v>
      </c>
      <c r="D1765">
        <v>81</v>
      </c>
      <c r="E1765">
        <v>81</v>
      </c>
      <c r="F1765">
        <v>0.5</v>
      </c>
      <c r="G1765">
        <v>12</v>
      </c>
      <c r="H1765">
        <v>812</v>
      </c>
      <c r="I1765">
        <v>792</v>
      </c>
      <c r="J1765">
        <v>20</v>
      </c>
    </row>
    <row r="1766" spans="1:10" x14ac:dyDescent="0.25">
      <c r="A1766">
        <v>89</v>
      </c>
      <c r="B1766" t="s">
        <v>30</v>
      </c>
      <c r="C1766" t="s">
        <v>13</v>
      </c>
      <c r="D1766">
        <v>76</v>
      </c>
      <c r="E1766">
        <v>86</v>
      </c>
      <c r="F1766">
        <v>0.46899999999999997</v>
      </c>
      <c r="G1766">
        <v>17</v>
      </c>
      <c r="H1766">
        <v>777</v>
      </c>
      <c r="I1766">
        <v>816</v>
      </c>
      <c r="J1766">
        <v>-39</v>
      </c>
    </row>
    <row r="1767" spans="1:10" x14ac:dyDescent="0.25">
      <c r="A1767">
        <v>89</v>
      </c>
      <c r="B1767" t="s">
        <v>31</v>
      </c>
      <c r="C1767" t="s">
        <v>14</v>
      </c>
      <c r="D1767">
        <v>110</v>
      </c>
      <c r="E1767">
        <v>52</v>
      </c>
      <c r="F1767">
        <v>0.67900000000000005</v>
      </c>
      <c r="G1767">
        <v>0</v>
      </c>
      <c r="H1767">
        <v>995</v>
      </c>
      <c r="I1767">
        <v>707</v>
      </c>
      <c r="J1767">
        <v>288</v>
      </c>
    </row>
    <row r="1768" spans="1:10" x14ac:dyDescent="0.25">
      <c r="A1768">
        <v>89</v>
      </c>
      <c r="B1768" t="s">
        <v>31</v>
      </c>
      <c r="C1768" t="s">
        <v>15</v>
      </c>
      <c r="D1768">
        <v>83</v>
      </c>
      <c r="E1768">
        <v>79</v>
      </c>
      <c r="F1768">
        <v>0.51200000000000001</v>
      </c>
      <c r="G1768">
        <v>27</v>
      </c>
      <c r="H1768">
        <v>995</v>
      </c>
      <c r="I1768">
        <v>1145</v>
      </c>
      <c r="J1768">
        <v>-150</v>
      </c>
    </row>
    <row r="1769" spans="1:10" x14ac:dyDescent="0.25">
      <c r="A1769">
        <v>89</v>
      </c>
      <c r="B1769" t="s">
        <v>31</v>
      </c>
      <c r="C1769" t="s">
        <v>16</v>
      </c>
      <c r="D1769">
        <v>73</v>
      </c>
      <c r="E1769">
        <v>89</v>
      </c>
      <c r="F1769">
        <v>0.45100000000000001</v>
      </c>
      <c r="G1769">
        <v>37</v>
      </c>
      <c r="H1769">
        <v>730</v>
      </c>
      <c r="I1769">
        <v>784</v>
      </c>
      <c r="J1769">
        <v>-54</v>
      </c>
    </row>
    <row r="1770" spans="1:10" x14ac:dyDescent="0.25">
      <c r="A1770">
        <v>89</v>
      </c>
      <c r="B1770" t="s">
        <v>31</v>
      </c>
      <c r="C1770" t="s">
        <v>17</v>
      </c>
      <c r="D1770">
        <v>63</v>
      </c>
      <c r="E1770">
        <v>99</v>
      </c>
      <c r="F1770">
        <v>0.38900000000000001</v>
      </c>
      <c r="G1770">
        <v>47</v>
      </c>
      <c r="H1770">
        <v>752</v>
      </c>
      <c r="I1770">
        <v>934</v>
      </c>
      <c r="J1770">
        <v>-182</v>
      </c>
    </row>
    <row r="1771" spans="1:10" x14ac:dyDescent="0.25">
      <c r="A1771">
        <v>89</v>
      </c>
      <c r="B1771" t="s">
        <v>31</v>
      </c>
      <c r="C1771" t="s">
        <v>18</v>
      </c>
      <c r="D1771">
        <v>44</v>
      </c>
      <c r="E1771">
        <v>118</v>
      </c>
      <c r="F1771">
        <v>0.27200000000000002</v>
      </c>
      <c r="G1771">
        <v>66</v>
      </c>
      <c r="H1771">
        <v>637</v>
      </c>
      <c r="I1771">
        <v>994</v>
      </c>
      <c r="J1771">
        <v>-357</v>
      </c>
    </row>
    <row r="1772" spans="1:10" x14ac:dyDescent="0.25">
      <c r="A1772">
        <v>89</v>
      </c>
      <c r="B1772" t="s">
        <v>32</v>
      </c>
      <c r="C1772" t="s">
        <v>19</v>
      </c>
      <c r="D1772">
        <v>114</v>
      </c>
      <c r="E1772">
        <v>48</v>
      </c>
      <c r="F1772">
        <v>0.70399999999999996</v>
      </c>
      <c r="G1772">
        <v>0</v>
      </c>
      <c r="H1772">
        <v>1097</v>
      </c>
      <c r="I1772">
        <v>688</v>
      </c>
      <c r="J1772">
        <v>409</v>
      </c>
    </row>
    <row r="1773" spans="1:10" x14ac:dyDescent="0.25">
      <c r="A1773">
        <v>89</v>
      </c>
      <c r="B1773" t="s">
        <v>32</v>
      </c>
      <c r="C1773" t="s">
        <v>21</v>
      </c>
      <c r="D1773">
        <v>86</v>
      </c>
      <c r="E1773">
        <v>76</v>
      </c>
      <c r="F1773">
        <v>0.53100000000000003</v>
      </c>
      <c r="G1773">
        <v>28</v>
      </c>
      <c r="H1773">
        <v>931</v>
      </c>
      <c r="I1773">
        <v>863</v>
      </c>
      <c r="J1773">
        <v>68</v>
      </c>
    </row>
    <row r="1774" spans="1:10" x14ac:dyDescent="0.25">
      <c r="A1774">
        <v>89</v>
      </c>
      <c r="B1774" t="s">
        <v>32</v>
      </c>
      <c r="C1774" t="s">
        <v>20</v>
      </c>
      <c r="D1774">
        <v>82</v>
      </c>
      <c r="E1774">
        <v>80</v>
      </c>
      <c r="F1774">
        <v>0.50600000000000001</v>
      </c>
      <c r="G1774">
        <v>32</v>
      </c>
      <c r="H1774">
        <v>890</v>
      </c>
      <c r="I1774">
        <v>806</v>
      </c>
      <c r="J1774">
        <v>84</v>
      </c>
    </row>
    <row r="1775" spans="1:10" x14ac:dyDescent="0.25">
      <c r="A1775">
        <v>89</v>
      </c>
      <c r="B1775" t="s">
        <v>32</v>
      </c>
      <c r="C1775" t="s">
        <v>22</v>
      </c>
      <c r="D1775">
        <v>78</v>
      </c>
      <c r="E1775">
        <v>84</v>
      </c>
      <c r="F1775">
        <v>0.48099999999999998</v>
      </c>
      <c r="G1775">
        <v>36</v>
      </c>
      <c r="H1775">
        <v>990</v>
      </c>
      <c r="I1775">
        <v>968</v>
      </c>
      <c r="J1775">
        <v>22</v>
      </c>
    </row>
    <row r="1776" spans="1:10" x14ac:dyDescent="0.25">
      <c r="A1776">
        <v>89</v>
      </c>
      <c r="B1776" t="s">
        <v>32</v>
      </c>
      <c r="C1776" t="s">
        <v>23</v>
      </c>
      <c r="D1776">
        <v>58</v>
      </c>
      <c r="E1776">
        <v>104</v>
      </c>
      <c r="F1776">
        <v>0.35799999999999998</v>
      </c>
      <c r="G1776">
        <v>56</v>
      </c>
      <c r="H1776">
        <v>705</v>
      </c>
      <c r="I1776">
        <v>1000</v>
      </c>
      <c r="J1776">
        <v>-295</v>
      </c>
    </row>
    <row r="1777" spans="1:10" x14ac:dyDescent="0.25">
      <c r="A1777">
        <v>89</v>
      </c>
      <c r="B1777" t="s">
        <v>33</v>
      </c>
      <c r="C1777" t="s">
        <v>24</v>
      </c>
      <c r="D1777">
        <v>92</v>
      </c>
      <c r="E1777">
        <v>70</v>
      </c>
      <c r="F1777">
        <v>0.56799999999999995</v>
      </c>
      <c r="G1777">
        <v>0</v>
      </c>
      <c r="H1777">
        <v>847</v>
      </c>
      <c r="I1777">
        <v>699</v>
      </c>
      <c r="J1777">
        <v>148</v>
      </c>
    </row>
    <row r="1778" spans="1:10" x14ac:dyDescent="0.25">
      <c r="A1778">
        <v>89</v>
      </c>
      <c r="B1778" t="s">
        <v>33</v>
      </c>
      <c r="C1778" t="s">
        <v>26</v>
      </c>
      <c r="D1778">
        <v>91</v>
      </c>
      <c r="E1778">
        <v>71</v>
      </c>
      <c r="F1778">
        <v>0.56200000000000006</v>
      </c>
      <c r="G1778">
        <v>1</v>
      </c>
      <c r="H1778">
        <v>863</v>
      </c>
      <c r="I1778">
        <v>768</v>
      </c>
      <c r="J1778">
        <v>95</v>
      </c>
    </row>
    <row r="1779" spans="1:10" x14ac:dyDescent="0.25">
      <c r="A1779">
        <v>89</v>
      </c>
      <c r="B1779" t="s">
        <v>33</v>
      </c>
      <c r="C1779" t="s">
        <v>25</v>
      </c>
      <c r="D1779">
        <v>91</v>
      </c>
      <c r="E1779">
        <v>71</v>
      </c>
      <c r="F1779">
        <v>0.56200000000000006</v>
      </c>
      <c r="G1779">
        <v>1</v>
      </c>
      <c r="H1779">
        <v>826</v>
      </c>
      <c r="I1779">
        <v>774</v>
      </c>
      <c r="J1779">
        <v>52</v>
      </c>
    </row>
    <row r="1780" spans="1:10" x14ac:dyDescent="0.25">
      <c r="A1780">
        <v>89</v>
      </c>
      <c r="B1780" t="s">
        <v>33</v>
      </c>
      <c r="C1780" t="s">
        <v>27</v>
      </c>
      <c r="D1780">
        <v>72</v>
      </c>
      <c r="E1780">
        <v>90</v>
      </c>
      <c r="F1780">
        <v>0.44400000000000001</v>
      </c>
      <c r="G1780">
        <v>20</v>
      </c>
      <c r="H1780">
        <v>802</v>
      </c>
      <c r="I1780">
        <v>882</v>
      </c>
      <c r="J1780">
        <v>-80</v>
      </c>
    </row>
    <row r="1781" spans="1:10" x14ac:dyDescent="0.25">
      <c r="A1781">
        <v>89</v>
      </c>
      <c r="B1781" t="s">
        <v>33</v>
      </c>
      <c r="C1781" t="s">
        <v>28</v>
      </c>
      <c r="D1781">
        <v>55</v>
      </c>
      <c r="E1781">
        <v>107</v>
      </c>
      <c r="F1781">
        <v>0.34</v>
      </c>
      <c r="G1781">
        <v>37</v>
      </c>
      <c r="H1781">
        <v>720</v>
      </c>
      <c r="I1781">
        <v>1029</v>
      </c>
      <c r="J1781">
        <v>-309</v>
      </c>
    </row>
    <row r="1782" spans="1:10" x14ac:dyDescent="0.25">
      <c r="A1782">
        <v>90</v>
      </c>
      <c r="B1782" t="s">
        <v>30</v>
      </c>
      <c r="C1782" t="s">
        <v>8</v>
      </c>
      <c r="D1782">
        <v>108</v>
      </c>
      <c r="E1782">
        <v>54</v>
      </c>
      <c r="F1782">
        <v>0.66700000000000004</v>
      </c>
      <c r="G1782">
        <v>0</v>
      </c>
      <c r="H1782">
        <v>960</v>
      </c>
      <c r="I1782">
        <v>682</v>
      </c>
      <c r="J1782">
        <v>278</v>
      </c>
    </row>
    <row r="1783" spans="1:10" x14ac:dyDescent="0.25">
      <c r="A1783">
        <v>90</v>
      </c>
      <c r="B1783" t="s">
        <v>30</v>
      </c>
      <c r="C1783" t="s">
        <v>10</v>
      </c>
      <c r="D1783">
        <v>102</v>
      </c>
      <c r="E1783">
        <v>60</v>
      </c>
      <c r="F1783">
        <v>0.63</v>
      </c>
      <c r="G1783">
        <v>6</v>
      </c>
      <c r="H1783">
        <v>997</v>
      </c>
      <c r="I1783">
        <v>817</v>
      </c>
      <c r="J1783">
        <v>180</v>
      </c>
    </row>
    <row r="1784" spans="1:10" x14ac:dyDescent="0.25">
      <c r="A1784">
        <v>90</v>
      </c>
      <c r="B1784" t="s">
        <v>30</v>
      </c>
      <c r="C1784" t="s">
        <v>12</v>
      </c>
      <c r="D1784">
        <v>85</v>
      </c>
      <c r="E1784">
        <v>77</v>
      </c>
      <c r="F1784">
        <v>0.52500000000000002</v>
      </c>
      <c r="G1784">
        <v>23</v>
      </c>
      <c r="H1784">
        <v>923</v>
      </c>
      <c r="I1784">
        <v>830</v>
      </c>
      <c r="J1784">
        <v>93</v>
      </c>
    </row>
    <row r="1785" spans="1:10" x14ac:dyDescent="0.25">
      <c r="A1785">
        <v>90</v>
      </c>
      <c r="B1785" t="s">
        <v>30</v>
      </c>
      <c r="C1785" t="s">
        <v>11</v>
      </c>
      <c r="D1785">
        <v>77</v>
      </c>
      <c r="E1785">
        <v>85</v>
      </c>
      <c r="F1785">
        <v>0.47499999999999998</v>
      </c>
      <c r="G1785">
        <v>31</v>
      </c>
      <c r="H1785">
        <v>902</v>
      </c>
      <c r="I1785">
        <v>827</v>
      </c>
      <c r="J1785">
        <v>75</v>
      </c>
    </row>
    <row r="1786" spans="1:10" x14ac:dyDescent="0.25">
      <c r="A1786">
        <v>90</v>
      </c>
      <c r="B1786" t="s">
        <v>30</v>
      </c>
      <c r="C1786" t="s">
        <v>13</v>
      </c>
      <c r="D1786">
        <v>71</v>
      </c>
      <c r="E1786">
        <v>91</v>
      </c>
      <c r="F1786">
        <v>0.438</v>
      </c>
      <c r="G1786">
        <v>37</v>
      </c>
      <c r="H1786">
        <v>801</v>
      </c>
      <c r="I1786">
        <v>870</v>
      </c>
      <c r="J1786">
        <v>-69</v>
      </c>
    </row>
    <row r="1787" spans="1:10" x14ac:dyDescent="0.25">
      <c r="A1787">
        <v>90</v>
      </c>
      <c r="B1787" t="s">
        <v>31</v>
      </c>
      <c r="C1787" t="s">
        <v>14</v>
      </c>
      <c r="D1787">
        <v>100</v>
      </c>
      <c r="E1787">
        <v>62</v>
      </c>
      <c r="F1787">
        <v>0.61699999999999999</v>
      </c>
      <c r="G1787">
        <v>0</v>
      </c>
      <c r="H1787">
        <v>923</v>
      </c>
      <c r="I1787">
        <v>773</v>
      </c>
      <c r="J1787">
        <v>150</v>
      </c>
    </row>
    <row r="1788" spans="1:10" x14ac:dyDescent="0.25">
      <c r="A1788">
        <v>90</v>
      </c>
      <c r="B1788" t="s">
        <v>31</v>
      </c>
      <c r="C1788" t="s">
        <v>15</v>
      </c>
      <c r="D1788">
        <v>78</v>
      </c>
      <c r="E1788">
        <v>84</v>
      </c>
      <c r="F1788">
        <v>0.48099999999999998</v>
      </c>
      <c r="G1788">
        <v>22</v>
      </c>
      <c r="H1788">
        <v>945</v>
      </c>
      <c r="I1788">
        <v>1073</v>
      </c>
      <c r="J1788">
        <v>-128</v>
      </c>
    </row>
    <row r="1789" spans="1:10" x14ac:dyDescent="0.25">
      <c r="A1789">
        <v>90</v>
      </c>
      <c r="B1789" t="s">
        <v>31</v>
      </c>
      <c r="C1789" t="s">
        <v>16</v>
      </c>
      <c r="D1789">
        <v>77</v>
      </c>
      <c r="E1789">
        <v>85</v>
      </c>
      <c r="F1789">
        <v>0.47499999999999998</v>
      </c>
      <c r="G1789">
        <v>23</v>
      </c>
      <c r="H1789">
        <v>818</v>
      </c>
      <c r="I1789">
        <v>872</v>
      </c>
      <c r="J1789">
        <v>-54</v>
      </c>
    </row>
    <row r="1790" spans="1:10" x14ac:dyDescent="0.25">
      <c r="A1790">
        <v>90</v>
      </c>
      <c r="B1790" t="s">
        <v>31</v>
      </c>
      <c r="C1790" t="s">
        <v>17</v>
      </c>
      <c r="D1790">
        <v>53</v>
      </c>
      <c r="E1790">
        <v>109</v>
      </c>
      <c r="F1790">
        <v>0.32700000000000001</v>
      </c>
      <c r="G1790">
        <v>47</v>
      </c>
      <c r="H1790">
        <v>861</v>
      </c>
      <c r="I1790">
        <v>1031</v>
      </c>
      <c r="J1790">
        <v>-170</v>
      </c>
    </row>
    <row r="1791" spans="1:10" x14ac:dyDescent="0.25">
      <c r="A1791">
        <v>90</v>
      </c>
      <c r="B1791" t="s">
        <v>31</v>
      </c>
      <c r="C1791" t="s">
        <v>18</v>
      </c>
      <c r="D1791">
        <v>46</v>
      </c>
      <c r="E1791">
        <v>116</v>
      </c>
      <c r="F1791">
        <v>0.28399999999999997</v>
      </c>
      <c r="G1791">
        <v>54</v>
      </c>
      <c r="H1791">
        <v>686</v>
      </c>
      <c r="I1791">
        <v>1031</v>
      </c>
      <c r="J1791">
        <v>-345</v>
      </c>
    </row>
    <row r="1792" spans="1:10" x14ac:dyDescent="0.25">
      <c r="A1792">
        <v>90</v>
      </c>
      <c r="B1792" t="s">
        <v>32</v>
      </c>
      <c r="C1792" t="s">
        <v>19</v>
      </c>
      <c r="D1792">
        <v>116</v>
      </c>
      <c r="E1792">
        <v>46</v>
      </c>
      <c r="F1792">
        <v>0.71599999999999997</v>
      </c>
      <c r="G1792">
        <v>0</v>
      </c>
      <c r="H1792">
        <v>1066</v>
      </c>
      <c r="I1792">
        <v>724</v>
      </c>
      <c r="J1792">
        <v>342</v>
      </c>
    </row>
    <row r="1793" spans="1:10" x14ac:dyDescent="0.25">
      <c r="A1793">
        <v>90</v>
      </c>
      <c r="B1793" t="s">
        <v>32</v>
      </c>
      <c r="C1793" t="s">
        <v>21</v>
      </c>
      <c r="D1793">
        <v>87</v>
      </c>
      <c r="E1793">
        <v>75</v>
      </c>
      <c r="F1793">
        <v>0.53700000000000003</v>
      </c>
      <c r="G1793">
        <v>29</v>
      </c>
      <c r="H1793">
        <v>937</v>
      </c>
      <c r="I1793">
        <v>909</v>
      </c>
      <c r="J1793">
        <v>28</v>
      </c>
    </row>
    <row r="1794" spans="1:10" x14ac:dyDescent="0.25">
      <c r="A1794">
        <v>90</v>
      </c>
      <c r="B1794" t="s">
        <v>32</v>
      </c>
      <c r="C1794" t="s">
        <v>20</v>
      </c>
      <c r="D1794">
        <v>85</v>
      </c>
      <c r="E1794">
        <v>77</v>
      </c>
      <c r="F1794">
        <v>0.52500000000000002</v>
      </c>
      <c r="G1794">
        <v>31</v>
      </c>
      <c r="H1794">
        <v>988</v>
      </c>
      <c r="I1794">
        <v>874</v>
      </c>
      <c r="J1794">
        <v>114</v>
      </c>
    </row>
    <row r="1795" spans="1:10" x14ac:dyDescent="0.25">
      <c r="A1795">
        <v>90</v>
      </c>
      <c r="B1795" t="s">
        <v>32</v>
      </c>
      <c r="C1795" t="s">
        <v>22</v>
      </c>
      <c r="D1795">
        <v>75</v>
      </c>
      <c r="E1795">
        <v>87</v>
      </c>
      <c r="F1795">
        <v>0.46300000000000002</v>
      </c>
      <c r="G1795">
        <v>41</v>
      </c>
      <c r="H1795">
        <v>928</v>
      </c>
      <c r="I1795">
        <v>998</v>
      </c>
      <c r="J1795">
        <v>-70</v>
      </c>
    </row>
    <row r="1796" spans="1:10" x14ac:dyDescent="0.25">
      <c r="A1796">
        <v>90</v>
      </c>
      <c r="B1796" t="s">
        <v>32</v>
      </c>
      <c r="C1796" t="s">
        <v>23</v>
      </c>
      <c r="D1796">
        <v>60</v>
      </c>
      <c r="E1796">
        <v>102</v>
      </c>
      <c r="F1796">
        <v>0.37</v>
      </c>
      <c r="G1796">
        <v>56</v>
      </c>
      <c r="H1796">
        <v>798</v>
      </c>
      <c r="I1796">
        <v>1059</v>
      </c>
      <c r="J1796">
        <v>-261</v>
      </c>
    </row>
    <row r="1797" spans="1:10" x14ac:dyDescent="0.25">
      <c r="A1797">
        <v>90</v>
      </c>
      <c r="B1797" t="s">
        <v>33</v>
      </c>
      <c r="C1797" t="s">
        <v>24</v>
      </c>
      <c r="D1797">
        <v>99</v>
      </c>
      <c r="E1797">
        <v>63</v>
      </c>
      <c r="F1797">
        <v>0.61099999999999999</v>
      </c>
      <c r="G1797">
        <v>0</v>
      </c>
      <c r="H1797">
        <v>865</v>
      </c>
      <c r="I1797">
        <v>673</v>
      </c>
      <c r="J1797">
        <v>192</v>
      </c>
    </row>
    <row r="1798" spans="1:10" x14ac:dyDescent="0.25">
      <c r="A1798">
        <v>90</v>
      </c>
      <c r="B1798" t="s">
        <v>33</v>
      </c>
      <c r="C1798" t="s">
        <v>25</v>
      </c>
      <c r="D1798">
        <v>96</v>
      </c>
      <c r="E1798">
        <v>66</v>
      </c>
      <c r="F1798">
        <v>0.59299999999999997</v>
      </c>
      <c r="G1798">
        <v>3</v>
      </c>
      <c r="H1798">
        <v>872</v>
      </c>
      <c r="I1798">
        <v>794</v>
      </c>
      <c r="J1798">
        <v>78</v>
      </c>
    </row>
    <row r="1799" spans="1:10" x14ac:dyDescent="0.25">
      <c r="A1799">
        <v>90</v>
      </c>
      <c r="B1799" t="s">
        <v>33</v>
      </c>
      <c r="C1799" t="s">
        <v>26</v>
      </c>
      <c r="D1799">
        <v>86</v>
      </c>
      <c r="E1799">
        <v>76</v>
      </c>
      <c r="F1799">
        <v>0.53100000000000003</v>
      </c>
      <c r="G1799">
        <v>13</v>
      </c>
      <c r="H1799">
        <v>855</v>
      </c>
      <c r="I1799">
        <v>811</v>
      </c>
      <c r="J1799">
        <v>44</v>
      </c>
    </row>
    <row r="1800" spans="1:10" x14ac:dyDescent="0.25">
      <c r="A1800">
        <v>90</v>
      </c>
      <c r="B1800" t="s">
        <v>33</v>
      </c>
      <c r="C1800" t="s">
        <v>27</v>
      </c>
      <c r="D1800">
        <v>71</v>
      </c>
      <c r="E1800">
        <v>91</v>
      </c>
      <c r="F1800">
        <v>0.438</v>
      </c>
      <c r="G1800">
        <v>28</v>
      </c>
      <c r="H1800">
        <v>870</v>
      </c>
      <c r="I1800">
        <v>978</v>
      </c>
      <c r="J1800">
        <v>-108</v>
      </c>
    </row>
    <row r="1801" spans="1:10" x14ac:dyDescent="0.25">
      <c r="A1801">
        <v>90</v>
      </c>
      <c r="B1801" t="s">
        <v>33</v>
      </c>
      <c r="C1801" t="s">
        <v>28</v>
      </c>
      <c r="D1801">
        <v>48</v>
      </c>
      <c r="E1801">
        <v>114</v>
      </c>
      <c r="F1801">
        <v>0.29599999999999999</v>
      </c>
      <c r="G1801">
        <v>51</v>
      </c>
      <c r="H1801">
        <v>802</v>
      </c>
      <c r="I1801">
        <v>1171</v>
      </c>
      <c r="J1801">
        <v>-369</v>
      </c>
    </row>
    <row r="1802" spans="1:10" x14ac:dyDescent="0.25">
      <c r="A1802">
        <v>91</v>
      </c>
      <c r="B1802" t="s">
        <v>30</v>
      </c>
      <c r="C1802" t="s">
        <v>8</v>
      </c>
      <c r="D1802">
        <v>104</v>
      </c>
      <c r="E1802">
        <v>58</v>
      </c>
      <c r="F1802">
        <v>0.64200000000000002</v>
      </c>
      <c r="G1802">
        <v>0</v>
      </c>
      <c r="H1802">
        <v>888</v>
      </c>
      <c r="I1802">
        <v>641</v>
      </c>
      <c r="J1802">
        <v>247</v>
      </c>
    </row>
    <row r="1803" spans="1:10" x14ac:dyDescent="0.25">
      <c r="A1803">
        <v>91</v>
      </c>
      <c r="B1803" t="s">
        <v>30</v>
      </c>
      <c r="C1803" t="s">
        <v>10</v>
      </c>
      <c r="D1803">
        <v>100</v>
      </c>
      <c r="E1803">
        <v>62</v>
      </c>
      <c r="F1803">
        <v>0.61699999999999999</v>
      </c>
      <c r="G1803">
        <v>4</v>
      </c>
      <c r="H1803">
        <v>936</v>
      </c>
      <c r="I1803">
        <v>773</v>
      </c>
      <c r="J1803">
        <v>163</v>
      </c>
    </row>
    <row r="1804" spans="1:10" x14ac:dyDescent="0.25">
      <c r="A1804">
        <v>91</v>
      </c>
      <c r="B1804" t="s">
        <v>30</v>
      </c>
      <c r="C1804" t="s">
        <v>12</v>
      </c>
      <c r="D1804">
        <v>83</v>
      </c>
      <c r="E1804">
        <v>79</v>
      </c>
      <c r="F1804">
        <v>0.51200000000000001</v>
      </c>
      <c r="G1804">
        <v>21</v>
      </c>
      <c r="H1804">
        <v>956</v>
      </c>
      <c r="I1804">
        <v>874</v>
      </c>
      <c r="J1804">
        <v>82</v>
      </c>
    </row>
    <row r="1805" spans="1:10" x14ac:dyDescent="0.25">
      <c r="A1805">
        <v>91</v>
      </c>
      <c r="B1805" t="s">
        <v>30</v>
      </c>
      <c r="C1805" t="s">
        <v>13</v>
      </c>
      <c r="D1805">
        <v>83</v>
      </c>
      <c r="E1805">
        <v>79</v>
      </c>
      <c r="F1805">
        <v>0.51200000000000001</v>
      </c>
      <c r="G1805">
        <v>21</v>
      </c>
      <c r="H1805">
        <v>833</v>
      </c>
      <c r="I1805">
        <v>795</v>
      </c>
      <c r="J1805">
        <v>38</v>
      </c>
    </row>
    <row r="1806" spans="1:10" x14ac:dyDescent="0.25">
      <c r="A1806">
        <v>91</v>
      </c>
      <c r="B1806" t="s">
        <v>30</v>
      </c>
      <c r="C1806" t="s">
        <v>11</v>
      </c>
      <c r="D1806">
        <v>82</v>
      </c>
      <c r="E1806">
        <v>80</v>
      </c>
      <c r="F1806">
        <v>0.50600000000000001</v>
      </c>
      <c r="G1806">
        <v>22</v>
      </c>
      <c r="H1806">
        <v>825</v>
      </c>
      <c r="I1806">
        <v>818</v>
      </c>
      <c r="J1806">
        <v>7</v>
      </c>
    </row>
    <row r="1807" spans="1:10" x14ac:dyDescent="0.25">
      <c r="A1807">
        <v>91</v>
      </c>
      <c r="B1807" t="s">
        <v>31</v>
      </c>
      <c r="C1807" t="s">
        <v>14</v>
      </c>
      <c r="D1807">
        <v>112</v>
      </c>
      <c r="E1807">
        <v>50</v>
      </c>
      <c r="F1807">
        <v>0.69099999999999995</v>
      </c>
      <c r="G1807">
        <v>0</v>
      </c>
      <c r="H1807">
        <v>1025</v>
      </c>
      <c r="I1807">
        <v>707</v>
      </c>
      <c r="J1807">
        <v>318</v>
      </c>
    </row>
    <row r="1808" spans="1:10" x14ac:dyDescent="0.25">
      <c r="A1808">
        <v>91</v>
      </c>
      <c r="B1808" t="s">
        <v>31</v>
      </c>
      <c r="C1808" t="s">
        <v>15</v>
      </c>
      <c r="D1808">
        <v>74</v>
      </c>
      <c r="E1808">
        <v>88</v>
      </c>
      <c r="F1808">
        <v>0.45700000000000002</v>
      </c>
      <c r="G1808">
        <v>38</v>
      </c>
      <c r="H1808">
        <v>1063</v>
      </c>
      <c r="I1808">
        <v>1143</v>
      </c>
      <c r="J1808">
        <v>-80</v>
      </c>
    </row>
    <row r="1809" spans="1:10" x14ac:dyDescent="0.25">
      <c r="A1809">
        <v>91</v>
      </c>
      <c r="B1809" t="s">
        <v>31</v>
      </c>
      <c r="C1809" t="s">
        <v>16</v>
      </c>
      <c r="D1809">
        <v>69</v>
      </c>
      <c r="E1809">
        <v>93</v>
      </c>
      <c r="F1809">
        <v>0.42599999999999999</v>
      </c>
      <c r="G1809">
        <v>43</v>
      </c>
      <c r="H1809">
        <v>753</v>
      </c>
      <c r="I1809">
        <v>889</v>
      </c>
      <c r="J1809">
        <v>-136</v>
      </c>
    </row>
    <row r="1810" spans="1:10" x14ac:dyDescent="0.25">
      <c r="A1810">
        <v>91</v>
      </c>
      <c r="B1810" t="s">
        <v>31</v>
      </c>
      <c r="C1810" t="s">
        <v>17</v>
      </c>
      <c r="D1810">
        <v>56</v>
      </c>
      <c r="E1810">
        <v>106</v>
      </c>
      <c r="F1810">
        <v>0.34599999999999997</v>
      </c>
      <c r="G1810">
        <v>56</v>
      </c>
      <c r="H1810">
        <v>814</v>
      </c>
      <c r="I1810">
        <v>1017</v>
      </c>
      <c r="J1810">
        <v>-203</v>
      </c>
    </row>
    <row r="1811" spans="1:10" x14ac:dyDescent="0.25">
      <c r="A1811">
        <v>91</v>
      </c>
      <c r="B1811" t="s">
        <v>31</v>
      </c>
      <c r="C1811" t="s">
        <v>18</v>
      </c>
      <c r="D1811">
        <v>36</v>
      </c>
      <c r="E1811">
        <v>126</v>
      </c>
      <c r="F1811">
        <v>0.222</v>
      </c>
      <c r="G1811">
        <v>76</v>
      </c>
      <c r="H1811">
        <v>643</v>
      </c>
      <c r="I1811">
        <v>1131</v>
      </c>
      <c r="J1811">
        <v>-488</v>
      </c>
    </row>
    <row r="1812" spans="1:10" x14ac:dyDescent="0.25">
      <c r="A1812">
        <v>91</v>
      </c>
      <c r="B1812" t="s">
        <v>32</v>
      </c>
      <c r="C1812" t="s">
        <v>19</v>
      </c>
      <c r="D1812">
        <v>111</v>
      </c>
      <c r="E1812">
        <v>51</v>
      </c>
      <c r="F1812">
        <v>0.68500000000000005</v>
      </c>
      <c r="G1812">
        <v>0</v>
      </c>
      <c r="H1812">
        <v>1155</v>
      </c>
      <c r="I1812">
        <v>822</v>
      </c>
      <c r="J1812">
        <v>333</v>
      </c>
    </row>
    <row r="1813" spans="1:10" x14ac:dyDescent="0.25">
      <c r="A1813">
        <v>91</v>
      </c>
      <c r="B1813" t="s">
        <v>32</v>
      </c>
      <c r="C1813" t="s">
        <v>20</v>
      </c>
      <c r="D1813">
        <v>96</v>
      </c>
      <c r="E1813">
        <v>66</v>
      </c>
      <c r="F1813">
        <v>0.59299999999999997</v>
      </c>
      <c r="G1813">
        <v>15</v>
      </c>
      <c r="H1813">
        <v>938</v>
      </c>
      <c r="I1813">
        <v>821</v>
      </c>
      <c r="J1813">
        <v>117</v>
      </c>
    </row>
    <row r="1814" spans="1:10" x14ac:dyDescent="0.25">
      <c r="A1814">
        <v>91</v>
      </c>
      <c r="B1814" t="s">
        <v>32</v>
      </c>
      <c r="C1814" t="s">
        <v>21</v>
      </c>
      <c r="D1814">
        <v>85</v>
      </c>
      <c r="E1814">
        <v>77</v>
      </c>
      <c r="F1814">
        <v>0.52500000000000002</v>
      </c>
      <c r="G1814">
        <v>26</v>
      </c>
      <c r="H1814">
        <v>984</v>
      </c>
      <c r="I1814">
        <v>940</v>
      </c>
      <c r="J1814">
        <v>44</v>
      </c>
    </row>
    <row r="1815" spans="1:10" x14ac:dyDescent="0.25">
      <c r="A1815">
        <v>91</v>
      </c>
      <c r="B1815" t="s">
        <v>32</v>
      </c>
      <c r="C1815" t="s">
        <v>22</v>
      </c>
      <c r="D1815">
        <v>72</v>
      </c>
      <c r="E1815">
        <v>90</v>
      </c>
      <c r="F1815">
        <v>0.44400000000000001</v>
      </c>
      <c r="G1815">
        <v>39</v>
      </c>
      <c r="H1815">
        <v>894</v>
      </c>
      <c r="I1815">
        <v>930</v>
      </c>
      <c r="J1815">
        <v>-36</v>
      </c>
    </row>
    <row r="1816" spans="1:10" x14ac:dyDescent="0.25">
      <c r="A1816">
        <v>91</v>
      </c>
      <c r="B1816" t="s">
        <v>32</v>
      </c>
      <c r="C1816" t="s">
        <v>23</v>
      </c>
      <c r="D1816">
        <v>59</v>
      </c>
      <c r="E1816">
        <v>103</v>
      </c>
      <c r="F1816">
        <v>0.36399999999999999</v>
      </c>
      <c r="G1816">
        <v>52</v>
      </c>
      <c r="H1816">
        <v>780</v>
      </c>
      <c r="I1816">
        <v>1028</v>
      </c>
      <c r="J1816">
        <v>-248</v>
      </c>
    </row>
    <row r="1817" spans="1:10" x14ac:dyDescent="0.25">
      <c r="A1817">
        <v>91</v>
      </c>
      <c r="B1817" t="s">
        <v>33</v>
      </c>
      <c r="C1817" t="s">
        <v>24</v>
      </c>
      <c r="D1817">
        <v>107</v>
      </c>
      <c r="E1817">
        <v>55</v>
      </c>
      <c r="F1817">
        <v>0.66</v>
      </c>
      <c r="G1817">
        <v>0</v>
      </c>
      <c r="H1817">
        <v>915</v>
      </c>
      <c r="I1817">
        <v>674</v>
      </c>
      <c r="J1817">
        <v>241</v>
      </c>
    </row>
    <row r="1818" spans="1:10" x14ac:dyDescent="0.25">
      <c r="A1818">
        <v>91</v>
      </c>
      <c r="B1818" t="s">
        <v>33</v>
      </c>
      <c r="C1818" t="s">
        <v>25</v>
      </c>
      <c r="D1818">
        <v>89</v>
      </c>
      <c r="E1818">
        <v>73</v>
      </c>
      <c r="F1818">
        <v>0.54900000000000004</v>
      </c>
      <c r="G1818">
        <v>18</v>
      </c>
      <c r="H1818">
        <v>794</v>
      </c>
      <c r="I1818">
        <v>693</v>
      </c>
      <c r="J1818">
        <v>101</v>
      </c>
    </row>
    <row r="1819" spans="1:10" x14ac:dyDescent="0.25">
      <c r="A1819">
        <v>91</v>
      </c>
      <c r="B1819" t="s">
        <v>33</v>
      </c>
      <c r="C1819" t="s">
        <v>26</v>
      </c>
      <c r="D1819">
        <v>80</v>
      </c>
      <c r="E1819">
        <v>82</v>
      </c>
      <c r="F1819">
        <v>0.49399999999999999</v>
      </c>
      <c r="G1819">
        <v>27</v>
      </c>
      <c r="H1819">
        <v>791</v>
      </c>
      <c r="I1819">
        <v>791</v>
      </c>
      <c r="J1819">
        <v>0</v>
      </c>
    </row>
    <row r="1820" spans="1:10" x14ac:dyDescent="0.25">
      <c r="A1820">
        <v>91</v>
      </c>
      <c r="B1820" t="s">
        <v>33</v>
      </c>
      <c r="C1820" t="s">
        <v>27</v>
      </c>
      <c r="D1820">
        <v>74</v>
      </c>
      <c r="E1820">
        <v>88</v>
      </c>
      <c r="F1820">
        <v>0.45700000000000002</v>
      </c>
      <c r="G1820">
        <v>33</v>
      </c>
      <c r="H1820">
        <v>840</v>
      </c>
      <c r="I1820">
        <v>930</v>
      </c>
      <c r="J1820">
        <v>-90</v>
      </c>
    </row>
    <row r="1821" spans="1:10" x14ac:dyDescent="0.25">
      <c r="A1821">
        <v>91</v>
      </c>
      <c r="B1821" t="s">
        <v>33</v>
      </c>
      <c r="C1821" t="s">
        <v>28</v>
      </c>
      <c r="D1821">
        <v>48</v>
      </c>
      <c r="E1821">
        <v>114</v>
      </c>
      <c r="F1821">
        <v>0.29599999999999999</v>
      </c>
      <c r="G1821">
        <v>59</v>
      </c>
      <c r="H1821">
        <v>662</v>
      </c>
      <c r="I1821">
        <v>1072</v>
      </c>
      <c r="J1821">
        <v>-410</v>
      </c>
    </row>
    <row r="1822" spans="1:10" x14ac:dyDescent="0.25">
      <c r="A1822">
        <v>92</v>
      </c>
      <c r="B1822" t="s">
        <v>30</v>
      </c>
      <c r="C1822" t="s">
        <v>12</v>
      </c>
      <c r="D1822">
        <v>90</v>
      </c>
      <c r="E1822">
        <v>72</v>
      </c>
      <c r="F1822">
        <v>0.55600000000000005</v>
      </c>
      <c r="G1822">
        <v>0</v>
      </c>
      <c r="H1822">
        <v>865</v>
      </c>
      <c r="I1822">
        <v>800</v>
      </c>
      <c r="J1822">
        <v>65</v>
      </c>
    </row>
    <row r="1823" spans="1:10" x14ac:dyDescent="0.25">
      <c r="A1823">
        <v>92</v>
      </c>
      <c r="B1823" t="s">
        <v>30</v>
      </c>
      <c r="C1823" t="s">
        <v>8</v>
      </c>
      <c r="D1823">
        <v>90</v>
      </c>
      <c r="E1823">
        <v>72</v>
      </c>
      <c r="F1823">
        <v>0.55600000000000005</v>
      </c>
      <c r="G1823">
        <v>0</v>
      </c>
      <c r="H1823">
        <v>821</v>
      </c>
      <c r="I1823">
        <v>692</v>
      </c>
      <c r="J1823">
        <v>129</v>
      </c>
    </row>
    <row r="1824" spans="1:10" x14ac:dyDescent="0.25">
      <c r="A1824">
        <v>92</v>
      </c>
      <c r="B1824" t="s">
        <v>30</v>
      </c>
      <c r="C1824" t="s">
        <v>11</v>
      </c>
      <c r="D1824">
        <v>87</v>
      </c>
      <c r="E1824">
        <v>75</v>
      </c>
      <c r="F1824">
        <v>0.53700000000000003</v>
      </c>
      <c r="G1824">
        <v>3</v>
      </c>
      <c r="H1824">
        <v>829</v>
      </c>
      <c r="I1824">
        <v>761</v>
      </c>
      <c r="J1824">
        <v>68</v>
      </c>
    </row>
    <row r="1825" spans="1:10" x14ac:dyDescent="0.25">
      <c r="A1825">
        <v>92</v>
      </c>
      <c r="B1825" t="s">
        <v>30</v>
      </c>
      <c r="C1825" t="s">
        <v>10</v>
      </c>
      <c r="D1825">
        <v>85</v>
      </c>
      <c r="E1825">
        <v>77</v>
      </c>
      <c r="F1825">
        <v>0.52500000000000002</v>
      </c>
      <c r="G1825">
        <v>5</v>
      </c>
      <c r="H1825">
        <v>956</v>
      </c>
      <c r="I1825">
        <v>912</v>
      </c>
      <c r="J1825">
        <v>44</v>
      </c>
    </row>
    <row r="1826" spans="1:10" x14ac:dyDescent="0.25">
      <c r="A1826">
        <v>92</v>
      </c>
      <c r="B1826" t="s">
        <v>30</v>
      </c>
      <c r="C1826" t="s">
        <v>13</v>
      </c>
      <c r="D1826">
        <v>73</v>
      </c>
      <c r="E1826">
        <v>89</v>
      </c>
      <c r="F1826">
        <v>0.45100000000000001</v>
      </c>
      <c r="G1826">
        <v>17</v>
      </c>
      <c r="H1826">
        <v>845</v>
      </c>
      <c r="I1826">
        <v>886</v>
      </c>
      <c r="J1826">
        <v>-41</v>
      </c>
    </row>
    <row r="1827" spans="1:10" x14ac:dyDescent="0.25">
      <c r="A1827">
        <v>92</v>
      </c>
      <c r="B1827" t="s">
        <v>31</v>
      </c>
      <c r="C1827" t="s">
        <v>14</v>
      </c>
      <c r="D1827">
        <v>110</v>
      </c>
      <c r="E1827">
        <v>52</v>
      </c>
      <c r="F1827">
        <v>0.67900000000000005</v>
      </c>
      <c r="G1827">
        <v>0</v>
      </c>
      <c r="H1827">
        <v>992</v>
      </c>
      <c r="I1827">
        <v>713</v>
      </c>
      <c r="J1827">
        <v>279</v>
      </c>
    </row>
    <row r="1828" spans="1:10" x14ac:dyDescent="0.25">
      <c r="A1828">
        <v>92</v>
      </c>
      <c r="B1828" t="s">
        <v>31</v>
      </c>
      <c r="C1828" t="s">
        <v>16</v>
      </c>
      <c r="D1828">
        <v>74</v>
      </c>
      <c r="E1828">
        <v>88</v>
      </c>
      <c r="F1828">
        <v>0.45700000000000002</v>
      </c>
      <c r="G1828">
        <v>36</v>
      </c>
      <c r="H1828">
        <v>737</v>
      </c>
      <c r="I1828">
        <v>829</v>
      </c>
      <c r="J1828">
        <v>-92</v>
      </c>
    </row>
    <row r="1829" spans="1:10" x14ac:dyDescent="0.25">
      <c r="A1829">
        <v>92</v>
      </c>
      <c r="B1829" t="s">
        <v>31</v>
      </c>
      <c r="C1829" t="s">
        <v>15</v>
      </c>
      <c r="D1829">
        <v>73</v>
      </c>
      <c r="E1829">
        <v>89</v>
      </c>
      <c r="F1829">
        <v>0.45100000000000001</v>
      </c>
      <c r="G1829">
        <v>37</v>
      </c>
      <c r="H1829">
        <v>987</v>
      </c>
      <c r="I1829">
        <v>1112</v>
      </c>
      <c r="J1829">
        <v>-125</v>
      </c>
    </row>
    <row r="1830" spans="1:10" x14ac:dyDescent="0.25">
      <c r="A1830">
        <v>92</v>
      </c>
      <c r="B1830" t="s">
        <v>31</v>
      </c>
      <c r="C1830" t="s">
        <v>17</v>
      </c>
      <c r="D1830">
        <v>71</v>
      </c>
      <c r="E1830">
        <v>91</v>
      </c>
      <c r="F1830">
        <v>0.438</v>
      </c>
      <c r="G1830">
        <v>39</v>
      </c>
      <c r="H1830">
        <v>807</v>
      </c>
      <c r="I1830">
        <v>938</v>
      </c>
      <c r="J1830">
        <v>-131</v>
      </c>
    </row>
    <row r="1831" spans="1:10" x14ac:dyDescent="0.25">
      <c r="A1831">
        <v>92</v>
      </c>
      <c r="B1831" t="s">
        <v>31</v>
      </c>
      <c r="C1831" t="s">
        <v>18</v>
      </c>
      <c r="D1831">
        <v>41</v>
      </c>
      <c r="E1831">
        <v>121</v>
      </c>
      <c r="F1831">
        <v>0.253</v>
      </c>
      <c r="G1831">
        <v>69</v>
      </c>
      <c r="H1831">
        <v>579</v>
      </c>
      <c r="I1831">
        <v>1042</v>
      </c>
      <c r="J1831">
        <v>-463</v>
      </c>
    </row>
    <row r="1832" spans="1:10" x14ac:dyDescent="0.25">
      <c r="A1832">
        <v>92</v>
      </c>
      <c r="B1832" t="s">
        <v>32</v>
      </c>
      <c r="C1832" t="s">
        <v>19</v>
      </c>
      <c r="D1832">
        <v>101</v>
      </c>
      <c r="E1832">
        <v>61</v>
      </c>
      <c r="F1832">
        <v>0.623</v>
      </c>
      <c r="G1832">
        <v>0</v>
      </c>
      <c r="H1832">
        <v>1035</v>
      </c>
      <c r="I1832">
        <v>747</v>
      </c>
      <c r="J1832">
        <v>288</v>
      </c>
    </row>
    <row r="1833" spans="1:10" x14ac:dyDescent="0.25">
      <c r="A1833">
        <v>92</v>
      </c>
      <c r="B1833" t="s">
        <v>32</v>
      </c>
      <c r="C1833" t="s">
        <v>20</v>
      </c>
      <c r="D1833">
        <v>91</v>
      </c>
      <c r="E1833">
        <v>71</v>
      </c>
      <c r="F1833">
        <v>0.56200000000000006</v>
      </c>
      <c r="G1833">
        <v>10</v>
      </c>
      <c r="H1833">
        <v>958</v>
      </c>
      <c r="I1833">
        <v>884</v>
      </c>
      <c r="J1833">
        <v>74</v>
      </c>
    </row>
    <row r="1834" spans="1:10" x14ac:dyDescent="0.25">
      <c r="A1834">
        <v>92</v>
      </c>
      <c r="B1834" t="s">
        <v>32</v>
      </c>
      <c r="C1834" t="s">
        <v>21</v>
      </c>
      <c r="D1834">
        <v>80</v>
      </c>
      <c r="E1834">
        <v>82</v>
      </c>
      <c r="F1834">
        <v>0.49399999999999999</v>
      </c>
      <c r="G1834">
        <v>21</v>
      </c>
      <c r="H1834">
        <v>951</v>
      </c>
      <c r="I1834">
        <v>897</v>
      </c>
      <c r="J1834">
        <v>54</v>
      </c>
    </row>
    <row r="1835" spans="1:10" x14ac:dyDescent="0.25">
      <c r="A1835">
        <v>92</v>
      </c>
      <c r="B1835" t="s">
        <v>32</v>
      </c>
      <c r="C1835" t="s">
        <v>22</v>
      </c>
      <c r="D1835">
        <v>76</v>
      </c>
      <c r="E1835">
        <v>86</v>
      </c>
      <c r="F1835">
        <v>0.46899999999999997</v>
      </c>
      <c r="G1835">
        <v>25</v>
      </c>
      <c r="H1835">
        <v>840</v>
      </c>
      <c r="I1835">
        <v>962</v>
      </c>
      <c r="J1835">
        <v>-122</v>
      </c>
    </row>
    <row r="1836" spans="1:10" x14ac:dyDescent="0.25">
      <c r="A1836">
        <v>92</v>
      </c>
      <c r="B1836" t="s">
        <v>32</v>
      </c>
      <c r="C1836" t="s">
        <v>23</v>
      </c>
      <c r="D1836">
        <v>52</v>
      </c>
      <c r="E1836">
        <v>110</v>
      </c>
      <c r="F1836">
        <v>0.32100000000000001</v>
      </c>
      <c r="G1836">
        <v>49</v>
      </c>
      <c r="H1836">
        <v>712</v>
      </c>
      <c r="I1836">
        <v>972</v>
      </c>
      <c r="J1836">
        <v>-260</v>
      </c>
    </row>
    <row r="1837" spans="1:10" x14ac:dyDescent="0.25">
      <c r="A1837">
        <v>92</v>
      </c>
      <c r="B1837" t="s">
        <v>33</v>
      </c>
      <c r="C1837" t="s">
        <v>25</v>
      </c>
      <c r="D1837">
        <v>107</v>
      </c>
      <c r="E1837">
        <v>55</v>
      </c>
      <c r="F1837">
        <v>0.66</v>
      </c>
      <c r="G1837">
        <v>0</v>
      </c>
      <c r="H1837">
        <v>836</v>
      </c>
      <c r="I1837">
        <v>642</v>
      </c>
      <c r="J1837">
        <v>194</v>
      </c>
    </row>
    <row r="1838" spans="1:10" x14ac:dyDescent="0.25">
      <c r="A1838">
        <v>92</v>
      </c>
      <c r="B1838" t="s">
        <v>33</v>
      </c>
      <c r="C1838" t="s">
        <v>24</v>
      </c>
      <c r="D1838">
        <v>105</v>
      </c>
      <c r="E1838">
        <v>57</v>
      </c>
      <c r="F1838">
        <v>0.64800000000000002</v>
      </c>
      <c r="G1838">
        <v>2</v>
      </c>
      <c r="H1838">
        <v>958</v>
      </c>
      <c r="I1838">
        <v>694</v>
      </c>
      <c r="J1838">
        <v>264</v>
      </c>
    </row>
    <row r="1839" spans="1:10" x14ac:dyDescent="0.25">
      <c r="A1839">
        <v>92</v>
      </c>
      <c r="B1839" t="s">
        <v>33</v>
      </c>
      <c r="C1839" t="s">
        <v>26</v>
      </c>
      <c r="D1839">
        <v>87</v>
      </c>
      <c r="E1839">
        <v>75</v>
      </c>
      <c r="F1839">
        <v>0.53700000000000003</v>
      </c>
      <c r="G1839">
        <v>20</v>
      </c>
      <c r="H1839">
        <v>893</v>
      </c>
      <c r="I1839">
        <v>817</v>
      </c>
      <c r="J1839">
        <v>76</v>
      </c>
    </row>
    <row r="1840" spans="1:10" x14ac:dyDescent="0.25">
      <c r="A1840">
        <v>92</v>
      </c>
      <c r="B1840" t="s">
        <v>33</v>
      </c>
      <c r="C1840" t="s">
        <v>27</v>
      </c>
      <c r="D1840">
        <v>76</v>
      </c>
      <c r="E1840">
        <v>86</v>
      </c>
      <c r="F1840">
        <v>0.46899999999999997</v>
      </c>
      <c r="G1840">
        <v>31</v>
      </c>
      <c r="H1840">
        <v>825</v>
      </c>
      <c r="I1840">
        <v>861</v>
      </c>
      <c r="J1840">
        <v>-36</v>
      </c>
    </row>
    <row r="1841" spans="1:10" x14ac:dyDescent="0.25">
      <c r="A1841">
        <v>92</v>
      </c>
      <c r="B1841" t="s">
        <v>33</v>
      </c>
      <c r="C1841" t="s">
        <v>28</v>
      </c>
      <c r="D1841">
        <v>51</v>
      </c>
      <c r="E1841">
        <v>111</v>
      </c>
      <c r="F1841">
        <v>0.315</v>
      </c>
      <c r="G1841">
        <v>56</v>
      </c>
      <c r="H1841">
        <v>720</v>
      </c>
      <c r="I1841">
        <v>985</v>
      </c>
      <c r="J1841">
        <v>-265</v>
      </c>
    </row>
    <row r="1842" spans="1:10" x14ac:dyDescent="0.25">
      <c r="A1842">
        <v>93</v>
      </c>
      <c r="B1842" t="s">
        <v>30</v>
      </c>
      <c r="C1842" t="s">
        <v>10</v>
      </c>
      <c r="D1842">
        <v>98</v>
      </c>
      <c r="E1842">
        <v>64</v>
      </c>
      <c r="F1842">
        <v>0.60499999999999998</v>
      </c>
      <c r="G1842">
        <v>0</v>
      </c>
      <c r="H1842">
        <v>1041</v>
      </c>
      <c r="I1842">
        <v>905</v>
      </c>
      <c r="J1842">
        <v>136</v>
      </c>
    </row>
    <row r="1843" spans="1:10" x14ac:dyDescent="0.25">
      <c r="A1843">
        <v>93</v>
      </c>
      <c r="B1843" t="s">
        <v>30</v>
      </c>
      <c r="C1843" t="s">
        <v>8</v>
      </c>
      <c r="D1843">
        <v>97</v>
      </c>
      <c r="E1843">
        <v>65</v>
      </c>
      <c r="F1843">
        <v>0.59899999999999998</v>
      </c>
      <c r="G1843">
        <v>1</v>
      </c>
      <c r="H1843">
        <v>910</v>
      </c>
      <c r="I1843">
        <v>713</v>
      </c>
      <c r="J1843">
        <v>197</v>
      </c>
    </row>
    <row r="1844" spans="1:10" x14ac:dyDescent="0.25">
      <c r="A1844">
        <v>93</v>
      </c>
      <c r="B1844" t="s">
        <v>30</v>
      </c>
      <c r="C1844" t="s">
        <v>12</v>
      </c>
      <c r="D1844">
        <v>89</v>
      </c>
      <c r="E1844">
        <v>73</v>
      </c>
      <c r="F1844">
        <v>0.54900000000000004</v>
      </c>
      <c r="G1844">
        <v>9</v>
      </c>
      <c r="H1844">
        <v>961</v>
      </c>
      <c r="I1844">
        <v>842</v>
      </c>
      <c r="J1844">
        <v>119</v>
      </c>
    </row>
    <row r="1845" spans="1:10" x14ac:dyDescent="0.25">
      <c r="A1845">
        <v>93</v>
      </c>
      <c r="B1845" t="s">
        <v>30</v>
      </c>
      <c r="C1845" t="s">
        <v>11</v>
      </c>
      <c r="D1845">
        <v>87</v>
      </c>
      <c r="E1845">
        <v>75</v>
      </c>
      <c r="F1845">
        <v>0.53700000000000003</v>
      </c>
      <c r="G1845">
        <v>11</v>
      </c>
      <c r="H1845">
        <v>960</v>
      </c>
      <c r="I1845">
        <v>869</v>
      </c>
      <c r="J1845">
        <v>91</v>
      </c>
    </row>
    <row r="1846" spans="1:10" x14ac:dyDescent="0.25">
      <c r="A1846">
        <v>93</v>
      </c>
      <c r="B1846" t="s">
        <v>30</v>
      </c>
      <c r="C1846" t="s">
        <v>13</v>
      </c>
      <c r="D1846">
        <v>71</v>
      </c>
      <c r="E1846">
        <v>91</v>
      </c>
      <c r="F1846">
        <v>0.438</v>
      </c>
      <c r="G1846">
        <v>27</v>
      </c>
      <c r="H1846">
        <v>841</v>
      </c>
      <c r="I1846">
        <v>931</v>
      </c>
      <c r="J1846">
        <v>-90</v>
      </c>
    </row>
    <row r="1847" spans="1:10" x14ac:dyDescent="0.25">
      <c r="A1847">
        <v>93</v>
      </c>
      <c r="B1847" t="s">
        <v>31</v>
      </c>
      <c r="C1847" t="s">
        <v>14</v>
      </c>
      <c r="D1847">
        <v>112</v>
      </c>
      <c r="E1847">
        <v>50</v>
      </c>
      <c r="F1847">
        <v>0.69099999999999995</v>
      </c>
      <c r="G1847">
        <v>0</v>
      </c>
      <c r="H1847">
        <v>1041</v>
      </c>
      <c r="I1847">
        <v>694</v>
      </c>
      <c r="J1847">
        <v>347</v>
      </c>
    </row>
    <row r="1848" spans="1:10" x14ac:dyDescent="0.25">
      <c r="A1848">
        <v>93</v>
      </c>
      <c r="B1848" t="s">
        <v>31</v>
      </c>
      <c r="C1848" t="s">
        <v>15</v>
      </c>
      <c r="D1848">
        <v>73</v>
      </c>
      <c r="E1848">
        <v>89</v>
      </c>
      <c r="F1848">
        <v>0.45100000000000001</v>
      </c>
      <c r="G1848">
        <v>39</v>
      </c>
      <c r="H1848">
        <v>1047</v>
      </c>
      <c r="I1848">
        <v>1211</v>
      </c>
      <c r="J1848">
        <v>-164</v>
      </c>
    </row>
    <row r="1849" spans="1:10" x14ac:dyDescent="0.25">
      <c r="A1849">
        <v>93</v>
      </c>
      <c r="B1849" t="s">
        <v>31</v>
      </c>
      <c r="C1849" t="s">
        <v>16</v>
      </c>
      <c r="D1849">
        <v>73</v>
      </c>
      <c r="E1849">
        <v>89</v>
      </c>
      <c r="F1849">
        <v>0.45100000000000001</v>
      </c>
      <c r="G1849">
        <v>39</v>
      </c>
      <c r="H1849">
        <v>713</v>
      </c>
      <c r="I1849">
        <v>842</v>
      </c>
      <c r="J1849">
        <v>-129</v>
      </c>
    </row>
    <row r="1850" spans="1:10" x14ac:dyDescent="0.25">
      <c r="A1850">
        <v>93</v>
      </c>
      <c r="B1850" t="s">
        <v>31</v>
      </c>
      <c r="C1850" t="s">
        <v>17</v>
      </c>
      <c r="D1850">
        <v>66</v>
      </c>
      <c r="E1850">
        <v>96</v>
      </c>
      <c r="F1850">
        <v>0.40699999999999997</v>
      </c>
      <c r="G1850">
        <v>46</v>
      </c>
      <c r="H1850">
        <v>820</v>
      </c>
      <c r="I1850">
        <v>1004</v>
      </c>
      <c r="J1850">
        <v>-184</v>
      </c>
    </row>
    <row r="1851" spans="1:10" x14ac:dyDescent="0.25">
      <c r="A1851">
        <v>93</v>
      </c>
      <c r="B1851" t="s">
        <v>31</v>
      </c>
      <c r="C1851" t="s">
        <v>18</v>
      </c>
      <c r="D1851">
        <v>41</v>
      </c>
      <c r="E1851">
        <v>121</v>
      </c>
      <c r="F1851">
        <v>0.253</v>
      </c>
      <c r="G1851">
        <v>71</v>
      </c>
      <c r="H1851">
        <v>704</v>
      </c>
      <c r="I1851">
        <v>1101</v>
      </c>
      <c r="J1851">
        <v>-397</v>
      </c>
    </row>
    <row r="1852" spans="1:10" x14ac:dyDescent="0.25">
      <c r="A1852">
        <v>93</v>
      </c>
      <c r="B1852" t="s">
        <v>32</v>
      </c>
      <c r="C1852" t="s">
        <v>19</v>
      </c>
      <c r="D1852">
        <v>100</v>
      </c>
      <c r="E1852">
        <v>62</v>
      </c>
      <c r="F1852">
        <v>0.61699999999999999</v>
      </c>
      <c r="G1852">
        <v>0</v>
      </c>
      <c r="H1852">
        <v>995</v>
      </c>
      <c r="I1852">
        <v>723</v>
      </c>
      <c r="J1852">
        <v>272</v>
      </c>
    </row>
    <row r="1853" spans="1:10" x14ac:dyDescent="0.25">
      <c r="A1853">
        <v>93</v>
      </c>
      <c r="B1853" t="s">
        <v>32</v>
      </c>
      <c r="C1853" t="s">
        <v>20</v>
      </c>
      <c r="D1853">
        <v>99</v>
      </c>
      <c r="E1853">
        <v>63</v>
      </c>
      <c r="F1853">
        <v>0.61099999999999999</v>
      </c>
      <c r="G1853">
        <v>1</v>
      </c>
      <c r="H1853">
        <v>982</v>
      </c>
      <c r="I1853">
        <v>815</v>
      </c>
      <c r="J1853">
        <v>167</v>
      </c>
    </row>
    <row r="1854" spans="1:10" x14ac:dyDescent="0.25">
      <c r="A1854">
        <v>93</v>
      </c>
      <c r="B1854" t="s">
        <v>32</v>
      </c>
      <c r="C1854" t="s">
        <v>21</v>
      </c>
      <c r="D1854">
        <v>74</v>
      </c>
      <c r="E1854">
        <v>88</v>
      </c>
      <c r="F1854">
        <v>0.45700000000000002</v>
      </c>
      <c r="G1854">
        <v>26</v>
      </c>
      <c r="H1854">
        <v>913</v>
      </c>
      <c r="I1854">
        <v>989</v>
      </c>
      <c r="J1854">
        <v>-76</v>
      </c>
    </row>
    <row r="1855" spans="1:10" x14ac:dyDescent="0.25">
      <c r="A1855">
        <v>93</v>
      </c>
      <c r="B1855" t="s">
        <v>32</v>
      </c>
      <c r="C1855" t="s">
        <v>22</v>
      </c>
      <c r="D1855">
        <v>71</v>
      </c>
      <c r="E1855">
        <v>91</v>
      </c>
      <c r="F1855">
        <v>0.438</v>
      </c>
      <c r="G1855">
        <v>29</v>
      </c>
      <c r="H1855">
        <v>834</v>
      </c>
      <c r="I1855">
        <v>912</v>
      </c>
      <c r="J1855">
        <v>-78</v>
      </c>
    </row>
    <row r="1856" spans="1:10" x14ac:dyDescent="0.25">
      <c r="A1856">
        <v>93</v>
      </c>
      <c r="B1856" t="s">
        <v>32</v>
      </c>
      <c r="C1856" t="s">
        <v>23</v>
      </c>
      <c r="D1856">
        <v>56</v>
      </c>
      <c r="E1856">
        <v>106</v>
      </c>
      <c r="F1856">
        <v>0.34599999999999997</v>
      </c>
      <c r="G1856">
        <v>44</v>
      </c>
      <c r="H1856">
        <v>777</v>
      </c>
      <c r="I1856">
        <v>1018</v>
      </c>
      <c r="J1856">
        <v>-241</v>
      </c>
    </row>
    <row r="1857" spans="1:10" x14ac:dyDescent="0.25">
      <c r="A1857">
        <v>93</v>
      </c>
      <c r="B1857" t="s">
        <v>33</v>
      </c>
      <c r="C1857" t="s">
        <v>24</v>
      </c>
      <c r="D1857">
        <v>103</v>
      </c>
      <c r="E1857">
        <v>59</v>
      </c>
      <c r="F1857">
        <v>0.63600000000000001</v>
      </c>
      <c r="G1857">
        <v>0</v>
      </c>
      <c r="H1857">
        <v>921</v>
      </c>
      <c r="I1857">
        <v>701</v>
      </c>
      <c r="J1857">
        <v>220</v>
      </c>
    </row>
    <row r="1858" spans="1:10" x14ac:dyDescent="0.25">
      <c r="A1858">
        <v>93</v>
      </c>
      <c r="B1858" t="s">
        <v>33</v>
      </c>
      <c r="C1858" t="s">
        <v>26</v>
      </c>
      <c r="D1858">
        <v>94</v>
      </c>
      <c r="E1858">
        <v>68</v>
      </c>
      <c r="F1858">
        <v>0.57999999999999996</v>
      </c>
      <c r="G1858">
        <v>9</v>
      </c>
      <c r="H1858">
        <v>897</v>
      </c>
      <c r="I1858">
        <v>799</v>
      </c>
      <c r="J1858">
        <v>98</v>
      </c>
    </row>
    <row r="1859" spans="1:10" x14ac:dyDescent="0.25">
      <c r="A1859">
        <v>93</v>
      </c>
      <c r="B1859" t="s">
        <v>33</v>
      </c>
      <c r="C1859" t="s">
        <v>25</v>
      </c>
      <c r="D1859">
        <v>86</v>
      </c>
      <c r="E1859">
        <v>76</v>
      </c>
      <c r="F1859">
        <v>0.53100000000000003</v>
      </c>
      <c r="G1859">
        <v>17</v>
      </c>
      <c r="H1859">
        <v>797</v>
      </c>
      <c r="I1859">
        <v>755</v>
      </c>
      <c r="J1859">
        <v>42</v>
      </c>
    </row>
    <row r="1860" spans="1:10" x14ac:dyDescent="0.25">
      <c r="A1860">
        <v>93</v>
      </c>
      <c r="B1860" t="s">
        <v>33</v>
      </c>
      <c r="C1860" t="s">
        <v>27</v>
      </c>
      <c r="D1860">
        <v>73</v>
      </c>
      <c r="E1860">
        <v>89</v>
      </c>
      <c r="F1860">
        <v>0.45100000000000001</v>
      </c>
      <c r="G1860">
        <v>30</v>
      </c>
      <c r="H1860">
        <v>823</v>
      </c>
      <c r="I1860">
        <v>853</v>
      </c>
      <c r="J1860">
        <v>-30</v>
      </c>
    </row>
    <row r="1861" spans="1:10" x14ac:dyDescent="0.25">
      <c r="A1861">
        <v>93</v>
      </c>
      <c r="B1861" t="s">
        <v>33</v>
      </c>
      <c r="C1861" t="s">
        <v>28</v>
      </c>
      <c r="D1861">
        <v>57</v>
      </c>
      <c r="E1861">
        <v>105</v>
      </c>
      <c r="F1861">
        <v>0.35199999999999998</v>
      </c>
      <c r="G1861">
        <v>46</v>
      </c>
      <c r="H1861">
        <v>768</v>
      </c>
      <c r="I1861">
        <v>1068</v>
      </c>
      <c r="J1861">
        <v>-300</v>
      </c>
    </row>
    <row r="1862" spans="1:10" x14ac:dyDescent="0.25">
      <c r="A1862">
        <v>94</v>
      </c>
      <c r="B1862" t="s">
        <v>30</v>
      </c>
      <c r="C1862" t="s">
        <v>8</v>
      </c>
      <c r="D1862">
        <v>95</v>
      </c>
      <c r="E1862">
        <v>67</v>
      </c>
      <c r="F1862">
        <v>0.58599999999999997</v>
      </c>
      <c r="G1862">
        <v>0</v>
      </c>
      <c r="H1862">
        <v>924</v>
      </c>
      <c r="I1862">
        <v>741</v>
      </c>
      <c r="J1862">
        <v>183</v>
      </c>
    </row>
    <row r="1863" spans="1:10" x14ac:dyDescent="0.25">
      <c r="A1863">
        <v>94</v>
      </c>
      <c r="B1863" t="s">
        <v>30</v>
      </c>
      <c r="C1863" t="s">
        <v>10</v>
      </c>
      <c r="D1863">
        <v>93</v>
      </c>
      <c r="E1863">
        <v>69</v>
      </c>
      <c r="F1863">
        <v>0.57399999999999995</v>
      </c>
      <c r="G1863">
        <v>2</v>
      </c>
      <c r="H1863">
        <v>969</v>
      </c>
      <c r="I1863">
        <v>846</v>
      </c>
      <c r="J1863">
        <v>123</v>
      </c>
    </row>
    <row r="1864" spans="1:10" x14ac:dyDescent="0.25">
      <c r="A1864">
        <v>94</v>
      </c>
      <c r="B1864" t="s">
        <v>30</v>
      </c>
      <c r="C1864" t="s">
        <v>11</v>
      </c>
      <c r="D1864">
        <v>89</v>
      </c>
      <c r="E1864">
        <v>73</v>
      </c>
      <c r="F1864">
        <v>0.54900000000000004</v>
      </c>
      <c r="G1864">
        <v>6</v>
      </c>
      <c r="H1864">
        <v>904</v>
      </c>
      <c r="I1864">
        <v>783</v>
      </c>
      <c r="J1864">
        <v>121</v>
      </c>
    </row>
    <row r="1865" spans="1:10" x14ac:dyDescent="0.25">
      <c r="A1865">
        <v>94</v>
      </c>
      <c r="B1865" t="s">
        <v>30</v>
      </c>
      <c r="C1865" t="s">
        <v>12</v>
      </c>
      <c r="D1865">
        <v>88</v>
      </c>
      <c r="E1865">
        <v>74</v>
      </c>
      <c r="F1865">
        <v>0.54300000000000004</v>
      </c>
      <c r="G1865">
        <v>7</v>
      </c>
      <c r="H1865">
        <v>943</v>
      </c>
      <c r="I1865">
        <v>840</v>
      </c>
      <c r="J1865">
        <v>103</v>
      </c>
    </row>
    <row r="1866" spans="1:10" x14ac:dyDescent="0.25">
      <c r="A1866">
        <v>94</v>
      </c>
      <c r="B1866" t="s">
        <v>30</v>
      </c>
      <c r="C1866" t="s">
        <v>13</v>
      </c>
      <c r="D1866">
        <v>71</v>
      </c>
      <c r="E1866">
        <v>91</v>
      </c>
      <c r="F1866">
        <v>0.438</v>
      </c>
      <c r="G1866">
        <v>24</v>
      </c>
      <c r="H1866">
        <v>729</v>
      </c>
      <c r="I1866">
        <v>876</v>
      </c>
      <c r="J1866">
        <v>-147</v>
      </c>
    </row>
    <row r="1867" spans="1:10" x14ac:dyDescent="0.25">
      <c r="A1867">
        <v>94</v>
      </c>
      <c r="B1867" t="s">
        <v>31</v>
      </c>
      <c r="C1867" t="s">
        <v>14</v>
      </c>
      <c r="D1867">
        <v>109</v>
      </c>
      <c r="E1867">
        <v>53</v>
      </c>
      <c r="F1867">
        <v>0.67300000000000004</v>
      </c>
      <c r="G1867">
        <v>0</v>
      </c>
      <c r="H1867">
        <v>991</v>
      </c>
      <c r="I1867">
        <v>704</v>
      </c>
      <c r="J1867">
        <v>287</v>
      </c>
    </row>
    <row r="1868" spans="1:10" x14ac:dyDescent="0.25">
      <c r="A1868">
        <v>94</v>
      </c>
      <c r="B1868" t="s">
        <v>31</v>
      </c>
      <c r="C1868" t="s">
        <v>17</v>
      </c>
      <c r="D1868">
        <v>71</v>
      </c>
      <c r="E1868">
        <v>91</v>
      </c>
      <c r="F1868">
        <v>0.438</v>
      </c>
      <c r="G1868">
        <v>38</v>
      </c>
      <c r="H1868">
        <v>865</v>
      </c>
      <c r="I1868">
        <v>966</v>
      </c>
      <c r="J1868">
        <v>-101</v>
      </c>
    </row>
    <row r="1869" spans="1:10" x14ac:dyDescent="0.25">
      <c r="A1869">
        <v>94</v>
      </c>
      <c r="B1869" t="s">
        <v>31</v>
      </c>
      <c r="C1869" t="s">
        <v>15</v>
      </c>
      <c r="D1869">
        <v>69</v>
      </c>
      <c r="E1869">
        <v>93</v>
      </c>
      <c r="F1869">
        <v>0.42599999999999999</v>
      </c>
      <c r="G1869">
        <v>40</v>
      </c>
      <c r="H1869">
        <v>982</v>
      </c>
      <c r="I1869">
        <v>1242</v>
      </c>
      <c r="J1869">
        <v>-260</v>
      </c>
    </row>
    <row r="1870" spans="1:10" x14ac:dyDescent="0.25">
      <c r="A1870">
        <v>94</v>
      </c>
      <c r="B1870" t="s">
        <v>31</v>
      </c>
      <c r="C1870" t="s">
        <v>16</v>
      </c>
      <c r="D1870">
        <v>69</v>
      </c>
      <c r="E1870">
        <v>93</v>
      </c>
      <c r="F1870">
        <v>0.42599999999999999</v>
      </c>
      <c r="G1870">
        <v>40</v>
      </c>
      <c r="H1870">
        <v>722</v>
      </c>
      <c r="I1870">
        <v>889</v>
      </c>
      <c r="J1870">
        <v>-167</v>
      </c>
    </row>
    <row r="1871" spans="1:10" x14ac:dyDescent="0.25">
      <c r="A1871">
        <v>94</v>
      </c>
      <c r="B1871" t="s">
        <v>31</v>
      </c>
      <c r="C1871" t="s">
        <v>18</v>
      </c>
      <c r="D1871">
        <v>45</v>
      </c>
      <c r="E1871">
        <v>117</v>
      </c>
      <c r="F1871">
        <v>0.27800000000000002</v>
      </c>
      <c r="G1871">
        <v>64</v>
      </c>
      <c r="H1871">
        <v>616</v>
      </c>
      <c r="I1871">
        <v>982</v>
      </c>
      <c r="J1871">
        <v>-366</v>
      </c>
    </row>
    <row r="1872" spans="1:10" x14ac:dyDescent="0.25">
      <c r="A1872">
        <v>94</v>
      </c>
      <c r="B1872" t="s">
        <v>32</v>
      </c>
      <c r="C1872" t="s">
        <v>19</v>
      </c>
      <c r="D1872">
        <v>102</v>
      </c>
      <c r="E1872">
        <v>60</v>
      </c>
      <c r="F1872">
        <v>0.63</v>
      </c>
      <c r="G1872">
        <v>0</v>
      </c>
      <c r="H1872">
        <v>1059</v>
      </c>
      <c r="I1872">
        <v>781</v>
      </c>
      <c r="J1872">
        <v>278</v>
      </c>
    </row>
    <row r="1873" spans="1:10" x14ac:dyDescent="0.25">
      <c r="A1873">
        <v>94</v>
      </c>
      <c r="B1873" t="s">
        <v>32</v>
      </c>
      <c r="C1873" t="s">
        <v>20</v>
      </c>
      <c r="D1873">
        <v>97</v>
      </c>
      <c r="E1873">
        <v>65</v>
      </c>
      <c r="F1873">
        <v>0.59899999999999998</v>
      </c>
      <c r="G1873">
        <v>5</v>
      </c>
      <c r="H1873">
        <v>1002</v>
      </c>
      <c r="I1873">
        <v>832</v>
      </c>
      <c r="J1873">
        <v>170</v>
      </c>
    </row>
    <row r="1874" spans="1:10" x14ac:dyDescent="0.25">
      <c r="A1874">
        <v>94</v>
      </c>
      <c r="B1874" t="s">
        <v>32</v>
      </c>
      <c r="C1874" t="s">
        <v>21</v>
      </c>
      <c r="D1874">
        <v>91</v>
      </c>
      <c r="E1874">
        <v>71</v>
      </c>
      <c r="F1874">
        <v>0.56200000000000006</v>
      </c>
      <c r="G1874">
        <v>11</v>
      </c>
      <c r="H1874">
        <v>1017</v>
      </c>
      <c r="I1874">
        <v>846</v>
      </c>
      <c r="J1874">
        <v>171</v>
      </c>
    </row>
    <row r="1875" spans="1:10" x14ac:dyDescent="0.25">
      <c r="A1875">
        <v>94</v>
      </c>
      <c r="B1875" t="s">
        <v>32</v>
      </c>
      <c r="C1875" t="s">
        <v>22</v>
      </c>
      <c r="D1875">
        <v>71</v>
      </c>
      <c r="E1875">
        <v>91</v>
      </c>
      <c r="F1875">
        <v>0.438</v>
      </c>
      <c r="G1875">
        <v>31</v>
      </c>
      <c r="H1875">
        <v>840</v>
      </c>
      <c r="I1875">
        <v>964</v>
      </c>
      <c r="J1875">
        <v>-124</v>
      </c>
    </row>
    <row r="1876" spans="1:10" x14ac:dyDescent="0.25">
      <c r="A1876">
        <v>94</v>
      </c>
      <c r="B1876" t="s">
        <v>32</v>
      </c>
      <c r="C1876" t="s">
        <v>23</v>
      </c>
      <c r="D1876">
        <v>53</v>
      </c>
      <c r="E1876">
        <v>109</v>
      </c>
      <c r="F1876">
        <v>0.32700000000000001</v>
      </c>
      <c r="G1876">
        <v>49</v>
      </c>
      <c r="H1876">
        <v>769</v>
      </c>
      <c r="I1876">
        <v>1039</v>
      </c>
      <c r="J1876">
        <v>-270</v>
      </c>
    </row>
    <row r="1877" spans="1:10" x14ac:dyDescent="0.25">
      <c r="A1877">
        <v>94</v>
      </c>
      <c r="B1877" t="s">
        <v>33</v>
      </c>
      <c r="C1877" t="s">
        <v>24</v>
      </c>
      <c r="D1877">
        <v>98</v>
      </c>
      <c r="E1877">
        <v>64</v>
      </c>
      <c r="F1877">
        <v>0.60499999999999998</v>
      </c>
      <c r="G1877">
        <v>0</v>
      </c>
      <c r="H1877">
        <v>913</v>
      </c>
      <c r="I1877">
        <v>697</v>
      </c>
      <c r="J1877">
        <v>216</v>
      </c>
    </row>
    <row r="1878" spans="1:10" x14ac:dyDescent="0.25">
      <c r="A1878">
        <v>94</v>
      </c>
      <c r="B1878" t="s">
        <v>33</v>
      </c>
      <c r="C1878" t="s">
        <v>25</v>
      </c>
      <c r="D1878">
        <v>98</v>
      </c>
      <c r="E1878">
        <v>64</v>
      </c>
      <c r="F1878">
        <v>0.60499999999999998</v>
      </c>
      <c r="G1878">
        <v>0</v>
      </c>
      <c r="H1878">
        <v>860</v>
      </c>
      <c r="I1878">
        <v>706</v>
      </c>
      <c r="J1878">
        <v>154</v>
      </c>
    </row>
    <row r="1879" spans="1:10" x14ac:dyDescent="0.25">
      <c r="A1879">
        <v>94</v>
      </c>
      <c r="B1879" t="s">
        <v>33</v>
      </c>
      <c r="C1879" t="s">
        <v>26</v>
      </c>
      <c r="D1879">
        <v>85</v>
      </c>
      <c r="E1879">
        <v>77</v>
      </c>
      <c r="F1879">
        <v>0.52500000000000002</v>
      </c>
      <c r="G1879">
        <v>13</v>
      </c>
      <c r="H1879">
        <v>890</v>
      </c>
      <c r="I1879">
        <v>854</v>
      </c>
      <c r="J1879">
        <v>36</v>
      </c>
    </row>
    <row r="1880" spans="1:10" x14ac:dyDescent="0.25">
      <c r="A1880">
        <v>94</v>
      </c>
      <c r="B1880" t="s">
        <v>33</v>
      </c>
      <c r="C1880" t="s">
        <v>27</v>
      </c>
      <c r="D1880">
        <v>71</v>
      </c>
      <c r="E1880">
        <v>91</v>
      </c>
      <c r="F1880">
        <v>0.438</v>
      </c>
      <c r="G1880">
        <v>27</v>
      </c>
      <c r="H1880">
        <v>793</v>
      </c>
      <c r="I1880">
        <v>910</v>
      </c>
      <c r="J1880">
        <v>-117</v>
      </c>
    </row>
    <row r="1881" spans="1:10" x14ac:dyDescent="0.25">
      <c r="A1881">
        <v>94</v>
      </c>
      <c r="B1881" t="s">
        <v>33</v>
      </c>
      <c r="C1881" t="s">
        <v>28</v>
      </c>
      <c r="D1881">
        <v>55</v>
      </c>
      <c r="E1881">
        <v>107</v>
      </c>
      <c r="F1881">
        <v>0.34</v>
      </c>
      <c r="G1881">
        <v>43</v>
      </c>
      <c r="H1881">
        <v>737</v>
      </c>
      <c r="I1881">
        <v>1027</v>
      </c>
      <c r="J1881">
        <v>-290</v>
      </c>
    </row>
    <row r="1882" spans="1:10" x14ac:dyDescent="0.25">
      <c r="A1882">
        <v>95</v>
      </c>
      <c r="B1882" t="s">
        <v>30</v>
      </c>
      <c r="C1882" t="s">
        <v>8</v>
      </c>
      <c r="D1882">
        <v>104</v>
      </c>
      <c r="E1882">
        <v>58</v>
      </c>
      <c r="F1882">
        <v>0.64200000000000002</v>
      </c>
      <c r="G1882">
        <v>0</v>
      </c>
      <c r="H1882">
        <v>868</v>
      </c>
      <c r="I1882">
        <v>665</v>
      </c>
      <c r="J1882">
        <v>203</v>
      </c>
    </row>
    <row r="1883" spans="1:10" x14ac:dyDescent="0.25">
      <c r="A1883">
        <v>95</v>
      </c>
      <c r="B1883" t="s">
        <v>30</v>
      </c>
      <c r="C1883" t="s">
        <v>12</v>
      </c>
      <c r="D1883">
        <v>101</v>
      </c>
      <c r="E1883">
        <v>61</v>
      </c>
      <c r="F1883">
        <v>0.623</v>
      </c>
      <c r="G1883">
        <v>3</v>
      </c>
      <c r="H1883">
        <v>939</v>
      </c>
      <c r="I1883">
        <v>833</v>
      </c>
      <c r="J1883">
        <v>106</v>
      </c>
    </row>
    <row r="1884" spans="1:10" x14ac:dyDescent="0.25">
      <c r="A1884">
        <v>95</v>
      </c>
      <c r="B1884" t="s">
        <v>30</v>
      </c>
      <c r="C1884" t="s">
        <v>11</v>
      </c>
      <c r="D1884">
        <v>91</v>
      </c>
      <c r="E1884">
        <v>71</v>
      </c>
      <c r="F1884">
        <v>0.56200000000000006</v>
      </c>
      <c r="G1884">
        <v>13</v>
      </c>
      <c r="H1884">
        <v>825</v>
      </c>
      <c r="I1884">
        <v>756</v>
      </c>
      <c r="J1884">
        <v>69</v>
      </c>
    </row>
    <row r="1885" spans="1:10" x14ac:dyDescent="0.25">
      <c r="A1885">
        <v>95</v>
      </c>
      <c r="B1885" t="s">
        <v>30</v>
      </c>
      <c r="C1885" t="s">
        <v>10</v>
      </c>
      <c r="D1885">
        <v>88</v>
      </c>
      <c r="E1885">
        <v>74</v>
      </c>
      <c r="F1885">
        <v>0.54300000000000004</v>
      </c>
      <c r="G1885">
        <v>16</v>
      </c>
      <c r="H1885">
        <v>1009</v>
      </c>
      <c r="I1885">
        <v>911</v>
      </c>
      <c r="J1885">
        <v>98</v>
      </c>
    </row>
    <row r="1886" spans="1:10" x14ac:dyDescent="0.25">
      <c r="A1886">
        <v>95</v>
      </c>
      <c r="B1886" t="s">
        <v>30</v>
      </c>
      <c r="C1886" t="s">
        <v>13</v>
      </c>
      <c r="D1886">
        <v>73</v>
      </c>
      <c r="E1886">
        <v>89</v>
      </c>
      <c r="F1886">
        <v>0.45100000000000001</v>
      </c>
      <c r="G1886">
        <v>31</v>
      </c>
      <c r="H1886">
        <v>814</v>
      </c>
      <c r="I1886">
        <v>888</v>
      </c>
      <c r="J1886">
        <v>-74</v>
      </c>
    </row>
    <row r="1887" spans="1:10" x14ac:dyDescent="0.25">
      <c r="A1887">
        <v>95</v>
      </c>
      <c r="B1887" t="s">
        <v>31</v>
      </c>
      <c r="C1887" t="s">
        <v>14</v>
      </c>
      <c r="D1887">
        <v>107</v>
      </c>
      <c r="E1887">
        <v>55</v>
      </c>
      <c r="F1887">
        <v>0.66</v>
      </c>
      <c r="G1887">
        <v>0</v>
      </c>
      <c r="H1887">
        <v>962</v>
      </c>
      <c r="I1887">
        <v>686</v>
      </c>
      <c r="J1887">
        <v>276</v>
      </c>
    </row>
    <row r="1888" spans="1:10" x14ac:dyDescent="0.25">
      <c r="A1888">
        <v>95</v>
      </c>
      <c r="B1888" t="s">
        <v>31</v>
      </c>
      <c r="C1888" t="s">
        <v>16</v>
      </c>
      <c r="D1888">
        <v>77</v>
      </c>
      <c r="E1888">
        <v>85</v>
      </c>
      <c r="F1888">
        <v>0.47499999999999998</v>
      </c>
      <c r="G1888">
        <v>30</v>
      </c>
      <c r="H1888">
        <v>776</v>
      </c>
      <c r="I1888">
        <v>855</v>
      </c>
      <c r="J1888">
        <v>-79</v>
      </c>
    </row>
    <row r="1889" spans="1:10" x14ac:dyDescent="0.25">
      <c r="A1889">
        <v>95</v>
      </c>
      <c r="B1889" t="s">
        <v>31</v>
      </c>
      <c r="C1889" t="s">
        <v>17</v>
      </c>
      <c r="D1889">
        <v>66</v>
      </c>
      <c r="E1889">
        <v>96</v>
      </c>
      <c r="F1889">
        <v>0.40699999999999997</v>
      </c>
      <c r="G1889">
        <v>41</v>
      </c>
      <c r="H1889">
        <v>820</v>
      </c>
      <c r="I1889">
        <v>1028</v>
      </c>
      <c r="J1889">
        <v>-208</v>
      </c>
    </row>
    <row r="1890" spans="1:10" x14ac:dyDescent="0.25">
      <c r="A1890">
        <v>95</v>
      </c>
      <c r="B1890" t="s">
        <v>31</v>
      </c>
      <c r="C1890" t="s">
        <v>15</v>
      </c>
      <c r="D1890">
        <v>59</v>
      </c>
      <c r="E1890">
        <v>103</v>
      </c>
      <c r="F1890">
        <v>0.36399999999999999</v>
      </c>
      <c r="G1890">
        <v>48</v>
      </c>
      <c r="H1890">
        <v>999</v>
      </c>
      <c r="I1890">
        <v>1315</v>
      </c>
      <c r="J1890">
        <v>-316</v>
      </c>
    </row>
    <row r="1891" spans="1:10" x14ac:dyDescent="0.25">
      <c r="A1891">
        <v>95</v>
      </c>
      <c r="B1891" t="s">
        <v>31</v>
      </c>
      <c r="C1891" t="s">
        <v>18</v>
      </c>
      <c r="D1891">
        <v>55</v>
      </c>
      <c r="E1891">
        <v>107</v>
      </c>
      <c r="F1891">
        <v>0.34</v>
      </c>
      <c r="G1891">
        <v>52</v>
      </c>
      <c r="H1891">
        <v>686</v>
      </c>
      <c r="I1891">
        <v>951</v>
      </c>
      <c r="J1891">
        <v>-265</v>
      </c>
    </row>
    <row r="1892" spans="1:10" x14ac:dyDescent="0.25">
      <c r="A1892">
        <v>95</v>
      </c>
      <c r="B1892" t="s">
        <v>32</v>
      </c>
      <c r="C1892" t="s">
        <v>19</v>
      </c>
      <c r="D1892">
        <v>112</v>
      </c>
      <c r="E1892">
        <v>50</v>
      </c>
      <c r="F1892">
        <v>0.69099999999999995</v>
      </c>
      <c r="G1892">
        <v>0</v>
      </c>
      <c r="H1892">
        <v>1104</v>
      </c>
      <c r="I1892">
        <v>771</v>
      </c>
      <c r="J1892">
        <v>333</v>
      </c>
    </row>
    <row r="1893" spans="1:10" x14ac:dyDescent="0.25">
      <c r="A1893">
        <v>95</v>
      </c>
      <c r="B1893" t="s">
        <v>32</v>
      </c>
      <c r="C1893" t="s">
        <v>20</v>
      </c>
      <c r="D1893">
        <v>96</v>
      </c>
      <c r="E1893">
        <v>66</v>
      </c>
      <c r="F1893">
        <v>0.59299999999999997</v>
      </c>
      <c r="G1893">
        <v>16</v>
      </c>
      <c r="H1893">
        <v>999</v>
      </c>
      <c r="I1893">
        <v>830</v>
      </c>
      <c r="J1893">
        <v>169</v>
      </c>
    </row>
    <row r="1894" spans="1:10" x14ac:dyDescent="0.25">
      <c r="A1894">
        <v>95</v>
      </c>
      <c r="B1894" t="s">
        <v>32</v>
      </c>
      <c r="C1894" t="s">
        <v>21</v>
      </c>
      <c r="D1894">
        <v>87</v>
      </c>
      <c r="E1894">
        <v>75</v>
      </c>
      <c r="F1894">
        <v>0.53700000000000003</v>
      </c>
      <c r="G1894">
        <v>25</v>
      </c>
      <c r="H1894">
        <v>959</v>
      </c>
      <c r="I1894">
        <v>874</v>
      </c>
      <c r="J1894">
        <v>85</v>
      </c>
    </row>
    <row r="1895" spans="1:10" x14ac:dyDescent="0.25">
      <c r="A1895">
        <v>95</v>
      </c>
      <c r="B1895" t="s">
        <v>32</v>
      </c>
      <c r="C1895" t="s">
        <v>22</v>
      </c>
      <c r="D1895">
        <v>67</v>
      </c>
      <c r="E1895">
        <v>95</v>
      </c>
      <c r="F1895">
        <v>0.41399999999999998</v>
      </c>
      <c r="G1895">
        <v>45</v>
      </c>
      <c r="H1895">
        <v>956</v>
      </c>
      <c r="I1895">
        <v>1013</v>
      </c>
      <c r="J1895">
        <v>-57</v>
      </c>
    </row>
    <row r="1896" spans="1:10" x14ac:dyDescent="0.25">
      <c r="A1896">
        <v>95</v>
      </c>
      <c r="B1896" t="s">
        <v>32</v>
      </c>
      <c r="C1896" t="s">
        <v>23</v>
      </c>
      <c r="D1896">
        <v>50</v>
      </c>
      <c r="E1896">
        <v>112</v>
      </c>
      <c r="F1896">
        <v>0.309</v>
      </c>
      <c r="G1896">
        <v>62</v>
      </c>
      <c r="H1896">
        <v>704</v>
      </c>
      <c r="I1896">
        <v>1019</v>
      </c>
      <c r="J1896">
        <v>-315</v>
      </c>
    </row>
    <row r="1897" spans="1:10" x14ac:dyDescent="0.25">
      <c r="A1897">
        <v>95</v>
      </c>
      <c r="B1897" t="s">
        <v>33</v>
      </c>
      <c r="C1897" t="s">
        <v>24</v>
      </c>
      <c r="D1897">
        <v>101</v>
      </c>
      <c r="E1897">
        <v>61</v>
      </c>
      <c r="F1897">
        <v>0.623</v>
      </c>
      <c r="G1897">
        <v>0</v>
      </c>
      <c r="H1897">
        <v>880</v>
      </c>
      <c r="I1897">
        <v>682</v>
      </c>
      <c r="J1897">
        <v>198</v>
      </c>
    </row>
    <row r="1898" spans="1:10" x14ac:dyDescent="0.25">
      <c r="A1898">
        <v>95</v>
      </c>
      <c r="B1898" t="s">
        <v>33</v>
      </c>
      <c r="C1898" t="s">
        <v>25</v>
      </c>
      <c r="D1898">
        <v>91</v>
      </c>
      <c r="E1898">
        <v>71</v>
      </c>
      <c r="F1898">
        <v>0.56200000000000006</v>
      </c>
      <c r="G1898">
        <v>10</v>
      </c>
      <c r="H1898">
        <v>883</v>
      </c>
      <c r="I1898">
        <v>775</v>
      </c>
      <c r="J1898">
        <v>108</v>
      </c>
    </row>
    <row r="1899" spans="1:10" x14ac:dyDescent="0.25">
      <c r="A1899">
        <v>95</v>
      </c>
      <c r="B1899" t="s">
        <v>33</v>
      </c>
      <c r="C1899" t="s">
        <v>26</v>
      </c>
      <c r="D1899">
        <v>86</v>
      </c>
      <c r="E1899">
        <v>76</v>
      </c>
      <c r="F1899">
        <v>0.53100000000000003</v>
      </c>
      <c r="G1899">
        <v>15</v>
      </c>
      <c r="H1899">
        <v>891</v>
      </c>
      <c r="I1899">
        <v>840</v>
      </c>
      <c r="J1899">
        <v>51</v>
      </c>
    </row>
    <row r="1900" spans="1:10" x14ac:dyDescent="0.25">
      <c r="A1900">
        <v>95</v>
      </c>
      <c r="B1900" t="s">
        <v>33</v>
      </c>
      <c r="C1900" t="s">
        <v>27</v>
      </c>
      <c r="D1900">
        <v>63</v>
      </c>
      <c r="E1900">
        <v>99</v>
      </c>
      <c r="F1900">
        <v>0.38900000000000001</v>
      </c>
      <c r="G1900">
        <v>38</v>
      </c>
      <c r="H1900">
        <v>750</v>
      </c>
      <c r="I1900">
        <v>876</v>
      </c>
      <c r="J1900">
        <v>-126</v>
      </c>
    </row>
    <row r="1901" spans="1:10" x14ac:dyDescent="0.25">
      <c r="A1901">
        <v>95</v>
      </c>
      <c r="B1901" t="s">
        <v>33</v>
      </c>
      <c r="C1901" t="s">
        <v>28</v>
      </c>
      <c r="D1901">
        <v>46</v>
      </c>
      <c r="E1901">
        <v>116</v>
      </c>
      <c r="F1901">
        <v>0.28399999999999997</v>
      </c>
      <c r="G1901">
        <v>55</v>
      </c>
      <c r="H1901">
        <v>752</v>
      </c>
      <c r="I1901">
        <v>1008</v>
      </c>
      <c r="J1901">
        <v>-256</v>
      </c>
    </row>
    <row r="1902" spans="1:10" x14ac:dyDescent="0.25">
      <c r="A1902">
        <v>96</v>
      </c>
      <c r="B1902" t="s">
        <v>30</v>
      </c>
      <c r="C1902" t="s">
        <v>8</v>
      </c>
      <c r="D1902">
        <v>102</v>
      </c>
      <c r="E1902">
        <v>60</v>
      </c>
      <c r="F1902">
        <v>0.63</v>
      </c>
      <c r="G1902">
        <v>0</v>
      </c>
      <c r="H1902">
        <v>898</v>
      </c>
      <c r="I1902">
        <v>660</v>
      </c>
      <c r="J1902">
        <v>238</v>
      </c>
    </row>
    <row r="1903" spans="1:10" x14ac:dyDescent="0.25">
      <c r="A1903">
        <v>96</v>
      </c>
      <c r="B1903" t="s">
        <v>30</v>
      </c>
      <c r="C1903" t="s">
        <v>10</v>
      </c>
      <c r="D1903">
        <v>96</v>
      </c>
      <c r="E1903">
        <v>66</v>
      </c>
      <c r="F1903">
        <v>0.59299999999999997</v>
      </c>
      <c r="G1903">
        <v>6</v>
      </c>
      <c r="H1903">
        <v>917</v>
      </c>
      <c r="I1903">
        <v>811</v>
      </c>
      <c r="J1903">
        <v>106</v>
      </c>
    </row>
    <row r="1904" spans="1:10" x14ac:dyDescent="0.25">
      <c r="A1904">
        <v>96</v>
      </c>
      <c r="B1904" t="s">
        <v>30</v>
      </c>
      <c r="C1904" t="s">
        <v>12</v>
      </c>
      <c r="D1904">
        <v>91</v>
      </c>
      <c r="E1904">
        <v>71</v>
      </c>
      <c r="F1904">
        <v>0.56200000000000006</v>
      </c>
      <c r="G1904">
        <v>11</v>
      </c>
      <c r="H1904">
        <v>961</v>
      </c>
      <c r="I1904">
        <v>891</v>
      </c>
      <c r="J1904">
        <v>70</v>
      </c>
    </row>
    <row r="1905" spans="1:10" x14ac:dyDescent="0.25">
      <c r="A1905">
        <v>96</v>
      </c>
      <c r="B1905" t="s">
        <v>30</v>
      </c>
      <c r="C1905" t="s">
        <v>11</v>
      </c>
      <c r="D1905">
        <v>88</v>
      </c>
      <c r="E1905">
        <v>74</v>
      </c>
      <c r="F1905">
        <v>0.54300000000000004</v>
      </c>
      <c r="G1905">
        <v>14</v>
      </c>
      <c r="H1905">
        <v>876</v>
      </c>
      <c r="I1905">
        <v>766</v>
      </c>
      <c r="J1905">
        <v>110</v>
      </c>
    </row>
    <row r="1906" spans="1:10" x14ac:dyDescent="0.25">
      <c r="A1906">
        <v>96</v>
      </c>
      <c r="B1906" t="s">
        <v>30</v>
      </c>
      <c r="C1906" t="s">
        <v>13</v>
      </c>
      <c r="D1906">
        <v>72</v>
      </c>
      <c r="E1906">
        <v>90</v>
      </c>
      <c r="F1906">
        <v>0.44400000000000001</v>
      </c>
      <c r="G1906">
        <v>30</v>
      </c>
      <c r="H1906">
        <v>860</v>
      </c>
      <c r="I1906">
        <v>884</v>
      </c>
      <c r="J1906">
        <v>-24</v>
      </c>
    </row>
    <row r="1907" spans="1:10" x14ac:dyDescent="0.25">
      <c r="A1907">
        <v>96</v>
      </c>
      <c r="B1907" t="s">
        <v>31</v>
      </c>
      <c r="C1907" t="s">
        <v>14</v>
      </c>
      <c r="D1907">
        <v>117</v>
      </c>
      <c r="E1907">
        <v>45</v>
      </c>
      <c r="F1907">
        <v>0.72199999999999998</v>
      </c>
      <c r="G1907">
        <v>0</v>
      </c>
      <c r="H1907">
        <v>1092</v>
      </c>
      <c r="I1907">
        <v>682</v>
      </c>
      <c r="J1907">
        <v>410</v>
      </c>
    </row>
    <row r="1908" spans="1:10" x14ac:dyDescent="0.25">
      <c r="A1908">
        <v>96</v>
      </c>
      <c r="B1908" t="s">
        <v>31</v>
      </c>
      <c r="C1908" t="s">
        <v>16</v>
      </c>
      <c r="D1908">
        <v>76</v>
      </c>
      <c r="E1908">
        <v>86</v>
      </c>
      <c r="F1908">
        <v>0.46899999999999997</v>
      </c>
      <c r="G1908">
        <v>41</v>
      </c>
      <c r="H1908">
        <v>696</v>
      </c>
      <c r="I1908">
        <v>804</v>
      </c>
      <c r="J1908">
        <v>-108</v>
      </c>
    </row>
    <row r="1909" spans="1:10" x14ac:dyDescent="0.25">
      <c r="A1909">
        <v>96</v>
      </c>
      <c r="B1909" t="s">
        <v>31</v>
      </c>
      <c r="C1909" t="s">
        <v>17</v>
      </c>
      <c r="D1909">
        <v>69</v>
      </c>
      <c r="E1909">
        <v>93</v>
      </c>
      <c r="F1909">
        <v>0.42599999999999999</v>
      </c>
      <c r="G1909">
        <v>48</v>
      </c>
      <c r="H1909">
        <v>808</v>
      </c>
      <c r="I1909">
        <v>973</v>
      </c>
      <c r="J1909">
        <v>-165</v>
      </c>
    </row>
    <row r="1910" spans="1:10" x14ac:dyDescent="0.25">
      <c r="A1910">
        <v>96</v>
      </c>
      <c r="B1910" t="s">
        <v>31</v>
      </c>
      <c r="C1910" t="s">
        <v>15</v>
      </c>
      <c r="D1910">
        <v>69</v>
      </c>
      <c r="E1910">
        <v>93</v>
      </c>
      <c r="F1910">
        <v>0.42599999999999999</v>
      </c>
      <c r="G1910">
        <v>48</v>
      </c>
      <c r="H1910">
        <v>1034</v>
      </c>
      <c r="I1910">
        <v>1211</v>
      </c>
      <c r="J1910">
        <v>-177</v>
      </c>
    </row>
    <row r="1911" spans="1:10" x14ac:dyDescent="0.25">
      <c r="A1911">
        <v>96</v>
      </c>
      <c r="B1911" t="s">
        <v>31</v>
      </c>
      <c r="C1911" t="s">
        <v>18</v>
      </c>
      <c r="D1911">
        <v>42</v>
      </c>
      <c r="E1911">
        <v>120</v>
      </c>
      <c r="F1911">
        <v>0.25900000000000001</v>
      </c>
      <c r="G1911">
        <v>75</v>
      </c>
      <c r="H1911">
        <v>632</v>
      </c>
      <c r="I1911">
        <v>974</v>
      </c>
      <c r="J1911">
        <v>-342</v>
      </c>
    </row>
    <row r="1912" spans="1:10" x14ac:dyDescent="0.25">
      <c r="A1912">
        <v>96</v>
      </c>
      <c r="B1912" t="s">
        <v>32</v>
      </c>
      <c r="C1912" t="s">
        <v>19</v>
      </c>
      <c r="D1912">
        <v>104</v>
      </c>
      <c r="E1912">
        <v>58</v>
      </c>
      <c r="F1912">
        <v>0.64200000000000002</v>
      </c>
      <c r="G1912">
        <v>0</v>
      </c>
      <c r="H1912">
        <v>1024</v>
      </c>
      <c r="I1912">
        <v>807</v>
      </c>
      <c r="J1912">
        <v>217</v>
      </c>
    </row>
    <row r="1913" spans="1:10" x14ac:dyDescent="0.25">
      <c r="A1913">
        <v>96</v>
      </c>
      <c r="B1913" t="s">
        <v>32</v>
      </c>
      <c r="C1913" t="s">
        <v>20</v>
      </c>
      <c r="D1913">
        <v>90</v>
      </c>
      <c r="E1913">
        <v>72</v>
      </c>
      <c r="F1913">
        <v>0.55600000000000005</v>
      </c>
      <c r="G1913">
        <v>14</v>
      </c>
      <c r="H1913">
        <v>870</v>
      </c>
      <c r="I1913">
        <v>789</v>
      </c>
      <c r="J1913">
        <v>81</v>
      </c>
    </row>
    <row r="1914" spans="1:10" x14ac:dyDescent="0.25">
      <c r="A1914">
        <v>96</v>
      </c>
      <c r="B1914" t="s">
        <v>32</v>
      </c>
      <c r="C1914" t="s">
        <v>21</v>
      </c>
      <c r="D1914">
        <v>85</v>
      </c>
      <c r="E1914">
        <v>77</v>
      </c>
      <c r="F1914">
        <v>0.52500000000000002</v>
      </c>
      <c r="G1914">
        <v>19</v>
      </c>
      <c r="H1914">
        <v>905</v>
      </c>
      <c r="I1914">
        <v>845</v>
      </c>
      <c r="J1914">
        <v>60</v>
      </c>
    </row>
    <row r="1915" spans="1:10" x14ac:dyDescent="0.25">
      <c r="A1915">
        <v>96</v>
      </c>
      <c r="B1915" t="s">
        <v>32</v>
      </c>
      <c r="C1915" t="s">
        <v>22</v>
      </c>
      <c r="D1915">
        <v>63</v>
      </c>
      <c r="E1915">
        <v>99</v>
      </c>
      <c r="F1915">
        <v>0.38900000000000001</v>
      </c>
      <c r="G1915">
        <v>41</v>
      </c>
      <c r="H1915">
        <v>894</v>
      </c>
      <c r="I1915">
        <v>1049</v>
      </c>
      <c r="J1915">
        <v>-155</v>
      </c>
    </row>
    <row r="1916" spans="1:10" x14ac:dyDescent="0.25">
      <c r="A1916">
        <v>96</v>
      </c>
      <c r="B1916" t="s">
        <v>32</v>
      </c>
      <c r="C1916" t="s">
        <v>23</v>
      </c>
      <c r="D1916">
        <v>53</v>
      </c>
      <c r="E1916">
        <v>109</v>
      </c>
      <c r="F1916">
        <v>0.32700000000000001</v>
      </c>
      <c r="G1916">
        <v>51</v>
      </c>
      <c r="H1916">
        <v>784</v>
      </c>
      <c r="I1916">
        <v>1074</v>
      </c>
      <c r="J1916">
        <v>-290</v>
      </c>
    </row>
    <row r="1917" spans="1:10" x14ac:dyDescent="0.25">
      <c r="A1917">
        <v>96</v>
      </c>
      <c r="B1917" t="s">
        <v>33</v>
      </c>
      <c r="C1917" t="s">
        <v>24</v>
      </c>
      <c r="D1917">
        <v>104</v>
      </c>
      <c r="E1917">
        <v>58</v>
      </c>
      <c r="F1917">
        <v>0.64200000000000002</v>
      </c>
      <c r="G1917">
        <v>0</v>
      </c>
      <c r="H1917">
        <v>945</v>
      </c>
      <c r="I1917">
        <v>687</v>
      </c>
      <c r="J1917">
        <v>258</v>
      </c>
    </row>
    <row r="1918" spans="1:10" x14ac:dyDescent="0.25">
      <c r="A1918">
        <v>96</v>
      </c>
      <c r="B1918" t="s">
        <v>33</v>
      </c>
      <c r="C1918" t="s">
        <v>25</v>
      </c>
      <c r="D1918">
        <v>91</v>
      </c>
      <c r="E1918">
        <v>71</v>
      </c>
      <c r="F1918">
        <v>0.56200000000000006</v>
      </c>
      <c r="G1918">
        <v>13</v>
      </c>
      <c r="H1918">
        <v>784</v>
      </c>
      <c r="I1918">
        <v>733</v>
      </c>
      <c r="J1918">
        <v>51</v>
      </c>
    </row>
    <row r="1919" spans="1:10" x14ac:dyDescent="0.25">
      <c r="A1919">
        <v>96</v>
      </c>
      <c r="B1919" t="s">
        <v>33</v>
      </c>
      <c r="C1919" t="s">
        <v>26</v>
      </c>
      <c r="D1919">
        <v>83</v>
      </c>
      <c r="E1919">
        <v>79</v>
      </c>
      <c r="F1919">
        <v>0.51200000000000001</v>
      </c>
      <c r="G1919">
        <v>21</v>
      </c>
      <c r="H1919">
        <v>828</v>
      </c>
      <c r="I1919">
        <v>784</v>
      </c>
      <c r="J1919">
        <v>44</v>
      </c>
    </row>
    <row r="1920" spans="1:10" x14ac:dyDescent="0.25">
      <c r="A1920">
        <v>96</v>
      </c>
      <c r="B1920" t="s">
        <v>33</v>
      </c>
      <c r="C1920" t="s">
        <v>27</v>
      </c>
      <c r="D1920">
        <v>77</v>
      </c>
      <c r="E1920">
        <v>85</v>
      </c>
      <c r="F1920">
        <v>0.47499999999999998</v>
      </c>
      <c r="G1920">
        <v>27</v>
      </c>
      <c r="H1920">
        <v>826</v>
      </c>
      <c r="I1920">
        <v>840</v>
      </c>
      <c r="J1920">
        <v>-14</v>
      </c>
    </row>
    <row r="1921" spans="1:10" x14ac:dyDescent="0.25">
      <c r="A1921">
        <v>96</v>
      </c>
      <c r="B1921" t="s">
        <v>33</v>
      </c>
      <c r="C1921" t="s">
        <v>28</v>
      </c>
      <c r="D1921">
        <v>48</v>
      </c>
      <c r="E1921">
        <v>114</v>
      </c>
      <c r="F1921">
        <v>0.29599999999999999</v>
      </c>
      <c r="G1921">
        <v>56</v>
      </c>
      <c r="H1921">
        <v>702</v>
      </c>
      <c r="I1921">
        <v>1072</v>
      </c>
      <c r="J1921">
        <v>-370</v>
      </c>
    </row>
    <row r="1922" spans="1:10" x14ac:dyDescent="0.25">
      <c r="A1922">
        <v>97</v>
      </c>
      <c r="B1922" t="s">
        <v>30</v>
      </c>
      <c r="C1922" t="s">
        <v>12</v>
      </c>
      <c r="D1922">
        <v>107</v>
      </c>
      <c r="E1922">
        <v>55</v>
      </c>
      <c r="F1922">
        <v>0.66</v>
      </c>
      <c r="G1922">
        <v>0</v>
      </c>
      <c r="H1922">
        <v>1061</v>
      </c>
      <c r="I1922">
        <v>789</v>
      </c>
      <c r="J1922">
        <v>272</v>
      </c>
    </row>
    <row r="1923" spans="1:10" x14ac:dyDescent="0.25">
      <c r="A1923">
        <v>97</v>
      </c>
      <c r="B1923" t="s">
        <v>30</v>
      </c>
      <c r="C1923" t="s">
        <v>10</v>
      </c>
      <c r="D1923">
        <v>96</v>
      </c>
      <c r="E1923">
        <v>66</v>
      </c>
      <c r="F1923">
        <v>0.59299999999999997</v>
      </c>
      <c r="G1923">
        <v>11</v>
      </c>
      <c r="H1923">
        <v>1065</v>
      </c>
      <c r="I1923">
        <v>850</v>
      </c>
      <c r="J1923">
        <v>215</v>
      </c>
    </row>
    <row r="1924" spans="1:10" x14ac:dyDescent="0.25">
      <c r="A1924">
        <v>97</v>
      </c>
      <c r="B1924" t="s">
        <v>30</v>
      </c>
      <c r="C1924" t="s">
        <v>8</v>
      </c>
      <c r="D1924">
        <v>95</v>
      </c>
      <c r="E1924">
        <v>67</v>
      </c>
      <c r="F1924">
        <v>0.58599999999999997</v>
      </c>
      <c r="G1924">
        <v>12</v>
      </c>
      <c r="H1924">
        <v>855</v>
      </c>
      <c r="I1924">
        <v>718</v>
      </c>
      <c r="J1924">
        <v>137</v>
      </c>
    </row>
    <row r="1925" spans="1:10" x14ac:dyDescent="0.25">
      <c r="A1925">
        <v>97</v>
      </c>
      <c r="B1925" t="s">
        <v>30</v>
      </c>
      <c r="C1925" t="s">
        <v>11</v>
      </c>
      <c r="D1925">
        <v>78</v>
      </c>
      <c r="E1925">
        <v>84</v>
      </c>
      <c r="F1925">
        <v>0.48099999999999998</v>
      </c>
      <c r="G1925">
        <v>29</v>
      </c>
      <c r="H1925">
        <v>868</v>
      </c>
      <c r="I1925">
        <v>817</v>
      </c>
      <c r="J1925">
        <v>51</v>
      </c>
    </row>
    <row r="1926" spans="1:10" x14ac:dyDescent="0.25">
      <c r="A1926">
        <v>97</v>
      </c>
      <c r="B1926" t="s">
        <v>30</v>
      </c>
      <c r="C1926" t="s">
        <v>13</v>
      </c>
      <c r="D1926">
        <v>78</v>
      </c>
      <c r="E1926">
        <v>84</v>
      </c>
      <c r="F1926">
        <v>0.48099999999999998</v>
      </c>
      <c r="G1926">
        <v>29</v>
      </c>
      <c r="H1926">
        <v>786</v>
      </c>
      <c r="I1926">
        <v>845</v>
      </c>
      <c r="J1926">
        <v>-59</v>
      </c>
    </row>
    <row r="1927" spans="1:10" x14ac:dyDescent="0.25">
      <c r="A1927">
        <v>97</v>
      </c>
      <c r="B1927" t="s">
        <v>31</v>
      </c>
      <c r="C1927" t="s">
        <v>14</v>
      </c>
      <c r="D1927">
        <v>117</v>
      </c>
      <c r="E1927">
        <v>45</v>
      </c>
      <c r="F1927">
        <v>0.72199999999999998</v>
      </c>
      <c r="G1927">
        <v>0</v>
      </c>
      <c r="H1927">
        <v>1043</v>
      </c>
      <c r="I1927">
        <v>694</v>
      </c>
      <c r="J1927">
        <v>349</v>
      </c>
    </row>
    <row r="1928" spans="1:10" x14ac:dyDescent="0.25">
      <c r="A1928">
        <v>97</v>
      </c>
      <c r="B1928" t="s">
        <v>31</v>
      </c>
      <c r="C1928" t="s">
        <v>16</v>
      </c>
      <c r="D1928">
        <v>79</v>
      </c>
      <c r="E1928">
        <v>83</v>
      </c>
      <c r="F1928">
        <v>0.48799999999999999</v>
      </c>
      <c r="G1928">
        <v>38</v>
      </c>
      <c r="H1928">
        <v>834</v>
      </c>
      <c r="I1928">
        <v>829</v>
      </c>
      <c r="J1928">
        <v>5</v>
      </c>
    </row>
    <row r="1929" spans="1:10" x14ac:dyDescent="0.25">
      <c r="A1929">
        <v>97</v>
      </c>
      <c r="B1929" t="s">
        <v>31</v>
      </c>
      <c r="C1929" t="s">
        <v>15</v>
      </c>
      <c r="D1929">
        <v>65</v>
      </c>
      <c r="E1929">
        <v>97</v>
      </c>
      <c r="F1929">
        <v>0.40100000000000002</v>
      </c>
      <c r="G1929">
        <v>52</v>
      </c>
      <c r="H1929">
        <v>1029</v>
      </c>
      <c r="I1929">
        <v>1247</v>
      </c>
      <c r="J1929">
        <v>-218</v>
      </c>
    </row>
    <row r="1930" spans="1:10" x14ac:dyDescent="0.25">
      <c r="A1930">
        <v>97</v>
      </c>
      <c r="B1930" t="s">
        <v>31</v>
      </c>
      <c r="C1930" t="s">
        <v>17</v>
      </c>
      <c r="D1930">
        <v>61</v>
      </c>
      <c r="E1930">
        <v>101</v>
      </c>
      <c r="F1930">
        <v>0.377</v>
      </c>
      <c r="G1930">
        <v>56</v>
      </c>
      <c r="H1930">
        <v>822</v>
      </c>
      <c r="I1930">
        <v>1039</v>
      </c>
      <c r="J1930">
        <v>-217</v>
      </c>
    </row>
    <row r="1931" spans="1:10" x14ac:dyDescent="0.25">
      <c r="A1931">
        <v>97</v>
      </c>
      <c r="B1931" t="s">
        <v>31</v>
      </c>
      <c r="C1931" t="s">
        <v>18</v>
      </c>
      <c r="D1931">
        <v>48</v>
      </c>
      <c r="E1931">
        <v>114</v>
      </c>
      <c r="F1931">
        <v>0.29599999999999999</v>
      </c>
      <c r="G1931">
        <v>69</v>
      </c>
      <c r="H1931">
        <v>726</v>
      </c>
      <c r="I1931">
        <v>1098</v>
      </c>
      <c r="J1931">
        <v>-372</v>
      </c>
    </row>
    <row r="1932" spans="1:10" x14ac:dyDescent="0.25">
      <c r="A1932">
        <v>97</v>
      </c>
      <c r="B1932" t="s">
        <v>32</v>
      </c>
      <c r="C1932" t="s">
        <v>19</v>
      </c>
      <c r="D1932">
        <v>103</v>
      </c>
      <c r="E1932">
        <v>59</v>
      </c>
      <c r="F1932">
        <v>0.63600000000000001</v>
      </c>
      <c r="G1932">
        <v>0</v>
      </c>
      <c r="H1932">
        <v>1028</v>
      </c>
      <c r="I1932">
        <v>804</v>
      </c>
      <c r="J1932">
        <v>224</v>
      </c>
    </row>
    <row r="1933" spans="1:10" x14ac:dyDescent="0.25">
      <c r="A1933">
        <v>97</v>
      </c>
      <c r="B1933" t="s">
        <v>32</v>
      </c>
      <c r="C1933" t="s">
        <v>20</v>
      </c>
      <c r="D1933">
        <v>80</v>
      </c>
      <c r="E1933">
        <v>82</v>
      </c>
      <c r="F1933">
        <v>0.49399999999999999</v>
      </c>
      <c r="G1933">
        <v>23</v>
      </c>
      <c r="H1933">
        <v>971</v>
      </c>
      <c r="I1933">
        <v>875</v>
      </c>
      <c r="J1933">
        <v>96</v>
      </c>
    </row>
    <row r="1934" spans="1:10" x14ac:dyDescent="0.25">
      <c r="A1934">
        <v>97</v>
      </c>
      <c r="B1934" t="s">
        <v>32</v>
      </c>
      <c r="C1934" t="s">
        <v>22</v>
      </c>
      <c r="D1934">
        <v>78</v>
      </c>
      <c r="E1934">
        <v>84</v>
      </c>
      <c r="F1934">
        <v>0.48099999999999998</v>
      </c>
      <c r="G1934">
        <v>25</v>
      </c>
      <c r="H1934">
        <v>887</v>
      </c>
      <c r="I1934">
        <v>974</v>
      </c>
      <c r="J1934">
        <v>-87</v>
      </c>
    </row>
    <row r="1935" spans="1:10" x14ac:dyDescent="0.25">
      <c r="A1935">
        <v>97</v>
      </c>
      <c r="B1935" t="s">
        <v>32</v>
      </c>
      <c r="C1935" t="s">
        <v>21</v>
      </c>
      <c r="D1935">
        <v>75</v>
      </c>
      <c r="E1935">
        <v>87</v>
      </c>
      <c r="F1935">
        <v>0.46300000000000002</v>
      </c>
      <c r="G1935">
        <v>28</v>
      </c>
      <c r="H1935">
        <v>944</v>
      </c>
      <c r="I1935">
        <v>938</v>
      </c>
      <c r="J1935">
        <v>6</v>
      </c>
    </row>
    <row r="1936" spans="1:10" x14ac:dyDescent="0.25">
      <c r="A1936">
        <v>97</v>
      </c>
      <c r="B1936" t="s">
        <v>32</v>
      </c>
      <c r="C1936" t="s">
        <v>23</v>
      </c>
      <c r="D1936">
        <v>53</v>
      </c>
      <c r="E1936">
        <v>109</v>
      </c>
      <c r="F1936">
        <v>0.32700000000000001</v>
      </c>
      <c r="G1936">
        <v>50</v>
      </c>
      <c r="H1936">
        <v>774</v>
      </c>
      <c r="I1936">
        <v>1096</v>
      </c>
      <c r="J1936">
        <v>-322</v>
      </c>
    </row>
    <row r="1937" spans="1:10" x14ac:dyDescent="0.25">
      <c r="A1937">
        <v>97</v>
      </c>
      <c r="B1937" t="s">
        <v>33</v>
      </c>
      <c r="C1937" t="s">
        <v>24</v>
      </c>
      <c r="D1937">
        <v>105</v>
      </c>
      <c r="E1937">
        <v>57</v>
      </c>
      <c r="F1937">
        <v>0.64800000000000002</v>
      </c>
      <c r="G1937">
        <v>0</v>
      </c>
      <c r="H1937">
        <v>965</v>
      </c>
      <c r="I1937">
        <v>715</v>
      </c>
      <c r="J1937">
        <v>250</v>
      </c>
    </row>
    <row r="1938" spans="1:10" x14ac:dyDescent="0.25">
      <c r="A1938">
        <v>97</v>
      </c>
      <c r="B1938" t="s">
        <v>33</v>
      </c>
      <c r="C1938" t="s">
        <v>25</v>
      </c>
      <c r="D1938">
        <v>95</v>
      </c>
      <c r="E1938">
        <v>67</v>
      </c>
      <c r="F1938">
        <v>0.58599999999999997</v>
      </c>
      <c r="G1938">
        <v>10</v>
      </c>
      <c r="H1938">
        <v>845</v>
      </c>
      <c r="I1938">
        <v>662</v>
      </c>
      <c r="J1938">
        <v>183</v>
      </c>
    </row>
    <row r="1939" spans="1:10" x14ac:dyDescent="0.25">
      <c r="A1939">
        <v>97</v>
      </c>
      <c r="B1939" t="s">
        <v>33</v>
      </c>
      <c r="C1939" t="s">
        <v>26</v>
      </c>
      <c r="D1939">
        <v>85</v>
      </c>
      <c r="E1939">
        <v>77</v>
      </c>
      <c r="F1939">
        <v>0.52500000000000002</v>
      </c>
      <c r="G1939">
        <v>20</v>
      </c>
      <c r="H1939">
        <v>780</v>
      </c>
      <c r="I1939">
        <v>809</v>
      </c>
      <c r="J1939">
        <v>-29</v>
      </c>
    </row>
    <row r="1940" spans="1:10" x14ac:dyDescent="0.25">
      <c r="A1940">
        <v>97</v>
      </c>
      <c r="B1940" t="s">
        <v>33</v>
      </c>
      <c r="C1940" t="s">
        <v>27</v>
      </c>
      <c r="D1940">
        <v>69</v>
      </c>
      <c r="E1940">
        <v>93</v>
      </c>
      <c r="F1940">
        <v>0.42599999999999999</v>
      </c>
      <c r="G1940">
        <v>36</v>
      </c>
      <c r="H1940">
        <v>748</v>
      </c>
      <c r="I1940">
        <v>904</v>
      </c>
      <c r="J1940">
        <v>-156</v>
      </c>
    </row>
    <row r="1941" spans="1:10" x14ac:dyDescent="0.25">
      <c r="A1941">
        <v>97</v>
      </c>
      <c r="B1941" t="s">
        <v>33</v>
      </c>
      <c r="C1941" t="s">
        <v>28</v>
      </c>
      <c r="D1941">
        <v>53</v>
      </c>
      <c r="E1941">
        <v>109</v>
      </c>
      <c r="F1941">
        <v>0.32700000000000001</v>
      </c>
      <c r="G1941">
        <v>52</v>
      </c>
      <c r="H1941">
        <v>714</v>
      </c>
      <c r="I1941">
        <v>1042</v>
      </c>
      <c r="J1941">
        <v>-328</v>
      </c>
    </row>
    <row r="1942" spans="1:10" x14ac:dyDescent="0.25">
      <c r="A1942">
        <v>98</v>
      </c>
      <c r="B1942" t="s">
        <v>30</v>
      </c>
      <c r="C1942" t="s">
        <v>10</v>
      </c>
      <c r="D1942">
        <v>96</v>
      </c>
      <c r="E1942">
        <v>66</v>
      </c>
      <c r="F1942">
        <v>0.59299999999999997</v>
      </c>
      <c r="G1942">
        <v>0</v>
      </c>
      <c r="H1942">
        <v>964</v>
      </c>
      <c r="I1942">
        <v>797</v>
      </c>
      <c r="J1942">
        <v>167</v>
      </c>
    </row>
    <row r="1943" spans="1:10" x14ac:dyDescent="0.25">
      <c r="A1943">
        <v>98</v>
      </c>
      <c r="B1943" t="s">
        <v>30</v>
      </c>
      <c r="C1943" t="s">
        <v>8</v>
      </c>
      <c r="D1943">
        <v>95</v>
      </c>
      <c r="E1943">
        <v>67</v>
      </c>
      <c r="F1943">
        <v>0.58599999999999997</v>
      </c>
      <c r="G1943">
        <v>1</v>
      </c>
      <c r="H1943">
        <v>868</v>
      </c>
      <c r="I1943">
        <v>721</v>
      </c>
      <c r="J1943">
        <v>147</v>
      </c>
    </row>
    <row r="1944" spans="1:10" x14ac:dyDescent="0.25">
      <c r="A1944">
        <v>98</v>
      </c>
      <c r="B1944" t="s">
        <v>30</v>
      </c>
      <c r="C1944" t="s">
        <v>12</v>
      </c>
      <c r="D1944">
        <v>93</v>
      </c>
      <c r="E1944">
        <v>69</v>
      </c>
      <c r="F1944">
        <v>0.57399999999999995</v>
      </c>
      <c r="G1944">
        <v>3</v>
      </c>
      <c r="H1944">
        <v>875</v>
      </c>
      <c r="I1944">
        <v>807</v>
      </c>
      <c r="J1944">
        <v>68</v>
      </c>
    </row>
    <row r="1945" spans="1:10" x14ac:dyDescent="0.25">
      <c r="A1945">
        <v>98</v>
      </c>
      <c r="B1945" t="s">
        <v>30</v>
      </c>
      <c r="C1945" t="s">
        <v>11</v>
      </c>
      <c r="D1945">
        <v>86</v>
      </c>
      <c r="E1945">
        <v>76</v>
      </c>
      <c r="F1945">
        <v>0.53100000000000003</v>
      </c>
      <c r="G1945">
        <v>10</v>
      </c>
      <c r="H1945">
        <v>855</v>
      </c>
      <c r="I1945">
        <v>767</v>
      </c>
      <c r="J1945">
        <v>88</v>
      </c>
    </row>
    <row r="1946" spans="1:10" x14ac:dyDescent="0.25">
      <c r="A1946">
        <v>98</v>
      </c>
      <c r="B1946" t="s">
        <v>30</v>
      </c>
      <c r="C1946" t="s">
        <v>13</v>
      </c>
      <c r="D1946">
        <v>79</v>
      </c>
      <c r="E1946">
        <v>83</v>
      </c>
      <c r="F1946">
        <v>0.48799999999999999</v>
      </c>
      <c r="G1946">
        <v>17</v>
      </c>
      <c r="H1946">
        <v>873</v>
      </c>
      <c r="I1946">
        <v>897</v>
      </c>
      <c r="J1946">
        <v>-24</v>
      </c>
    </row>
    <row r="1947" spans="1:10" x14ac:dyDescent="0.25">
      <c r="A1947">
        <v>98</v>
      </c>
      <c r="B1947" t="s">
        <v>31</v>
      </c>
      <c r="C1947" t="s">
        <v>14</v>
      </c>
      <c r="D1947">
        <v>98</v>
      </c>
      <c r="E1947">
        <v>64</v>
      </c>
      <c r="F1947">
        <v>0.60499999999999998</v>
      </c>
      <c r="G1947">
        <v>0</v>
      </c>
      <c r="H1947">
        <v>946</v>
      </c>
      <c r="I1947">
        <v>759</v>
      </c>
      <c r="J1947">
        <v>187</v>
      </c>
    </row>
    <row r="1948" spans="1:10" x14ac:dyDescent="0.25">
      <c r="A1948">
        <v>98</v>
      </c>
      <c r="B1948" t="s">
        <v>31</v>
      </c>
      <c r="C1948" t="s">
        <v>15</v>
      </c>
      <c r="D1948">
        <v>77</v>
      </c>
      <c r="E1948">
        <v>85</v>
      </c>
      <c r="F1948">
        <v>0.47499999999999998</v>
      </c>
      <c r="G1948">
        <v>21</v>
      </c>
      <c r="H1948">
        <v>1080</v>
      </c>
      <c r="I1948">
        <v>1181</v>
      </c>
      <c r="J1948">
        <v>-101</v>
      </c>
    </row>
    <row r="1949" spans="1:10" x14ac:dyDescent="0.25">
      <c r="A1949">
        <v>98</v>
      </c>
      <c r="B1949" t="s">
        <v>31</v>
      </c>
      <c r="C1949" t="s">
        <v>16</v>
      </c>
      <c r="D1949">
        <v>72</v>
      </c>
      <c r="E1949">
        <v>90</v>
      </c>
      <c r="F1949">
        <v>0.44400000000000001</v>
      </c>
      <c r="G1949">
        <v>26</v>
      </c>
      <c r="H1949">
        <v>836</v>
      </c>
      <c r="I1949">
        <v>876</v>
      </c>
      <c r="J1949">
        <v>-40</v>
      </c>
    </row>
    <row r="1950" spans="1:10" x14ac:dyDescent="0.25">
      <c r="A1950">
        <v>98</v>
      </c>
      <c r="B1950" t="s">
        <v>31</v>
      </c>
      <c r="C1950" t="s">
        <v>17</v>
      </c>
      <c r="D1950">
        <v>60</v>
      </c>
      <c r="E1950">
        <v>102</v>
      </c>
      <c r="F1950">
        <v>0.37</v>
      </c>
      <c r="G1950">
        <v>38</v>
      </c>
      <c r="H1950">
        <v>800</v>
      </c>
      <c r="I1950">
        <v>1017</v>
      </c>
      <c r="J1950">
        <v>-217</v>
      </c>
    </row>
    <row r="1951" spans="1:10" x14ac:dyDescent="0.25">
      <c r="A1951">
        <v>98</v>
      </c>
      <c r="B1951" t="s">
        <v>31</v>
      </c>
      <c r="C1951" t="s">
        <v>18</v>
      </c>
      <c r="D1951">
        <v>39</v>
      </c>
      <c r="E1951">
        <v>123</v>
      </c>
      <c r="F1951">
        <v>0.24099999999999999</v>
      </c>
      <c r="G1951">
        <v>59</v>
      </c>
      <c r="H1951">
        <v>648</v>
      </c>
      <c r="I1951">
        <v>1060</v>
      </c>
      <c r="J1951">
        <v>-412</v>
      </c>
    </row>
    <row r="1952" spans="1:10" x14ac:dyDescent="0.25">
      <c r="A1952">
        <v>98</v>
      </c>
      <c r="B1952" t="s">
        <v>32</v>
      </c>
      <c r="C1952" t="s">
        <v>19</v>
      </c>
      <c r="D1952">
        <v>116</v>
      </c>
      <c r="E1952">
        <v>46</v>
      </c>
      <c r="F1952">
        <v>0.71599999999999997</v>
      </c>
      <c r="G1952">
        <v>0</v>
      </c>
      <c r="H1952">
        <v>996</v>
      </c>
      <c r="I1952">
        <v>643</v>
      </c>
      <c r="J1952">
        <v>353</v>
      </c>
    </row>
    <row r="1953" spans="1:10" x14ac:dyDescent="0.25">
      <c r="A1953">
        <v>98</v>
      </c>
      <c r="B1953" t="s">
        <v>32</v>
      </c>
      <c r="C1953" t="s">
        <v>20</v>
      </c>
      <c r="D1953">
        <v>95</v>
      </c>
      <c r="E1953">
        <v>67</v>
      </c>
      <c r="F1953">
        <v>0.58599999999999997</v>
      </c>
      <c r="G1953">
        <v>21</v>
      </c>
      <c r="H1953">
        <v>1002</v>
      </c>
      <c r="I1953">
        <v>844</v>
      </c>
      <c r="J1953">
        <v>158</v>
      </c>
    </row>
    <row r="1954" spans="1:10" x14ac:dyDescent="0.25">
      <c r="A1954">
        <v>98</v>
      </c>
      <c r="B1954" t="s">
        <v>32</v>
      </c>
      <c r="C1954" t="s">
        <v>21</v>
      </c>
      <c r="D1954">
        <v>89</v>
      </c>
      <c r="E1954">
        <v>73</v>
      </c>
      <c r="F1954">
        <v>0.54900000000000004</v>
      </c>
      <c r="G1954">
        <v>27</v>
      </c>
      <c r="H1954">
        <v>977</v>
      </c>
      <c r="I1954">
        <v>884</v>
      </c>
      <c r="J1954">
        <v>93</v>
      </c>
    </row>
    <row r="1955" spans="1:10" x14ac:dyDescent="0.25">
      <c r="A1955">
        <v>98</v>
      </c>
      <c r="B1955" t="s">
        <v>32</v>
      </c>
      <c r="C1955" t="s">
        <v>22</v>
      </c>
      <c r="D1955">
        <v>72</v>
      </c>
      <c r="E1955">
        <v>90</v>
      </c>
      <c r="F1955">
        <v>0.44400000000000001</v>
      </c>
      <c r="G1955">
        <v>44</v>
      </c>
      <c r="H1955">
        <v>900</v>
      </c>
      <c r="I1955">
        <v>1013</v>
      </c>
      <c r="J1955">
        <v>-113</v>
      </c>
    </row>
    <row r="1956" spans="1:10" x14ac:dyDescent="0.25">
      <c r="A1956">
        <v>98</v>
      </c>
      <c r="B1956" t="s">
        <v>32</v>
      </c>
      <c r="C1956" t="s">
        <v>23</v>
      </c>
      <c r="D1956">
        <v>52</v>
      </c>
      <c r="E1956">
        <v>110</v>
      </c>
      <c r="F1956">
        <v>0.32100000000000001</v>
      </c>
      <c r="G1956">
        <v>64</v>
      </c>
      <c r="H1956">
        <v>787</v>
      </c>
      <c r="I1956">
        <v>1140</v>
      </c>
      <c r="J1956">
        <v>-353</v>
      </c>
    </row>
    <row r="1957" spans="1:10" x14ac:dyDescent="0.25">
      <c r="A1957">
        <v>98</v>
      </c>
      <c r="B1957" t="s">
        <v>33</v>
      </c>
      <c r="C1957" t="s">
        <v>24</v>
      </c>
      <c r="D1957">
        <v>102</v>
      </c>
      <c r="E1957">
        <v>60</v>
      </c>
      <c r="F1957">
        <v>0.63</v>
      </c>
      <c r="G1957">
        <v>0</v>
      </c>
      <c r="H1957">
        <v>894</v>
      </c>
      <c r="I1957">
        <v>754</v>
      </c>
      <c r="J1957">
        <v>140</v>
      </c>
    </row>
    <row r="1958" spans="1:10" x14ac:dyDescent="0.25">
      <c r="A1958">
        <v>98</v>
      </c>
      <c r="B1958" t="s">
        <v>33</v>
      </c>
      <c r="C1958" t="s">
        <v>26</v>
      </c>
      <c r="D1958">
        <v>84</v>
      </c>
      <c r="E1958">
        <v>78</v>
      </c>
      <c r="F1958">
        <v>0.51900000000000002</v>
      </c>
      <c r="G1958">
        <v>18</v>
      </c>
      <c r="H1958">
        <v>854</v>
      </c>
      <c r="I1958">
        <v>818</v>
      </c>
      <c r="J1958">
        <v>36</v>
      </c>
    </row>
    <row r="1959" spans="1:10" x14ac:dyDescent="0.25">
      <c r="A1959">
        <v>98</v>
      </c>
      <c r="B1959" t="s">
        <v>33</v>
      </c>
      <c r="C1959" t="s">
        <v>25</v>
      </c>
      <c r="D1959">
        <v>81</v>
      </c>
      <c r="E1959">
        <v>81</v>
      </c>
      <c r="F1959">
        <v>0.5</v>
      </c>
      <c r="G1959">
        <v>21</v>
      </c>
      <c r="H1959">
        <v>801</v>
      </c>
      <c r="I1959">
        <v>768</v>
      </c>
      <c r="J1959">
        <v>33</v>
      </c>
    </row>
    <row r="1960" spans="1:10" x14ac:dyDescent="0.25">
      <c r="A1960">
        <v>98</v>
      </c>
      <c r="B1960" t="s">
        <v>33</v>
      </c>
      <c r="C1960" t="s">
        <v>27</v>
      </c>
      <c r="D1960">
        <v>78</v>
      </c>
      <c r="E1960">
        <v>84</v>
      </c>
      <c r="F1960">
        <v>0.48099999999999998</v>
      </c>
      <c r="G1960">
        <v>24</v>
      </c>
      <c r="H1960">
        <v>845</v>
      </c>
      <c r="I1960">
        <v>857</v>
      </c>
      <c r="J1960">
        <v>-12</v>
      </c>
    </row>
    <row r="1961" spans="1:10" x14ac:dyDescent="0.25">
      <c r="A1961">
        <v>98</v>
      </c>
      <c r="B1961" t="s">
        <v>33</v>
      </c>
      <c r="C1961" t="s">
        <v>28</v>
      </c>
      <c r="D1961">
        <v>56</v>
      </c>
      <c r="E1961">
        <v>106</v>
      </c>
      <c r="F1961">
        <v>0.34599999999999997</v>
      </c>
      <c r="G1961">
        <v>46</v>
      </c>
      <c r="H1961">
        <v>732</v>
      </c>
      <c r="I1961">
        <v>930</v>
      </c>
      <c r="J1961">
        <v>-198</v>
      </c>
    </row>
    <row r="1962" spans="1:10" x14ac:dyDescent="0.25">
      <c r="A1962">
        <v>99</v>
      </c>
      <c r="B1962" t="s">
        <v>30</v>
      </c>
      <c r="C1962" t="s">
        <v>12</v>
      </c>
      <c r="D1962">
        <v>99</v>
      </c>
      <c r="E1962">
        <v>63</v>
      </c>
      <c r="F1962">
        <v>0.61099999999999999</v>
      </c>
      <c r="G1962" t="s">
        <v>9</v>
      </c>
      <c r="H1962">
        <v>1053</v>
      </c>
      <c r="I1962">
        <v>876</v>
      </c>
      <c r="J1962">
        <v>177</v>
      </c>
    </row>
    <row r="1963" spans="1:10" x14ac:dyDescent="0.25">
      <c r="A1963">
        <v>99</v>
      </c>
      <c r="B1963" t="s">
        <v>30</v>
      </c>
      <c r="C1963" t="s">
        <v>8</v>
      </c>
      <c r="D1963">
        <v>95</v>
      </c>
      <c r="E1963">
        <v>67</v>
      </c>
      <c r="F1963">
        <v>0.58599999999999997</v>
      </c>
      <c r="G1963">
        <v>4</v>
      </c>
      <c r="H1963">
        <v>824</v>
      </c>
      <c r="I1963">
        <v>704</v>
      </c>
      <c r="J1963">
        <v>120</v>
      </c>
    </row>
    <row r="1964" spans="1:10" x14ac:dyDescent="0.25">
      <c r="A1964">
        <v>99</v>
      </c>
      <c r="B1964" t="s">
        <v>30</v>
      </c>
      <c r="C1964" t="s">
        <v>10</v>
      </c>
      <c r="D1964">
        <v>94</v>
      </c>
      <c r="E1964">
        <v>68</v>
      </c>
      <c r="F1964">
        <v>0.57999999999999996</v>
      </c>
      <c r="G1964">
        <v>5</v>
      </c>
      <c r="H1964">
        <v>1042</v>
      </c>
      <c r="I1964">
        <v>873</v>
      </c>
      <c r="J1964">
        <v>169</v>
      </c>
    </row>
    <row r="1965" spans="1:10" x14ac:dyDescent="0.25">
      <c r="A1965">
        <v>99</v>
      </c>
      <c r="B1965" t="s">
        <v>30</v>
      </c>
      <c r="C1965" t="s">
        <v>11</v>
      </c>
      <c r="D1965">
        <v>87</v>
      </c>
      <c r="E1965">
        <v>75</v>
      </c>
      <c r="F1965">
        <v>0.53700000000000003</v>
      </c>
      <c r="G1965">
        <v>12</v>
      </c>
      <c r="H1965">
        <v>879</v>
      </c>
      <c r="I1965">
        <v>755</v>
      </c>
      <c r="J1965">
        <v>124</v>
      </c>
    </row>
    <row r="1966" spans="1:10" x14ac:dyDescent="0.25">
      <c r="A1966">
        <v>99</v>
      </c>
      <c r="B1966" t="s">
        <v>30</v>
      </c>
      <c r="C1966" t="s">
        <v>13</v>
      </c>
      <c r="D1966">
        <v>73</v>
      </c>
      <c r="E1966">
        <v>89</v>
      </c>
      <c r="F1966">
        <v>0.45100000000000001</v>
      </c>
      <c r="G1966">
        <v>26</v>
      </c>
      <c r="H1966">
        <v>800</v>
      </c>
      <c r="I1966">
        <v>819</v>
      </c>
      <c r="J1966">
        <v>-19</v>
      </c>
    </row>
    <row r="1967" spans="1:10" x14ac:dyDescent="0.25">
      <c r="A1967">
        <v>99</v>
      </c>
      <c r="B1967" t="s">
        <v>31</v>
      </c>
      <c r="C1967" t="s">
        <v>14</v>
      </c>
      <c r="D1967">
        <v>114</v>
      </c>
      <c r="E1967">
        <v>48</v>
      </c>
      <c r="F1967">
        <v>0.70399999999999996</v>
      </c>
      <c r="G1967" t="s">
        <v>9</v>
      </c>
      <c r="H1967">
        <v>999</v>
      </c>
      <c r="I1967">
        <v>653</v>
      </c>
      <c r="J1967">
        <v>346</v>
      </c>
    </row>
    <row r="1968" spans="1:10" x14ac:dyDescent="0.25">
      <c r="A1968">
        <v>99</v>
      </c>
      <c r="B1968" t="s">
        <v>31</v>
      </c>
      <c r="C1968" t="s">
        <v>15</v>
      </c>
      <c r="D1968">
        <v>83</v>
      </c>
      <c r="E1968">
        <v>79</v>
      </c>
      <c r="F1968">
        <v>0.51200000000000001</v>
      </c>
      <c r="G1968">
        <v>31</v>
      </c>
      <c r="H1968">
        <v>963</v>
      </c>
      <c r="I1968">
        <v>1108</v>
      </c>
      <c r="J1968">
        <v>-145</v>
      </c>
    </row>
    <row r="1969" spans="1:10" x14ac:dyDescent="0.25">
      <c r="A1969">
        <v>99</v>
      </c>
      <c r="B1969" t="s">
        <v>31</v>
      </c>
      <c r="C1969" t="s">
        <v>16</v>
      </c>
      <c r="D1969">
        <v>74</v>
      </c>
      <c r="E1969">
        <v>88</v>
      </c>
      <c r="F1969">
        <v>0.45700000000000002</v>
      </c>
      <c r="G1969">
        <v>40</v>
      </c>
      <c r="H1969">
        <v>762</v>
      </c>
      <c r="I1969">
        <v>825</v>
      </c>
      <c r="J1969">
        <v>-63</v>
      </c>
    </row>
    <row r="1970" spans="1:10" x14ac:dyDescent="0.25">
      <c r="A1970">
        <v>99</v>
      </c>
      <c r="B1970" t="s">
        <v>31</v>
      </c>
      <c r="C1970" t="s">
        <v>17</v>
      </c>
      <c r="D1970">
        <v>62</v>
      </c>
      <c r="E1970">
        <v>100</v>
      </c>
      <c r="F1970">
        <v>0.38300000000000001</v>
      </c>
      <c r="G1970">
        <v>52</v>
      </c>
      <c r="H1970">
        <v>837</v>
      </c>
      <c r="I1970">
        <v>1040</v>
      </c>
      <c r="J1970">
        <v>-203</v>
      </c>
    </row>
    <row r="1971" spans="1:10" x14ac:dyDescent="0.25">
      <c r="A1971">
        <v>99</v>
      </c>
      <c r="B1971" t="s">
        <v>31</v>
      </c>
      <c r="C1971" t="s">
        <v>18</v>
      </c>
      <c r="D1971">
        <v>40</v>
      </c>
      <c r="E1971">
        <v>122</v>
      </c>
      <c r="F1971">
        <v>0.247</v>
      </c>
      <c r="G1971">
        <v>74</v>
      </c>
      <c r="H1971">
        <v>679</v>
      </c>
      <c r="I1971">
        <v>1064</v>
      </c>
      <c r="J1971">
        <v>-385</v>
      </c>
    </row>
    <row r="1972" spans="1:10" x14ac:dyDescent="0.25">
      <c r="A1972">
        <v>99</v>
      </c>
      <c r="B1972" t="s">
        <v>32</v>
      </c>
      <c r="C1972" t="s">
        <v>19</v>
      </c>
      <c r="D1972">
        <v>119</v>
      </c>
      <c r="E1972">
        <v>43</v>
      </c>
      <c r="F1972">
        <v>0.73499999999999999</v>
      </c>
      <c r="G1972" t="s">
        <v>9</v>
      </c>
      <c r="H1972">
        <v>1067</v>
      </c>
      <c r="I1972">
        <v>752</v>
      </c>
      <c r="J1972">
        <v>315</v>
      </c>
    </row>
    <row r="1973" spans="1:10" x14ac:dyDescent="0.25">
      <c r="A1973">
        <v>99</v>
      </c>
      <c r="B1973" t="s">
        <v>32</v>
      </c>
      <c r="C1973" t="s">
        <v>20</v>
      </c>
      <c r="D1973">
        <v>81</v>
      </c>
      <c r="E1973">
        <v>81</v>
      </c>
      <c r="F1973">
        <v>0.5</v>
      </c>
      <c r="G1973">
        <v>38</v>
      </c>
      <c r="H1973">
        <v>875</v>
      </c>
      <c r="I1973">
        <v>815</v>
      </c>
      <c r="J1973">
        <v>60</v>
      </c>
    </row>
    <row r="1974" spans="1:10" x14ac:dyDescent="0.25">
      <c r="A1974">
        <v>99</v>
      </c>
      <c r="B1974" t="s">
        <v>32</v>
      </c>
      <c r="C1974" t="s">
        <v>21</v>
      </c>
      <c r="D1974">
        <v>75</v>
      </c>
      <c r="E1974">
        <v>87</v>
      </c>
      <c r="F1974">
        <v>0.46300000000000002</v>
      </c>
      <c r="G1974">
        <v>44</v>
      </c>
      <c r="H1974">
        <v>907</v>
      </c>
      <c r="I1974">
        <v>935</v>
      </c>
      <c r="J1974">
        <v>-28</v>
      </c>
    </row>
    <row r="1975" spans="1:10" x14ac:dyDescent="0.25">
      <c r="A1975">
        <v>99</v>
      </c>
      <c r="B1975" t="s">
        <v>32</v>
      </c>
      <c r="C1975" t="s">
        <v>22</v>
      </c>
      <c r="D1975">
        <v>72</v>
      </c>
      <c r="E1975">
        <v>90</v>
      </c>
      <c r="F1975">
        <v>0.44400000000000001</v>
      </c>
      <c r="G1975">
        <v>47</v>
      </c>
      <c r="H1975">
        <v>932</v>
      </c>
      <c r="I1975">
        <v>996</v>
      </c>
      <c r="J1975">
        <v>-64</v>
      </c>
    </row>
    <row r="1976" spans="1:10" x14ac:dyDescent="0.25">
      <c r="A1976">
        <v>99</v>
      </c>
      <c r="B1976" t="s">
        <v>32</v>
      </c>
      <c r="C1976" t="s">
        <v>23</v>
      </c>
      <c r="D1976">
        <v>54</v>
      </c>
      <c r="E1976">
        <v>108</v>
      </c>
      <c r="F1976">
        <v>0.33300000000000002</v>
      </c>
      <c r="G1976">
        <v>65</v>
      </c>
      <c r="H1976">
        <v>763</v>
      </c>
      <c r="I1976">
        <v>1144</v>
      </c>
      <c r="J1976">
        <v>-381</v>
      </c>
    </row>
    <row r="1977" spans="1:10" x14ac:dyDescent="0.25">
      <c r="A1977">
        <v>99</v>
      </c>
      <c r="B1977" t="s">
        <v>33</v>
      </c>
      <c r="C1977" t="s">
        <v>24</v>
      </c>
      <c r="D1977">
        <v>102</v>
      </c>
      <c r="E1977">
        <v>60</v>
      </c>
      <c r="F1977">
        <v>0.63</v>
      </c>
      <c r="G1977" t="s">
        <v>9</v>
      </c>
      <c r="H1977">
        <v>939</v>
      </c>
      <c r="I1977">
        <v>661</v>
      </c>
      <c r="J1977">
        <v>278</v>
      </c>
    </row>
    <row r="1978" spans="1:10" x14ac:dyDescent="0.25">
      <c r="A1978">
        <v>99</v>
      </c>
      <c r="B1978" t="s">
        <v>33</v>
      </c>
      <c r="C1978" t="s">
        <v>25</v>
      </c>
      <c r="D1978">
        <v>90</v>
      </c>
      <c r="E1978">
        <v>72</v>
      </c>
      <c r="F1978">
        <v>0.55600000000000005</v>
      </c>
      <c r="G1978">
        <v>12</v>
      </c>
      <c r="H1978">
        <v>859</v>
      </c>
      <c r="I1978">
        <v>763</v>
      </c>
      <c r="J1978">
        <v>96</v>
      </c>
    </row>
    <row r="1979" spans="1:10" x14ac:dyDescent="0.25">
      <c r="A1979">
        <v>99</v>
      </c>
      <c r="B1979" t="s">
        <v>33</v>
      </c>
      <c r="C1979" t="s">
        <v>26</v>
      </c>
      <c r="D1979">
        <v>82</v>
      </c>
      <c r="E1979">
        <v>80</v>
      </c>
      <c r="F1979">
        <v>0.50600000000000001</v>
      </c>
      <c r="G1979">
        <v>20</v>
      </c>
      <c r="H1979">
        <v>880</v>
      </c>
      <c r="I1979">
        <v>892</v>
      </c>
      <c r="J1979">
        <v>-12</v>
      </c>
    </row>
    <row r="1980" spans="1:10" x14ac:dyDescent="0.25">
      <c r="A1980">
        <v>99</v>
      </c>
      <c r="B1980" t="s">
        <v>33</v>
      </c>
      <c r="C1980" t="s">
        <v>27</v>
      </c>
      <c r="D1980">
        <v>73</v>
      </c>
      <c r="E1980">
        <v>89</v>
      </c>
      <c r="F1980">
        <v>0.45100000000000001</v>
      </c>
      <c r="G1980">
        <v>29</v>
      </c>
      <c r="H1980">
        <v>810</v>
      </c>
      <c r="I1980">
        <v>875</v>
      </c>
      <c r="J1980">
        <v>-65</v>
      </c>
    </row>
    <row r="1981" spans="1:10" x14ac:dyDescent="0.25">
      <c r="A1981">
        <v>99</v>
      </c>
      <c r="B1981" t="s">
        <v>33</v>
      </c>
      <c r="C1981" t="s">
        <v>28</v>
      </c>
      <c r="D1981">
        <v>51</v>
      </c>
      <c r="E1981">
        <v>111</v>
      </c>
      <c r="F1981">
        <v>0.315</v>
      </c>
      <c r="G1981">
        <v>51</v>
      </c>
      <c r="H1981">
        <v>690</v>
      </c>
      <c r="I1981">
        <v>1010</v>
      </c>
      <c r="J1981">
        <v>-320</v>
      </c>
    </row>
    <row r="1982" spans="1:10" x14ac:dyDescent="0.25">
      <c r="A1982">
        <v>100</v>
      </c>
      <c r="B1982" t="s">
        <v>30</v>
      </c>
      <c r="C1982" t="s">
        <v>8</v>
      </c>
      <c r="D1982">
        <v>100</v>
      </c>
      <c r="E1982">
        <v>62</v>
      </c>
      <c r="F1982">
        <v>0.61699999999999999</v>
      </c>
      <c r="G1982">
        <v>0</v>
      </c>
      <c r="H1982">
        <v>924</v>
      </c>
      <c r="I1982">
        <v>635</v>
      </c>
      <c r="J1982">
        <v>289</v>
      </c>
    </row>
    <row r="1983" spans="1:10" x14ac:dyDescent="0.25">
      <c r="A1983">
        <v>100</v>
      </c>
      <c r="B1983" t="s">
        <v>30</v>
      </c>
      <c r="C1983" t="s">
        <v>10</v>
      </c>
      <c r="D1983">
        <v>97</v>
      </c>
      <c r="E1983">
        <v>65</v>
      </c>
      <c r="F1983">
        <v>0.59899999999999998</v>
      </c>
      <c r="G1983">
        <v>3</v>
      </c>
      <c r="H1983">
        <v>1002</v>
      </c>
      <c r="I1983">
        <v>789</v>
      </c>
      <c r="J1983">
        <v>213</v>
      </c>
    </row>
    <row r="1984" spans="1:10" x14ac:dyDescent="0.25">
      <c r="A1984">
        <v>100</v>
      </c>
      <c r="B1984" t="s">
        <v>30</v>
      </c>
      <c r="C1984" t="s">
        <v>11</v>
      </c>
      <c r="D1984">
        <v>90</v>
      </c>
      <c r="E1984">
        <v>72</v>
      </c>
      <c r="F1984">
        <v>0.55600000000000005</v>
      </c>
      <c r="G1984">
        <v>10</v>
      </c>
      <c r="H1984">
        <v>803</v>
      </c>
      <c r="I1984">
        <v>779</v>
      </c>
      <c r="J1984">
        <v>24</v>
      </c>
    </row>
    <row r="1985" spans="1:10" x14ac:dyDescent="0.25">
      <c r="A1985">
        <v>100</v>
      </c>
      <c r="B1985" t="s">
        <v>30</v>
      </c>
      <c r="C1985" t="s">
        <v>12</v>
      </c>
      <c r="D1985">
        <v>84</v>
      </c>
      <c r="E1985">
        <v>78</v>
      </c>
      <c r="F1985">
        <v>0.51900000000000002</v>
      </c>
      <c r="G1985">
        <v>16</v>
      </c>
      <c r="H1985">
        <v>925</v>
      </c>
      <c r="I1985">
        <v>862</v>
      </c>
      <c r="J1985">
        <v>63</v>
      </c>
    </row>
    <row r="1986" spans="1:10" x14ac:dyDescent="0.25">
      <c r="A1986">
        <v>100</v>
      </c>
      <c r="B1986" t="s">
        <v>30</v>
      </c>
      <c r="C1986" t="s">
        <v>13</v>
      </c>
      <c r="D1986">
        <v>70</v>
      </c>
      <c r="E1986">
        <v>92</v>
      </c>
      <c r="F1986">
        <v>0.432</v>
      </c>
      <c r="G1986">
        <v>30</v>
      </c>
      <c r="H1986">
        <v>764</v>
      </c>
      <c r="I1986">
        <v>881</v>
      </c>
      <c r="J1986">
        <v>-117</v>
      </c>
    </row>
    <row r="1987" spans="1:10" x14ac:dyDescent="0.25">
      <c r="A1987">
        <v>100</v>
      </c>
      <c r="B1987" t="s">
        <v>31</v>
      </c>
      <c r="C1987" t="s">
        <v>14</v>
      </c>
      <c r="D1987">
        <v>109</v>
      </c>
      <c r="E1987">
        <v>53</v>
      </c>
      <c r="F1987">
        <v>0.67300000000000004</v>
      </c>
      <c r="G1987">
        <v>0</v>
      </c>
      <c r="H1987">
        <v>998</v>
      </c>
      <c r="I1987">
        <v>723</v>
      </c>
      <c r="J1987">
        <v>275</v>
      </c>
    </row>
    <row r="1988" spans="1:10" x14ac:dyDescent="0.25">
      <c r="A1988">
        <v>100</v>
      </c>
      <c r="B1988" t="s">
        <v>31</v>
      </c>
      <c r="C1988" t="s">
        <v>15</v>
      </c>
      <c r="D1988">
        <v>72</v>
      </c>
      <c r="E1988">
        <v>90</v>
      </c>
      <c r="F1988">
        <v>0.44400000000000001</v>
      </c>
      <c r="G1988">
        <v>37</v>
      </c>
      <c r="H1988">
        <v>966</v>
      </c>
      <c r="I1988">
        <v>1100</v>
      </c>
      <c r="J1988">
        <v>-134</v>
      </c>
    </row>
    <row r="1989" spans="1:10" x14ac:dyDescent="0.25">
      <c r="A1989">
        <v>100</v>
      </c>
      <c r="B1989" t="s">
        <v>31</v>
      </c>
      <c r="C1989" t="s">
        <v>16</v>
      </c>
      <c r="D1989">
        <v>66</v>
      </c>
      <c r="E1989">
        <v>96</v>
      </c>
      <c r="F1989">
        <v>0.40699999999999997</v>
      </c>
      <c r="G1989">
        <v>43</v>
      </c>
      <c r="H1989">
        <v>735</v>
      </c>
      <c r="I1989">
        <v>828</v>
      </c>
      <c r="J1989">
        <v>-93</v>
      </c>
    </row>
    <row r="1990" spans="1:10" x14ac:dyDescent="0.25">
      <c r="A1990">
        <v>100</v>
      </c>
      <c r="B1990" t="s">
        <v>31</v>
      </c>
      <c r="C1990" t="s">
        <v>17</v>
      </c>
      <c r="D1990">
        <v>61</v>
      </c>
      <c r="E1990">
        <v>101</v>
      </c>
      <c r="F1990">
        <v>0.377</v>
      </c>
      <c r="G1990">
        <v>48</v>
      </c>
      <c r="H1990">
        <v>820</v>
      </c>
      <c r="I1990">
        <v>1028</v>
      </c>
      <c r="J1990">
        <v>-208</v>
      </c>
    </row>
    <row r="1991" spans="1:10" x14ac:dyDescent="0.25">
      <c r="A1991">
        <v>100</v>
      </c>
      <c r="B1991" t="s">
        <v>31</v>
      </c>
      <c r="C1991" t="s">
        <v>18</v>
      </c>
      <c r="D1991">
        <v>52</v>
      </c>
      <c r="E1991">
        <v>110</v>
      </c>
      <c r="F1991">
        <v>0.32100000000000001</v>
      </c>
      <c r="G1991">
        <v>57</v>
      </c>
      <c r="H1991">
        <v>627</v>
      </c>
      <c r="I1991">
        <v>932</v>
      </c>
      <c r="J1991">
        <v>-305</v>
      </c>
    </row>
    <row r="1992" spans="1:10" x14ac:dyDescent="0.25">
      <c r="A1992">
        <v>100</v>
      </c>
      <c r="B1992" t="s">
        <v>32</v>
      </c>
      <c r="C1992" t="s">
        <v>19</v>
      </c>
      <c r="D1992">
        <v>111</v>
      </c>
      <c r="E1992">
        <v>51</v>
      </c>
      <c r="F1992">
        <v>0.68500000000000005</v>
      </c>
      <c r="G1992">
        <v>0</v>
      </c>
      <c r="H1992">
        <v>1014</v>
      </c>
      <c r="I1992">
        <v>706</v>
      </c>
      <c r="J1992">
        <v>308</v>
      </c>
    </row>
    <row r="1993" spans="1:10" x14ac:dyDescent="0.25">
      <c r="A1993">
        <v>100</v>
      </c>
      <c r="B1993" t="s">
        <v>32</v>
      </c>
      <c r="C1993" t="s">
        <v>20</v>
      </c>
      <c r="D1993">
        <v>99</v>
      </c>
      <c r="E1993">
        <v>63</v>
      </c>
      <c r="F1993">
        <v>0.61099999999999999</v>
      </c>
      <c r="G1993">
        <v>12</v>
      </c>
      <c r="H1993">
        <v>945</v>
      </c>
      <c r="I1993">
        <v>785</v>
      </c>
      <c r="J1993">
        <v>160</v>
      </c>
    </row>
    <row r="1994" spans="1:10" x14ac:dyDescent="0.25">
      <c r="A1994">
        <v>100</v>
      </c>
      <c r="B1994" t="s">
        <v>32</v>
      </c>
      <c r="C1994" t="s">
        <v>21</v>
      </c>
      <c r="D1994">
        <v>95</v>
      </c>
      <c r="E1994">
        <v>67</v>
      </c>
      <c r="F1994">
        <v>0.58599999999999997</v>
      </c>
      <c r="G1994">
        <v>16</v>
      </c>
      <c r="H1994">
        <v>970</v>
      </c>
      <c r="I1994">
        <v>842</v>
      </c>
      <c r="J1994">
        <v>128</v>
      </c>
    </row>
    <row r="1995" spans="1:10" x14ac:dyDescent="0.25">
      <c r="A1995">
        <v>100</v>
      </c>
      <c r="B1995" t="s">
        <v>32</v>
      </c>
      <c r="C1995" t="s">
        <v>22</v>
      </c>
      <c r="D1995">
        <v>74</v>
      </c>
      <c r="E1995">
        <v>88</v>
      </c>
      <c r="F1995">
        <v>0.45700000000000002</v>
      </c>
      <c r="G1995">
        <v>37</v>
      </c>
      <c r="H1995">
        <v>853</v>
      </c>
      <c r="I1995">
        <v>986</v>
      </c>
      <c r="J1995">
        <v>-133</v>
      </c>
    </row>
    <row r="1996" spans="1:10" x14ac:dyDescent="0.25">
      <c r="A1996">
        <v>100</v>
      </c>
      <c r="B1996" t="s">
        <v>32</v>
      </c>
      <c r="C1996" t="s">
        <v>23</v>
      </c>
      <c r="D1996">
        <v>49</v>
      </c>
      <c r="E1996">
        <v>113</v>
      </c>
      <c r="F1996">
        <v>0.30199999999999999</v>
      </c>
      <c r="G1996">
        <v>62</v>
      </c>
      <c r="H1996">
        <v>757</v>
      </c>
      <c r="I1996">
        <v>1142</v>
      </c>
      <c r="J1996">
        <v>-385</v>
      </c>
    </row>
    <row r="1997" spans="1:10" x14ac:dyDescent="0.25">
      <c r="A1997">
        <v>100</v>
      </c>
      <c r="B1997" t="s">
        <v>33</v>
      </c>
      <c r="C1997" t="s">
        <v>24</v>
      </c>
      <c r="D1997">
        <v>101</v>
      </c>
      <c r="E1997">
        <v>61</v>
      </c>
      <c r="F1997">
        <v>0.623</v>
      </c>
      <c r="G1997">
        <v>0</v>
      </c>
      <c r="H1997">
        <v>890</v>
      </c>
      <c r="I1997">
        <v>703</v>
      </c>
      <c r="J1997">
        <v>187</v>
      </c>
    </row>
    <row r="1998" spans="1:10" x14ac:dyDescent="0.25">
      <c r="A1998">
        <v>100</v>
      </c>
      <c r="B1998" t="s">
        <v>33</v>
      </c>
      <c r="C1998" t="s">
        <v>25</v>
      </c>
      <c r="D1998">
        <v>85</v>
      </c>
      <c r="E1998">
        <v>77</v>
      </c>
      <c r="F1998">
        <v>0.52500000000000002</v>
      </c>
      <c r="G1998">
        <v>16</v>
      </c>
      <c r="H1998">
        <v>846</v>
      </c>
      <c r="I1998">
        <v>760</v>
      </c>
      <c r="J1998">
        <v>86</v>
      </c>
    </row>
    <row r="1999" spans="1:10" x14ac:dyDescent="0.25">
      <c r="A1999">
        <v>100</v>
      </c>
      <c r="B1999" t="s">
        <v>33</v>
      </c>
      <c r="C1999" t="s">
        <v>26</v>
      </c>
      <c r="D1999">
        <v>78</v>
      </c>
      <c r="E1999">
        <v>84</v>
      </c>
      <c r="F1999">
        <v>0.48099999999999998</v>
      </c>
      <c r="G1999">
        <v>23</v>
      </c>
      <c r="H1999">
        <v>823</v>
      </c>
      <c r="I1999">
        <v>873</v>
      </c>
      <c r="J1999">
        <v>-50</v>
      </c>
    </row>
    <row r="2000" spans="1:10" x14ac:dyDescent="0.25">
      <c r="A2000">
        <v>100</v>
      </c>
      <c r="B2000" t="s">
        <v>33</v>
      </c>
      <c r="C2000" t="s">
        <v>27</v>
      </c>
      <c r="D2000">
        <v>74</v>
      </c>
      <c r="E2000">
        <v>88</v>
      </c>
      <c r="F2000">
        <v>0.45700000000000002</v>
      </c>
      <c r="G2000">
        <v>27</v>
      </c>
      <c r="H2000">
        <v>861</v>
      </c>
      <c r="I2000">
        <v>869</v>
      </c>
      <c r="J2000">
        <v>-8</v>
      </c>
    </row>
    <row r="2001" spans="1:10" x14ac:dyDescent="0.25">
      <c r="A2001">
        <v>100</v>
      </c>
      <c r="B2001" t="s">
        <v>33</v>
      </c>
      <c r="C2001" t="s">
        <v>28</v>
      </c>
      <c r="D2001">
        <v>53</v>
      </c>
      <c r="E2001">
        <v>109</v>
      </c>
      <c r="F2001">
        <v>0.32700000000000001</v>
      </c>
      <c r="G2001">
        <v>48</v>
      </c>
      <c r="H2001">
        <v>729</v>
      </c>
      <c r="I2001">
        <v>1029</v>
      </c>
      <c r="J2001">
        <v>-300</v>
      </c>
    </row>
  </sheetData>
  <sortState ref="A2:I202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60"/>
  <sheetViews>
    <sheetView zoomScale="85" zoomScaleNormal="85" workbookViewId="0">
      <pane xSplit="1" ySplit="25" topLeftCell="B160" activePane="bottomRight" state="frozen"/>
      <selection pane="topRight" activeCell="B1" sqref="B1"/>
      <selection pane="bottomLeft" activeCell="A26" sqref="A26"/>
      <selection pane="bottomRight" activeCell="F138" sqref="F138:F160"/>
    </sheetView>
  </sheetViews>
  <sheetFormatPr defaultRowHeight="15" x14ac:dyDescent="0.25"/>
  <cols>
    <col min="1" max="1" width="27.5703125" bestFit="1" customWidth="1"/>
    <col min="2" max="3" width="7.140625" style="10" bestFit="1" customWidth="1"/>
    <col min="4" max="5" width="5.5703125" style="14" bestFit="1" customWidth="1"/>
    <col min="6" max="6" width="6.5703125" style="10" bestFit="1" customWidth="1"/>
    <col min="7" max="106" width="5" bestFit="1" customWidth="1"/>
  </cols>
  <sheetData>
    <row r="1" spans="1:106" x14ac:dyDescent="0.25">
      <c r="A1" s="4" t="s">
        <v>35</v>
      </c>
      <c r="B1" s="7" t="s">
        <v>38</v>
      </c>
      <c r="C1" s="7" t="s">
        <v>39</v>
      </c>
      <c r="D1" s="11" t="s">
        <v>40</v>
      </c>
      <c r="E1" s="11" t="s">
        <v>41</v>
      </c>
      <c r="F1" s="7" t="s">
        <v>42</v>
      </c>
      <c r="G1" s="4">
        <v>1</v>
      </c>
      <c r="H1" s="4">
        <v>2</v>
      </c>
      <c r="I1" s="4">
        <v>3</v>
      </c>
      <c r="J1" s="4">
        <v>4</v>
      </c>
      <c r="K1" s="4">
        <v>5</v>
      </c>
      <c r="L1" s="4">
        <v>6</v>
      </c>
      <c r="M1" s="4">
        <v>7</v>
      </c>
      <c r="N1" s="4">
        <v>8</v>
      </c>
      <c r="O1" s="4">
        <v>9</v>
      </c>
      <c r="P1" s="4">
        <v>10</v>
      </c>
      <c r="Q1" s="4">
        <v>11</v>
      </c>
      <c r="R1" s="4">
        <v>12</v>
      </c>
      <c r="S1" s="4">
        <v>13</v>
      </c>
      <c r="T1" s="4">
        <v>14</v>
      </c>
      <c r="U1" s="4">
        <v>15</v>
      </c>
      <c r="V1" s="4">
        <v>16</v>
      </c>
      <c r="W1" s="4">
        <v>17</v>
      </c>
      <c r="X1" s="4">
        <v>18</v>
      </c>
      <c r="Y1" s="4">
        <v>19</v>
      </c>
      <c r="Z1" s="4">
        <v>20</v>
      </c>
      <c r="AA1" s="4">
        <v>21</v>
      </c>
      <c r="AB1" s="4">
        <v>22</v>
      </c>
      <c r="AC1" s="4">
        <v>23</v>
      </c>
      <c r="AD1" s="4">
        <v>24</v>
      </c>
      <c r="AE1" s="4">
        <v>25</v>
      </c>
      <c r="AF1" s="4">
        <v>26</v>
      </c>
      <c r="AG1" s="4">
        <v>27</v>
      </c>
      <c r="AH1" s="4">
        <v>28</v>
      </c>
      <c r="AI1" s="4">
        <v>29</v>
      </c>
      <c r="AJ1" s="4">
        <v>30</v>
      </c>
      <c r="AK1" s="4">
        <v>31</v>
      </c>
      <c r="AL1" s="4">
        <v>32</v>
      </c>
      <c r="AM1" s="4">
        <v>33</v>
      </c>
      <c r="AN1" s="4">
        <v>34</v>
      </c>
      <c r="AO1" s="4">
        <v>35</v>
      </c>
      <c r="AP1" s="4">
        <v>36</v>
      </c>
      <c r="AQ1" s="4">
        <v>37</v>
      </c>
      <c r="AR1" s="4">
        <v>38</v>
      </c>
      <c r="AS1" s="4">
        <v>39</v>
      </c>
      <c r="AT1" s="4">
        <v>40</v>
      </c>
      <c r="AU1" s="4">
        <v>41</v>
      </c>
      <c r="AV1" s="4">
        <v>42</v>
      </c>
      <c r="AW1" s="4">
        <v>43</v>
      </c>
      <c r="AX1" s="4">
        <v>44</v>
      </c>
      <c r="AY1" s="4">
        <v>45</v>
      </c>
      <c r="AZ1" s="4">
        <v>46</v>
      </c>
      <c r="BA1" s="4">
        <v>47</v>
      </c>
      <c r="BB1" s="4">
        <v>48</v>
      </c>
      <c r="BC1" s="4">
        <v>49</v>
      </c>
      <c r="BD1" s="4">
        <v>50</v>
      </c>
      <c r="BE1" s="4">
        <v>51</v>
      </c>
      <c r="BF1" s="4">
        <v>52</v>
      </c>
      <c r="BG1" s="4">
        <v>53</v>
      </c>
      <c r="BH1" s="4">
        <v>54</v>
      </c>
      <c r="BI1" s="4">
        <v>55</v>
      </c>
      <c r="BJ1" s="4">
        <v>56</v>
      </c>
      <c r="BK1" s="4">
        <v>57</v>
      </c>
      <c r="BL1" s="4">
        <v>58</v>
      </c>
      <c r="BM1" s="4">
        <v>59</v>
      </c>
      <c r="BN1" s="4">
        <v>60</v>
      </c>
      <c r="BO1" s="4">
        <v>61</v>
      </c>
      <c r="BP1" s="4">
        <v>62</v>
      </c>
      <c r="BQ1" s="4">
        <v>63</v>
      </c>
      <c r="BR1" s="4">
        <v>64</v>
      </c>
      <c r="BS1" s="4">
        <v>65</v>
      </c>
      <c r="BT1" s="4">
        <v>66</v>
      </c>
      <c r="BU1" s="4">
        <v>67</v>
      </c>
      <c r="BV1" s="4">
        <v>68</v>
      </c>
      <c r="BW1" s="4">
        <v>69</v>
      </c>
      <c r="BX1" s="4">
        <v>70</v>
      </c>
      <c r="BY1" s="4">
        <v>71</v>
      </c>
      <c r="BZ1" s="4">
        <v>72</v>
      </c>
      <c r="CA1" s="4">
        <v>73</v>
      </c>
      <c r="CB1" s="4">
        <v>74</v>
      </c>
      <c r="CC1" s="4">
        <v>75</v>
      </c>
      <c r="CD1" s="4">
        <v>76</v>
      </c>
      <c r="CE1" s="4">
        <v>77</v>
      </c>
      <c r="CF1" s="4">
        <v>78</v>
      </c>
      <c r="CG1" s="4">
        <v>79</v>
      </c>
      <c r="CH1" s="4">
        <v>80</v>
      </c>
      <c r="CI1" s="4">
        <v>81</v>
      </c>
      <c r="CJ1" s="4">
        <v>82</v>
      </c>
      <c r="CK1" s="4">
        <v>83</v>
      </c>
      <c r="CL1" s="4">
        <v>84</v>
      </c>
      <c r="CM1" s="4">
        <v>85</v>
      </c>
      <c r="CN1" s="4">
        <v>86</v>
      </c>
      <c r="CO1" s="4">
        <v>87</v>
      </c>
      <c r="CP1" s="4">
        <v>88</v>
      </c>
      <c r="CQ1" s="4">
        <v>89</v>
      </c>
      <c r="CR1" s="4">
        <v>90</v>
      </c>
      <c r="CS1" s="4">
        <v>91</v>
      </c>
      <c r="CT1" s="4">
        <v>92</v>
      </c>
      <c r="CU1" s="4">
        <v>93</v>
      </c>
      <c r="CV1" s="4">
        <v>94</v>
      </c>
      <c r="CW1" s="4">
        <v>95</v>
      </c>
      <c r="CX1" s="4">
        <v>96</v>
      </c>
      <c r="CY1" s="4">
        <v>97</v>
      </c>
      <c r="CZ1" s="4">
        <v>98</v>
      </c>
      <c r="DA1" s="4">
        <v>99</v>
      </c>
      <c r="DB1" s="4">
        <v>100</v>
      </c>
    </row>
    <row r="2" spans="1:106" x14ac:dyDescent="0.25">
      <c r="A2" s="3" t="s">
        <v>32</v>
      </c>
      <c r="B2" s="8"/>
      <c r="C2" s="8"/>
      <c r="D2" s="12"/>
      <c r="E2" s="12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spans="1:106" x14ac:dyDescent="0.25">
      <c r="A3" s="2" t="s">
        <v>21</v>
      </c>
      <c r="B3" s="9">
        <f>AVERAGE($G3:$DB3)</f>
        <v>85.87</v>
      </c>
      <c r="C3" s="9">
        <f>MEDIAN($G3:$DB3)</f>
        <v>86</v>
      </c>
      <c r="D3" s="13">
        <f>MAX($G3:$DB3)</f>
        <v>106</v>
      </c>
      <c r="E3" s="13">
        <f>MIN($G3:$DB3)</f>
        <v>73</v>
      </c>
      <c r="F3" s="9">
        <f>STDEV($G3:$DB3)</f>
        <v>6.2646273277470819</v>
      </c>
      <c r="G3" s="5">
        <v>80</v>
      </c>
      <c r="H3" s="5">
        <v>93</v>
      </c>
      <c r="I3" s="5">
        <v>78</v>
      </c>
      <c r="J3" s="5">
        <v>87</v>
      </c>
      <c r="K3" s="5">
        <v>86</v>
      </c>
      <c r="L3" s="5">
        <v>83</v>
      </c>
      <c r="M3" s="5">
        <v>84</v>
      </c>
      <c r="N3" s="5">
        <v>96</v>
      </c>
      <c r="O3" s="5">
        <v>82</v>
      </c>
      <c r="P3" s="5">
        <v>85</v>
      </c>
      <c r="Q3" s="5">
        <v>96</v>
      </c>
      <c r="R3" s="5">
        <v>82</v>
      </c>
      <c r="S3" s="5">
        <v>83</v>
      </c>
      <c r="T3" s="5">
        <v>91</v>
      </c>
      <c r="U3" s="5">
        <v>81</v>
      </c>
      <c r="V3" s="5">
        <v>84</v>
      </c>
      <c r="W3" s="5">
        <v>92</v>
      </c>
      <c r="X3" s="5">
        <v>91</v>
      </c>
      <c r="Y3" s="5">
        <v>79</v>
      </c>
      <c r="Z3" s="5">
        <v>83</v>
      </c>
      <c r="AA3" s="5">
        <v>88</v>
      </c>
      <c r="AB3" s="5">
        <v>80</v>
      </c>
      <c r="AC3" s="5">
        <v>90</v>
      </c>
      <c r="AD3" s="5">
        <v>77</v>
      </c>
      <c r="AE3" s="5">
        <v>88</v>
      </c>
      <c r="AF3" s="5">
        <v>94</v>
      </c>
      <c r="AG3" s="5">
        <v>86</v>
      </c>
      <c r="AH3" s="5">
        <v>90</v>
      </c>
      <c r="AI3" s="5">
        <v>78</v>
      </c>
      <c r="AJ3" s="5">
        <v>92</v>
      </c>
      <c r="AK3" s="5">
        <v>79</v>
      </c>
      <c r="AL3" s="5">
        <v>79</v>
      </c>
      <c r="AM3" s="5">
        <v>88</v>
      </c>
      <c r="AN3" s="5">
        <v>91</v>
      </c>
      <c r="AO3" s="5">
        <v>88</v>
      </c>
      <c r="AP3" s="5">
        <v>89</v>
      </c>
      <c r="AQ3" s="5">
        <v>82</v>
      </c>
      <c r="AR3" s="5">
        <v>100</v>
      </c>
      <c r="AS3" s="5">
        <v>97</v>
      </c>
      <c r="AT3" s="5">
        <v>84</v>
      </c>
      <c r="AU3" s="5">
        <v>96</v>
      </c>
      <c r="AV3" s="5">
        <v>97</v>
      </c>
      <c r="AW3" s="5">
        <v>73</v>
      </c>
      <c r="AX3" s="5">
        <v>93</v>
      </c>
      <c r="AY3" s="5">
        <v>89</v>
      </c>
      <c r="AZ3" s="5">
        <v>97</v>
      </c>
      <c r="BA3" s="5">
        <v>81</v>
      </c>
      <c r="BB3" s="5">
        <v>91</v>
      </c>
      <c r="BC3" s="5">
        <v>90</v>
      </c>
      <c r="BD3" s="5">
        <v>81</v>
      </c>
      <c r="BE3" s="5">
        <v>76</v>
      </c>
      <c r="BF3" s="5">
        <v>82</v>
      </c>
      <c r="BG3" s="5">
        <v>87</v>
      </c>
      <c r="BH3" s="5">
        <v>89</v>
      </c>
      <c r="BI3" s="5">
        <v>89</v>
      </c>
      <c r="BJ3" s="5">
        <v>84</v>
      </c>
      <c r="BK3" s="5">
        <v>83</v>
      </c>
      <c r="BL3" s="5">
        <v>82</v>
      </c>
      <c r="BM3" s="5">
        <v>82</v>
      </c>
      <c r="BN3" s="5">
        <v>77</v>
      </c>
      <c r="BO3" s="5">
        <v>106</v>
      </c>
      <c r="BP3" s="5">
        <v>87</v>
      </c>
      <c r="BQ3" s="5">
        <v>81</v>
      </c>
      <c r="BR3" s="5">
        <v>84</v>
      </c>
      <c r="BS3" s="5">
        <v>84</v>
      </c>
      <c r="BT3" s="5">
        <v>75</v>
      </c>
      <c r="BU3" s="5">
        <v>88</v>
      </c>
      <c r="BV3" s="5">
        <v>88</v>
      </c>
      <c r="BW3" s="5">
        <v>84</v>
      </c>
      <c r="BX3" s="5">
        <v>82</v>
      </c>
      <c r="BY3" s="5">
        <v>87</v>
      </c>
      <c r="BZ3" s="5">
        <v>91</v>
      </c>
      <c r="CA3" s="5">
        <v>87</v>
      </c>
      <c r="CB3" s="5">
        <v>91</v>
      </c>
      <c r="CC3" s="5">
        <v>87</v>
      </c>
      <c r="CD3" s="5">
        <v>90</v>
      </c>
      <c r="CE3" s="5">
        <v>81</v>
      </c>
      <c r="CF3" s="5">
        <v>85</v>
      </c>
      <c r="CG3" s="5">
        <v>78</v>
      </c>
      <c r="CH3" s="5">
        <v>92</v>
      </c>
      <c r="CI3" s="5">
        <v>78</v>
      </c>
      <c r="CJ3" s="5">
        <v>86</v>
      </c>
      <c r="CK3" s="5">
        <v>74</v>
      </c>
      <c r="CL3" s="5">
        <v>85</v>
      </c>
      <c r="CM3" s="5">
        <v>84</v>
      </c>
      <c r="CN3" s="5">
        <v>86</v>
      </c>
      <c r="CO3" s="5">
        <v>89</v>
      </c>
      <c r="CP3" s="5">
        <v>93</v>
      </c>
      <c r="CQ3" s="5">
        <v>86</v>
      </c>
      <c r="CR3" s="5">
        <v>87</v>
      </c>
      <c r="CS3" s="5">
        <v>85</v>
      </c>
      <c r="CT3" s="5">
        <v>80</v>
      </c>
      <c r="CU3" s="5">
        <v>74</v>
      </c>
      <c r="CV3" s="5">
        <v>91</v>
      </c>
      <c r="CW3" s="5">
        <v>87</v>
      </c>
      <c r="CX3" s="5">
        <v>85</v>
      </c>
      <c r="CY3" s="5">
        <v>75</v>
      </c>
      <c r="CZ3" s="5">
        <v>89</v>
      </c>
      <c r="DA3" s="5">
        <v>75</v>
      </c>
      <c r="DB3" s="5">
        <v>95</v>
      </c>
    </row>
    <row r="4" spans="1:106" x14ac:dyDescent="0.25">
      <c r="A4" s="2" t="s">
        <v>19</v>
      </c>
      <c r="B4" s="9">
        <f t="shared" ref="B4:B7" si="0">AVERAGE($G4:$DB4)</f>
        <v>107.93</v>
      </c>
      <c r="C4" s="9">
        <f t="shared" ref="C4:C7" si="1">MEDIAN($G4:$DB4)</f>
        <v>108.5</v>
      </c>
      <c r="D4" s="13">
        <f t="shared" ref="D4:D7" si="2">MAX($G4:$DB4)</f>
        <v>124</v>
      </c>
      <c r="E4" s="13">
        <f t="shared" ref="E4:E7" si="3">MIN($G4:$DB4)</f>
        <v>94</v>
      </c>
      <c r="F4" s="9">
        <f t="shared" ref="F4:F7" si="4">STDEV($G4:$DB4)</f>
        <v>6.0054772979137594</v>
      </c>
      <c r="G4" s="5">
        <v>107</v>
      </c>
      <c r="H4" s="5">
        <v>101</v>
      </c>
      <c r="I4" s="5">
        <v>108</v>
      </c>
      <c r="J4" s="5">
        <v>110</v>
      </c>
      <c r="K4" s="5">
        <v>101</v>
      </c>
      <c r="L4" s="5">
        <v>101</v>
      </c>
      <c r="M4" s="5">
        <v>110</v>
      </c>
      <c r="N4" s="5">
        <v>108</v>
      </c>
      <c r="O4" s="5">
        <v>94</v>
      </c>
      <c r="P4" s="5">
        <v>97</v>
      </c>
      <c r="Q4" s="5">
        <v>117</v>
      </c>
      <c r="R4" s="5">
        <v>115</v>
      </c>
      <c r="S4" s="5">
        <v>111</v>
      </c>
      <c r="T4" s="5">
        <v>115</v>
      </c>
      <c r="U4" s="5">
        <v>115</v>
      </c>
      <c r="V4" s="5">
        <v>107</v>
      </c>
      <c r="W4" s="5">
        <v>96</v>
      </c>
      <c r="X4" s="5">
        <v>107</v>
      </c>
      <c r="Y4" s="5">
        <v>101</v>
      </c>
      <c r="Z4" s="5">
        <v>102</v>
      </c>
      <c r="AA4" s="5">
        <v>120</v>
      </c>
      <c r="AB4" s="5">
        <v>105</v>
      </c>
      <c r="AC4" s="5">
        <v>100</v>
      </c>
      <c r="AD4" s="5">
        <v>113</v>
      </c>
      <c r="AE4" s="5">
        <v>112</v>
      </c>
      <c r="AF4" s="5">
        <v>111</v>
      </c>
      <c r="AG4" s="5">
        <v>111</v>
      </c>
      <c r="AH4" s="5">
        <v>102</v>
      </c>
      <c r="AI4" s="5">
        <v>109</v>
      </c>
      <c r="AJ4" s="5">
        <v>121</v>
      </c>
      <c r="AK4" s="5">
        <v>113</v>
      </c>
      <c r="AL4" s="5">
        <v>102</v>
      </c>
      <c r="AM4" s="5">
        <v>110</v>
      </c>
      <c r="AN4" s="5">
        <v>115</v>
      </c>
      <c r="AO4" s="5">
        <v>117</v>
      </c>
      <c r="AP4" s="5">
        <v>101</v>
      </c>
      <c r="AQ4" s="5">
        <v>110</v>
      </c>
      <c r="AR4" s="5">
        <v>104</v>
      </c>
      <c r="AS4" s="5">
        <v>101</v>
      </c>
      <c r="AT4" s="5">
        <v>104</v>
      </c>
      <c r="AU4" s="5">
        <v>112</v>
      </c>
      <c r="AV4" s="5">
        <v>102</v>
      </c>
      <c r="AW4" s="5">
        <v>112</v>
      </c>
      <c r="AX4" s="5">
        <v>109</v>
      </c>
      <c r="AY4" s="5">
        <v>105</v>
      </c>
      <c r="AZ4" s="5">
        <v>102</v>
      </c>
      <c r="BA4" s="5">
        <v>106</v>
      </c>
      <c r="BB4" s="5">
        <v>105</v>
      </c>
      <c r="BC4" s="5">
        <v>103</v>
      </c>
      <c r="BD4" s="5">
        <v>104</v>
      </c>
      <c r="BE4" s="5">
        <v>124</v>
      </c>
      <c r="BF4" s="5">
        <v>111</v>
      </c>
      <c r="BG4" s="5">
        <v>112</v>
      </c>
      <c r="BH4" s="5">
        <v>111</v>
      </c>
      <c r="BI4" s="5">
        <v>110</v>
      </c>
      <c r="BJ4" s="5">
        <v>109</v>
      </c>
      <c r="BK4" s="5">
        <v>103</v>
      </c>
      <c r="BL4" s="5">
        <v>110</v>
      </c>
      <c r="BM4" s="5">
        <v>110</v>
      </c>
      <c r="BN4" s="5">
        <v>117</v>
      </c>
      <c r="BO4" s="5">
        <v>110</v>
      </c>
      <c r="BP4" s="5">
        <v>103</v>
      </c>
      <c r="BQ4" s="5">
        <v>102</v>
      </c>
      <c r="BR4" s="5">
        <v>111</v>
      </c>
      <c r="BS4" s="5">
        <v>110</v>
      </c>
      <c r="BT4" s="5">
        <v>112</v>
      </c>
      <c r="BU4" s="5">
        <v>117</v>
      </c>
      <c r="BV4" s="5">
        <v>103</v>
      </c>
      <c r="BW4" s="5">
        <v>105</v>
      </c>
      <c r="BX4" s="5">
        <v>103</v>
      </c>
      <c r="BY4" s="5">
        <v>100</v>
      </c>
      <c r="BZ4" s="5">
        <v>105</v>
      </c>
      <c r="CA4" s="5">
        <v>117</v>
      </c>
      <c r="CB4" s="5">
        <v>108</v>
      </c>
      <c r="CC4" s="5">
        <v>109</v>
      </c>
      <c r="CD4" s="5">
        <v>114</v>
      </c>
      <c r="CE4" s="5">
        <v>110</v>
      </c>
      <c r="CF4" s="5">
        <v>116</v>
      </c>
      <c r="CG4" s="5">
        <v>103</v>
      </c>
      <c r="CH4" s="5">
        <v>103</v>
      </c>
      <c r="CI4" s="5">
        <v>112</v>
      </c>
      <c r="CJ4" s="5">
        <v>98</v>
      </c>
      <c r="CK4" s="5">
        <v>103</v>
      </c>
      <c r="CL4" s="5">
        <v>104</v>
      </c>
      <c r="CM4" s="5">
        <v>104</v>
      </c>
      <c r="CN4" s="5">
        <v>104</v>
      </c>
      <c r="CO4" s="5">
        <v>109</v>
      </c>
      <c r="CP4" s="5">
        <v>108</v>
      </c>
      <c r="CQ4" s="5">
        <v>114</v>
      </c>
      <c r="CR4" s="5">
        <v>116</v>
      </c>
      <c r="CS4" s="5">
        <v>111</v>
      </c>
      <c r="CT4" s="5">
        <v>101</v>
      </c>
      <c r="CU4" s="5">
        <v>100</v>
      </c>
      <c r="CV4" s="5">
        <v>102</v>
      </c>
      <c r="CW4" s="5">
        <v>112</v>
      </c>
      <c r="CX4" s="5">
        <v>104</v>
      </c>
      <c r="CY4" s="5">
        <v>103</v>
      </c>
      <c r="CZ4" s="5">
        <v>116</v>
      </c>
      <c r="DA4" s="5">
        <v>119</v>
      </c>
      <c r="DB4" s="5">
        <v>111</v>
      </c>
    </row>
    <row r="5" spans="1:106" x14ac:dyDescent="0.25">
      <c r="A5" s="2" t="s">
        <v>20</v>
      </c>
      <c r="B5" s="9">
        <f t="shared" si="0"/>
        <v>94.32</v>
      </c>
      <c r="C5" s="9">
        <f t="shared" si="1"/>
        <v>95</v>
      </c>
      <c r="D5" s="13">
        <f t="shared" si="2"/>
        <v>110</v>
      </c>
      <c r="E5" s="13">
        <f t="shared" si="3"/>
        <v>80</v>
      </c>
      <c r="F5" s="9">
        <f t="shared" si="4"/>
        <v>6.0333751882023856</v>
      </c>
      <c r="G5" s="5">
        <v>95</v>
      </c>
      <c r="H5" s="5">
        <v>96</v>
      </c>
      <c r="I5" s="5">
        <v>106</v>
      </c>
      <c r="J5" s="5">
        <v>95</v>
      </c>
      <c r="K5" s="5">
        <v>96</v>
      </c>
      <c r="L5" s="5">
        <v>95</v>
      </c>
      <c r="M5" s="5">
        <v>93</v>
      </c>
      <c r="N5" s="5">
        <v>92</v>
      </c>
      <c r="O5" s="5">
        <v>97</v>
      </c>
      <c r="P5" s="5">
        <v>96</v>
      </c>
      <c r="Q5" s="5">
        <v>104</v>
      </c>
      <c r="R5" s="5">
        <v>102</v>
      </c>
      <c r="S5" s="5">
        <v>91</v>
      </c>
      <c r="T5" s="5">
        <v>103</v>
      </c>
      <c r="U5" s="5">
        <v>96</v>
      </c>
      <c r="V5" s="5">
        <v>88</v>
      </c>
      <c r="W5" s="5">
        <v>90</v>
      </c>
      <c r="X5" s="5">
        <v>99</v>
      </c>
      <c r="Y5" s="5">
        <v>94</v>
      </c>
      <c r="Z5" s="5">
        <v>93</v>
      </c>
      <c r="AA5" s="5">
        <v>95</v>
      </c>
      <c r="AB5" s="5">
        <v>97</v>
      </c>
      <c r="AC5" s="5">
        <v>96</v>
      </c>
      <c r="AD5" s="5">
        <v>91</v>
      </c>
      <c r="AE5" s="5">
        <v>95</v>
      </c>
      <c r="AF5" s="5">
        <v>89</v>
      </c>
      <c r="AG5" s="5">
        <v>99</v>
      </c>
      <c r="AH5" s="5">
        <v>100</v>
      </c>
      <c r="AI5" s="5">
        <v>107</v>
      </c>
      <c r="AJ5" s="5">
        <v>81</v>
      </c>
      <c r="AK5" s="5">
        <v>105</v>
      </c>
      <c r="AL5" s="5">
        <v>98</v>
      </c>
      <c r="AM5" s="5">
        <v>91</v>
      </c>
      <c r="AN5" s="5">
        <v>95</v>
      </c>
      <c r="AO5" s="5">
        <v>95</v>
      </c>
      <c r="AP5" s="5">
        <v>94</v>
      </c>
      <c r="AQ5" s="5">
        <v>89</v>
      </c>
      <c r="AR5" s="5">
        <v>100</v>
      </c>
      <c r="AS5" s="5">
        <v>92</v>
      </c>
      <c r="AT5" s="5">
        <v>98</v>
      </c>
      <c r="AU5" s="5">
        <v>96</v>
      </c>
      <c r="AV5" s="5">
        <v>85</v>
      </c>
      <c r="AW5" s="5">
        <v>97</v>
      </c>
      <c r="AX5" s="5">
        <v>98</v>
      </c>
      <c r="AY5" s="5">
        <v>91</v>
      </c>
      <c r="AZ5" s="5">
        <v>96</v>
      </c>
      <c r="BA5" s="5">
        <v>94</v>
      </c>
      <c r="BB5" s="5">
        <v>101</v>
      </c>
      <c r="BC5" s="5">
        <v>95</v>
      </c>
      <c r="BD5" s="5">
        <v>93</v>
      </c>
      <c r="BE5" s="5">
        <v>81</v>
      </c>
      <c r="BF5" s="5">
        <v>110</v>
      </c>
      <c r="BG5" s="5">
        <v>96</v>
      </c>
      <c r="BH5" s="5">
        <v>95</v>
      </c>
      <c r="BI5" s="5">
        <v>101</v>
      </c>
      <c r="BJ5" s="5">
        <v>94</v>
      </c>
      <c r="BK5" s="5">
        <v>90</v>
      </c>
      <c r="BL5" s="5">
        <v>92</v>
      </c>
      <c r="BM5" s="5">
        <v>94</v>
      </c>
      <c r="BN5" s="5">
        <v>93</v>
      </c>
      <c r="BO5" s="5">
        <v>92</v>
      </c>
      <c r="BP5" s="5">
        <v>95</v>
      </c>
      <c r="BQ5" s="5">
        <v>87</v>
      </c>
      <c r="BR5" s="5">
        <v>90</v>
      </c>
      <c r="BS5" s="5">
        <v>94</v>
      </c>
      <c r="BT5" s="5">
        <v>98</v>
      </c>
      <c r="BU5" s="5">
        <v>88</v>
      </c>
      <c r="BV5" s="5">
        <v>87</v>
      </c>
      <c r="BW5" s="5">
        <v>106</v>
      </c>
      <c r="BX5" s="5">
        <v>97</v>
      </c>
      <c r="BY5" s="5">
        <v>101</v>
      </c>
      <c r="BZ5" s="5">
        <v>90</v>
      </c>
      <c r="CA5" s="5">
        <v>95</v>
      </c>
      <c r="CB5" s="5">
        <v>86</v>
      </c>
      <c r="CC5" s="5">
        <v>93</v>
      </c>
      <c r="CD5" s="5">
        <v>91</v>
      </c>
      <c r="CE5" s="5">
        <v>101</v>
      </c>
      <c r="CF5" s="5">
        <v>104</v>
      </c>
      <c r="CG5" s="5">
        <v>92</v>
      </c>
      <c r="CH5" s="5">
        <v>88</v>
      </c>
      <c r="CI5" s="5">
        <v>109</v>
      </c>
      <c r="CJ5" s="5">
        <v>90</v>
      </c>
      <c r="CK5" s="5">
        <v>91</v>
      </c>
      <c r="CL5" s="5">
        <v>85</v>
      </c>
      <c r="CM5" s="5">
        <v>99</v>
      </c>
      <c r="CN5" s="5">
        <v>88</v>
      </c>
      <c r="CO5" s="5">
        <v>95</v>
      </c>
      <c r="CP5" s="5">
        <v>89</v>
      </c>
      <c r="CQ5" s="5">
        <v>82</v>
      </c>
      <c r="CR5" s="5">
        <v>85</v>
      </c>
      <c r="CS5" s="5">
        <v>96</v>
      </c>
      <c r="CT5" s="5">
        <v>91</v>
      </c>
      <c r="CU5" s="5">
        <v>99</v>
      </c>
      <c r="CV5" s="5">
        <v>97</v>
      </c>
      <c r="CW5" s="5">
        <v>96</v>
      </c>
      <c r="CX5" s="5">
        <v>90</v>
      </c>
      <c r="CY5" s="5">
        <v>80</v>
      </c>
      <c r="CZ5" s="5">
        <v>95</v>
      </c>
      <c r="DA5" s="5">
        <v>81</v>
      </c>
      <c r="DB5" s="5">
        <v>99</v>
      </c>
    </row>
    <row r="6" spans="1:106" x14ac:dyDescent="0.25">
      <c r="A6" s="2" t="s">
        <v>23</v>
      </c>
      <c r="B6" s="9">
        <f t="shared" si="0"/>
        <v>54.86</v>
      </c>
      <c r="C6" s="9">
        <f t="shared" si="1"/>
        <v>55</v>
      </c>
      <c r="D6" s="13">
        <f t="shared" si="2"/>
        <v>71</v>
      </c>
      <c r="E6" s="13">
        <f t="shared" si="3"/>
        <v>34</v>
      </c>
      <c r="F6" s="9">
        <f t="shared" si="4"/>
        <v>6.3213922517116261</v>
      </c>
      <c r="G6" s="5">
        <v>46</v>
      </c>
      <c r="H6" s="5">
        <v>57</v>
      </c>
      <c r="I6" s="5">
        <v>53</v>
      </c>
      <c r="J6" s="5">
        <v>55</v>
      </c>
      <c r="K6" s="5">
        <v>51</v>
      </c>
      <c r="L6" s="5">
        <v>54</v>
      </c>
      <c r="M6" s="5">
        <v>40</v>
      </c>
      <c r="N6" s="5">
        <v>55</v>
      </c>
      <c r="O6" s="5">
        <v>52</v>
      </c>
      <c r="P6" s="5">
        <v>53</v>
      </c>
      <c r="Q6" s="5">
        <v>55</v>
      </c>
      <c r="R6" s="5">
        <v>54</v>
      </c>
      <c r="S6" s="5">
        <v>71</v>
      </c>
      <c r="T6" s="5">
        <v>59</v>
      </c>
      <c r="U6" s="5">
        <v>51</v>
      </c>
      <c r="V6" s="5">
        <v>57</v>
      </c>
      <c r="W6" s="5">
        <v>48</v>
      </c>
      <c r="X6" s="5">
        <v>58</v>
      </c>
      <c r="Y6" s="5">
        <v>57</v>
      </c>
      <c r="Z6" s="5">
        <v>37</v>
      </c>
      <c r="AA6" s="5">
        <v>59</v>
      </c>
      <c r="AB6" s="5">
        <v>48</v>
      </c>
      <c r="AC6" s="5">
        <v>48</v>
      </c>
      <c r="AD6" s="5">
        <v>56</v>
      </c>
      <c r="AE6" s="5">
        <v>55</v>
      </c>
      <c r="AF6" s="5">
        <v>55</v>
      </c>
      <c r="AG6" s="5">
        <v>52</v>
      </c>
      <c r="AH6" s="5">
        <v>69</v>
      </c>
      <c r="AI6" s="5">
        <v>52</v>
      </c>
      <c r="AJ6" s="5">
        <v>59</v>
      </c>
      <c r="AK6" s="5">
        <v>56</v>
      </c>
      <c r="AL6" s="5">
        <v>57</v>
      </c>
      <c r="AM6" s="5">
        <v>52</v>
      </c>
      <c r="AN6" s="5">
        <v>61</v>
      </c>
      <c r="AO6" s="5">
        <v>44</v>
      </c>
      <c r="AP6" s="5">
        <v>64</v>
      </c>
      <c r="AQ6" s="5">
        <v>71</v>
      </c>
      <c r="AR6" s="5">
        <v>51</v>
      </c>
      <c r="AS6" s="5">
        <v>63</v>
      </c>
      <c r="AT6" s="5">
        <v>60</v>
      </c>
      <c r="AU6" s="5">
        <v>54</v>
      </c>
      <c r="AV6" s="5">
        <v>55</v>
      </c>
      <c r="AW6" s="5">
        <v>58</v>
      </c>
      <c r="AX6" s="5">
        <v>57</v>
      </c>
      <c r="AY6" s="5">
        <v>56</v>
      </c>
      <c r="AZ6" s="5">
        <v>48</v>
      </c>
      <c r="BA6" s="5">
        <v>61</v>
      </c>
      <c r="BB6" s="5">
        <v>46</v>
      </c>
      <c r="BC6" s="5">
        <v>64</v>
      </c>
      <c r="BD6" s="5">
        <v>61</v>
      </c>
      <c r="BE6" s="5">
        <v>62</v>
      </c>
      <c r="BF6" s="5">
        <v>59</v>
      </c>
      <c r="BG6" s="5">
        <v>55</v>
      </c>
      <c r="BH6" s="5">
        <v>55</v>
      </c>
      <c r="BI6" s="5">
        <v>64</v>
      </c>
      <c r="BJ6" s="5">
        <v>60</v>
      </c>
      <c r="BK6" s="5">
        <v>47</v>
      </c>
      <c r="BL6" s="5">
        <v>61</v>
      </c>
      <c r="BM6" s="5">
        <v>62</v>
      </c>
      <c r="BN6" s="5">
        <v>48</v>
      </c>
      <c r="BO6" s="5">
        <v>45</v>
      </c>
      <c r="BP6" s="5">
        <v>50</v>
      </c>
      <c r="BQ6" s="5">
        <v>50</v>
      </c>
      <c r="BR6" s="5">
        <v>60</v>
      </c>
      <c r="BS6" s="5">
        <v>55</v>
      </c>
      <c r="BT6" s="5">
        <v>52</v>
      </c>
      <c r="BU6" s="5">
        <v>56</v>
      </c>
      <c r="BV6" s="5">
        <v>66</v>
      </c>
      <c r="BW6" s="5">
        <v>53</v>
      </c>
      <c r="BX6" s="5">
        <v>34</v>
      </c>
      <c r="BY6" s="5">
        <v>54</v>
      </c>
      <c r="BZ6" s="5">
        <v>46</v>
      </c>
      <c r="CA6" s="5">
        <v>49</v>
      </c>
      <c r="CB6" s="5">
        <v>56</v>
      </c>
      <c r="CC6" s="5">
        <v>61</v>
      </c>
      <c r="CD6" s="5">
        <v>46</v>
      </c>
      <c r="CE6" s="5">
        <v>56</v>
      </c>
      <c r="CF6" s="5">
        <v>58</v>
      </c>
      <c r="CG6" s="5">
        <v>54</v>
      </c>
      <c r="CH6" s="5">
        <v>49</v>
      </c>
      <c r="CI6" s="5">
        <v>59</v>
      </c>
      <c r="CJ6" s="5">
        <v>62</v>
      </c>
      <c r="CK6" s="5">
        <v>53</v>
      </c>
      <c r="CL6" s="5">
        <v>54</v>
      </c>
      <c r="CM6" s="5">
        <v>54</v>
      </c>
      <c r="CN6" s="5">
        <v>56</v>
      </c>
      <c r="CO6" s="5">
        <v>61</v>
      </c>
      <c r="CP6" s="5">
        <v>60</v>
      </c>
      <c r="CQ6" s="5">
        <v>58</v>
      </c>
      <c r="CR6" s="5">
        <v>60</v>
      </c>
      <c r="CS6" s="5">
        <v>59</v>
      </c>
      <c r="CT6" s="5">
        <v>52</v>
      </c>
      <c r="CU6" s="5">
        <v>56</v>
      </c>
      <c r="CV6" s="5">
        <v>53</v>
      </c>
      <c r="CW6" s="5">
        <v>50</v>
      </c>
      <c r="CX6" s="5">
        <v>53</v>
      </c>
      <c r="CY6" s="5">
        <v>53</v>
      </c>
      <c r="CZ6" s="5">
        <v>52</v>
      </c>
      <c r="DA6" s="5">
        <v>54</v>
      </c>
      <c r="DB6" s="5">
        <v>49</v>
      </c>
    </row>
    <row r="7" spans="1:106" x14ac:dyDescent="0.25">
      <c r="A7" s="2" t="s">
        <v>22</v>
      </c>
      <c r="B7" s="9">
        <f t="shared" si="0"/>
        <v>72.55</v>
      </c>
      <c r="C7" s="9">
        <f t="shared" si="1"/>
        <v>73</v>
      </c>
      <c r="D7" s="13">
        <f t="shared" si="2"/>
        <v>85</v>
      </c>
      <c r="E7" s="13">
        <f t="shared" si="3"/>
        <v>60</v>
      </c>
      <c r="F7" s="9">
        <f t="shared" si="4"/>
        <v>6.2285997258978316</v>
      </c>
      <c r="G7" s="5">
        <v>66</v>
      </c>
      <c r="H7" s="5">
        <v>67</v>
      </c>
      <c r="I7" s="5">
        <v>70</v>
      </c>
      <c r="J7" s="5">
        <v>75</v>
      </c>
      <c r="K7" s="5">
        <v>70</v>
      </c>
      <c r="L7" s="5">
        <v>74</v>
      </c>
      <c r="M7" s="5">
        <v>74</v>
      </c>
      <c r="N7" s="5">
        <v>75</v>
      </c>
      <c r="O7" s="5">
        <v>77</v>
      </c>
      <c r="P7" s="5">
        <v>72</v>
      </c>
      <c r="Q7" s="5">
        <v>69</v>
      </c>
      <c r="R7" s="5">
        <v>78</v>
      </c>
      <c r="S7" s="5">
        <v>77</v>
      </c>
      <c r="T7" s="5">
        <v>85</v>
      </c>
      <c r="U7" s="5">
        <v>69</v>
      </c>
      <c r="V7" s="5">
        <v>62</v>
      </c>
      <c r="W7" s="5">
        <v>84</v>
      </c>
      <c r="X7" s="5">
        <v>82</v>
      </c>
      <c r="Y7" s="5">
        <v>64</v>
      </c>
      <c r="Z7" s="5">
        <v>67</v>
      </c>
      <c r="AA7" s="5">
        <v>72</v>
      </c>
      <c r="AB7" s="5">
        <v>68</v>
      </c>
      <c r="AC7" s="5">
        <v>70</v>
      </c>
      <c r="AD7" s="5">
        <v>85</v>
      </c>
      <c r="AE7" s="5">
        <v>71</v>
      </c>
      <c r="AF7" s="5">
        <v>61</v>
      </c>
      <c r="AG7" s="5">
        <v>71</v>
      </c>
      <c r="AH7" s="5">
        <v>74</v>
      </c>
      <c r="AI7" s="5">
        <v>69</v>
      </c>
      <c r="AJ7" s="5">
        <v>70</v>
      </c>
      <c r="AK7" s="5">
        <v>73</v>
      </c>
      <c r="AL7" s="5">
        <v>73</v>
      </c>
      <c r="AM7" s="5">
        <v>72</v>
      </c>
      <c r="AN7" s="5">
        <v>64</v>
      </c>
      <c r="AO7" s="5">
        <v>73</v>
      </c>
      <c r="AP7" s="5">
        <v>76</v>
      </c>
      <c r="AQ7" s="5">
        <v>77</v>
      </c>
      <c r="AR7" s="5">
        <v>60</v>
      </c>
      <c r="AS7" s="5">
        <v>74</v>
      </c>
      <c r="AT7" s="5">
        <v>81</v>
      </c>
      <c r="AU7" s="5">
        <v>69</v>
      </c>
      <c r="AV7" s="5">
        <v>83</v>
      </c>
      <c r="AW7" s="5">
        <v>74</v>
      </c>
      <c r="AX7" s="5">
        <v>85</v>
      </c>
      <c r="AY7" s="5">
        <v>74</v>
      </c>
      <c r="AZ7" s="5">
        <v>70</v>
      </c>
      <c r="BA7" s="5">
        <v>70</v>
      </c>
      <c r="BB7" s="5">
        <v>60</v>
      </c>
      <c r="BC7" s="5">
        <v>74</v>
      </c>
      <c r="BD7" s="5">
        <v>75</v>
      </c>
      <c r="BE7" s="5">
        <v>80</v>
      </c>
      <c r="BF7" s="5">
        <v>77</v>
      </c>
      <c r="BG7" s="5">
        <v>66</v>
      </c>
      <c r="BH7" s="5">
        <v>79</v>
      </c>
      <c r="BI7" s="5">
        <v>79</v>
      </c>
      <c r="BJ7" s="5">
        <v>65</v>
      </c>
      <c r="BK7" s="5">
        <v>78</v>
      </c>
      <c r="BL7" s="5">
        <v>73</v>
      </c>
      <c r="BM7" s="5">
        <v>65</v>
      </c>
      <c r="BN7" s="5">
        <v>66</v>
      </c>
      <c r="BO7" s="5">
        <v>66</v>
      </c>
      <c r="BP7" s="5">
        <v>69</v>
      </c>
      <c r="BQ7" s="5">
        <v>77</v>
      </c>
      <c r="BR7" s="5">
        <v>61</v>
      </c>
      <c r="BS7" s="5">
        <v>65</v>
      </c>
      <c r="BT7" s="5">
        <v>83</v>
      </c>
      <c r="BU7" s="5">
        <v>61</v>
      </c>
      <c r="BV7" s="5">
        <v>62</v>
      </c>
      <c r="BW7" s="5">
        <v>85</v>
      </c>
      <c r="BX7" s="5">
        <v>82</v>
      </c>
      <c r="BY7" s="5">
        <v>73</v>
      </c>
      <c r="BZ7" s="5">
        <v>76</v>
      </c>
      <c r="CA7" s="5">
        <v>69</v>
      </c>
      <c r="CB7" s="5">
        <v>68</v>
      </c>
      <c r="CC7" s="5">
        <v>76</v>
      </c>
      <c r="CD7" s="5">
        <v>73</v>
      </c>
      <c r="CE7" s="5">
        <v>77</v>
      </c>
      <c r="CF7" s="5">
        <v>70</v>
      </c>
      <c r="CG7" s="5">
        <v>74</v>
      </c>
      <c r="CH7" s="5">
        <v>63</v>
      </c>
      <c r="CI7" s="5">
        <v>76</v>
      </c>
      <c r="CJ7" s="5">
        <v>73</v>
      </c>
      <c r="CK7" s="5">
        <v>77</v>
      </c>
      <c r="CL7" s="5">
        <v>78</v>
      </c>
      <c r="CM7" s="5">
        <v>79</v>
      </c>
      <c r="CN7" s="5">
        <v>76</v>
      </c>
      <c r="CO7" s="5">
        <v>81</v>
      </c>
      <c r="CP7" s="5">
        <v>63</v>
      </c>
      <c r="CQ7" s="5">
        <v>78</v>
      </c>
      <c r="CR7" s="5">
        <v>75</v>
      </c>
      <c r="CS7" s="5">
        <v>72</v>
      </c>
      <c r="CT7" s="5">
        <v>76</v>
      </c>
      <c r="CU7" s="5">
        <v>71</v>
      </c>
      <c r="CV7" s="5">
        <v>71</v>
      </c>
      <c r="CW7" s="5">
        <v>67</v>
      </c>
      <c r="CX7" s="5">
        <v>63</v>
      </c>
      <c r="CY7" s="5">
        <v>78</v>
      </c>
      <c r="CZ7" s="5">
        <v>72</v>
      </c>
      <c r="DA7" s="5">
        <v>72</v>
      </c>
      <c r="DB7" s="5">
        <v>74</v>
      </c>
    </row>
    <row r="8" spans="1:106" x14ac:dyDescent="0.25">
      <c r="A8" s="3" t="s">
        <v>31</v>
      </c>
      <c r="B8" s="8"/>
      <c r="C8" s="8"/>
      <c r="D8" s="12"/>
      <c r="E8" s="12"/>
      <c r="F8" s="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</row>
    <row r="9" spans="1:106" x14ac:dyDescent="0.25">
      <c r="A9" s="2" t="s">
        <v>17</v>
      </c>
      <c r="B9" s="9">
        <f>AVERAGE($G9:$DB9)</f>
        <v>64.290000000000006</v>
      </c>
      <c r="C9" s="9">
        <f>MEDIAN($G9:$DB9)</f>
        <v>65.5</v>
      </c>
      <c r="D9" s="13">
        <f>MAX($G9:$DB9)</f>
        <v>75</v>
      </c>
      <c r="E9" s="13">
        <f>MIN($G9:$DB9)</f>
        <v>45</v>
      </c>
      <c r="F9" s="9">
        <f>STDEV($G9:$DB9)</f>
        <v>5.787996984355563</v>
      </c>
      <c r="G9" s="5">
        <v>71</v>
      </c>
      <c r="H9" s="5">
        <v>67</v>
      </c>
      <c r="I9" s="5">
        <v>65</v>
      </c>
      <c r="J9" s="5">
        <v>59</v>
      </c>
      <c r="K9" s="5">
        <v>74</v>
      </c>
      <c r="L9" s="5">
        <v>68</v>
      </c>
      <c r="M9" s="5">
        <v>66</v>
      </c>
      <c r="N9" s="5">
        <v>66</v>
      </c>
      <c r="O9" s="5">
        <v>70</v>
      </c>
      <c r="P9" s="5">
        <v>62</v>
      </c>
      <c r="Q9" s="5">
        <v>69</v>
      </c>
      <c r="R9" s="5">
        <v>59</v>
      </c>
      <c r="S9" s="5">
        <v>61</v>
      </c>
      <c r="T9" s="5">
        <v>59</v>
      </c>
      <c r="U9" s="5">
        <v>75</v>
      </c>
      <c r="V9" s="5">
        <v>61</v>
      </c>
      <c r="W9" s="5">
        <v>54</v>
      </c>
      <c r="X9" s="5">
        <v>67</v>
      </c>
      <c r="Y9" s="5">
        <v>63</v>
      </c>
      <c r="Z9" s="5">
        <v>67</v>
      </c>
      <c r="AA9" s="5">
        <v>63</v>
      </c>
      <c r="AB9" s="5">
        <v>66</v>
      </c>
      <c r="AC9" s="5">
        <v>70</v>
      </c>
      <c r="AD9" s="5">
        <v>60</v>
      </c>
      <c r="AE9" s="5">
        <v>67</v>
      </c>
      <c r="AF9" s="5">
        <v>66</v>
      </c>
      <c r="AG9" s="5">
        <v>60</v>
      </c>
      <c r="AH9" s="5">
        <v>62</v>
      </c>
      <c r="AI9" s="5">
        <v>57</v>
      </c>
      <c r="AJ9" s="5">
        <v>57</v>
      </c>
      <c r="AK9" s="5">
        <v>69</v>
      </c>
      <c r="AL9" s="5">
        <v>71</v>
      </c>
      <c r="AM9" s="5">
        <v>62</v>
      </c>
      <c r="AN9" s="5">
        <v>60</v>
      </c>
      <c r="AO9" s="5">
        <v>65</v>
      </c>
      <c r="AP9" s="5">
        <v>69</v>
      </c>
      <c r="AQ9" s="5">
        <v>59</v>
      </c>
      <c r="AR9" s="5">
        <v>71</v>
      </c>
      <c r="AS9" s="5">
        <v>58</v>
      </c>
      <c r="AT9" s="5">
        <v>73</v>
      </c>
      <c r="AU9" s="5">
        <v>59</v>
      </c>
      <c r="AV9" s="5">
        <v>59</v>
      </c>
      <c r="AW9" s="5">
        <v>67</v>
      </c>
      <c r="AX9" s="5">
        <v>68</v>
      </c>
      <c r="AY9" s="5">
        <v>57</v>
      </c>
      <c r="AZ9" s="5">
        <v>51</v>
      </c>
      <c r="BA9" s="5">
        <v>72</v>
      </c>
      <c r="BB9" s="5">
        <v>65</v>
      </c>
      <c r="BC9" s="5">
        <v>61</v>
      </c>
      <c r="BD9" s="5">
        <v>74</v>
      </c>
      <c r="BE9" s="5">
        <v>68</v>
      </c>
      <c r="BF9" s="5">
        <v>70</v>
      </c>
      <c r="BG9" s="5">
        <v>59</v>
      </c>
      <c r="BH9" s="5">
        <v>68</v>
      </c>
      <c r="BI9" s="5">
        <v>59</v>
      </c>
      <c r="BJ9" s="5">
        <v>71</v>
      </c>
      <c r="BK9" s="5">
        <v>69</v>
      </c>
      <c r="BL9" s="5">
        <v>68</v>
      </c>
      <c r="BM9" s="5">
        <v>56</v>
      </c>
      <c r="BN9" s="5">
        <v>70</v>
      </c>
      <c r="BO9" s="5">
        <v>73</v>
      </c>
      <c r="BP9" s="5">
        <v>66</v>
      </c>
      <c r="BQ9" s="5">
        <v>70</v>
      </c>
      <c r="BR9" s="5">
        <v>60</v>
      </c>
      <c r="BS9" s="5">
        <v>45</v>
      </c>
      <c r="BT9" s="5">
        <v>62</v>
      </c>
      <c r="BU9" s="5">
        <v>56</v>
      </c>
      <c r="BV9" s="5">
        <v>63</v>
      </c>
      <c r="BW9" s="5">
        <v>67</v>
      </c>
      <c r="BX9" s="5">
        <v>66</v>
      </c>
      <c r="BY9" s="5">
        <v>58</v>
      </c>
      <c r="BZ9" s="5">
        <v>54</v>
      </c>
      <c r="CA9" s="5">
        <v>71</v>
      </c>
      <c r="CB9" s="5">
        <v>70</v>
      </c>
      <c r="CC9" s="5">
        <v>69</v>
      </c>
      <c r="CD9" s="5">
        <v>66</v>
      </c>
      <c r="CE9" s="5">
        <v>69</v>
      </c>
      <c r="CF9" s="5">
        <v>59</v>
      </c>
      <c r="CG9" s="5">
        <v>65</v>
      </c>
      <c r="CH9" s="5">
        <v>68</v>
      </c>
      <c r="CI9" s="5">
        <v>54</v>
      </c>
      <c r="CJ9" s="5">
        <v>67</v>
      </c>
      <c r="CK9" s="5">
        <v>73</v>
      </c>
      <c r="CL9" s="5">
        <v>67</v>
      </c>
      <c r="CM9" s="5">
        <v>63</v>
      </c>
      <c r="CN9" s="5">
        <v>65</v>
      </c>
      <c r="CO9" s="5">
        <v>65</v>
      </c>
      <c r="CP9" s="5">
        <v>60</v>
      </c>
      <c r="CQ9" s="5">
        <v>63</v>
      </c>
      <c r="CR9" s="5">
        <v>53</v>
      </c>
      <c r="CS9" s="5">
        <v>56</v>
      </c>
      <c r="CT9" s="5">
        <v>71</v>
      </c>
      <c r="CU9" s="5">
        <v>66</v>
      </c>
      <c r="CV9" s="5">
        <v>71</v>
      </c>
      <c r="CW9" s="5">
        <v>66</v>
      </c>
      <c r="CX9" s="5">
        <v>69</v>
      </c>
      <c r="CY9" s="5">
        <v>61</v>
      </c>
      <c r="CZ9" s="5">
        <v>60</v>
      </c>
      <c r="DA9" s="5">
        <v>62</v>
      </c>
      <c r="DB9" s="5">
        <v>61</v>
      </c>
    </row>
    <row r="10" spans="1:106" x14ac:dyDescent="0.25">
      <c r="A10" s="2" t="s">
        <v>18</v>
      </c>
      <c r="B10" s="9">
        <f t="shared" ref="B10:B13" si="5">AVERAGE($G10:$DB10)</f>
        <v>45</v>
      </c>
      <c r="C10" s="9">
        <f t="shared" ref="C10:C13" si="6">MEDIAN($G10:$DB10)</f>
        <v>45</v>
      </c>
      <c r="D10" s="13">
        <f t="shared" ref="D10:D13" si="7">MAX($G10:$DB10)</f>
        <v>56</v>
      </c>
      <c r="E10" s="13">
        <f t="shared" ref="E10:E13" si="8">MIN($G10:$DB10)</f>
        <v>35</v>
      </c>
      <c r="F10" s="9">
        <f t="shared" ref="F10:F13" si="9">STDEV($G10:$DB10)</f>
        <v>5.6318000423640502</v>
      </c>
      <c r="G10" s="5">
        <v>52</v>
      </c>
      <c r="H10" s="5">
        <v>48</v>
      </c>
      <c r="I10" s="5">
        <v>35</v>
      </c>
      <c r="J10" s="5">
        <v>53</v>
      </c>
      <c r="K10" s="5">
        <v>52</v>
      </c>
      <c r="L10" s="5">
        <v>38</v>
      </c>
      <c r="M10" s="5">
        <v>42</v>
      </c>
      <c r="N10" s="5">
        <v>40</v>
      </c>
      <c r="O10" s="5">
        <v>53</v>
      </c>
      <c r="P10" s="5">
        <v>56</v>
      </c>
      <c r="Q10" s="5">
        <v>50</v>
      </c>
      <c r="R10" s="5">
        <v>49</v>
      </c>
      <c r="S10" s="5">
        <v>49</v>
      </c>
      <c r="T10" s="5">
        <v>52</v>
      </c>
      <c r="U10" s="5">
        <v>38</v>
      </c>
      <c r="V10" s="5">
        <v>51</v>
      </c>
      <c r="W10" s="5">
        <v>52</v>
      </c>
      <c r="X10" s="5">
        <v>42</v>
      </c>
      <c r="Y10" s="5">
        <v>48</v>
      </c>
      <c r="Z10" s="5">
        <v>40</v>
      </c>
      <c r="AA10" s="5">
        <v>48</v>
      </c>
      <c r="AB10" s="5">
        <v>48</v>
      </c>
      <c r="AC10" s="5">
        <v>47</v>
      </c>
      <c r="AD10" s="5">
        <v>44</v>
      </c>
      <c r="AE10" s="5">
        <v>45</v>
      </c>
      <c r="AF10" s="5">
        <v>41</v>
      </c>
      <c r="AG10" s="5">
        <v>45</v>
      </c>
      <c r="AH10" s="5">
        <v>43</v>
      </c>
      <c r="AI10" s="5">
        <v>46</v>
      </c>
      <c r="AJ10" s="5">
        <v>37</v>
      </c>
      <c r="AK10" s="5">
        <v>40</v>
      </c>
      <c r="AL10" s="5">
        <v>49</v>
      </c>
      <c r="AM10" s="5">
        <v>47</v>
      </c>
      <c r="AN10" s="5">
        <v>48</v>
      </c>
      <c r="AO10" s="5">
        <v>49</v>
      </c>
      <c r="AP10" s="5">
        <v>44</v>
      </c>
      <c r="AQ10" s="5">
        <v>39</v>
      </c>
      <c r="AR10" s="5">
        <v>38</v>
      </c>
      <c r="AS10" s="5">
        <v>47</v>
      </c>
      <c r="AT10" s="5">
        <v>40</v>
      </c>
      <c r="AU10" s="5">
        <v>53</v>
      </c>
      <c r="AV10" s="5">
        <v>41</v>
      </c>
      <c r="AW10" s="5">
        <v>48</v>
      </c>
      <c r="AX10" s="5">
        <v>36</v>
      </c>
      <c r="AY10" s="5">
        <v>43</v>
      </c>
      <c r="AZ10" s="5">
        <v>45</v>
      </c>
      <c r="BA10" s="5">
        <v>48</v>
      </c>
      <c r="BB10" s="5">
        <v>47</v>
      </c>
      <c r="BC10" s="5">
        <v>37</v>
      </c>
      <c r="BD10" s="5">
        <v>40</v>
      </c>
      <c r="BE10" s="5">
        <v>56</v>
      </c>
      <c r="BF10" s="5">
        <v>54</v>
      </c>
      <c r="BG10" s="5">
        <v>46</v>
      </c>
      <c r="BH10" s="5">
        <v>46</v>
      </c>
      <c r="BI10" s="5">
        <v>41</v>
      </c>
      <c r="BJ10" s="5">
        <v>44</v>
      </c>
      <c r="BK10" s="5">
        <v>52</v>
      </c>
      <c r="BL10" s="5">
        <v>50</v>
      </c>
      <c r="BM10" s="5">
        <v>40</v>
      </c>
      <c r="BN10" s="5">
        <v>40</v>
      </c>
      <c r="BO10" s="5">
        <v>39</v>
      </c>
      <c r="BP10" s="5">
        <v>51</v>
      </c>
      <c r="BQ10" s="5">
        <v>41</v>
      </c>
      <c r="BR10" s="5">
        <v>54</v>
      </c>
      <c r="BS10" s="5">
        <v>40</v>
      </c>
      <c r="BT10" s="5">
        <v>43</v>
      </c>
      <c r="BU10" s="5">
        <v>47</v>
      </c>
      <c r="BV10" s="5">
        <v>39</v>
      </c>
      <c r="BW10" s="5">
        <v>47</v>
      </c>
      <c r="BX10" s="5">
        <v>42</v>
      </c>
      <c r="BY10" s="5">
        <v>45</v>
      </c>
      <c r="BZ10" s="5">
        <v>39</v>
      </c>
      <c r="CA10" s="5">
        <v>46</v>
      </c>
      <c r="CB10" s="5">
        <v>40</v>
      </c>
      <c r="CC10" s="5">
        <v>35</v>
      </c>
      <c r="CD10" s="5">
        <v>46</v>
      </c>
      <c r="CE10" s="5">
        <v>40</v>
      </c>
      <c r="CF10" s="5">
        <v>40</v>
      </c>
      <c r="CG10" s="5">
        <v>45</v>
      </c>
      <c r="CH10" s="5">
        <v>46</v>
      </c>
      <c r="CI10" s="5">
        <v>53</v>
      </c>
      <c r="CJ10" s="5">
        <v>37</v>
      </c>
      <c r="CK10" s="5">
        <v>36</v>
      </c>
      <c r="CL10" s="5">
        <v>52</v>
      </c>
      <c r="CM10" s="5">
        <v>51</v>
      </c>
      <c r="CN10" s="5">
        <v>35</v>
      </c>
      <c r="CO10" s="5">
        <v>54</v>
      </c>
      <c r="CP10" s="5">
        <v>56</v>
      </c>
      <c r="CQ10" s="5">
        <v>44</v>
      </c>
      <c r="CR10" s="5">
        <v>46</v>
      </c>
      <c r="CS10" s="5">
        <v>36</v>
      </c>
      <c r="CT10" s="5">
        <v>41</v>
      </c>
      <c r="CU10" s="5">
        <v>41</v>
      </c>
      <c r="CV10" s="5">
        <v>45</v>
      </c>
      <c r="CW10" s="5">
        <v>55</v>
      </c>
      <c r="CX10" s="5">
        <v>42</v>
      </c>
      <c r="CY10" s="5">
        <v>48</v>
      </c>
      <c r="CZ10" s="5">
        <v>39</v>
      </c>
      <c r="DA10" s="5">
        <v>40</v>
      </c>
      <c r="DB10" s="5">
        <v>52</v>
      </c>
    </row>
    <row r="11" spans="1:106" x14ac:dyDescent="0.25">
      <c r="A11" s="2" t="s">
        <v>14</v>
      </c>
      <c r="B11" s="9">
        <f t="shared" si="5"/>
        <v>108.75</v>
      </c>
      <c r="C11" s="9">
        <f t="shared" si="6"/>
        <v>109</v>
      </c>
      <c r="D11" s="13">
        <f t="shared" si="7"/>
        <v>126</v>
      </c>
      <c r="E11" s="13">
        <f t="shared" si="8"/>
        <v>94</v>
      </c>
      <c r="F11" s="9">
        <f t="shared" si="9"/>
        <v>5.8506237257063436</v>
      </c>
      <c r="G11" s="5">
        <v>112</v>
      </c>
      <c r="H11" s="5">
        <v>110</v>
      </c>
      <c r="I11" s="5">
        <v>106</v>
      </c>
      <c r="J11" s="5">
        <v>110</v>
      </c>
      <c r="K11" s="5">
        <v>115</v>
      </c>
      <c r="L11" s="5">
        <v>108</v>
      </c>
      <c r="M11" s="5">
        <v>108</v>
      </c>
      <c r="N11" s="5">
        <v>106</v>
      </c>
      <c r="O11" s="5">
        <v>100</v>
      </c>
      <c r="P11" s="5">
        <v>101</v>
      </c>
      <c r="Q11" s="5">
        <v>113</v>
      </c>
      <c r="R11" s="5">
        <v>101</v>
      </c>
      <c r="S11" s="5">
        <v>107</v>
      </c>
      <c r="T11" s="5">
        <v>102</v>
      </c>
      <c r="U11" s="5">
        <v>98</v>
      </c>
      <c r="V11" s="5">
        <v>118</v>
      </c>
      <c r="W11" s="5">
        <v>110</v>
      </c>
      <c r="X11" s="5">
        <v>117</v>
      </c>
      <c r="Y11" s="5">
        <v>105</v>
      </c>
      <c r="Z11" s="5">
        <v>114</v>
      </c>
      <c r="AA11" s="5">
        <v>112</v>
      </c>
      <c r="AB11" s="5">
        <v>115</v>
      </c>
      <c r="AC11" s="5">
        <v>111</v>
      </c>
      <c r="AD11" s="5">
        <v>101</v>
      </c>
      <c r="AE11" s="5">
        <v>108</v>
      </c>
      <c r="AF11" s="5">
        <v>109</v>
      </c>
      <c r="AG11" s="5">
        <v>116</v>
      </c>
      <c r="AH11" s="5">
        <v>117</v>
      </c>
      <c r="AI11" s="5">
        <v>105</v>
      </c>
      <c r="AJ11" s="5">
        <v>104</v>
      </c>
      <c r="AK11" s="5">
        <v>113</v>
      </c>
      <c r="AL11" s="5">
        <v>107</v>
      </c>
      <c r="AM11" s="5">
        <v>109</v>
      </c>
      <c r="AN11" s="5">
        <v>106</v>
      </c>
      <c r="AO11" s="5">
        <v>111</v>
      </c>
      <c r="AP11" s="5">
        <v>109</v>
      </c>
      <c r="AQ11" s="5">
        <v>114</v>
      </c>
      <c r="AR11" s="5">
        <v>110</v>
      </c>
      <c r="AS11" s="5">
        <v>106</v>
      </c>
      <c r="AT11" s="5">
        <v>105</v>
      </c>
      <c r="AU11" s="5">
        <v>103</v>
      </c>
      <c r="AV11" s="5">
        <v>107</v>
      </c>
      <c r="AW11" s="5">
        <v>109</v>
      </c>
      <c r="AX11" s="5">
        <v>101</v>
      </c>
      <c r="AY11" s="5">
        <v>112</v>
      </c>
      <c r="AZ11" s="5">
        <v>109</v>
      </c>
      <c r="BA11" s="5">
        <v>111</v>
      </c>
      <c r="BB11" s="5">
        <v>94</v>
      </c>
      <c r="BC11" s="5">
        <v>112</v>
      </c>
      <c r="BD11" s="5">
        <v>111</v>
      </c>
      <c r="BE11" s="5">
        <v>96</v>
      </c>
      <c r="BF11" s="5">
        <v>110</v>
      </c>
      <c r="BG11" s="5">
        <v>103</v>
      </c>
      <c r="BH11" s="5">
        <v>103</v>
      </c>
      <c r="BI11" s="5">
        <v>113</v>
      </c>
      <c r="BJ11" s="5">
        <v>109</v>
      </c>
      <c r="BK11" s="5">
        <v>103</v>
      </c>
      <c r="BL11" s="5">
        <v>108</v>
      </c>
      <c r="BM11" s="5">
        <v>113</v>
      </c>
      <c r="BN11" s="5">
        <v>104</v>
      </c>
      <c r="BO11" s="5">
        <v>113</v>
      </c>
      <c r="BP11" s="5">
        <v>111</v>
      </c>
      <c r="BQ11" s="5">
        <v>101</v>
      </c>
      <c r="BR11" s="5">
        <v>120</v>
      </c>
      <c r="BS11" s="5">
        <v>102</v>
      </c>
      <c r="BT11" s="5">
        <v>105</v>
      </c>
      <c r="BU11" s="5">
        <v>104</v>
      </c>
      <c r="BV11" s="5">
        <v>110</v>
      </c>
      <c r="BW11" s="5">
        <v>112</v>
      </c>
      <c r="BX11" s="5">
        <v>117</v>
      </c>
      <c r="BY11" s="5">
        <v>112</v>
      </c>
      <c r="BZ11" s="5">
        <v>114</v>
      </c>
      <c r="CA11" s="5">
        <v>109</v>
      </c>
      <c r="CB11" s="5">
        <v>109</v>
      </c>
      <c r="CC11" s="5">
        <v>111</v>
      </c>
      <c r="CD11" s="5">
        <v>111</v>
      </c>
      <c r="CE11" s="5">
        <v>110</v>
      </c>
      <c r="CF11" s="5">
        <v>97</v>
      </c>
      <c r="CG11" s="5">
        <v>109</v>
      </c>
      <c r="CH11" s="5">
        <v>126</v>
      </c>
      <c r="CI11" s="5">
        <v>106</v>
      </c>
      <c r="CJ11" s="5">
        <v>123</v>
      </c>
      <c r="CK11" s="5">
        <v>106</v>
      </c>
      <c r="CL11" s="5">
        <v>104</v>
      </c>
      <c r="CM11" s="5">
        <v>115</v>
      </c>
      <c r="CN11" s="5">
        <v>103</v>
      </c>
      <c r="CO11" s="5">
        <v>101</v>
      </c>
      <c r="CP11" s="5">
        <v>119</v>
      </c>
      <c r="CQ11" s="5">
        <v>110</v>
      </c>
      <c r="CR11" s="5">
        <v>100</v>
      </c>
      <c r="CS11" s="5">
        <v>112</v>
      </c>
      <c r="CT11" s="5">
        <v>110</v>
      </c>
      <c r="CU11" s="5">
        <v>112</v>
      </c>
      <c r="CV11" s="5">
        <v>109</v>
      </c>
      <c r="CW11" s="5">
        <v>107</v>
      </c>
      <c r="CX11" s="5">
        <v>117</v>
      </c>
      <c r="CY11" s="5">
        <v>117</v>
      </c>
      <c r="CZ11" s="5">
        <v>98</v>
      </c>
      <c r="DA11" s="5">
        <v>114</v>
      </c>
      <c r="DB11" s="5">
        <v>109</v>
      </c>
    </row>
    <row r="12" spans="1:106" x14ac:dyDescent="0.25">
      <c r="A12" s="2" t="s">
        <v>15</v>
      </c>
      <c r="B12" s="9">
        <f t="shared" si="5"/>
        <v>71.73</v>
      </c>
      <c r="C12" s="9">
        <f t="shared" si="6"/>
        <v>72</v>
      </c>
      <c r="D12" s="13">
        <f t="shared" si="7"/>
        <v>87</v>
      </c>
      <c r="E12" s="13">
        <f t="shared" si="8"/>
        <v>57</v>
      </c>
      <c r="F12" s="9">
        <f t="shared" si="9"/>
        <v>6.409990623860522</v>
      </c>
      <c r="G12" s="5">
        <v>76</v>
      </c>
      <c r="H12" s="5">
        <v>70</v>
      </c>
      <c r="I12" s="5">
        <v>69</v>
      </c>
      <c r="J12" s="5">
        <v>72</v>
      </c>
      <c r="K12" s="5">
        <v>79</v>
      </c>
      <c r="L12" s="5">
        <v>72</v>
      </c>
      <c r="M12" s="5">
        <v>66</v>
      </c>
      <c r="N12" s="5">
        <v>79</v>
      </c>
      <c r="O12" s="5">
        <v>76</v>
      </c>
      <c r="P12" s="5">
        <v>68</v>
      </c>
      <c r="Q12" s="5">
        <v>72</v>
      </c>
      <c r="R12" s="5">
        <v>75</v>
      </c>
      <c r="S12" s="5">
        <v>63</v>
      </c>
      <c r="T12" s="5">
        <v>67</v>
      </c>
      <c r="U12" s="5">
        <v>73</v>
      </c>
      <c r="V12" s="5">
        <v>73</v>
      </c>
      <c r="W12" s="5">
        <v>67</v>
      </c>
      <c r="X12" s="5">
        <v>71</v>
      </c>
      <c r="Y12" s="5">
        <v>85</v>
      </c>
      <c r="Z12" s="5">
        <v>69</v>
      </c>
      <c r="AA12" s="5">
        <v>58</v>
      </c>
      <c r="AB12" s="5">
        <v>71</v>
      </c>
      <c r="AC12" s="5">
        <v>71</v>
      </c>
      <c r="AD12" s="5">
        <v>77</v>
      </c>
      <c r="AE12" s="5">
        <v>77</v>
      </c>
      <c r="AF12" s="5">
        <v>72</v>
      </c>
      <c r="AG12" s="5">
        <v>62</v>
      </c>
      <c r="AH12" s="5">
        <v>62</v>
      </c>
      <c r="AI12" s="5">
        <v>64</v>
      </c>
      <c r="AJ12" s="5">
        <v>68</v>
      </c>
      <c r="AK12" s="5">
        <v>71</v>
      </c>
      <c r="AL12" s="5">
        <v>79</v>
      </c>
      <c r="AM12" s="5">
        <v>76</v>
      </c>
      <c r="AN12" s="5">
        <v>77</v>
      </c>
      <c r="AO12" s="5">
        <v>81</v>
      </c>
      <c r="AP12" s="5">
        <v>73</v>
      </c>
      <c r="AQ12" s="5">
        <v>67</v>
      </c>
      <c r="AR12" s="5">
        <v>77</v>
      </c>
      <c r="AS12" s="5">
        <v>58</v>
      </c>
      <c r="AT12" s="5">
        <v>71</v>
      </c>
      <c r="AU12" s="5">
        <v>60</v>
      </c>
      <c r="AV12" s="5">
        <v>64</v>
      </c>
      <c r="AW12" s="5">
        <v>68</v>
      </c>
      <c r="AX12" s="5">
        <v>77</v>
      </c>
      <c r="AY12" s="5">
        <v>67</v>
      </c>
      <c r="AZ12" s="5">
        <v>76</v>
      </c>
      <c r="BA12" s="5">
        <v>72</v>
      </c>
      <c r="BB12" s="5">
        <v>80</v>
      </c>
      <c r="BC12" s="5">
        <v>57</v>
      </c>
      <c r="BD12" s="5">
        <v>70</v>
      </c>
      <c r="BE12" s="5">
        <v>65</v>
      </c>
      <c r="BF12" s="5">
        <v>65</v>
      </c>
      <c r="BG12" s="5">
        <v>76</v>
      </c>
      <c r="BH12" s="5">
        <v>77</v>
      </c>
      <c r="BI12" s="5">
        <v>67</v>
      </c>
      <c r="BJ12" s="5">
        <v>71</v>
      </c>
      <c r="BK12" s="5">
        <v>77</v>
      </c>
      <c r="BL12" s="5">
        <v>74</v>
      </c>
      <c r="BM12" s="5">
        <v>74</v>
      </c>
      <c r="BN12" s="5">
        <v>66</v>
      </c>
      <c r="BO12" s="5">
        <v>74</v>
      </c>
      <c r="BP12" s="5">
        <v>78</v>
      </c>
      <c r="BQ12" s="5">
        <v>78</v>
      </c>
      <c r="BR12" s="5">
        <v>71</v>
      </c>
      <c r="BS12" s="5">
        <v>87</v>
      </c>
      <c r="BT12" s="5">
        <v>78</v>
      </c>
      <c r="BU12" s="5">
        <v>78</v>
      </c>
      <c r="BV12" s="5">
        <v>70</v>
      </c>
      <c r="BW12" s="5">
        <v>59</v>
      </c>
      <c r="BX12" s="5">
        <v>59</v>
      </c>
      <c r="BY12" s="5">
        <v>78</v>
      </c>
      <c r="BZ12" s="5">
        <v>80</v>
      </c>
      <c r="CA12" s="5">
        <v>83</v>
      </c>
      <c r="CB12" s="5">
        <v>78</v>
      </c>
      <c r="CC12" s="5">
        <v>69</v>
      </c>
      <c r="CD12" s="5">
        <v>71</v>
      </c>
      <c r="CE12" s="5">
        <v>75</v>
      </c>
      <c r="CF12" s="5">
        <v>69</v>
      </c>
      <c r="CG12" s="5">
        <v>69</v>
      </c>
      <c r="CH12" s="5">
        <v>60</v>
      </c>
      <c r="CI12" s="5">
        <v>72</v>
      </c>
      <c r="CJ12" s="5">
        <v>76</v>
      </c>
      <c r="CK12" s="5">
        <v>73</v>
      </c>
      <c r="CL12" s="5">
        <v>75</v>
      </c>
      <c r="CM12" s="5">
        <v>76</v>
      </c>
      <c r="CN12" s="5">
        <v>71</v>
      </c>
      <c r="CO12" s="5">
        <v>68</v>
      </c>
      <c r="CP12" s="5">
        <v>66</v>
      </c>
      <c r="CQ12" s="5">
        <v>83</v>
      </c>
      <c r="CR12" s="5">
        <v>78</v>
      </c>
      <c r="CS12" s="5">
        <v>74</v>
      </c>
      <c r="CT12" s="5">
        <v>73</v>
      </c>
      <c r="CU12" s="5">
        <v>73</v>
      </c>
      <c r="CV12" s="5">
        <v>69</v>
      </c>
      <c r="CW12" s="5">
        <v>59</v>
      </c>
      <c r="CX12" s="5">
        <v>69</v>
      </c>
      <c r="CY12" s="5">
        <v>65</v>
      </c>
      <c r="CZ12" s="5">
        <v>77</v>
      </c>
      <c r="DA12" s="5">
        <v>83</v>
      </c>
      <c r="DB12" s="5">
        <v>72</v>
      </c>
    </row>
    <row r="13" spans="1:106" x14ac:dyDescent="0.25">
      <c r="A13" s="2" t="s">
        <v>16</v>
      </c>
      <c r="B13" s="9">
        <f t="shared" si="5"/>
        <v>71.28</v>
      </c>
      <c r="C13" s="9">
        <f t="shared" si="6"/>
        <v>71</v>
      </c>
      <c r="D13" s="13">
        <f t="shared" si="7"/>
        <v>88</v>
      </c>
      <c r="E13" s="13">
        <f t="shared" si="8"/>
        <v>57</v>
      </c>
      <c r="F13" s="9">
        <f t="shared" si="9"/>
        <v>6.1250932790258537</v>
      </c>
      <c r="G13" s="5">
        <v>72</v>
      </c>
      <c r="H13" s="5">
        <v>78</v>
      </c>
      <c r="I13" s="5">
        <v>71</v>
      </c>
      <c r="J13" s="5">
        <v>67</v>
      </c>
      <c r="K13" s="5">
        <v>77</v>
      </c>
      <c r="L13" s="5">
        <v>64</v>
      </c>
      <c r="M13" s="5">
        <v>75</v>
      </c>
      <c r="N13" s="5">
        <v>66</v>
      </c>
      <c r="O13" s="5">
        <v>65</v>
      </c>
      <c r="P13" s="5">
        <v>64</v>
      </c>
      <c r="Q13" s="5">
        <v>76</v>
      </c>
      <c r="R13" s="5">
        <v>75</v>
      </c>
      <c r="S13" s="5">
        <v>79</v>
      </c>
      <c r="T13" s="5">
        <v>64</v>
      </c>
      <c r="U13" s="5">
        <v>71</v>
      </c>
      <c r="V13" s="5">
        <v>69</v>
      </c>
      <c r="W13" s="5">
        <v>57</v>
      </c>
      <c r="X13" s="5">
        <v>68</v>
      </c>
      <c r="Y13" s="5">
        <v>72</v>
      </c>
      <c r="Z13" s="5">
        <v>71</v>
      </c>
      <c r="AA13" s="5">
        <v>63</v>
      </c>
      <c r="AB13" s="5">
        <v>74</v>
      </c>
      <c r="AC13" s="5">
        <v>72</v>
      </c>
      <c r="AD13" s="5">
        <v>67</v>
      </c>
      <c r="AE13" s="5">
        <v>76</v>
      </c>
      <c r="AF13" s="5">
        <v>78</v>
      </c>
      <c r="AG13" s="5">
        <v>68</v>
      </c>
      <c r="AH13" s="5">
        <v>72</v>
      </c>
      <c r="AI13" s="5">
        <v>82</v>
      </c>
      <c r="AJ13" s="5">
        <v>69</v>
      </c>
      <c r="AK13" s="5">
        <v>79</v>
      </c>
      <c r="AL13" s="5">
        <v>79</v>
      </c>
      <c r="AM13" s="5">
        <v>64</v>
      </c>
      <c r="AN13" s="5">
        <v>72</v>
      </c>
      <c r="AO13" s="5">
        <v>71</v>
      </c>
      <c r="AP13" s="5">
        <v>66</v>
      </c>
      <c r="AQ13" s="5">
        <v>79</v>
      </c>
      <c r="AR13" s="5">
        <v>65</v>
      </c>
      <c r="AS13" s="5">
        <v>70</v>
      </c>
      <c r="AT13" s="5">
        <v>73</v>
      </c>
      <c r="AU13" s="5">
        <v>81</v>
      </c>
      <c r="AV13" s="5">
        <v>74</v>
      </c>
      <c r="AW13" s="5">
        <v>74</v>
      </c>
      <c r="AX13" s="5">
        <v>70</v>
      </c>
      <c r="AY13" s="5">
        <v>72</v>
      </c>
      <c r="AZ13" s="5">
        <v>68</v>
      </c>
      <c r="BA13" s="5">
        <v>64</v>
      </c>
      <c r="BB13" s="5">
        <v>67</v>
      </c>
      <c r="BC13" s="5">
        <v>71</v>
      </c>
      <c r="BD13" s="5">
        <v>79</v>
      </c>
      <c r="BE13" s="5">
        <v>63</v>
      </c>
      <c r="BF13" s="5">
        <v>65</v>
      </c>
      <c r="BG13" s="5">
        <v>77</v>
      </c>
      <c r="BH13" s="5">
        <v>74</v>
      </c>
      <c r="BI13" s="5">
        <v>61</v>
      </c>
      <c r="BJ13" s="5">
        <v>82</v>
      </c>
      <c r="BK13" s="5">
        <v>68</v>
      </c>
      <c r="BL13" s="5">
        <v>63</v>
      </c>
      <c r="BM13" s="5">
        <v>80</v>
      </c>
      <c r="BN13" s="5">
        <v>70</v>
      </c>
      <c r="BO13" s="5">
        <v>71</v>
      </c>
      <c r="BP13" s="5">
        <v>68</v>
      </c>
      <c r="BQ13" s="5">
        <v>76</v>
      </c>
      <c r="BR13" s="5">
        <v>64</v>
      </c>
      <c r="BS13" s="5">
        <v>78</v>
      </c>
      <c r="BT13" s="5">
        <v>68</v>
      </c>
      <c r="BU13" s="5">
        <v>68</v>
      </c>
      <c r="BV13" s="5">
        <v>85</v>
      </c>
      <c r="BW13" s="5">
        <v>71</v>
      </c>
      <c r="BX13" s="5">
        <v>67</v>
      </c>
      <c r="BY13" s="5">
        <v>88</v>
      </c>
      <c r="BZ13" s="5">
        <v>72</v>
      </c>
      <c r="CA13" s="5">
        <v>62</v>
      </c>
      <c r="CB13" s="5">
        <v>80</v>
      </c>
      <c r="CC13" s="5">
        <v>68</v>
      </c>
      <c r="CD13" s="5">
        <v>63</v>
      </c>
      <c r="CE13" s="5">
        <v>62</v>
      </c>
      <c r="CF13" s="5">
        <v>79</v>
      </c>
      <c r="CG13" s="5">
        <v>73</v>
      </c>
      <c r="CH13" s="5">
        <v>83</v>
      </c>
      <c r="CI13" s="5">
        <v>67</v>
      </c>
      <c r="CJ13" s="5">
        <v>71</v>
      </c>
      <c r="CK13" s="5">
        <v>70</v>
      </c>
      <c r="CL13" s="5">
        <v>62</v>
      </c>
      <c r="CM13" s="5">
        <v>64</v>
      </c>
      <c r="CN13" s="5">
        <v>76</v>
      </c>
      <c r="CO13" s="5">
        <v>60</v>
      </c>
      <c r="CP13" s="5">
        <v>70</v>
      </c>
      <c r="CQ13" s="5">
        <v>73</v>
      </c>
      <c r="CR13" s="5">
        <v>77</v>
      </c>
      <c r="CS13" s="5">
        <v>69</v>
      </c>
      <c r="CT13" s="5">
        <v>74</v>
      </c>
      <c r="CU13" s="5">
        <v>73</v>
      </c>
      <c r="CV13" s="5">
        <v>69</v>
      </c>
      <c r="CW13" s="5">
        <v>77</v>
      </c>
      <c r="CX13" s="5">
        <v>76</v>
      </c>
      <c r="CY13" s="5">
        <v>79</v>
      </c>
      <c r="CZ13" s="5">
        <v>72</v>
      </c>
      <c r="DA13" s="5">
        <v>74</v>
      </c>
      <c r="DB13" s="5">
        <v>66</v>
      </c>
    </row>
    <row r="14" spans="1:106" x14ac:dyDescent="0.25">
      <c r="A14" s="3" t="s">
        <v>33</v>
      </c>
      <c r="B14" s="8"/>
      <c r="C14" s="8"/>
      <c r="D14" s="12"/>
      <c r="E14" s="12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</row>
    <row r="15" spans="1:106" x14ac:dyDescent="0.25">
      <c r="A15" s="2" t="s">
        <v>24</v>
      </c>
      <c r="B15" s="9">
        <f>AVERAGE($G15:$DB15)</f>
        <v>101.78</v>
      </c>
      <c r="C15" s="9">
        <f>MEDIAN($G15:$DB15)</f>
        <v>102</v>
      </c>
      <c r="D15" s="13">
        <f>MAX($G15:$DB15)</f>
        <v>117</v>
      </c>
      <c r="E15" s="13">
        <f>MIN($G15:$DB15)</f>
        <v>88</v>
      </c>
      <c r="F15" s="9">
        <f>STDEV($G15:$DB15)</f>
        <v>5.7534881821922808</v>
      </c>
      <c r="G15" s="5">
        <v>106</v>
      </c>
      <c r="H15" s="5">
        <v>96</v>
      </c>
      <c r="I15" s="5">
        <v>107</v>
      </c>
      <c r="J15" s="5">
        <v>100</v>
      </c>
      <c r="K15" s="5">
        <v>101</v>
      </c>
      <c r="L15" s="5">
        <v>102</v>
      </c>
      <c r="M15" s="5">
        <v>96</v>
      </c>
      <c r="N15" s="5">
        <v>104</v>
      </c>
      <c r="O15" s="5">
        <v>98</v>
      </c>
      <c r="P15" s="5">
        <v>112</v>
      </c>
      <c r="Q15" s="5">
        <v>98</v>
      </c>
      <c r="R15" s="5">
        <v>117</v>
      </c>
      <c r="S15" s="5">
        <v>104</v>
      </c>
      <c r="T15" s="5">
        <v>94</v>
      </c>
      <c r="U15" s="5">
        <v>104</v>
      </c>
      <c r="V15" s="5">
        <v>115</v>
      </c>
      <c r="W15" s="5">
        <v>105</v>
      </c>
      <c r="X15" s="5">
        <v>98</v>
      </c>
      <c r="Y15" s="5">
        <v>102</v>
      </c>
      <c r="Z15" s="5">
        <v>111</v>
      </c>
      <c r="AA15" s="5">
        <v>107</v>
      </c>
      <c r="AB15" s="5">
        <v>109</v>
      </c>
      <c r="AC15" s="5">
        <v>94</v>
      </c>
      <c r="AD15" s="5">
        <v>88</v>
      </c>
      <c r="AE15" s="5">
        <v>101</v>
      </c>
      <c r="AF15" s="5">
        <v>99</v>
      </c>
      <c r="AG15" s="5">
        <v>97</v>
      </c>
      <c r="AH15" s="5">
        <v>102</v>
      </c>
      <c r="AI15" s="5">
        <v>101</v>
      </c>
      <c r="AJ15" s="5">
        <v>103</v>
      </c>
      <c r="AK15" s="5">
        <v>100</v>
      </c>
      <c r="AL15" s="5">
        <v>99</v>
      </c>
      <c r="AM15" s="5">
        <v>102</v>
      </c>
      <c r="AN15" s="5">
        <v>103</v>
      </c>
      <c r="AO15" s="5">
        <v>103</v>
      </c>
      <c r="AP15" s="5">
        <v>100</v>
      </c>
      <c r="AQ15" s="5">
        <v>97</v>
      </c>
      <c r="AR15" s="5">
        <v>110</v>
      </c>
      <c r="AS15" s="5">
        <v>107</v>
      </c>
      <c r="AT15" s="5">
        <v>100</v>
      </c>
      <c r="AU15" s="5">
        <v>96</v>
      </c>
      <c r="AV15" s="5">
        <v>102</v>
      </c>
      <c r="AW15" s="5">
        <v>104</v>
      </c>
      <c r="AX15" s="5">
        <v>101</v>
      </c>
      <c r="AY15" s="5">
        <v>94</v>
      </c>
      <c r="AZ15" s="5">
        <v>105</v>
      </c>
      <c r="BA15" s="5">
        <v>108</v>
      </c>
      <c r="BB15" s="5">
        <v>105</v>
      </c>
      <c r="BC15" s="5">
        <v>105</v>
      </c>
      <c r="BD15" s="5">
        <v>102</v>
      </c>
      <c r="BE15" s="5">
        <v>111</v>
      </c>
      <c r="BF15" s="5">
        <v>90</v>
      </c>
      <c r="BG15" s="5">
        <v>105</v>
      </c>
      <c r="BH15" s="5">
        <v>94</v>
      </c>
      <c r="BI15" s="5">
        <v>89</v>
      </c>
      <c r="BJ15" s="5">
        <v>102</v>
      </c>
      <c r="BK15" s="5">
        <v>105</v>
      </c>
      <c r="BL15" s="5">
        <v>102</v>
      </c>
      <c r="BM15" s="5">
        <v>92</v>
      </c>
      <c r="BN15" s="5">
        <v>105</v>
      </c>
      <c r="BO15" s="5">
        <v>106</v>
      </c>
      <c r="BP15" s="5">
        <v>97</v>
      </c>
      <c r="BQ15" s="5">
        <v>113</v>
      </c>
      <c r="BR15" s="5">
        <v>97</v>
      </c>
      <c r="BS15" s="5">
        <v>108</v>
      </c>
      <c r="BT15" s="5">
        <v>96</v>
      </c>
      <c r="BU15" s="5">
        <v>104</v>
      </c>
      <c r="BV15" s="5">
        <v>110</v>
      </c>
      <c r="BW15" s="5">
        <v>97</v>
      </c>
      <c r="BX15" s="5">
        <v>103</v>
      </c>
      <c r="BY15" s="5">
        <v>96</v>
      </c>
      <c r="BZ15" s="5">
        <v>96</v>
      </c>
      <c r="CA15" s="5">
        <v>103</v>
      </c>
      <c r="CB15" s="5">
        <v>102</v>
      </c>
      <c r="CC15" s="5">
        <v>106</v>
      </c>
      <c r="CD15" s="5">
        <v>110</v>
      </c>
      <c r="CE15" s="5">
        <v>98</v>
      </c>
      <c r="CF15" s="5">
        <v>90</v>
      </c>
      <c r="CG15" s="5">
        <v>107</v>
      </c>
      <c r="CH15" s="5">
        <v>100</v>
      </c>
      <c r="CI15" s="5">
        <v>99</v>
      </c>
      <c r="CJ15" s="5">
        <v>114</v>
      </c>
      <c r="CK15" s="5">
        <v>98</v>
      </c>
      <c r="CL15" s="5">
        <v>110</v>
      </c>
      <c r="CM15" s="5">
        <v>95</v>
      </c>
      <c r="CN15" s="5">
        <v>99</v>
      </c>
      <c r="CO15" s="5">
        <v>99</v>
      </c>
      <c r="CP15" s="5">
        <v>97</v>
      </c>
      <c r="CQ15" s="5">
        <v>92</v>
      </c>
      <c r="CR15" s="5">
        <v>99</v>
      </c>
      <c r="CS15" s="5">
        <v>107</v>
      </c>
      <c r="CT15" s="5">
        <v>105</v>
      </c>
      <c r="CU15" s="5">
        <v>103</v>
      </c>
      <c r="CV15" s="5">
        <v>98</v>
      </c>
      <c r="CW15" s="5">
        <v>101</v>
      </c>
      <c r="CX15" s="5">
        <v>104</v>
      </c>
      <c r="CY15" s="5">
        <v>105</v>
      </c>
      <c r="CZ15" s="5">
        <v>102</v>
      </c>
      <c r="DA15" s="5">
        <v>102</v>
      </c>
      <c r="DB15" s="5">
        <v>101</v>
      </c>
    </row>
    <row r="16" spans="1:106" x14ac:dyDescent="0.25">
      <c r="A16" s="2" t="s">
        <v>26</v>
      </c>
      <c r="B16" s="9">
        <f t="shared" ref="B16:B19" si="10">AVERAGE($G16:$DB16)</f>
        <v>84.74</v>
      </c>
      <c r="C16" s="9">
        <f t="shared" ref="C16:C19" si="11">MEDIAN($G16:$DB16)</f>
        <v>84</v>
      </c>
      <c r="D16" s="13">
        <f t="shared" ref="D16:D19" si="12">MAX($G16:$DB16)</f>
        <v>101</v>
      </c>
      <c r="E16" s="13">
        <f t="shared" ref="E16:E19" si="13">MIN($G16:$DB16)</f>
        <v>69</v>
      </c>
      <c r="F16" s="9">
        <f t="shared" ref="F16:F19" si="14">STDEV($G16:$DB16)</f>
        <v>6.2127597602340812</v>
      </c>
      <c r="G16" s="5">
        <v>80</v>
      </c>
      <c r="H16" s="5">
        <v>86</v>
      </c>
      <c r="I16" s="5">
        <v>81</v>
      </c>
      <c r="J16" s="5">
        <v>91</v>
      </c>
      <c r="K16" s="5">
        <v>84</v>
      </c>
      <c r="L16" s="5">
        <v>76</v>
      </c>
      <c r="M16" s="5">
        <v>83</v>
      </c>
      <c r="N16" s="5">
        <v>89</v>
      </c>
      <c r="O16" s="5">
        <v>89</v>
      </c>
      <c r="P16" s="5">
        <v>90</v>
      </c>
      <c r="Q16" s="5">
        <v>78</v>
      </c>
      <c r="R16" s="5">
        <v>82</v>
      </c>
      <c r="S16" s="5">
        <v>83</v>
      </c>
      <c r="T16" s="5">
        <v>92</v>
      </c>
      <c r="U16" s="5">
        <v>85</v>
      </c>
      <c r="V16" s="5">
        <v>82</v>
      </c>
      <c r="W16" s="5">
        <v>90</v>
      </c>
      <c r="X16" s="5">
        <v>72</v>
      </c>
      <c r="Y16" s="5">
        <v>90</v>
      </c>
      <c r="Z16" s="5">
        <v>81</v>
      </c>
      <c r="AA16" s="5">
        <v>87</v>
      </c>
      <c r="AB16" s="5">
        <v>96</v>
      </c>
      <c r="AC16" s="5">
        <v>81</v>
      </c>
      <c r="AD16" s="5">
        <v>80</v>
      </c>
      <c r="AE16" s="5">
        <v>94</v>
      </c>
      <c r="AF16" s="5">
        <v>91</v>
      </c>
      <c r="AG16" s="5">
        <v>101</v>
      </c>
      <c r="AH16" s="5">
        <v>93</v>
      </c>
      <c r="AI16" s="5">
        <v>89</v>
      </c>
      <c r="AJ16" s="5">
        <v>81</v>
      </c>
      <c r="AK16" s="5">
        <v>83</v>
      </c>
      <c r="AL16" s="5">
        <v>82</v>
      </c>
      <c r="AM16" s="5">
        <v>87</v>
      </c>
      <c r="AN16" s="5">
        <v>80</v>
      </c>
      <c r="AO16" s="5">
        <v>89</v>
      </c>
      <c r="AP16" s="5">
        <v>85</v>
      </c>
      <c r="AQ16" s="5">
        <v>86</v>
      </c>
      <c r="AR16" s="5">
        <v>76</v>
      </c>
      <c r="AS16" s="5">
        <v>88</v>
      </c>
      <c r="AT16" s="5">
        <v>91</v>
      </c>
      <c r="AU16" s="5">
        <v>83</v>
      </c>
      <c r="AV16" s="5">
        <v>88</v>
      </c>
      <c r="AW16" s="5">
        <v>75</v>
      </c>
      <c r="AX16" s="5">
        <v>80</v>
      </c>
      <c r="AY16" s="5">
        <v>92</v>
      </c>
      <c r="AZ16" s="5">
        <v>76</v>
      </c>
      <c r="BA16" s="5">
        <v>80</v>
      </c>
      <c r="BB16" s="5">
        <v>81</v>
      </c>
      <c r="BC16" s="5">
        <v>88</v>
      </c>
      <c r="BD16" s="5">
        <v>87</v>
      </c>
      <c r="BE16" s="5">
        <v>84</v>
      </c>
      <c r="BF16" s="5">
        <v>78</v>
      </c>
      <c r="BG16" s="5">
        <v>82</v>
      </c>
      <c r="BH16" s="5">
        <v>84</v>
      </c>
      <c r="BI16" s="5">
        <v>96</v>
      </c>
      <c r="BJ16" s="5">
        <v>80</v>
      </c>
      <c r="BK16" s="5">
        <v>92</v>
      </c>
      <c r="BL16" s="5">
        <v>75</v>
      </c>
      <c r="BM16" s="5">
        <v>96</v>
      </c>
      <c r="BN16" s="5">
        <v>87</v>
      </c>
      <c r="BO16" s="5">
        <v>92</v>
      </c>
      <c r="BP16" s="5">
        <v>78</v>
      </c>
      <c r="BQ16" s="5">
        <v>76</v>
      </c>
      <c r="BR16" s="5">
        <v>69</v>
      </c>
      <c r="BS16" s="5">
        <v>90</v>
      </c>
      <c r="BT16" s="5">
        <v>78</v>
      </c>
      <c r="BU16" s="5">
        <v>82</v>
      </c>
      <c r="BV16" s="5">
        <v>84</v>
      </c>
      <c r="BW16" s="5">
        <v>79</v>
      </c>
      <c r="BX16" s="5">
        <v>79</v>
      </c>
      <c r="BY16" s="5">
        <v>86</v>
      </c>
      <c r="BZ16" s="5">
        <v>98</v>
      </c>
      <c r="CA16" s="5">
        <v>76</v>
      </c>
      <c r="CB16" s="5">
        <v>95</v>
      </c>
      <c r="CC16" s="5">
        <v>93</v>
      </c>
      <c r="CD16" s="5">
        <v>76</v>
      </c>
      <c r="CE16" s="5">
        <v>90</v>
      </c>
      <c r="CF16" s="5">
        <v>93</v>
      </c>
      <c r="CG16" s="5">
        <v>80</v>
      </c>
      <c r="CH16" s="5">
        <v>88</v>
      </c>
      <c r="CI16" s="5">
        <v>78</v>
      </c>
      <c r="CJ16" s="5">
        <v>87</v>
      </c>
      <c r="CK16" s="5">
        <v>89</v>
      </c>
      <c r="CL16" s="5">
        <v>90</v>
      </c>
      <c r="CM16" s="5">
        <v>80</v>
      </c>
      <c r="CN16" s="5">
        <v>81</v>
      </c>
      <c r="CO16" s="5">
        <v>78</v>
      </c>
      <c r="CP16" s="5">
        <v>80</v>
      </c>
      <c r="CQ16" s="5">
        <v>91</v>
      </c>
      <c r="CR16" s="5">
        <v>86</v>
      </c>
      <c r="CS16" s="5">
        <v>80</v>
      </c>
      <c r="CT16" s="5">
        <v>87</v>
      </c>
      <c r="CU16" s="5">
        <v>94</v>
      </c>
      <c r="CV16" s="5">
        <v>85</v>
      </c>
      <c r="CW16" s="5">
        <v>86</v>
      </c>
      <c r="CX16" s="5">
        <v>83</v>
      </c>
      <c r="CY16" s="5">
        <v>85</v>
      </c>
      <c r="CZ16" s="5">
        <v>84</v>
      </c>
      <c r="DA16" s="5">
        <v>82</v>
      </c>
      <c r="DB16" s="5">
        <v>78</v>
      </c>
    </row>
    <row r="17" spans="1:106" x14ac:dyDescent="0.25">
      <c r="A17" s="2" t="s">
        <v>25</v>
      </c>
      <c r="B17" s="9">
        <f t="shared" si="10"/>
        <v>90.48</v>
      </c>
      <c r="C17" s="9">
        <f t="shared" si="11"/>
        <v>91</v>
      </c>
      <c r="D17" s="13">
        <f t="shared" si="12"/>
        <v>107</v>
      </c>
      <c r="E17" s="13">
        <f t="shared" si="13"/>
        <v>75</v>
      </c>
      <c r="F17" s="9">
        <f t="shared" si="14"/>
        <v>6.36194494115938</v>
      </c>
      <c r="G17" s="5">
        <v>86</v>
      </c>
      <c r="H17" s="5">
        <v>82</v>
      </c>
      <c r="I17" s="5">
        <v>92</v>
      </c>
      <c r="J17" s="5">
        <v>87</v>
      </c>
      <c r="K17" s="5">
        <v>89</v>
      </c>
      <c r="L17" s="5">
        <v>92</v>
      </c>
      <c r="M17" s="5">
        <v>91</v>
      </c>
      <c r="N17" s="5">
        <v>85</v>
      </c>
      <c r="O17" s="5">
        <v>83</v>
      </c>
      <c r="P17" s="5">
        <v>97</v>
      </c>
      <c r="Q17" s="5">
        <v>80</v>
      </c>
      <c r="R17" s="5">
        <v>76</v>
      </c>
      <c r="S17" s="5">
        <v>85</v>
      </c>
      <c r="T17" s="5">
        <v>94</v>
      </c>
      <c r="U17" s="5">
        <v>94</v>
      </c>
      <c r="V17" s="5">
        <v>90</v>
      </c>
      <c r="W17" s="5">
        <v>101</v>
      </c>
      <c r="X17" s="5">
        <v>95</v>
      </c>
      <c r="Y17" s="5">
        <v>88</v>
      </c>
      <c r="Z17" s="5">
        <v>93</v>
      </c>
      <c r="AA17" s="5">
        <v>75</v>
      </c>
      <c r="AB17" s="5">
        <v>84</v>
      </c>
      <c r="AC17" s="5">
        <v>90</v>
      </c>
      <c r="AD17" s="5">
        <v>87</v>
      </c>
      <c r="AE17" s="5">
        <v>88</v>
      </c>
      <c r="AF17" s="5">
        <v>89</v>
      </c>
      <c r="AG17" s="5">
        <v>88</v>
      </c>
      <c r="AH17" s="5">
        <v>85</v>
      </c>
      <c r="AI17" s="5">
        <v>77</v>
      </c>
      <c r="AJ17" s="5">
        <v>96</v>
      </c>
      <c r="AK17" s="5">
        <v>89</v>
      </c>
      <c r="AL17" s="5">
        <v>90</v>
      </c>
      <c r="AM17" s="5">
        <v>83</v>
      </c>
      <c r="AN17" s="5">
        <v>92</v>
      </c>
      <c r="AO17" s="5">
        <v>87</v>
      </c>
      <c r="AP17" s="5">
        <v>94</v>
      </c>
      <c r="AQ17" s="5">
        <v>88</v>
      </c>
      <c r="AR17" s="5">
        <v>97</v>
      </c>
      <c r="AS17" s="5">
        <v>96</v>
      </c>
      <c r="AT17" s="5">
        <v>81</v>
      </c>
      <c r="AU17" s="5">
        <v>89</v>
      </c>
      <c r="AV17" s="5">
        <v>92</v>
      </c>
      <c r="AW17" s="5">
        <v>93</v>
      </c>
      <c r="AX17" s="5">
        <v>96</v>
      </c>
      <c r="AY17" s="5">
        <v>87</v>
      </c>
      <c r="AZ17" s="5">
        <v>98</v>
      </c>
      <c r="BA17" s="5">
        <v>94</v>
      </c>
      <c r="BB17" s="5">
        <v>103</v>
      </c>
      <c r="BC17" s="5">
        <v>84</v>
      </c>
      <c r="BD17" s="5">
        <v>88</v>
      </c>
      <c r="BE17" s="5">
        <v>92</v>
      </c>
      <c r="BF17" s="5">
        <v>93</v>
      </c>
      <c r="BG17" s="5">
        <v>97</v>
      </c>
      <c r="BH17" s="5">
        <v>85</v>
      </c>
      <c r="BI17" s="5">
        <v>102</v>
      </c>
      <c r="BJ17" s="5">
        <v>84</v>
      </c>
      <c r="BK17" s="5">
        <v>92</v>
      </c>
      <c r="BL17" s="5">
        <v>88</v>
      </c>
      <c r="BM17" s="5">
        <v>87</v>
      </c>
      <c r="BN17" s="5">
        <v>97</v>
      </c>
      <c r="BO17" s="5">
        <v>92</v>
      </c>
      <c r="BP17" s="5">
        <v>93</v>
      </c>
      <c r="BQ17" s="5">
        <v>94</v>
      </c>
      <c r="BR17" s="5">
        <v>99</v>
      </c>
      <c r="BS17" s="5">
        <v>84</v>
      </c>
      <c r="BT17" s="5">
        <v>96</v>
      </c>
      <c r="BU17" s="5">
        <v>98</v>
      </c>
      <c r="BV17" s="5">
        <v>88</v>
      </c>
      <c r="BW17" s="5">
        <v>105</v>
      </c>
      <c r="BX17" s="5">
        <v>96</v>
      </c>
      <c r="BY17" s="5">
        <v>81</v>
      </c>
      <c r="BZ17" s="5">
        <v>99</v>
      </c>
      <c r="CA17" s="5">
        <v>77</v>
      </c>
      <c r="CB17" s="5">
        <v>92</v>
      </c>
      <c r="CC17" s="5">
        <v>97</v>
      </c>
      <c r="CD17" s="5">
        <v>92</v>
      </c>
      <c r="CE17" s="5">
        <v>91</v>
      </c>
      <c r="CF17" s="5">
        <v>94</v>
      </c>
      <c r="CG17" s="5">
        <v>91</v>
      </c>
      <c r="CH17" s="5">
        <v>94</v>
      </c>
      <c r="CI17" s="5">
        <v>94</v>
      </c>
      <c r="CJ17" s="5">
        <v>78</v>
      </c>
      <c r="CK17" s="5">
        <v>97</v>
      </c>
      <c r="CL17" s="5">
        <v>84</v>
      </c>
      <c r="CM17" s="5">
        <v>82</v>
      </c>
      <c r="CN17" s="5">
        <v>95</v>
      </c>
      <c r="CO17" s="5">
        <v>97</v>
      </c>
      <c r="CP17" s="5">
        <v>91</v>
      </c>
      <c r="CQ17" s="5">
        <v>91</v>
      </c>
      <c r="CR17" s="5">
        <v>96</v>
      </c>
      <c r="CS17" s="5">
        <v>89</v>
      </c>
      <c r="CT17" s="5">
        <v>107</v>
      </c>
      <c r="CU17" s="5">
        <v>86</v>
      </c>
      <c r="CV17" s="5">
        <v>98</v>
      </c>
      <c r="CW17" s="5">
        <v>91</v>
      </c>
      <c r="CX17" s="5">
        <v>91</v>
      </c>
      <c r="CY17" s="5">
        <v>95</v>
      </c>
      <c r="CZ17" s="5">
        <v>81</v>
      </c>
      <c r="DA17" s="5">
        <v>90</v>
      </c>
      <c r="DB17" s="5">
        <v>85</v>
      </c>
    </row>
    <row r="18" spans="1:106" x14ac:dyDescent="0.25">
      <c r="A18" s="2" t="s">
        <v>28</v>
      </c>
      <c r="B18" s="9">
        <f t="shared" si="10"/>
        <v>52.58</v>
      </c>
      <c r="C18" s="9">
        <f t="shared" si="11"/>
        <v>52</v>
      </c>
      <c r="D18" s="13">
        <f t="shared" si="12"/>
        <v>67</v>
      </c>
      <c r="E18" s="13">
        <f t="shared" si="13"/>
        <v>36</v>
      </c>
      <c r="F18" s="9">
        <f t="shared" si="14"/>
        <v>6.0036689119271278</v>
      </c>
      <c r="G18" s="5">
        <v>60</v>
      </c>
      <c r="H18" s="5">
        <v>44</v>
      </c>
      <c r="I18" s="5">
        <v>48</v>
      </c>
      <c r="J18" s="5">
        <v>45</v>
      </c>
      <c r="K18" s="5">
        <v>50</v>
      </c>
      <c r="L18" s="5">
        <v>65</v>
      </c>
      <c r="M18" s="5">
        <v>61</v>
      </c>
      <c r="N18" s="5">
        <v>47</v>
      </c>
      <c r="O18" s="5">
        <v>50</v>
      </c>
      <c r="P18" s="5">
        <v>57</v>
      </c>
      <c r="Q18" s="5">
        <v>46</v>
      </c>
      <c r="R18" s="5">
        <v>49</v>
      </c>
      <c r="S18" s="5">
        <v>48</v>
      </c>
      <c r="T18" s="5">
        <v>55</v>
      </c>
      <c r="U18" s="5">
        <v>54</v>
      </c>
      <c r="V18" s="5">
        <v>50</v>
      </c>
      <c r="W18" s="5">
        <v>55</v>
      </c>
      <c r="X18" s="5">
        <v>50</v>
      </c>
      <c r="Y18" s="5">
        <v>59</v>
      </c>
      <c r="Z18" s="5">
        <v>51</v>
      </c>
      <c r="AA18" s="5">
        <v>54</v>
      </c>
      <c r="AB18" s="5">
        <v>53</v>
      </c>
      <c r="AC18" s="5">
        <v>57</v>
      </c>
      <c r="AD18" s="5">
        <v>53</v>
      </c>
      <c r="AE18" s="5">
        <v>62</v>
      </c>
      <c r="AF18" s="5">
        <v>52</v>
      </c>
      <c r="AG18" s="5">
        <v>45</v>
      </c>
      <c r="AH18" s="5">
        <v>62</v>
      </c>
      <c r="AI18" s="5">
        <v>53</v>
      </c>
      <c r="AJ18" s="5">
        <v>52</v>
      </c>
      <c r="AK18" s="5">
        <v>52</v>
      </c>
      <c r="AL18" s="5">
        <v>45</v>
      </c>
      <c r="AM18" s="5">
        <v>46</v>
      </c>
      <c r="AN18" s="5">
        <v>48</v>
      </c>
      <c r="AO18" s="5">
        <v>55</v>
      </c>
      <c r="AP18" s="5">
        <v>44</v>
      </c>
      <c r="AQ18" s="5">
        <v>67</v>
      </c>
      <c r="AR18" s="5">
        <v>50</v>
      </c>
      <c r="AS18" s="5">
        <v>58</v>
      </c>
      <c r="AT18" s="5">
        <v>48</v>
      </c>
      <c r="AU18" s="5">
        <v>50</v>
      </c>
      <c r="AV18" s="5">
        <v>52</v>
      </c>
      <c r="AW18" s="5">
        <v>55</v>
      </c>
      <c r="AX18" s="5">
        <v>43</v>
      </c>
      <c r="AY18" s="5">
        <v>63</v>
      </c>
      <c r="AZ18" s="5">
        <v>48</v>
      </c>
      <c r="BA18" s="5">
        <v>46</v>
      </c>
      <c r="BB18" s="5">
        <v>58</v>
      </c>
      <c r="BC18" s="5">
        <v>56</v>
      </c>
      <c r="BD18" s="5">
        <v>48</v>
      </c>
      <c r="BE18" s="5">
        <v>46</v>
      </c>
      <c r="BF18" s="5">
        <v>49</v>
      </c>
      <c r="BG18" s="5">
        <v>54</v>
      </c>
      <c r="BH18" s="5">
        <v>56</v>
      </c>
      <c r="BI18" s="5">
        <v>41</v>
      </c>
      <c r="BJ18" s="5">
        <v>49</v>
      </c>
      <c r="BK18" s="5">
        <v>53</v>
      </c>
      <c r="BL18" s="5">
        <v>58</v>
      </c>
      <c r="BM18" s="5">
        <v>59</v>
      </c>
      <c r="BN18" s="5">
        <v>49</v>
      </c>
      <c r="BO18" s="5">
        <v>49</v>
      </c>
      <c r="BP18" s="5">
        <v>54</v>
      </c>
      <c r="BQ18" s="5">
        <v>53</v>
      </c>
      <c r="BR18" s="5">
        <v>67</v>
      </c>
      <c r="BS18" s="5">
        <v>48</v>
      </c>
      <c r="BT18" s="5">
        <v>52</v>
      </c>
      <c r="BU18" s="5">
        <v>36</v>
      </c>
      <c r="BV18" s="5">
        <v>58</v>
      </c>
      <c r="BW18" s="5">
        <v>46</v>
      </c>
      <c r="BX18" s="5">
        <v>60</v>
      </c>
      <c r="BY18" s="5">
        <v>47</v>
      </c>
      <c r="BZ18" s="5">
        <v>48</v>
      </c>
      <c r="CA18" s="5">
        <v>56</v>
      </c>
      <c r="CB18" s="5">
        <v>61</v>
      </c>
      <c r="CC18" s="5">
        <v>53</v>
      </c>
      <c r="CD18" s="5">
        <v>57</v>
      </c>
      <c r="CE18" s="5">
        <v>52</v>
      </c>
      <c r="CF18" s="5">
        <v>66</v>
      </c>
      <c r="CG18" s="5">
        <v>58</v>
      </c>
      <c r="CH18" s="5">
        <v>51</v>
      </c>
      <c r="CI18" s="5">
        <v>47</v>
      </c>
      <c r="CJ18" s="5">
        <v>53</v>
      </c>
      <c r="CK18" s="5">
        <v>62</v>
      </c>
      <c r="CL18" s="5">
        <v>45</v>
      </c>
      <c r="CM18" s="5">
        <v>62</v>
      </c>
      <c r="CN18" s="5">
        <v>56</v>
      </c>
      <c r="CO18" s="5">
        <v>61</v>
      </c>
      <c r="CP18" s="5">
        <v>46</v>
      </c>
      <c r="CQ18" s="5">
        <v>55</v>
      </c>
      <c r="CR18" s="5">
        <v>48</v>
      </c>
      <c r="CS18" s="5">
        <v>48</v>
      </c>
      <c r="CT18" s="5">
        <v>51</v>
      </c>
      <c r="CU18" s="5">
        <v>57</v>
      </c>
      <c r="CV18" s="5">
        <v>55</v>
      </c>
      <c r="CW18" s="5">
        <v>46</v>
      </c>
      <c r="CX18" s="5">
        <v>48</v>
      </c>
      <c r="CY18" s="5">
        <v>53</v>
      </c>
      <c r="CZ18" s="5">
        <v>56</v>
      </c>
      <c r="DA18" s="5">
        <v>51</v>
      </c>
      <c r="DB18" s="5">
        <v>53</v>
      </c>
    </row>
    <row r="19" spans="1:106" x14ac:dyDescent="0.25">
      <c r="A19" s="2" t="s">
        <v>27</v>
      </c>
      <c r="B19" s="9">
        <f t="shared" si="10"/>
        <v>71.16</v>
      </c>
      <c r="C19" s="9">
        <f t="shared" si="11"/>
        <v>72</v>
      </c>
      <c r="D19" s="13">
        <f t="shared" si="12"/>
        <v>86</v>
      </c>
      <c r="E19" s="13">
        <f t="shared" si="13"/>
        <v>55</v>
      </c>
      <c r="F19" s="9">
        <f t="shared" si="14"/>
        <v>5.5736030092795907</v>
      </c>
      <c r="G19" s="5">
        <v>67</v>
      </c>
      <c r="H19" s="5">
        <v>65</v>
      </c>
      <c r="I19" s="5">
        <v>67</v>
      </c>
      <c r="J19" s="5">
        <v>70</v>
      </c>
      <c r="K19" s="5">
        <v>68</v>
      </c>
      <c r="L19" s="5">
        <v>70</v>
      </c>
      <c r="M19" s="5">
        <v>85</v>
      </c>
      <c r="N19" s="5">
        <v>70</v>
      </c>
      <c r="O19" s="5">
        <v>76</v>
      </c>
      <c r="P19" s="5">
        <v>67</v>
      </c>
      <c r="Q19" s="5">
        <v>72</v>
      </c>
      <c r="R19" s="5">
        <v>75</v>
      </c>
      <c r="S19" s="5">
        <v>67</v>
      </c>
      <c r="T19" s="5">
        <v>62</v>
      </c>
      <c r="U19" s="5">
        <v>72</v>
      </c>
      <c r="V19" s="5">
        <v>79</v>
      </c>
      <c r="W19" s="5">
        <v>81</v>
      </c>
      <c r="X19" s="5">
        <v>61</v>
      </c>
      <c r="Y19" s="5">
        <v>74</v>
      </c>
      <c r="Z19" s="5">
        <v>79</v>
      </c>
      <c r="AA19" s="5">
        <v>74</v>
      </c>
      <c r="AB19" s="5">
        <v>71</v>
      </c>
      <c r="AC19" s="5">
        <v>67</v>
      </c>
      <c r="AD19" s="5">
        <v>73</v>
      </c>
      <c r="AE19" s="5">
        <v>63</v>
      </c>
      <c r="AF19" s="5">
        <v>78</v>
      </c>
      <c r="AG19" s="5">
        <v>76</v>
      </c>
      <c r="AH19" s="5">
        <v>68</v>
      </c>
      <c r="AI19" s="5">
        <v>70</v>
      </c>
      <c r="AJ19" s="5">
        <v>86</v>
      </c>
      <c r="AK19" s="5">
        <v>73</v>
      </c>
      <c r="AL19" s="5">
        <v>69</v>
      </c>
      <c r="AM19" s="5">
        <v>72</v>
      </c>
      <c r="AN19" s="5">
        <v>75</v>
      </c>
      <c r="AO19" s="5">
        <v>72</v>
      </c>
      <c r="AP19" s="5">
        <v>68</v>
      </c>
      <c r="AQ19" s="5">
        <v>65</v>
      </c>
      <c r="AR19" s="5">
        <v>65</v>
      </c>
      <c r="AS19" s="5">
        <v>63</v>
      </c>
      <c r="AT19" s="5">
        <v>75</v>
      </c>
      <c r="AU19" s="5">
        <v>66</v>
      </c>
      <c r="AV19" s="5">
        <v>65</v>
      </c>
      <c r="AW19" s="5">
        <v>78</v>
      </c>
      <c r="AX19" s="5">
        <v>72</v>
      </c>
      <c r="AY19" s="5">
        <v>71</v>
      </c>
      <c r="AZ19" s="5">
        <v>77</v>
      </c>
      <c r="BA19" s="5">
        <v>72</v>
      </c>
      <c r="BB19" s="5">
        <v>78</v>
      </c>
      <c r="BC19" s="5">
        <v>75</v>
      </c>
      <c r="BD19" s="5">
        <v>75</v>
      </c>
      <c r="BE19" s="5">
        <v>73</v>
      </c>
      <c r="BF19" s="5">
        <v>65</v>
      </c>
      <c r="BG19" s="5">
        <v>79</v>
      </c>
      <c r="BH19" s="5">
        <v>63</v>
      </c>
      <c r="BI19" s="5">
        <v>70</v>
      </c>
      <c r="BJ19" s="5">
        <v>75</v>
      </c>
      <c r="BK19" s="5">
        <v>76</v>
      </c>
      <c r="BL19" s="5">
        <v>75</v>
      </c>
      <c r="BM19" s="5">
        <v>58</v>
      </c>
      <c r="BN19" s="5">
        <v>79</v>
      </c>
      <c r="BO19" s="5">
        <v>67</v>
      </c>
      <c r="BP19" s="5">
        <v>75</v>
      </c>
      <c r="BQ19" s="5">
        <v>75</v>
      </c>
      <c r="BR19" s="5">
        <v>63</v>
      </c>
      <c r="BS19" s="5">
        <v>71</v>
      </c>
      <c r="BT19" s="5">
        <v>70</v>
      </c>
      <c r="BU19" s="5">
        <v>78</v>
      </c>
      <c r="BV19" s="5">
        <v>55</v>
      </c>
      <c r="BW19" s="5">
        <v>65</v>
      </c>
      <c r="BX19" s="5">
        <v>64</v>
      </c>
      <c r="BY19" s="5">
        <v>65</v>
      </c>
      <c r="BZ19" s="5">
        <v>63</v>
      </c>
      <c r="CA19" s="5">
        <v>68</v>
      </c>
      <c r="CB19" s="5">
        <v>65</v>
      </c>
      <c r="CC19" s="5">
        <v>70</v>
      </c>
      <c r="CD19" s="5">
        <v>71</v>
      </c>
      <c r="CE19" s="5">
        <v>65</v>
      </c>
      <c r="CF19" s="5">
        <v>74</v>
      </c>
      <c r="CG19" s="5">
        <v>76</v>
      </c>
      <c r="CH19" s="5">
        <v>73</v>
      </c>
      <c r="CI19" s="5">
        <v>75</v>
      </c>
      <c r="CJ19" s="5">
        <v>68</v>
      </c>
      <c r="CK19" s="5">
        <v>73</v>
      </c>
      <c r="CL19" s="5">
        <v>77</v>
      </c>
      <c r="CM19" s="5">
        <v>73</v>
      </c>
      <c r="CN19" s="5">
        <v>76</v>
      </c>
      <c r="CO19" s="5">
        <v>70</v>
      </c>
      <c r="CP19" s="5">
        <v>68</v>
      </c>
      <c r="CQ19" s="5">
        <v>72</v>
      </c>
      <c r="CR19" s="5">
        <v>71</v>
      </c>
      <c r="CS19" s="5">
        <v>74</v>
      </c>
      <c r="CT19" s="5">
        <v>76</v>
      </c>
      <c r="CU19" s="5">
        <v>73</v>
      </c>
      <c r="CV19" s="5">
        <v>71</v>
      </c>
      <c r="CW19" s="5">
        <v>63</v>
      </c>
      <c r="CX19" s="5">
        <v>77</v>
      </c>
      <c r="CY19" s="5">
        <v>69</v>
      </c>
      <c r="CZ19" s="5">
        <v>78</v>
      </c>
      <c r="DA19" s="5">
        <v>73</v>
      </c>
      <c r="DB19" s="5">
        <v>74</v>
      </c>
    </row>
    <row r="20" spans="1:106" x14ac:dyDescent="0.25">
      <c r="A20" s="3" t="s">
        <v>30</v>
      </c>
      <c r="B20" s="8"/>
      <c r="C20" s="8"/>
      <c r="D20" s="12"/>
      <c r="E20" s="12"/>
      <c r="F20" s="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</row>
    <row r="21" spans="1:106" x14ac:dyDescent="0.25">
      <c r="A21" s="2" t="s">
        <v>8</v>
      </c>
      <c r="B21" s="9">
        <f>AVERAGE($G21:$DB21)</f>
        <v>96.75</v>
      </c>
      <c r="C21" s="9">
        <f>MEDIAN($G21:$DB21)</f>
        <v>97</v>
      </c>
      <c r="D21" s="13">
        <f>MAX($G21:$DB21)</f>
        <v>117</v>
      </c>
      <c r="E21" s="13">
        <f>MIN($G21:$DB21)</f>
        <v>81</v>
      </c>
      <c r="F21" s="9">
        <f>STDEV($G21:$DB21)</f>
        <v>5.8970545635302143</v>
      </c>
      <c r="G21" s="5">
        <v>99</v>
      </c>
      <c r="H21" s="5">
        <v>100</v>
      </c>
      <c r="I21" s="5">
        <v>111</v>
      </c>
      <c r="J21" s="5">
        <v>97</v>
      </c>
      <c r="K21" s="5">
        <v>89</v>
      </c>
      <c r="L21" s="5">
        <v>97</v>
      </c>
      <c r="M21" s="5">
        <v>93</v>
      </c>
      <c r="N21" s="5">
        <v>117</v>
      </c>
      <c r="O21" s="5">
        <v>97</v>
      </c>
      <c r="P21" s="5">
        <v>110</v>
      </c>
      <c r="Q21" s="5">
        <v>99</v>
      </c>
      <c r="R21" s="5">
        <v>91</v>
      </c>
      <c r="S21" s="5">
        <v>90</v>
      </c>
      <c r="T21" s="5">
        <v>94</v>
      </c>
      <c r="U21" s="5">
        <v>99</v>
      </c>
      <c r="V21" s="5">
        <v>100</v>
      </c>
      <c r="W21" s="5">
        <v>101</v>
      </c>
      <c r="X21" s="5">
        <v>92</v>
      </c>
      <c r="Y21" s="5">
        <v>96</v>
      </c>
      <c r="Z21" s="5">
        <v>106</v>
      </c>
      <c r="AA21" s="5">
        <v>96</v>
      </c>
      <c r="AB21" s="5">
        <v>102</v>
      </c>
      <c r="AC21" s="5">
        <v>104</v>
      </c>
      <c r="AD21" s="5">
        <v>105</v>
      </c>
      <c r="AE21" s="5">
        <v>92</v>
      </c>
      <c r="AF21" s="5">
        <v>90</v>
      </c>
      <c r="AG21" s="5">
        <v>91</v>
      </c>
      <c r="AH21" s="5">
        <v>90</v>
      </c>
      <c r="AI21" s="5">
        <v>105</v>
      </c>
      <c r="AJ21" s="5">
        <v>100</v>
      </c>
      <c r="AK21" s="5">
        <v>97</v>
      </c>
      <c r="AL21" s="5">
        <v>95</v>
      </c>
      <c r="AM21" s="5">
        <v>100</v>
      </c>
      <c r="AN21" s="5">
        <v>92</v>
      </c>
      <c r="AO21" s="5">
        <v>92</v>
      </c>
      <c r="AP21" s="5">
        <v>96</v>
      </c>
      <c r="AQ21" s="5">
        <v>97</v>
      </c>
      <c r="AR21" s="5">
        <v>81</v>
      </c>
      <c r="AS21" s="5">
        <v>94</v>
      </c>
      <c r="AT21" s="5">
        <v>87</v>
      </c>
      <c r="AU21" s="5">
        <v>98</v>
      </c>
      <c r="AV21" s="5">
        <v>93</v>
      </c>
      <c r="AW21" s="5">
        <v>93</v>
      </c>
      <c r="AX21" s="5">
        <v>94</v>
      </c>
      <c r="AY21" s="5">
        <v>92</v>
      </c>
      <c r="AZ21" s="5">
        <v>99</v>
      </c>
      <c r="BA21" s="5">
        <v>95</v>
      </c>
      <c r="BB21" s="5">
        <v>101</v>
      </c>
      <c r="BC21" s="5">
        <v>96</v>
      </c>
      <c r="BD21" s="5">
        <v>90</v>
      </c>
      <c r="BE21" s="5">
        <v>92</v>
      </c>
      <c r="BF21" s="5">
        <v>91</v>
      </c>
      <c r="BG21" s="5">
        <v>88</v>
      </c>
      <c r="BH21" s="5">
        <v>97</v>
      </c>
      <c r="BI21" s="5">
        <v>98</v>
      </c>
      <c r="BJ21" s="5">
        <v>101</v>
      </c>
      <c r="BK21" s="5">
        <v>100</v>
      </c>
      <c r="BL21" s="5">
        <v>106</v>
      </c>
      <c r="BM21" s="5">
        <v>106</v>
      </c>
      <c r="BN21" s="5">
        <v>91</v>
      </c>
      <c r="BO21" s="5">
        <v>98</v>
      </c>
      <c r="BP21" s="5">
        <v>92</v>
      </c>
      <c r="BQ21" s="5">
        <v>101</v>
      </c>
      <c r="BR21" s="5">
        <v>104</v>
      </c>
      <c r="BS21" s="5">
        <v>101</v>
      </c>
      <c r="BT21" s="5">
        <v>94</v>
      </c>
      <c r="BU21" s="5">
        <v>98</v>
      </c>
      <c r="BV21" s="5">
        <v>94</v>
      </c>
      <c r="BW21" s="5">
        <v>94</v>
      </c>
      <c r="BX21" s="5">
        <v>93</v>
      </c>
      <c r="BY21" s="5">
        <v>93</v>
      </c>
      <c r="BZ21" s="5">
        <v>98</v>
      </c>
      <c r="CA21" s="5">
        <v>101</v>
      </c>
      <c r="CB21" s="5">
        <v>83</v>
      </c>
      <c r="CC21" s="5">
        <v>89</v>
      </c>
      <c r="CD21" s="5">
        <v>89</v>
      </c>
      <c r="CE21" s="5">
        <v>98</v>
      </c>
      <c r="CF21" s="5">
        <v>93</v>
      </c>
      <c r="CG21" s="5">
        <v>98</v>
      </c>
      <c r="CH21" s="5">
        <v>98</v>
      </c>
      <c r="CI21" s="5">
        <v>98</v>
      </c>
      <c r="CJ21" s="5">
        <v>103</v>
      </c>
      <c r="CK21" s="5">
        <v>98</v>
      </c>
      <c r="CL21" s="5">
        <v>103</v>
      </c>
      <c r="CM21" s="5">
        <v>93</v>
      </c>
      <c r="CN21" s="5">
        <v>104</v>
      </c>
      <c r="CO21" s="5">
        <v>92</v>
      </c>
      <c r="CP21" s="5">
        <v>92</v>
      </c>
      <c r="CQ21" s="5">
        <v>93</v>
      </c>
      <c r="CR21" s="5">
        <v>108</v>
      </c>
      <c r="CS21" s="5">
        <v>104</v>
      </c>
      <c r="CT21" s="5">
        <v>90</v>
      </c>
      <c r="CU21" s="5">
        <v>97</v>
      </c>
      <c r="CV21" s="5">
        <v>95</v>
      </c>
      <c r="CW21" s="5">
        <v>104</v>
      </c>
      <c r="CX21" s="5">
        <v>102</v>
      </c>
      <c r="CY21" s="5">
        <v>95</v>
      </c>
      <c r="CZ21" s="5">
        <v>95</v>
      </c>
      <c r="DA21" s="5">
        <v>95</v>
      </c>
      <c r="DB21" s="5">
        <v>100</v>
      </c>
    </row>
    <row r="22" spans="1:106" x14ac:dyDescent="0.25">
      <c r="A22" s="2" t="s">
        <v>13</v>
      </c>
      <c r="B22" s="9">
        <f t="shared" ref="B22:B25" si="15">AVERAGE($G22:$DB22)</f>
        <v>74.92</v>
      </c>
      <c r="C22" s="9">
        <f t="shared" ref="C22:C25" si="16">MEDIAN($G22:$DB22)</f>
        <v>75</v>
      </c>
      <c r="D22" s="13">
        <f t="shared" ref="D22:D25" si="17">MAX($G22:$DB22)</f>
        <v>88</v>
      </c>
      <c r="E22" s="13">
        <f t="shared" ref="E22:E25" si="18">MIN($G22:$DB22)</f>
        <v>62</v>
      </c>
      <c r="F22" s="9">
        <f t="shared" ref="F22:F25" si="19">STDEV($G22:$DB22)</f>
        <v>5.2602569357687301</v>
      </c>
      <c r="G22" s="5">
        <v>69</v>
      </c>
      <c r="H22" s="5">
        <v>69</v>
      </c>
      <c r="I22" s="5">
        <v>80</v>
      </c>
      <c r="J22" s="5">
        <v>76</v>
      </c>
      <c r="K22" s="5">
        <v>75</v>
      </c>
      <c r="L22" s="5">
        <v>75</v>
      </c>
      <c r="M22" s="5">
        <v>77</v>
      </c>
      <c r="N22" s="5">
        <v>65</v>
      </c>
      <c r="O22" s="5">
        <v>68</v>
      </c>
      <c r="P22" s="5">
        <v>68</v>
      </c>
      <c r="Q22" s="5">
        <v>80</v>
      </c>
      <c r="R22" s="5">
        <v>65</v>
      </c>
      <c r="S22" s="5">
        <v>72</v>
      </c>
      <c r="T22" s="5">
        <v>70</v>
      </c>
      <c r="U22" s="5">
        <v>73</v>
      </c>
      <c r="V22" s="5">
        <v>76</v>
      </c>
      <c r="W22" s="5">
        <v>78</v>
      </c>
      <c r="X22" s="5">
        <v>75</v>
      </c>
      <c r="Y22" s="5">
        <v>77</v>
      </c>
      <c r="Z22" s="5">
        <v>77</v>
      </c>
      <c r="AA22" s="5">
        <v>79</v>
      </c>
      <c r="AB22" s="5">
        <v>75</v>
      </c>
      <c r="AC22" s="5">
        <v>73</v>
      </c>
      <c r="AD22" s="5">
        <v>74</v>
      </c>
      <c r="AE22" s="5">
        <v>72</v>
      </c>
      <c r="AF22" s="5">
        <v>73</v>
      </c>
      <c r="AG22" s="5">
        <v>80</v>
      </c>
      <c r="AH22" s="5">
        <v>77</v>
      </c>
      <c r="AI22" s="5">
        <v>77</v>
      </c>
      <c r="AJ22" s="5">
        <v>70</v>
      </c>
      <c r="AK22" s="5">
        <v>80</v>
      </c>
      <c r="AL22" s="5">
        <v>88</v>
      </c>
      <c r="AM22" s="5">
        <v>73</v>
      </c>
      <c r="AN22" s="5">
        <v>71</v>
      </c>
      <c r="AO22" s="5">
        <v>74</v>
      </c>
      <c r="AP22" s="5">
        <v>71</v>
      </c>
      <c r="AQ22" s="5">
        <v>81</v>
      </c>
      <c r="AR22" s="5">
        <v>87</v>
      </c>
      <c r="AS22" s="5">
        <v>71</v>
      </c>
      <c r="AT22" s="5">
        <v>77</v>
      </c>
      <c r="AU22" s="5">
        <v>76</v>
      </c>
      <c r="AV22" s="5">
        <v>75</v>
      </c>
      <c r="AW22" s="5">
        <v>79</v>
      </c>
      <c r="AX22" s="5">
        <v>75</v>
      </c>
      <c r="AY22" s="5">
        <v>84</v>
      </c>
      <c r="AZ22" s="5">
        <v>85</v>
      </c>
      <c r="BA22" s="5">
        <v>69</v>
      </c>
      <c r="BB22" s="5">
        <v>71</v>
      </c>
      <c r="BC22" s="5">
        <v>74</v>
      </c>
      <c r="BD22" s="5">
        <v>71</v>
      </c>
      <c r="BE22" s="5">
        <v>77</v>
      </c>
      <c r="BF22" s="5">
        <v>81</v>
      </c>
      <c r="BG22" s="5">
        <v>72</v>
      </c>
      <c r="BH22" s="5">
        <v>64</v>
      </c>
      <c r="BI22" s="5">
        <v>73</v>
      </c>
      <c r="BJ22" s="5">
        <v>71</v>
      </c>
      <c r="BK22" s="5">
        <v>74</v>
      </c>
      <c r="BL22" s="5">
        <v>73</v>
      </c>
      <c r="BM22" s="5">
        <v>84</v>
      </c>
      <c r="BN22" s="5">
        <v>79</v>
      </c>
      <c r="BO22" s="5">
        <v>82</v>
      </c>
      <c r="BP22" s="5">
        <v>72</v>
      </c>
      <c r="BQ22" s="5">
        <v>63</v>
      </c>
      <c r="BR22" s="5">
        <v>76</v>
      </c>
      <c r="BS22" s="5">
        <v>79</v>
      </c>
      <c r="BT22" s="5">
        <v>79</v>
      </c>
      <c r="BU22" s="5">
        <v>78</v>
      </c>
      <c r="BV22" s="5">
        <v>71</v>
      </c>
      <c r="BW22" s="5">
        <v>78</v>
      </c>
      <c r="BX22" s="5">
        <v>71</v>
      </c>
      <c r="BY22" s="5">
        <v>77</v>
      </c>
      <c r="BZ22" s="5">
        <v>79</v>
      </c>
      <c r="CA22" s="5">
        <v>62</v>
      </c>
      <c r="CB22" s="5">
        <v>71</v>
      </c>
      <c r="CC22" s="5">
        <v>82</v>
      </c>
      <c r="CD22" s="5">
        <v>79</v>
      </c>
      <c r="CE22" s="5">
        <v>84</v>
      </c>
      <c r="CF22" s="5">
        <v>65</v>
      </c>
      <c r="CG22" s="5">
        <v>82</v>
      </c>
      <c r="CH22" s="5">
        <v>83</v>
      </c>
      <c r="CI22" s="5">
        <v>71</v>
      </c>
      <c r="CJ22" s="5">
        <v>67</v>
      </c>
      <c r="CK22" s="5">
        <v>76</v>
      </c>
      <c r="CL22" s="5">
        <v>78</v>
      </c>
      <c r="CM22" s="5">
        <v>74</v>
      </c>
      <c r="CN22" s="5">
        <v>76</v>
      </c>
      <c r="CO22" s="5">
        <v>71</v>
      </c>
      <c r="CP22" s="5">
        <v>81</v>
      </c>
      <c r="CQ22" s="5">
        <v>76</v>
      </c>
      <c r="CR22" s="5">
        <v>71</v>
      </c>
      <c r="CS22" s="5">
        <v>83</v>
      </c>
      <c r="CT22" s="5">
        <v>73</v>
      </c>
      <c r="CU22" s="5">
        <v>71</v>
      </c>
      <c r="CV22" s="5">
        <v>71</v>
      </c>
      <c r="CW22" s="5">
        <v>73</v>
      </c>
      <c r="CX22" s="5">
        <v>72</v>
      </c>
      <c r="CY22" s="5">
        <v>78</v>
      </c>
      <c r="CZ22" s="5">
        <v>79</v>
      </c>
      <c r="DA22" s="5">
        <v>73</v>
      </c>
      <c r="DB22" s="5">
        <v>70</v>
      </c>
    </row>
    <row r="23" spans="1:106" x14ac:dyDescent="0.25">
      <c r="A23" s="2" t="s">
        <v>10</v>
      </c>
      <c r="B23" s="9">
        <f t="shared" si="15"/>
        <v>93.33</v>
      </c>
      <c r="C23" s="9">
        <f t="shared" si="16"/>
        <v>93.5</v>
      </c>
      <c r="D23" s="13">
        <f t="shared" si="17"/>
        <v>107</v>
      </c>
      <c r="E23" s="13">
        <f t="shared" si="18"/>
        <v>77</v>
      </c>
      <c r="F23" s="9">
        <f t="shared" si="19"/>
        <v>5.4957375586113377</v>
      </c>
      <c r="G23" s="5">
        <v>97</v>
      </c>
      <c r="H23" s="5">
        <v>101</v>
      </c>
      <c r="I23" s="5">
        <v>96</v>
      </c>
      <c r="J23" s="5">
        <v>89</v>
      </c>
      <c r="K23" s="5">
        <v>86</v>
      </c>
      <c r="L23" s="5">
        <v>103</v>
      </c>
      <c r="M23" s="5">
        <v>102</v>
      </c>
      <c r="N23" s="5">
        <v>90</v>
      </c>
      <c r="O23" s="5">
        <v>99</v>
      </c>
      <c r="P23" s="5">
        <v>93</v>
      </c>
      <c r="Q23" s="5">
        <v>91</v>
      </c>
      <c r="R23" s="5">
        <v>100</v>
      </c>
      <c r="S23" s="5">
        <v>100</v>
      </c>
      <c r="T23" s="5">
        <v>87</v>
      </c>
      <c r="U23" s="5">
        <v>97</v>
      </c>
      <c r="V23" s="5">
        <v>93</v>
      </c>
      <c r="W23" s="5">
        <v>90</v>
      </c>
      <c r="X23" s="5">
        <v>102</v>
      </c>
      <c r="Y23" s="5">
        <v>88</v>
      </c>
      <c r="Z23" s="5">
        <v>97</v>
      </c>
      <c r="AA23" s="5">
        <v>97</v>
      </c>
      <c r="AB23" s="5">
        <v>93</v>
      </c>
      <c r="AC23" s="5">
        <v>90</v>
      </c>
      <c r="AD23" s="5">
        <v>93</v>
      </c>
      <c r="AE23" s="5">
        <v>88</v>
      </c>
      <c r="AF23" s="5">
        <v>85</v>
      </c>
      <c r="AG23" s="5">
        <v>99</v>
      </c>
      <c r="AH23" s="5">
        <v>99</v>
      </c>
      <c r="AI23" s="5">
        <v>104</v>
      </c>
      <c r="AJ23" s="5">
        <v>94</v>
      </c>
      <c r="AK23" s="5">
        <v>93</v>
      </c>
      <c r="AL23" s="5">
        <v>87</v>
      </c>
      <c r="AM23" s="5">
        <v>98</v>
      </c>
      <c r="AN23" s="5">
        <v>92</v>
      </c>
      <c r="AO23" s="5">
        <v>90</v>
      </c>
      <c r="AP23" s="5">
        <v>91</v>
      </c>
      <c r="AQ23" s="5">
        <v>86</v>
      </c>
      <c r="AR23" s="5">
        <v>94</v>
      </c>
      <c r="AS23" s="5">
        <v>94</v>
      </c>
      <c r="AT23" s="5">
        <v>93</v>
      </c>
      <c r="AU23" s="5">
        <v>97</v>
      </c>
      <c r="AV23" s="5">
        <v>100</v>
      </c>
      <c r="AW23" s="5">
        <v>97</v>
      </c>
      <c r="AX23" s="5">
        <v>97</v>
      </c>
      <c r="AY23" s="5">
        <v>94</v>
      </c>
      <c r="AZ23" s="5">
        <v>98</v>
      </c>
      <c r="BA23" s="5">
        <v>107</v>
      </c>
      <c r="BB23" s="5">
        <v>89</v>
      </c>
      <c r="BC23" s="5">
        <v>96</v>
      </c>
      <c r="BD23" s="5">
        <v>100</v>
      </c>
      <c r="BE23" s="5">
        <v>94</v>
      </c>
      <c r="BF23" s="5">
        <v>93</v>
      </c>
      <c r="BG23" s="5">
        <v>91</v>
      </c>
      <c r="BH23" s="5">
        <v>86</v>
      </c>
      <c r="BI23" s="5">
        <v>90</v>
      </c>
      <c r="BJ23" s="5">
        <v>86</v>
      </c>
      <c r="BK23" s="5">
        <v>77</v>
      </c>
      <c r="BL23" s="5">
        <v>81</v>
      </c>
      <c r="BM23" s="5">
        <v>98</v>
      </c>
      <c r="BN23" s="5">
        <v>99</v>
      </c>
      <c r="BO23" s="5">
        <v>85</v>
      </c>
      <c r="BP23" s="5">
        <v>95</v>
      </c>
      <c r="BQ23" s="5">
        <v>94</v>
      </c>
      <c r="BR23" s="5">
        <v>87</v>
      </c>
      <c r="BS23" s="5">
        <v>99</v>
      </c>
      <c r="BT23" s="5">
        <v>93</v>
      </c>
      <c r="BU23" s="5">
        <v>96</v>
      </c>
      <c r="BV23" s="5">
        <v>91</v>
      </c>
      <c r="BW23" s="5">
        <v>97</v>
      </c>
      <c r="BX23" s="5">
        <v>96</v>
      </c>
      <c r="BY23" s="5">
        <v>100</v>
      </c>
      <c r="BZ23" s="5">
        <v>94</v>
      </c>
      <c r="CA23" s="5">
        <v>94</v>
      </c>
      <c r="CB23" s="5">
        <v>85</v>
      </c>
      <c r="CC23" s="5">
        <v>87</v>
      </c>
      <c r="CD23" s="5">
        <v>97</v>
      </c>
      <c r="CE23" s="5">
        <v>86</v>
      </c>
      <c r="CF23" s="5">
        <v>84</v>
      </c>
      <c r="CG23" s="5">
        <v>92</v>
      </c>
      <c r="CH23" s="5">
        <v>97</v>
      </c>
      <c r="CI23" s="5">
        <v>91</v>
      </c>
      <c r="CJ23" s="5">
        <v>93</v>
      </c>
      <c r="CK23" s="5">
        <v>87</v>
      </c>
      <c r="CL23" s="5">
        <v>85</v>
      </c>
      <c r="CM23" s="5">
        <v>88</v>
      </c>
      <c r="CN23" s="5">
        <v>93</v>
      </c>
      <c r="CO23" s="5">
        <v>92</v>
      </c>
      <c r="CP23" s="5">
        <v>90</v>
      </c>
      <c r="CQ23" s="5">
        <v>89</v>
      </c>
      <c r="CR23" s="5">
        <v>102</v>
      </c>
      <c r="CS23" s="5">
        <v>100</v>
      </c>
      <c r="CT23" s="5">
        <v>85</v>
      </c>
      <c r="CU23" s="5">
        <v>98</v>
      </c>
      <c r="CV23" s="5">
        <v>93</v>
      </c>
      <c r="CW23" s="5">
        <v>88</v>
      </c>
      <c r="CX23" s="5">
        <v>96</v>
      </c>
      <c r="CY23" s="5">
        <v>96</v>
      </c>
      <c r="CZ23" s="5">
        <v>96</v>
      </c>
      <c r="DA23" s="5">
        <v>94</v>
      </c>
      <c r="DB23" s="5">
        <v>97</v>
      </c>
    </row>
    <row r="24" spans="1:106" x14ac:dyDescent="0.25">
      <c r="A24" s="2" t="s">
        <v>11</v>
      </c>
      <c r="B24" s="9">
        <f t="shared" si="15"/>
        <v>87.07</v>
      </c>
      <c r="C24" s="9">
        <f t="shared" si="16"/>
        <v>87.5</v>
      </c>
      <c r="D24" s="13">
        <f t="shared" si="17"/>
        <v>103</v>
      </c>
      <c r="E24" s="13">
        <f t="shared" si="18"/>
        <v>71</v>
      </c>
      <c r="F24" s="9">
        <f t="shared" si="19"/>
        <v>6.3504632774612446</v>
      </c>
      <c r="G24" s="5">
        <v>90</v>
      </c>
      <c r="H24" s="5">
        <v>94</v>
      </c>
      <c r="I24" s="5">
        <v>86</v>
      </c>
      <c r="J24" s="5">
        <v>95</v>
      </c>
      <c r="K24" s="5">
        <v>85</v>
      </c>
      <c r="L24" s="5">
        <v>92</v>
      </c>
      <c r="M24" s="5">
        <v>90</v>
      </c>
      <c r="N24" s="5">
        <v>82</v>
      </c>
      <c r="O24" s="5">
        <v>103</v>
      </c>
      <c r="P24" s="5">
        <v>78</v>
      </c>
      <c r="Q24" s="5">
        <v>76</v>
      </c>
      <c r="R24" s="5">
        <v>79</v>
      </c>
      <c r="S24" s="5">
        <v>89</v>
      </c>
      <c r="T24" s="5">
        <v>84</v>
      </c>
      <c r="U24" s="5">
        <v>88</v>
      </c>
      <c r="V24" s="5">
        <v>73</v>
      </c>
      <c r="W24" s="5">
        <v>79</v>
      </c>
      <c r="X24" s="5">
        <v>84</v>
      </c>
      <c r="Y24" s="5">
        <v>89</v>
      </c>
      <c r="Z24" s="5">
        <v>91</v>
      </c>
      <c r="AA24" s="5">
        <v>84</v>
      </c>
      <c r="AB24" s="5">
        <v>82</v>
      </c>
      <c r="AC24" s="5">
        <v>98</v>
      </c>
      <c r="AD24" s="5">
        <v>91</v>
      </c>
      <c r="AE24" s="5">
        <v>86</v>
      </c>
      <c r="AF24" s="5">
        <v>88</v>
      </c>
      <c r="AG24" s="5">
        <v>82</v>
      </c>
      <c r="AH24" s="5">
        <v>78</v>
      </c>
      <c r="AI24" s="5">
        <v>81</v>
      </c>
      <c r="AJ24" s="5">
        <v>94</v>
      </c>
      <c r="AK24" s="5">
        <v>71</v>
      </c>
      <c r="AL24" s="5">
        <v>84</v>
      </c>
      <c r="AM24" s="5">
        <v>96</v>
      </c>
      <c r="AN24" s="5">
        <v>84</v>
      </c>
      <c r="AO24" s="5">
        <v>82</v>
      </c>
      <c r="AP24" s="5">
        <v>95</v>
      </c>
      <c r="AQ24" s="5">
        <v>82</v>
      </c>
      <c r="AR24" s="5">
        <v>90</v>
      </c>
      <c r="AS24" s="5">
        <v>96</v>
      </c>
      <c r="AT24" s="5">
        <v>85</v>
      </c>
      <c r="AU24" s="5">
        <v>89</v>
      </c>
      <c r="AV24" s="5">
        <v>83</v>
      </c>
      <c r="AW24" s="5">
        <v>81</v>
      </c>
      <c r="AX24" s="5">
        <v>82</v>
      </c>
      <c r="AY24" s="5">
        <v>80</v>
      </c>
      <c r="AZ24" s="5">
        <v>85</v>
      </c>
      <c r="BA24" s="5">
        <v>89</v>
      </c>
      <c r="BB24" s="5">
        <v>89</v>
      </c>
      <c r="BC24" s="5">
        <v>86</v>
      </c>
      <c r="BD24" s="5">
        <v>83</v>
      </c>
      <c r="BE24" s="5">
        <v>95</v>
      </c>
      <c r="BF24" s="5">
        <v>89</v>
      </c>
      <c r="BG24" s="5">
        <v>77</v>
      </c>
      <c r="BH24" s="5">
        <v>92</v>
      </c>
      <c r="BI24" s="5">
        <v>89</v>
      </c>
      <c r="BJ24" s="5">
        <v>97</v>
      </c>
      <c r="BK24" s="5">
        <v>89</v>
      </c>
      <c r="BL24" s="5">
        <v>89</v>
      </c>
      <c r="BM24" s="5">
        <v>78</v>
      </c>
      <c r="BN24" s="5">
        <v>83</v>
      </c>
      <c r="BO24" s="5">
        <v>83</v>
      </c>
      <c r="BP24" s="5">
        <v>91</v>
      </c>
      <c r="BQ24" s="5">
        <v>92</v>
      </c>
      <c r="BR24" s="5">
        <v>92</v>
      </c>
      <c r="BS24" s="5">
        <v>87</v>
      </c>
      <c r="BT24" s="5">
        <v>94</v>
      </c>
      <c r="BU24" s="5">
        <v>95</v>
      </c>
      <c r="BV24" s="5">
        <v>98</v>
      </c>
      <c r="BW24" s="5">
        <v>76</v>
      </c>
      <c r="BX24" s="5">
        <v>103</v>
      </c>
      <c r="BY24" s="5">
        <v>89</v>
      </c>
      <c r="BZ24" s="5">
        <v>92</v>
      </c>
      <c r="CA24" s="5">
        <v>93</v>
      </c>
      <c r="CB24" s="5">
        <v>92</v>
      </c>
      <c r="CC24" s="5">
        <v>78</v>
      </c>
      <c r="CD24" s="5">
        <v>83</v>
      </c>
      <c r="CE24" s="5">
        <v>86</v>
      </c>
      <c r="CF24" s="5">
        <v>91</v>
      </c>
      <c r="CG24" s="5">
        <v>87</v>
      </c>
      <c r="CH24" s="5">
        <v>77</v>
      </c>
      <c r="CI24" s="5">
        <v>84</v>
      </c>
      <c r="CJ24" s="5">
        <v>87</v>
      </c>
      <c r="CK24" s="5">
        <v>95</v>
      </c>
      <c r="CL24" s="5">
        <v>88</v>
      </c>
      <c r="CM24" s="5">
        <v>90</v>
      </c>
      <c r="CN24" s="5">
        <v>97</v>
      </c>
      <c r="CO24" s="5">
        <v>91</v>
      </c>
      <c r="CP24" s="5">
        <v>92</v>
      </c>
      <c r="CQ24" s="5">
        <v>81</v>
      </c>
      <c r="CR24" s="5">
        <v>77</v>
      </c>
      <c r="CS24" s="5">
        <v>82</v>
      </c>
      <c r="CT24" s="5">
        <v>87</v>
      </c>
      <c r="CU24" s="5">
        <v>87</v>
      </c>
      <c r="CV24" s="5">
        <v>89</v>
      </c>
      <c r="CW24" s="5">
        <v>91</v>
      </c>
      <c r="CX24" s="5">
        <v>88</v>
      </c>
      <c r="CY24" s="5">
        <v>78</v>
      </c>
      <c r="CZ24" s="5">
        <v>86</v>
      </c>
      <c r="DA24" s="5">
        <v>87</v>
      </c>
      <c r="DB24" s="5">
        <v>90</v>
      </c>
    </row>
    <row r="25" spans="1:106" x14ac:dyDescent="0.25">
      <c r="A25" s="2" t="s">
        <v>12</v>
      </c>
      <c r="B25" s="9">
        <f t="shared" si="15"/>
        <v>90.61</v>
      </c>
      <c r="C25" s="9">
        <f t="shared" si="16"/>
        <v>90.5</v>
      </c>
      <c r="D25" s="13">
        <f t="shared" si="17"/>
        <v>107</v>
      </c>
      <c r="E25" s="13">
        <f t="shared" si="18"/>
        <v>75</v>
      </c>
      <c r="F25" s="9">
        <f t="shared" si="19"/>
        <v>6.1</v>
      </c>
      <c r="G25" s="5">
        <v>89</v>
      </c>
      <c r="H25" s="5">
        <v>96</v>
      </c>
      <c r="I25" s="5">
        <v>91</v>
      </c>
      <c r="J25" s="5">
        <v>87</v>
      </c>
      <c r="K25" s="5">
        <v>92</v>
      </c>
      <c r="L25" s="5">
        <v>91</v>
      </c>
      <c r="M25" s="5">
        <v>84</v>
      </c>
      <c r="N25" s="5">
        <v>88</v>
      </c>
      <c r="O25" s="5">
        <v>91</v>
      </c>
      <c r="P25" s="5">
        <v>94</v>
      </c>
      <c r="Q25" s="5">
        <v>79</v>
      </c>
      <c r="R25" s="5">
        <v>96</v>
      </c>
      <c r="S25" s="5">
        <v>90</v>
      </c>
      <c r="T25" s="5">
        <v>91</v>
      </c>
      <c r="U25" s="5">
        <v>87</v>
      </c>
      <c r="V25" s="5">
        <v>92</v>
      </c>
      <c r="W25" s="5">
        <v>90</v>
      </c>
      <c r="X25" s="5">
        <v>89</v>
      </c>
      <c r="Y25" s="5">
        <v>89</v>
      </c>
      <c r="Z25" s="5">
        <v>91</v>
      </c>
      <c r="AA25" s="5">
        <v>89</v>
      </c>
      <c r="AB25" s="5">
        <v>83</v>
      </c>
      <c r="AC25" s="5">
        <v>91</v>
      </c>
      <c r="AD25" s="5">
        <v>105</v>
      </c>
      <c r="AE25" s="5">
        <v>80</v>
      </c>
      <c r="AF25" s="5">
        <v>99</v>
      </c>
      <c r="AG25" s="5">
        <v>91</v>
      </c>
      <c r="AH25" s="5">
        <v>75</v>
      </c>
      <c r="AI25" s="5">
        <v>94</v>
      </c>
      <c r="AJ25" s="5">
        <v>86</v>
      </c>
      <c r="AK25" s="5">
        <v>84</v>
      </c>
      <c r="AL25" s="5">
        <v>87</v>
      </c>
      <c r="AM25" s="5">
        <v>92</v>
      </c>
      <c r="AN25" s="5">
        <v>94</v>
      </c>
      <c r="AO25" s="5">
        <v>82</v>
      </c>
      <c r="AP25" s="5">
        <v>91</v>
      </c>
      <c r="AQ25" s="5">
        <v>84</v>
      </c>
      <c r="AR25" s="5">
        <v>94</v>
      </c>
      <c r="AS25" s="5">
        <v>87</v>
      </c>
      <c r="AT25" s="5">
        <v>94</v>
      </c>
      <c r="AU25" s="5">
        <v>93</v>
      </c>
      <c r="AV25" s="5">
        <v>103</v>
      </c>
      <c r="AW25" s="5">
        <v>85</v>
      </c>
      <c r="AX25" s="5">
        <v>86</v>
      </c>
      <c r="AY25" s="5">
        <v>97</v>
      </c>
      <c r="AZ25" s="5">
        <v>87</v>
      </c>
      <c r="BA25" s="5">
        <v>81</v>
      </c>
      <c r="BB25" s="5">
        <v>89</v>
      </c>
      <c r="BC25" s="5">
        <v>96</v>
      </c>
      <c r="BD25" s="5">
        <v>88</v>
      </c>
      <c r="BE25" s="5">
        <v>85</v>
      </c>
      <c r="BF25" s="5">
        <v>88</v>
      </c>
      <c r="BG25" s="5">
        <v>98</v>
      </c>
      <c r="BH25" s="5">
        <v>102</v>
      </c>
      <c r="BI25" s="5">
        <v>88</v>
      </c>
      <c r="BJ25" s="5">
        <v>86</v>
      </c>
      <c r="BK25" s="5">
        <v>92</v>
      </c>
      <c r="BL25" s="5">
        <v>92</v>
      </c>
      <c r="BM25" s="5">
        <v>86</v>
      </c>
      <c r="BN25" s="5">
        <v>100</v>
      </c>
      <c r="BO25" s="5">
        <v>77</v>
      </c>
      <c r="BP25" s="5">
        <v>95</v>
      </c>
      <c r="BQ25" s="5">
        <v>96</v>
      </c>
      <c r="BR25" s="5">
        <v>91</v>
      </c>
      <c r="BS25" s="5">
        <v>93</v>
      </c>
      <c r="BT25" s="5">
        <v>92</v>
      </c>
      <c r="BU25" s="5">
        <v>92</v>
      </c>
      <c r="BV25" s="5">
        <v>98</v>
      </c>
      <c r="BW25" s="5">
        <v>94</v>
      </c>
      <c r="BX25" s="5">
        <v>106</v>
      </c>
      <c r="BY25" s="5">
        <v>90</v>
      </c>
      <c r="BZ25" s="5">
        <v>86</v>
      </c>
      <c r="CA25" s="5">
        <v>102</v>
      </c>
      <c r="CB25" s="5">
        <v>88</v>
      </c>
      <c r="CC25" s="5">
        <v>87</v>
      </c>
      <c r="CD25" s="5">
        <v>95</v>
      </c>
      <c r="CE25" s="5">
        <v>89</v>
      </c>
      <c r="CF25" s="5">
        <v>93</v>
      </c>
      <c r="CG25" s="5">
        <v>87</v>
      </c>
      <c r="CH25" s="5">
        <v>81</v>
      </c>
      <c r="CI25" s="5">
        <v>97</v>
      </c>
      <c r="CJ25" s="5">
        <v>87</v>
      </c>
      <c r="CK25" s="5">
        <v>89</v>
      </c>
      <c r="CL25" s="5">
        <v>94</v>
      </c>
      <c r="CM25" s="5">
        <v>94</v>
      </c>
      <c r="CN25" s="5">
        <v>83</v>
      </c>
      <c r="CO25" s="5">
        <v>86</v>
      </c>
      <c r="CP25" s="5">
        <v>99</v>
      </c>
      <c r="CQ25" s="5">
        <v>89</v>
      </c>
      <c r="CR25" s="5">
        <v>85</v>
      </c>
      <c r="CS25" s="5">
        <v>83</v>
      </c>
      <c r="CT25" s="5">
        <v>90</v>
      </c>
      <c r="CU25" s="5">
        <v>89</v>
      </c>
      <c r="CV25" s="5">
        <v>88</v>
      </c>
      <c r="CW25" s="5">
        <v>101</v>
      </c>
      <c r="CX25" s="5">
        <v>91</v>
      </c>
      <c r="CY25" s="5">
        <v>107</v>
      </c>
      <c r="CZ25" s="5">
        <v>93</v>
      </c>
      <c r="DA25" s="5">
        <v>99</v>
      </c>
      <c r="DB25" s="5">
        <v>84</v>
      </c>
    </row>
    <row r="28" spans="1:106" x14ac:dyDescent="0.25">
      <c r="A28" s="4" t="s">
        <v>43</v>
      </c>
      <c r="B28" s="7" t="s">
        <v>38</v>
      </c>
      <c r="C28" s="7" t="s">
        <v>39</v>
      </c>
      <c r="D28" s="11" t="s">
        <v>40</v>
      </c>
      <c r="E28" s="11" t="s">
        <v>41</v>
      </c>
      <c r="F28" s="7" t="s">
        <v>42</v>
      </c>
      <c r="G28" s="4">
        <v>1</v>
      </c>
      <c r="H28" s="4">
        <v>2</v>
      </c>
      <c r="I28" s="4">
        <v>3</v>
      </c>
      <c r="J28" s="4">
        <v>4</v>
      </c>
      <c r="K28" s="4">
        <v>5</v>
      </c>
      <c r="L28" s="4">
        <v>6</v>
      </c>
      <c r="M28" s="4">
        <v>7</v>
      </c>
      <c r="N28" s="4">
        <v>8</v>
      </c>
      <c r="O28" s="4">
        <v>9</v>
      </c>
      <c r="P28" s="4">
        <v>10</v>
      </c>
      <c r="Q28" s="4">
        <v>11</v>
      </c>
      <c r="R28" s="4">
        <v>12</v>
      </c>
      <c r="S28" s="4">
        <v>13</v>
      </c>
      <c r="T28" s="4">
        <v>14</v>
      </c>
      <c r="U28" s="4">
        <v>15</v>
      </c>
      <c r="V28" s="4">
        <v>16</v>
      </c>
      <c r="W28" s="4">
        <v>17</v>
      </c>
      <c r="X28" s="4">
        <v>18</v>
      </c>
      <c r="Y28" s="4">
        <v>19</v>
      </c>
      <c r="Z28" s="4">
        <v>20</v>
      </c>
      <c r="AA28" s="4">
        <v>21</v>
      </c>
      <c r="AB28" s="4">
        <v>22</v>
      </c>
      <c r="AC28" s="4">
        <v>23</v>
      </c>
      <c r="AD28" s="4">
        <v>24</v>
      </c>
      <c r="AE28" s="4">
        <v>25</v>
      </c>
      <c r="AF28" s="4">
        <v>26</v>
      </c>
      <c r="AG28" s="4">
        <v>27</v>
      </c>
      <c r="AH28" s="4">
        <v>28</v>
      </c>
      <c r="AI28" s="4">
        <v>29</v>
      </c>
      <c r="AJ28" s="4">
        <v>30</v>
      </c>
      <c r="AK28" s="4">
        <v>31</v>
      </c>
      <c r="AL28" s="4">
        <v>32</v>
      </c>
      <c r="AM28" s="4">
        <v>33</v>
      </c>
      <c r="AN28" s="4">
        <v>34</v>
      </c>
      <c r="AO28" s="4">
        <v>35</v>
      </c>
      <c r="AP28" s="4">
        <v>36</v>
      </c>
      <c r="AQ28" s="4">
        <v>37</v>
      </c>
      <c r="AR28" s="4">
        <v>38</v>
      </c>
      <c r="AS28" s="4">
        <v>39</v>
      </c>
      <c r="AT28" s="4">
        <v>40</v>
      </c>
      <c r="AU28" s="4">
        <v>41</v>
      </c>
      <c r="AV28" s="4">
        <v>42</v>
      </c>
      <c r="AW28" s="4">
        <v>43</v>
      </c>
      <c r="AX28" s="4">
        <v>44</v>
      </c>
      <c r="AY28" s="4">
        <v>45</v>
      </c>
      <c r="AZ28" s="4">
        <v>46</v>
      </c>
      <c r="BA28" s="4">
        <v>47</v>
      </c>
      <c r="BB28" s="4">
        <v>48</v>
      </c>
      <c r="BC28" s="4">
        <v>49</v>
      </c>
      <c r="BD28" s="4">
        <v>50</v>
      </c>
      <c r="BE28" s="4">
        <v>51</v>
      </c>
      <c r="BF28" s="4">
        <v>52</v>
      </c>
      <c r="BG28" s="4">
        <v>53</v>
      </c>
      <c r="BH28" s="4">
        <v>54</v>
      </c>
      <c r="BI28" s="4">
        <v>55</v>
      </c>
      <c r="BJ28" s="4">
        <v>56</v>
      </c>
      <c r="BK28" s="4">
        <v>57</v>
      </c>
      <c r="BL28" s="4">
        <v>58</v>
      </c>
      <c r="BM28" s="4">
        <v>59</v>
      </c>
      <c r="BN28" s="4">
        <v>60</v>
      </c>
      <c r="BO28" s="4">
        <v>61</v>
      </c>
      <c r="BP28" s="4">
        <v>62</v>
      </c>
      <c r="BQ28" s="4">
        <v>63</v>
      </c>
      <c r="BR28" s="4">
        <v>64</v>
      </c>
      <c r="BS28" s="4">
        <v>65</v>
      </c>
      <c r="BT28" s="4">
        <v>66</v>
      </c>
      <c r="BU28" s="4">
        <v>67</v>
      </c>
      <c r="BV28" s="4">
        <v>68</v>
      </c>
      <c r="BW28" s="4">
        <v>69</v>
      </c>
      <c r="BX28" s="4">
        <v>70</v>
      </c>
      <c r="BY28" s="4">
        <v>71</v>
      </c>
      <c r="BZ28" s="4">
        <v>72</v>
      </c>
      <c r="CA28" s="4">
        <v>73</v>
      </c>
      <c r="CB28" s="4">
        <v>74</v>
      </c>
      <c r="CC28" s="4">
        <v>75</v>
      </c>
      <c r="CD28" s="4">
        <v>76</v>
      </c>
      <c r="CE28" s="4">
        <v>77</v>
      </c>
      <c r="CF28" s="4">
        <v>78</v>
      </c>
      <c r="CG28" s="4">
        <v>79</v>
      </c>
      <c r="CH28" s="4">
        <v>80</v>
      </c>
      <c r="CI28" s="4">
        <v>81</v>
      </c>
      <c r="CJ28" s="4">
        <v>82</v>
      </c>
      <c r="CK28" s="4">
        <v>83</v>
      </c>
      <c r="CL28" s="4">
        <v>84</v>
      </c>
      <c r="CM28" s="4">
        <v>85</v>
      </c>
      <c r="CN28" s="4">
        <v>86</v>
      </c>
      <c r="CO28" s="4">
        <v>87</v>
      </c>
      <c r="CP28" s="4">
        <v>88</v>
      </c>
      <c r="CQ28" s="4">
        <v>89</v>
      </c>
      <c r="CR28" s="4">
        <v>90</v>
      </c>
      <c r="CS28" s="4">
        <v>91</v>
      </c>
      <c r="CT28" s="4">
        <v>92</v>
      </c>
      <c r="CU28" s="4">
        <v>93</v>
      </c>
      <c r="CV28" s="4">
        <v>94</v>
      </c>
      <c r="CW28" s="4">
        <v>95</v>
      </c>
      <c r="CX28" s="4">
        <v>96</v>
      </c>
      <c r="CY28" s="4">
        <v>97</v>
      </c>
      <c r="CZ28" s="4">
        <v>98</v>
      </c>
      <c r="DA28" s="4">
        <v>99</v>
      </c>
      <c r="DB28" s="4">
        <v>100</v>
      </c>
    </row>
    <row r="29" spans="1:106" x14ac:dyDescent="0.25">
      <c r="A29" s="3" t="s">
        <v>32</v>
      </c>
      <c r="B29" s="8"/>
      <c r="C29" s="8"/>
      <c r="D29" s="12"/>
      <c r="E29" s="12"/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</row>
    <row r="30" spans="1:106" x14ac:dyDescent="0.25">
      <c r="A30" s="2" t="s">
        <v>21</v>
      </c>
      <c r="B30" s="9">
        <f>SUM(G30:DB30)</f>
        <v>0</v>
      </c>
      <c r="C30" s="9"/>
      <c r="D30" s="13"/>
      <c r="E30" s="13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</row>
    <row r="31" spans="1:106" x14ac:dyDescent="0.25">
      <c r="A31" s="2" t="s">
        <v>19</v>
      </c>
      <c r="B31" s="9">
        <f>SUM(G31:DB31)</f>
        <v>73</v>
      </c>
      <c r="C31" s="9"/>
      <c r="D31" s="13"/>
      <c r="E31" s="13"/>
      <c r="F31" s="9"/>
      <c r="G31" s="5">
        <v>1</v>
      </c>
      <c r="H31" s="5">
        <v>0.5</v>
      </c>
      <c r="I31" s="5">
        <v>1</v>
      </c>
      <c r="J31" s="5">
        <v>1</v>
      </c>
      <c r="K31" s="5">
        <v>0.5</v>
      </c>
      <c r="L31" s="5"/>
      <c r="M31" s="5">
        <v>1</v>
      </c>
      <c r="N31" s="5">
        <v>1</v>
      </c>
      <c r="O31" s="5"/>
      <c r="P31" s="5"/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/>
      <c r="W31" s="5"/>
      <c r="X31" s="5">
        <v>1</v>
      </c>
      <c r="Y31" s="5"/>
      <c r="Z31" s="5"/>
      <c r="AA31" s="5">
        <v>1</v>
      </c>
      <c r="AB31" s="5"/>
      <c r="AC31" s="5"/>
      <c r="AD31" s="5">
        <v>1</v>
      </c>
      <c r="AE31" s="5">
        <v>1</v>
      </c>
      <c r="AF31" s="5">
        <v>1</v>
      </c>
      <c r="AG31" s="5">
        <v>1</v>
      </c>
      <c r="AH31" s="5">
        <v>0.5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/>
      <c r="AS31" s="5"/>
      <c r="AT31" s="5">
        <v>1</v>
      </c>
      <c r="AU31" s="5">
        <v>1</v>
      </c>
      <c r="AV31" s="5"/>
      <c r="AW31" s="5">
        <v>1</v>
      </c>
      <c r="AX31" s="5">
        <v>1</v>
      </c>
      <c r="AY31" s="5">
        <v>1</v>
      </c>
      <c r="AZ31" s="5"/>
      <c r="BA31" s="5"/>
      <c r="BB31" s="5">
        <v>1</v>
      </c>
      <c r="BC31" s="5"/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0.5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/>
      <c r="BW31" s="5"/>
      <c r="BX31" s="5"/>
      <c r="BY31" s="5"/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/>
      <c r="CH31" s="5">
        <v>1</v>
      </c>
      <c r="CI31" s="5">
        <v>1</v>
      </c>
      <c r="CJ31" s="5"/>
      <c r="CK31" s="5">
        <v>1</v>
      </c>
      <c r="CL31" s="5">
        <v>0.5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/>
      <c r="CU31" s="5"/>
      <c r="CV31" s="5">
        <v>1</v>
      </c>
      <c r="CW31" s="5">
        <v>1</v>
      </c>
      <c r="CX31" s="5">
        <v>0.5</v>
      </c>
      <c r="CY31" s="5"/>
      <c r="CZ31" s="5">
        <v>1</v>
      </c>
      <c r="DA31" s="5">
        <v>1</v>
      </c>
      <c r="DB31" s="5">
        <v>1</v>
      </c>
    </row>
    <row r="32" spans="1:106" x14ac:dyDescent="0.25">
      <c r="A32" s="2" t="s">
        <v>20</v>
      </c>
      <c r="B32" s="9">
        <f>SUM(G32:DB32)</f>
        <v>2</v>
      </c>
      <c r="C32" s="9"/>
      <c r="D32" s="13"/>
      <c r="E32" s="13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</v>
      </c>
      <c r="BX32" s="5"/>
      <c r="BY32" s="5">
        <v>1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</row>
    <row r="33" spans="1:106" x14ac:dyDescent="0.25">
      <c r="A33" s="2" t="s">
        <v>23</v>
      </c>
      <c r="B33" s="9">
        <f>SUM(G33:DB33)</f>
        <v>0</v>
      </c>
      <c r="C33" s="9"/>
      <c r="D33" s="13"/>
      <c r="E33" s="13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</row>
    <row r="34" spans="1:106" x14ac:dyDescent="0.25">
      <c r="A34" s="2" t="s">
        <v>22</v>
      </c>
      <c r="B34" s="9">
        <f>SUM(G34:DB34)</f>
        <v>0</v>
      </c>
      <c r="C34" s="9"/>
      <c r="D34" s="13"/>
      <c r="E34" s="13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</row>
    <row r="35" spans="1:106" x14ac:dyDescent="0.25">
      <c r="A35" s="3" t="s">
        <v>31</v>
      </c>
      <c r="B35" s="8"/>
      <c r="C35" s="8"/>
      <c r="D35" s="12"/>
      <c r="E35" s="12"/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</row>
    <row r="36" spans="1:106" x14ac:dyDescent="0.25">
      <c r="A36" s="2" t="s">
        <v>17</v>
      </c>
      <c r="B36" s="9">
        <f>SUM(G36:DB36)</f>
        <v>0</v>
      </c>
      <c r="C36" s="9"/>
      <c r="D36" s="13"/>
      <c r="E36" s="13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</row>
    <row r="37" spans="1:106" x14ac:dyDescent="0.25">
      <c r="A37" s="2" t="s">
        <v>18</v>
      </c>
      <c r="B37" s="9">
        <f>SUM(G37:DB37)</f>
        <v>0</v>
      </c>
      <c r="C37" s="9"/>
      <c r="D37" s="13"/>
      <c r="E37" s="13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</row>
    <row r="38" spans="1:106" x14ac:dyDescent="0.25">
      <c r="A38" s="2" t="s">
        <v>14</v>
      </c>
      <c r="B38" s="9">
        <f>SUM(G38:DB38)</f>
        <v>83</v>
      </c>
      <c r="C38" s="9"/>
      <c r="D38" s="13"/>
      <c r="E38" s="13"/>
      <c r="F38" s="9"/>
      <c r="G38" s="5">
        <v>1</v>
      </c>
      <c r="H38" s="5">
        <v>1</v>
      </c>
      <c r="I38" s="5"/>
      <c r="J38" s="5">
        <v>1</v>
      </c>
      <c r="K38" s="5">
        <v>1</v>
      </c>
      <c r="L38" s="5">
        <v>1</v>
      </c>
      <c r="M38" s="5">
        <v>1</v>
      </c>
      <c r="N38" s="5"/>
      <c r="O38" s="5">
        <v>1</v>
      </c>
      <c r="P38" s="5"/>
      <c r="Q38" s="5">
        <v>1</v>
      </c>
      <c r="R38" s="5"/>
      <c r="S38" s="5">
        <v>1</v>
      </c>
      <c r="T38" s="5">
        <v>1</v>
      </c>
      <c r="U38" s="5"/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/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0.5</v>
      </c>
      <c r="AY38" s="5">
        <v>1</v>
      </c>
      <c r="AZ38" s="5">
        <v>1</v>
      </c>
      <c r="BA38" s="5">
        <v>1</v>
      </c>
      <c r="BB38" s="5"/>
      <c r="BC38" s="5">
        <v>1</v>
      </c>
      <c r="BD38" s="5">
        <v>1</v>
      </c>
      <c r="BE38" s="5"/>
      <c r="BF38" s="5">
        <v>1</v>
      </c>
      <c r="BG38" s="5"/>
      <c r="BH38" s="5">
        <v>1</v>
      </c>
      <c r="BI38" s="5">
        <v>1</v>
      </c>
      <c r="BJ38" s="5">
        <v>1</v>
      </c>
      <c r="BK38" s="5">
        <v>0.5</v>
      </c>
      <c r="BL38" s="5">
        <v>1</v>
      </c>
      <c r="BM38" s="5">
        <v>1</v>
      </c>
      <c r="BN38" s="5"/>
      <c r="BO38" s="5">
        <v>1</v>
      </c>
      <c r="BP38" s="5">
        <v>1</v>
      </c>
      <c r="BQ38" s="5"/>
      <c r="BR38" s="5">
        <v>1</v>
      </c>
      <c r="BS38" s="5"/>
      <c r="BT38" s="5">
        <v>1</v>
      </c>
      <c r="BU38" s="5">
        <v>0.5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0.5</v>
      </c>
      <c r="CM38" s="5">
        <v>1</v>
      </c>
      <c r="CN38" s="5"/>
      <c r="CO38" s="5">
        <v>1</v>
      </c>
      <c r="CP38" s="5">
        <v>1</v>
      </c>
      <c r="CQ38" s="5">
        <v>1</v>
      </c>
      <c r="CR38" s="5"/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/>
      <c r="DA38" s="5">
        <v>1</v>
      </c>
      <c r="DB38" s="5">
        <v>1</v>
      </c>
    </row>
    <row r="39" spans="1:106" x14ac:dyDescent="0.25">
      <c r="A39" s="2" t="s">
        <v>15</v>
      </c>
      <c r="B39" s="9">
        <f>SUM(G39:DB39)</f>
        <v>0</v>
      </c>
      <c r="C39" s="9"/>
      <c r="D39" s="13"/>
      <c r="E39" s="13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</row>
    <row r="40" spans="1:106" x14ac:dyDescent="0.25">
      <c r="A40" s="2" t="s">
        <v>16</v>
      </c>
      <c r="B40" s="9">
        <f>SUM(G40:DB40)</f>
        <v>0</v>
      </c>
      <c r="C40" s="9"/>
      <c r="D40" s="13"/>
      <c r="E40" s="13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</row>
    <row r="41" spans="1:106" x14ac:dyDescent="0.25">
      <c r="A41" s="3" t="s">
        <v>33</v>
      </c>
      <c r="B41" s="8"/>
      <c r="C41" s="8"/>
      <c r="D41" s="12"/>
      <c r="E41" s="12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</row>
    <row r="42" spans="1:106" x14ac:dyDescent="0.25">
      <c r="A42" s="2" t="s">
        <v>24</v>
      </c>
      <c r="B42" s="9">
        <f>SUM(G42:DB42)</f>
        <v>28.5</v>
      </c>
      <c r="C42" s="9"/>
      <c r="D42" s="13"/>
      <c r="E42" s="13"/>
      <c r="F42" s="9"/>
      <c r="G42" s="5"/>
      <c r="H42" s="5"/>
      <c r="I42" s="5"/>
      <c r="J42" s="5"/>
      <c r="K42" s="5">
        <v>0.5</v>
      </c>
      <c r="L42" s="5"/>
      <c r="M42" s="5"/>
      <c r="N42" s="5"/>
      <c r="O42" s="5"/>
      <c r="P42" s="5">
        <v>1</v>
      </c>
      <c r="Q42" s="5"/>
      <c r="R42" s="5">
        <v>1</v>
      </c>
      <c r="S42" s="5"/>
      <c r="T42" s="5"/>
      <c r="U42" s="5">
        <v>1</v>
      </c>
      <c r="V42" s="5">
        <v>1</v>
      </c>
      <c r="W42" s="5">
        <v>1</v>
      </c>
      <c r="X42" s="5"/>
      <c r="Y42" s="5">
        <v>1</v>
      </c>
      <c r="Z42" s="5">
        <v>1</v>
      </c>
      <c r="AA42" s="5"/>
      <c r="AB42" s="5">
        <v>1</v>
      </c>
      <c r="AC42" s="5"/>
      <c r="AD42" s="5"/>
      <c r="AE42" s="5"/>
      <c r="AF42" s="5"/>
      <c r="AG42" s="5"/>
      <c r="AH42" s="5">
        <v>0.5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</v>
      </c>
      <c r="AS42" s="5">
        <v>1</v>
      </c>
      <c r="AT42" s="5"/>
      <c r="AU42" s="5"/>
      <c r="AV42" s="5"/>
      <c r="AW42" s="5"/>
      <c r="AX42" s="5">
        <v>0.5</v>
      </c>
      <c r="AY42" s="5"/>
      <c r="AZ42" s="5">
        <v>1</v>
      </c>
      <c r="BA42" s="5">
        <v>1</v>
      </c>
      <c r="BB42" s="5">
        <v>1</v>
      </c>
      <c r="BC42" s="5">
        <v>1</v>
      </c>
      <c r="BD42" s="5"/>
      <c r="BE42" s="5">
        <v>1</v>
      </c>
      <c r="BF42" s="5"/>
      <c r="BG42" s="5">
        <v>1</v>
      </c>
      <c r="BH42" s="5"/>
      <c r="BI42" s="5"/>
      <c r="BJ42" s="5"/>
      <c r="BK42" s="5">
        <v>1</v>
      </c>
      <c r="BL42" s="5"/>
      <c r="BM42" s="5"/>
      <c r="BN42" s="5">
        <v>1</v>
      </c>
      <c r="BO42" s="5"/>
      <c r="BP42" s="5"/>
      <c r="BQ42" s="5">
        <v>1</v>
      </c>
      <c r="BR42" s="5"/>
      <c r="BS42" s="5">
        <v>1</v>
      </c>
      <c r="BT42" s="5"/>
      <c r="BU42" s="5">
        <v>0.5</v>
      </c>
      <c r="BV42" s="5">
        <v>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</v>
      </c>
      <c r="CH42" s="5"/>
      <c r="CI42" s="5"/>
      <c r="CJ42" s="5">
        <v>1</v>
      </c>
      <c r="CK42" s="5"/>
      <c r="CL42" s="5">
        <v>1</v>
      </c>
      <c r="CM42" s="5"/>
      <c r="CN42" s="5"/>
      <c r="CO42" s="5"/>
      <c r="CP42" s="5"/>
      <c r="CQ42" s="5"/>
      <c r="CR42" s="5"/>
      <c r="CS42" s="5"/>
      <c r="CT42" s="5"/>
      <c r="CU42" s="5">
        <v>1</v>
      </c>
      <c r="CV42" s="5"/>
      <c r="CW42" s="5"/>
      <c r="CX42" s="5">
        <v>0.5</v>
      </c>
      <c r="CY42" s="5"/>
      <c r="CZ42" s="5">
        <v>1</v>
      </c>
      <c r="DA42" s="5"/>
      <c r="DB42" s="5"/>
    </row>
    <row r="43" spans="1:106" x14ac:dyDescent="0.25">
      <c r="A43" s="2" t="s">
        <v>26</v>
      </c>
      <c r="B43" s="9">
        <f>SUM(G43:DB43)</f>
        <v>0</v>
      </c>
      <c r="C43" s="9"/>
      <c r="D43" s="13"/>
      <c r="E43" s="13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</row>
    <row r="44" spans="1:106" x14ac:dyDescent="0.25">
      <c r="A44" s="2" t="s">
        <v>25</v>
      </c>
      <c r="B44" s="9">
        <f>SUM(G44:DB44)</f>
        <v>1</v>
      </c>
      <c r="C44" s="9"/>
      <c r="D44" s="13"/>
      <c r="E44" s="13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</v>
      </c>
      <c r="CU44" s="5"/>
      <c r="CV44" s="5"/>
      <c r="CW44" s="5"/>
      <c r="CX44" s="5"/>
      <c r="CY44" s="5"/>
      <c r="CZ44" s="5"/>
      <c r="DA44" s="5"/>
      <c r="DB44" s="5"/>
    </row>
    <row r="45" spans="1:106" x14ac:dyDescent="0.25">
      <c r="A45" s="2" t="s">
        <v>28</v>
      </c>
      <c r="B45" s="9">
        <f>SUM(G45:DB45)</f>
        <v>0</v>
      </c>
      <c r="C45" s="9"/>
      <c r="D45" s="13"/>
      <c r="E45" s="13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</row>
    <row r="46" spans="1:106" x14ac:dyDescent="0.25">
      <c r="A46" s="2" t="s">
        <v>27</v>
      </c>
      <c r="B46" s="9">
        <f>SUM(G46:DB46)</f>
        <v>0</v>
      </c>
      <c r="C46" s="9"/>
      <c r="D46" s="13"/>
      <c r="E46" s="13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</row>
    <row r="47" spans="1:106" x14ac:dyDescent="0.25">
      <c r="A47" s="3" t="s">
        <v>30</v>
      </c>
      <c r="B47" s="8"/>
      <c r="C47" s="8"/>
      <c r="D47" s="12"/>
      <c r="E47" s="12"/>
      <c r="F47" s="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</row>
    <row r="48" spans="1:106" x14ac:dyDescent="0.25">
      <c r="A48" s="2" t="s">
        <v>8</v>
      </c>
      <c r="B48" s="9">
        <f>SUM(G48:DB48)</f>
        <v>6.5</v>
      </c>
      <c r="C48" s="9"/>
      <c r="D48" s="13"/>
      <c r="E48" s="13"/>
      <c r="F48" s="9"/>
      <c r="G48" s="5"/>
      <c r="H48" s="5"/>
      <c r="I48" s="5">
        <v>1</v>
      </c>
      <c r="J48" s="5"/>
      <c r="K48" s="5"/>
      <c r="L48" s="5"/>
      <c r="M48" s="5"/>
      <c r="N48" s="5">
        <v>1</v>
      </c>
      <c r="O48" s="5"/>
      <c r="P48" s="5">
        <v>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</v>
      </c>
      <c r="AD48" s="5">
        <v>0.5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>
        <v>1</v>
      </c>
      <c r="CO48" s="5"/>
      <c r="CP48" s="5"/>
      <c r="CQ48" s="5"/>
      <c r="CR48" s="5">
        <v>1</v>
      </c>
      <c r="CS48" s="5"/>
      <c r="CT48" s="5"/>
      <c r="CU48" s="5"/>
      <c r="CV48" s="5"/>
      <c r="CW48" s="5"/>
      <c r="CX48" s="5"/>
      <c r="CY48" s="5"/>
      <c r="CZ48" s="5"/>
      <c r="DA48" s="5"/>
      <c r="DB48" s="5"/>
    </row>
    <row r="49" spans="1:106" x14ac:dyDescent="0.25">
      <c r="A49" s="2" t="s">
        <v>13</v>
      </c>
      <c r="B49" s="9">
        <f>SUM(G49:DB49)</f>
        <v>0</v>
      </c>
      <c r="C49" s="9"/>
      <c r="D49" s="13"/>
      <c r="E49" s="13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</row>
    <row r="50" spans="1:106" x14ac:dyDescent="0.25">
      <c r="A50" s="2" t="s">
        <v>10</v>
      </c>
      <c r="B50" s="9">
        <f>SUM(G50:DB50)</f>
        <v>1.5</v>
      </c>
      <c r="C50" s="9"/>
      <c r="D50" s="13"/>
      <c r="E50" s="13"/>
      <c r="F50" s="9"/>
      <c r="G50" s="5"/>
      <c r="H50" s="5">
        <v>0.5</v>
      </c>
      <c r="I50" s="5"/>
      <c r="J50" s="5"/>
      <c r="K50" s="5"/>
      <c r="L50" s="5">
        <v>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</row>
    <row r="51" spans="1:106" x14ac:dyDescent="0.25">
      <c r="A51" s="2" t="s">
        <v>11</v>
      </c>
      <c r="B51" s="9">
        <f>SUM(G51:DB51)</f>
        <v>1</v>
      </c>
      <c r="C51" s="9"/>
      <c r="D51" s="13"/>
      <c r="E51" s="13"/>
      <c r="F51" s="9"/>
      <c r="G51" s="5"/>
      <c r="H51" s="5"/>
      <c r="I51" s="5"/>
      <c r="J51" s="5"/>
      <c r="K51" s="5"/>
      <c r="L51" s="5"/>
      <c r="M51" s="5"/>
      <c r="N51" s="5"/>
      <c r="O51" s="5">
        <v>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</row>
    <row r="52" spans="1:106" x14ac:dyDescent="0.25">
      <c r="A52" s="2" t="s">
        <v>12</v>
      </c>
      <c r="B52" s="9">
        <f>SUM(G52:DB52)</f>
        <v>3.5</v>
      </c>
      <c r="C52" s="9"/>
      <c r="D52" s="13"/>
      <c r="E52" s="13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0.5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>
        <v>1</v>
      </c>
      <c r="CZ52" s="5"/>
      <c r="DA52" s="5"/>
      <c r="DB52" s="5"/>
    </row>
    <row r="53" spans="1:106" x14ac:dyDescent="0.25">
      <c r="G53">
        <f>SUM(G30:G52)</f>
        <v>2</v>
      </c>
      <c r="H53">
        <f t="shared" ref="H53:BS53" si="20">SUM(H30:H52)</f>
        <v>2</v>
      </c>
      <c r="I53">
        <f t="shared" si="20"/>
        <v>2</v>
      </c>
      <c r="J53">
        <f t="shared" si="20"/>
        <v>2</v>
      </c>
      <c r="K53">
        <f t="shared" si="20"/>
        <v>2</v>
      </c>
      <c r="L53">
        <f t="shared" si="20"/>
        <v>2</v>
      </c>
      <c r="M53">
        <f t="shared" si="20"/>
        <v>2</v>
      </c>
      <c r="N53">
        <f t="shared" si="20"/>
        <v>2</v>
      </c>
      <c r="O53">
        <f t="shared" si="20"/>
        <v>2</v>
      </c>
      <c r="P53">
        <f t="shared" si="20"/>
        <v>2</v>
      </c>
      <c r="Q53">
        <f t="shared" si="20"/>
        <v>2</v>
      </c>
      <c r="R53">
        <f t="shared" si="20"/>
        <v>2</v>
      </c>
      <c r="S53">
        <f t="shared" si="20"/>
        <v>2</v>
      </c>
      <c r="T53">
        <f t="shared" si="20"/>
        <v>2</v>
      </c>
      <c r="U53">
        <f t="shared" si="20"/>
        <v>2</v>
      </c>
      <c r="V53">
        <f t="shared" si="20"/>
        <v>2</v>
      </c>
      <c r="W53">
        <f t="shared" si="20"/>
        <v>2</v>
      </c>
      <c r="X53">
        <f t="shared" si="20"/>
        <v>2</v>
      </c>
      <c r="Y53">
        <f t="shared" si="20"/>
        <v>2</v>
      </c>
      <c r="Z53">
        <f t="shared" si="20"/>
        <v>2</v>
      </c>
      <c r="AA53">
        <f t="shared" si="20"/>
        <v>2</v>
      </c>
      <c r="AB53">
        <f t="shared" si="20"/>
        <v>2</v>
      </c>
      <c r="AC53">
        <f t="shared" si="20"/>
        <v>2</v>
      </c>
      <c r="AD53">
        <f t="shared" si="20"/>
        <v>2</v>
      </c>
      <c r="AE53">
        <f t="shared" si="20"/>
        <v>2</v>
      </c>
      <c r="AF53">
        <f t="shared" si="20"/>
        <v>2</v>
      </c>
      <c r="AG53">
        <f t="shared" si="20"/>
        <v>2</v>
      </c>
      <c r="AH53">
        <f t="shared" si="20"/>
        <v>2</v>
      </c>
      <c r="AI53">
        <f t="shared" si="20"/>
        <v>2</v>
      </c>
      <c r="AJ53">
        <f t="shared" si="20"/>
        <v>2</v>
      </c>
      <c r="AK53">
        <f t="shared" si="20"/>
        <v>2</v>
      </c>
      <c r="AL53">
        <f t="shared" si="20"/>
        <v>2</v>
      </c>
      <c r="AM53">
        <f t="shared" si="20"/>
        <v>2</v>
      </c>
      <c r="AN53">
        <f t="shared" si="20"/>
        <v>2</v>
      </c>
      <c r="AO53">
        <f t="shared" si="20"/>
        <v>2</v>
      </c>
      <c r="AP53">
        <f t="shared" si="20"/>
        <v>2</v>
      </c>
      <c r="AQ53">
        <f t="shared" si="20"/>
        <v>2</v>
      </c>
      <c r="AR53">
        <f t="shared" si="20"/>
        <v>2</v>
      </c>
      <c r="AS53">
        <f t="shared" si="20"/>
        <v>2</v>
      </c>
      <c r="AT53">
        <f t="shared" si="20"/>
        <v>2</v>
      </c>
      <c r="AU53">
        <f t="shared" si="20"/>
        <v>2</v>
      </c>
      <c r="AV53">
        <f t="shared" si="20"/>
        <v>2</v>
      </c>
      <c r="AW53">
        <f t="shared" si="20"/>
        <v>2</v>
      </c>
      <c r="AX53">
        <f t="shared" si="20"/>
        <v>2</v>
      </c>
      <c r="AY53">
        <f t="shared" si="20"/>
        <v>2</v>
      </c>
      <c r="AZ53">
        <f t="shared" si="20"/>
        <v>2</v>
      </c>
      <c r="BA53">
        <f t="shared" si="20"/>
        <v>2</v>
      </c>
      <c r="BB53">
        <f t="shared" si="20"/>
        <v>2</v>
      </c>
      <c r="BC53">
        <f t="shared" si="20"/>
        <v>2</v>
      </c>
      <c r="BD53">
        <f t="shared" si="20"/>
        <v>2</v>
      </c>
      <c r="BE53">
        <f t="shared" si="20"/>
        <v>2</v>
      </c>
      <c r="BF53">
        <f t="shared" si="20"/>
        <v>2</v>
      </c>
      <c r="BG53">
        <f t="shared" si="20"/>
        <v>2</v>
      </c>
      <c r="BH53">
        <f t="shared" si="20"/>
        <v>2</v>
      </c>
      <c r="BI53">
        <f t="shared" si="20"/>
        <v>2</v>
      </c>
      <c r="BJ53">
        <f t="shared" si="20"/>
        <v>2</v>
      </c>
      <c r="BK53">
        <f t="shared" si="20"/>
        <v>2</v>
      </c>
      <c r="BL53">
        <f t="shared" si="20"/>
        <v>2</v>
      </c>
      <c r="BM53">
        <f t="shared" si="20"/>
        <v>2</v>
      </c>
      <c r="BN53">
        <f t="shared" si="20"/>
        <v>2</v>
      </c>
      <c r="BO53">
        <f t="shared" si="20"/>
        <v>2</v>
      </c>
      <c r="BP53">
        <f t="shared" si="20"/>
        <v>2</v>
      </c>
      <c r="BQ53">
        <f t="shared" si="20"/>
        <v>2</v>
      </c>
      <c r="BR53">
        <f t="shared" si="20"/>
        <v>2</v>
      </c>
      <c r="BS53">
        <f t="shared" si="20"/>
        <v>2</v>
      </c>
      <c r="BT53">
        <f t="shared" ref="BT53:DB53" si="21">SUM(BT30:BT52)</f>
        <v>2</v>
      </c>
      <c r="BU53">
        <f t="shared" si="21"/>
        <v>2</v>
      </c>
      <c r="BV53">
        <f t="shared" si="21"/>
        <v>2</v>
      </c>
      <c r="BW53">
        <f t="shared" si="21"/>
        <v>2</v>
      </c>
      <c r="BX53">
        <f t="shared" si="21"/>
        <v>2</v>
      </c>
      <c r="BY53">
        <f t="shared" si="21"/>
        <v>2</v>
      </c>
      <c r="BZ53">
        <f t="shared" si="21"/>
        <v>2</v>
      </c>
      <c r="CA53">
        <f t="shared" si="21"/>
        <v>2</v>
      </c>
      <c r="CB53">
        <f t="shared" si="21"/>
        <v>2</v>
      </c>
      <c r="CC53">
        <f t="shared" si="21"/>
        <v>2</v>
      </c>
      <c r="CD53">
        <f t="shared" si="21"/>
        <v>2</v>
      </c>
      <c r="CE53">
        <f t="shared" si="21"/>
        <v>2</v>
      </c>
      <c r="CF53">
        <f t="shared" si="21"/>
        <v>2</v>
      </c>
      <c r="CG53">
        <f t="shared" si="21"/>
        <v>2</v>
      </c>
      <c r="CH53">
        <f t="shared" si="21"/>
        <v>2</v>
      </c>
      <c r="CI53">
        <f t="shared" si="21"/>
        <v>2</v>
      </c>
      <c r="CJ53">
        <f t="shared" si="21"/>
        <v>2</v>
      </c>
      <c r="CK53">
        <f t="shared" si="21"/>
        <v>2</v>
      </c>
      <c r="CL53">
        <f t="shared" si="21"/>
        <v>2</v>
      </c>
      <c r="CM53">
        <f t="shared" si="21"/>
        <v>2</v>
      </c>
      <c r="CN53">
        <f t="shared" si="21"/>
        <v>2</v>
      </c>
      <c r="CO53">
        <f t="shared" si="21"/>
        <v>2</v>
      </c>
      <c r="CP53">
        <f t="shared" si="21"/>
        <v>2</v>
      </c>
      <c r="CQ53">
        <f t="shared" si="21"/>
        <v>2</v>
      </c>
      <c r="CR53">
        <f t="shared" si="21"/>
        <v>2</v>
      </c>
      <c r="CS53">
        <f t="shared" si="21"/>
        <v>2</v>
      </c>
      <c r="CT53">
        <f t="shared" si="21"/>
        <v>2</v>
      </c>
      <c r="CU53">
        <f t="shared" si="21"/>
        <v>2</v>
      </c>
      <c r="CV53">
        <f t="shared" si="21"/>
        <v>2</v>
      </c>
      <c r="CW53">
        <f t="shared" si="21"/>
        <v>2</v>
      </c>
      <c r="CX53">
        <f t="shared" si="21"/>
        <v>2</v>
      </c>
      <c r="CY53">
        <f t="shared" si="21"/>
        <v>2</v>
      </c>
      <c r="CZ53">
        <f t="shared" si="21"/>
        <v>2</v>
      </c>
      <c r="DA53">
        <f t="shared" si="21"/>
        <v>2</v>
      </c>
      <c r="DB53">
        <f t="shared" si="21"/>
        <v>2</v>
      </c>
    </row>
    <row r="55" spans="1:106" x14ac:dyDescent="0.25">
      <c r="A55" s="4" t="s">
        <v>44</v>
      </c>
      <c r="B55" s="7" t="s">
        <v>38</v>
      </c>
      <c r="C55" s="7" t="s">
        <v>39</v>
      </c>
      <c r="D55" s="11" t="s">
        <v>40</v>
      </c>
      <c r="E55" s="11" t="s">
        <v>41</v>
      </c>
      <c r="F55" s="7" t="s">
        <v>42</v>
      </c>
      <c r="G55" s="4">
        <v>1</v>
      </c>
      <c r="H55" s="4">
        <v>2</v>
      </c>
      <c r="I55" s="4">
        <v>3</v>
      </c>
      <c r="J55" s="4">
        <v>4</v>
      </c>
      <c r="K55" s="4">
        <v>5</v>
      </c>
      <c r="L55" s="4">
        <v>6</v>
      </c>
      <c r="M55" s="4">
        <v>7</v>
      </c>
      <c r="N55" s="4">
        <v>8</v>
      </c>
      <c r="O55" s="4">
        <v>9</v>
      </c>
      <c r="P55" s="4">
        <v>10</v>
      </c>
      <c r="Q55" s="4">
        <v>11</v>
      </c>
      <c r="R55" s="4">
        <v>12</v>
      </c>
      <c r="S55" s="4">
        <v>13</v>
      </c>
      <c r="T55" s="4">
        <v>14</v>
      </c>
      <c r="U55" s="4">
        <v>15</v>
      </c>
      <c r="V55" s="4">
        <v>16</v>
      </c>
      <c r="W55" s="4">
        <v>17</v>
      </c>
      <c r="X55" s="4">
        <v>18</v>
      </c>
      <c r="Y55" s="4">
        <v>19</v>
      </c>
      <c r="Z55" s="4">
        <v>20</v>
      </c>
      <c r="AA55" s="4">
        <v>21</v>
      </c>
      <c r="AB55" s="4">
        <v>22</v>
      </c>
      <c r="AC55" s="4">
        <v>23</v>
      </c>
      <c r="AD55" s="4">
        <v>24</v>
      </c>
      <c r="AE55" s="4">
        <v>25</v>
      </c>
      <c r="AF55" s="4">
        <v>26</v>
      </c>
      <c r="AG55" s="4">
        <v>27</v>
      </c>
      <c r="AH55" s="4">
        <v>28</v>
      </c>
      <c r="AI55" s="4">
        <v>29</v>
      </c>
      <c r="AJ55" s="4">
        <v>30</v>
      </c>
      <c r="AK55" s="4">
        <v>31</v>
      </c>
      <c r="AL55" s="4">
        <v>32</v>
      </c>
      <c r="AM55" s="4">
        <v>33</v>
      </c>
      <c r="AN55" s="4">
        <v>34</v>
      </c>
      <c r="AO55" s="4">
        <v>35</v>
      </c>
      <c r="AP55" s="4">
        <v>36</v>
      </c>
      <c r="AQ55" s="4">
        <v>37</v>
      </c>
      <c r="AR55" s="4">
        <v>38</v>
      </c>
      <c r="AS55" s="4">
        <v>39</v>
      </c>
      <c r="AT55" s="4">
        <v>40</v>
      </c>
      <c r="AU55" s="4">
        <v>41</v>
      </c>
      <c r="AV55" s="4">
        <v>42</v>
      </c>
      <c r="AW55" s="4">
        <v>43</v>
      </c>
      <c r="AX55" s="4">
        <v>44</v>
      </c>
      <c r="AY55" s="4">
        <v>45</v>
      </c>
      <c r="AZ55" s="4">
        <v>46</v>
      </c>
      <c r="BA55" s="4">
        <v>47</v>
      </c>
      <c r="BB55" s="4">
        <v>48</v>
      </c>
      <c r="BC55" s="4">
        <v>49</v>
      </c>
      <c r="BD55" s="4">
        <v>50</v>
      </c>
      <c r="BE55" s="4">
        <v>51</v>
      </c>
      <c r="BF55" s="4">
        <v>52</v>
      </c>
      <c r="BG55" s="4">
        <v>53</v>
      </c>
      <c r="BH55" s="4">
        <v>54</v>
      </c>
      <c r="BI55" s="4">
        <v>55</v>
      </c>
      <c r="BJ55" s="4">
        <v>56</v>
      </c>
      <c r="BK55" s="4">
        <v>57</v>
      </c>
      <c r="BL55" s="4">
        <v>58</v>
      </c>
      <c r="BM55" s="4">
        <v>59</v>
      </c>
      <c r="BN55" s="4">
        <v>60</v>
      </c>
      <c r="BO55" s="4">
        <v>61</v>
      </c>
      <c r="BP55" s="4">
        <v>62</v>
      </c>
      <c r="BQ55" s="4">
        <v>63</v>
      </c>
      <c r="BR55" s="4">
        <v>64</v>
      </c>
      <c r="BS55" s="4">
        <v>65</v>
      </c>
      <c r="BT55" s="4">
        <v>66</v>
      </c>
      <c r="BU55" s="4">
        <v>67</v>
      </c>
      <c r="BV55" s="4">
        <v>68</v>
      </c>
      <c r="BW55" s="4">
        <v>69</v>
      </c>
      <c r="BX55" s="4">
        <v>70</v>
      </c>
      <c r="BY55" s="4">
        <v>71</v>
      </c>
      <c r="BZ55" s="4">
        <v>72</v>
      </c>
      <c r="CA55" s="4">
        <v>73</v>
      </c>
      <c r="CB55" s="4">
        <v>74</v>
      </c>
      <c r="CC55" s="4">
        <v>75</v>
      </c>
      <c r="CD55" s="4">
        <v>76</v>
      </c>
      <c r="CE55" s="4">
        <v>77</v>
      </c>
      <c r="CF55" s="4">
        <v>78</v>
      </c>
      <c r="CG55" s="4">
        <v>79</v>
      </c>
      <c r="CH55" s="4">
        <v>80</v>
      </c>
      <c r="CI55" s="4">
        <v>81</v>
      </c>
      <c r="CJ55" s="4">
        <v>82</v>
      </c>
      <c r="CK55" s="4">
        <v>83</v>
      </c>
      <c r="CL55" s="4">
        <v>84</v>
      </c>
      <c r="CM55" s="4">
        <v>85</v>
      </c>
      <c r="CN55" s="4">
        <v>86</v>
      </c>
      <c r="CO55" s="4">
        <v>87</v>
      </c>
      <c r="CP55" s="4">
        <v>88</v>
      </c>
      <c r="CQ55" s="4">
        <v>89</v>
      </c>
      <c r="CR55" s="4">
        <v>90</v>
      </c>
      <c r="CS55" s="4">
        <v>91</v>
      </c>
      <c r="CT55" s="4">
        <v>92</v>
      </c>
      <c r="CU55" s="4">
        <v>93</v>
      </c>
      <c r="CV55" s="4">
        <v>94</v>
      </c>
      <c r="CW55" s="4">
        <v>95</v>
      </c>
      <c r="CX55" s="4">
        <v>96</v>
      </c>
      <c r="CY55" s="4">
        <v>97</v>
      </c>
      <c r="CZ55" s="4">
        <v>98</v>
      </c>
      <c r="DA55" s="4">
        <v>99</v>
      </c>
      <c r="DB55" s="4">
        <v>100</v>
      </c>
    </row>
    <row r="56" spans="1:106" x14ac:dyDescent="0.25">
      <c r="A56" s="3" t="s">
        <v>32</v>
      </c>
      <c r="B56" s="8"/>
      <c r="C56" s="8"/>
      <c r="D56" s="12"/>
      <c r="E56" s="12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</row>
    <row r="57" spans="1:106" x14ac:dyDescent="0.25">
      <c r="A57" s="2" t="s">
        <v>21</v>
      </c>
      <c r="B57" s="9">
        <f>SUM(G57:DB57)</f>
        <v>0</v>
      </c>
      <c r="C57" s="9"/>
      <c r="D57" s="13"/>
      <c r="E57" s="13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</row>
    <row r="58" spans="1:106" x14ac:dyDescent="0.25">
      <c r="A58" s="2" t="s">
        <v>19</v>
      </c>
      <c r="B58" s="9">
        <f>SUM(G58:DB58)</f>
        <v>24</v>
      </c>
      <c r="C58" s="9"/>
      <c r="D58" s="13"/>
      <c r="E58" s="13"/>
      <c r="F58" s="9"/>
      <c r="G58" s="5"/>
      <c r="H58" s="5">
        <v>0.5</v>
      </c>
      <c r="I58" s="5"/>
      <c r="J58" s="5"/>
      <c r="K58" s="5">
        <v>0.5</v>
      </c>
      <c r="L58" s="5">
        <v>1</v>
      </c>
      <c r="M58" s="5"/>
      <c r="N58" s="5"/>
      <c r="O58" s="5"/>
      <c r="P58" s="5">
        <v>1</v>
      </c>
      <c r="Q58" s="5"/>
      <c r="R58" s="5"/>
      <c r="S58" s="5"/>
      <c r="T58" s="5"/>
      <c r="U58" s="5"/>
      <c r="V58" s="5">
        <v>1</v>
      </c>
      <c r="W58" s="5">
        <v>1</v>
      </c>
      <c r="X58" s="5"/>
      <c r="Y58" s="5">
        <v>1</v>
      </c>
      <c r="Z58" s="5">
        <v>1</v>
      </c>
      <c r="AA58" s="5"/>
      <c r="AB58" s="5">
        <v>1</v>
      </c>
      <c r="AC58" s="5">
        <v>1</v>
      </c>
      <c r="AD58" s="5"/>
      <c r="AE58" s="5"/>
      <c r="AF58" s="5"/>
      <c r="AG58" s="5"/>
      <c r="AH58" s="5">
        <v>0.5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</v>
      </c>
      <c r="AS58" s="5">
        <v>1</v>
      </c>
      <c r="AT58" s="5"/>
      <c r="AU58" s="5"/>
      <c r="AV58" s="5">
        <v>1</v>
      </c>
      <c r="AW58" s="5"/>
      <c r="AX58" s="5"/>
      <c r="AY58" s="5"/>
      <c r="AZ58" s="5">
        <v>1</v>
      </c>
      <c r="BA58" s="5">
        <v>1</v>
      </c>
      <c r="BB58" s="5"/>
      <c r="BC58" s="5">
        <v>1</v>
      </c>
      <c r="BD58" s="5"/>
      <c r="BE58" s="5"/>
      <c r="BF58" s="5"/>
      <c r="BG58" s="5"/>
      <c r="BH58" s="5"/>
      <c r="BI58" s="5"/>
      <c r="BJ58" s="5"/>
      <c r="BK58" s="5">
        <v>0.5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</v>
      </c>
      <c r="BW58" s="5"/>
      <c r="BX58" s="5">
        <v>1</v>
      </c>
      <c r="BY58" s="5"/>
      <c r="BZ58" s="5"/>
      <c r="CA58" s="5"/>
      <c r="CB58" s="5"/>
      <c r="CC58" s="5"/>
      <c r="CD58" s="5"/>
      <c r="CE58" s="5"/>
      <c r="CF58" s="5"/>
      <c r="CG58" s="5">
        <v>1</v>
      </c>
      <c r="CH58" s="5"/>
      <c r="CI58" s="5"/>
      <c r="CJ58" s="5">
        <v>1</v>
      </c>
      <c r="CK58" s="5"/>
      <c r="CL58" s="5">
        <v>0.5</v>
      </c>
      <c r="CM58" s="5"/>
      <c r="CN58" s="5"/>
      <c r="CO58" s="5"/>
      <c r="CP58" s="5"/>
      <c r="CQ58" s="5"/>
      <c r="CR58" s="5"/>
      <c r="CS58" s="5"/>
      <c r="CT58" s="5">
        <v>1</v>
      </c>
      <c r="CU58" s="5">
        <v>1</v>
      </c>
      <c r="CV58" s="5"/>
      <c r="CW58" s="5"/>
      <c r="CX58" s="5">
        <v>0.5</v>
      </c>
      <c r="CY58" s="5">
        <v>1</v>
      </c>
      <c r="CZ58" s="5"/>
      <c r="DA58" s="5"/>
      <c r="DB58" s="5"/>
    </row>
    <row r="59" spans="1:106" x14ac:dyDescent="0.25">
      <c r="A59" s="2" t="s">
        <v>20</v>
      </c>
      <c r="B59" s="9">
        <f>SUM(G59:DB59)</f>
        <v>1</v>
      </c>
      <c r="C59" s="9"/>
      <c r="D59" s="13"/>
      <c r="E59" s="13"/>
      <c r="F59" s="9"/>
      <c r="G59" s="5"/>
      <c r="H59" s="5"/>
      <c r="I59" s="5"/>
      <c r="J59" s="5"/>
      <c r="K59" s="5"/>
      <c r="L59" s="5"/>
      <c r="M59" s="5"/>
      <c r="N59" s="5"/>
      <c r="O59" s="5">
        <v>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</row>
    <row r="60" spans="1:106" x14ac:dyDescent="0.25">
      <c r="A60" s="2" t="s">
        <v>23</v>
      </c>
      <c r="B60" s="9">
        <f>SUM(G60:DB60)</f>
        <v>0</v>
      </c>
      <c r="C60" s="9"/>
      <c r="D60" s="13"/>
      <c r="E60" s="13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</row>
    <row r="61" spans="1:106" x14ac:dyDescent="0.25">
      <c r="A61" s="2" t="s">
        <v>22</v>
      </c>
      <c r="B61" s="9">
        <f>SUM(G61:DB61)</f>
        <v>0</v>
      </c>
      <c r="C61" s="9"/>
      <c r="D61" s="13"/>
      <c r="E61" s="13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</row>
    <row r="62" spans="1:106" x14ac:dyDescent="0.25">
      <c r="A62" s="3" t="s">
        <v>31</v>
      </c>
      <c r="B62" s="8"/>
      <c r="C62" s="8"/>
      <c r="D62" s="12"/>
      <c r="E62" s="12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</row>
    <row r="63" spans="1:106" x14ac:dyDescent="0.25">
      <c r="A63" s="2" t="s">
        <v>17</v>
      </c>
      <c r="B63" s="9">
        <f>SUM(G63:DB63)</f>
        <v>0</v>
      </c>
      <c r="C63" s="9"/>
      <c r="D63" s="13"/>
      <c r="E63" s="13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</row>
    <row r="64" spans="1:106" x14ac:dyDescent="0.25">
      <c r="A64" s="2" t="s">
        <v>18</v>
      </c>
      <c r="B64" s="9">
        <f>SUM(G64:DB64)</f>
        <v>0</v>
      </c>
      <c r="C64" s="9"/>
      <c r="D64" s="13"/>
      <c r="E64" s="13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</row>
    <row r="65" spans="1:106" x14ac:dyDescent="0.25">
      <c r="A65" s="2" t="s">
        <v>14</v>
      </c>
      <c r="B65" s="9">
        <f>SUM(G65:DB65)</f>
        <v>17</v>
      </c>
      <c r="C65" s="9"/>
      <c r="D65" s="13"/>
      <c r="E65" s="13"/>
      <c r="F65" s="9"/>
      <c r="G65" s="5"/>
      <c r="H65" s="5"/>
      <c r="I65" s="5">
        <v>1</v>
      </c>
      <c r="J65" s="5"/>
      <c r="K65" s="5"/>
      <c r="L65" s="5"/>
      <c r="M65" s="5"/>
      <c r="N65" s="5">
        <v>1</v>
      </c>
      <c r="O65" s="5"/>
      <c r="P65" s="5">
        <v>1</v>
      </c>
      <c r="Q65" s="5"/>
      <c r="R65" s="5">
        <v>1</v>
      </c>
      <c r="S65" s="5"/>
      <c r="T65" s="5"/>
      <c r="U65" s="5">
        <v>1</v>
      </c>
      <c r="V65" s="5"/>
      <c r="W65" s="5"/>
      <c r="X65" s="5"/>
      <c r="Y65" s="5"/>
      <c r="Z65" s="5"/>
      <c r="AA65" s="5"/>
      <c r="AB65" s="5"/>
      <c r="AC65" s="5"/>
      <c r="AD65" s="5">
        <v>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0.5</v>
      </c>
      <c r="AY65" s="5"/>
      <c r="AZ65" s="5"/>
      <c r="BA65" s="5"/>
      <c r="BB65" s="5">
        <v>1</v>
      </c>
      <c r="BC65" s="5"/>
      <c r="BD65" s="5"/>
      <c r="BE65" s="5">
        <v>1</v>
      </c>
      <c r="BF65" s="5"/>
      <c r="BG65" s="5">
        <v>1</v>
      </c>
      <c r="BH65" s="5"/>
      <c r="BI65" s="5"/>
      <c r="BJ65" s="5"/>
      <c r="BK65" s="5">
        <v>0.5</v>
      </c>
      <c r="BL65" s="5"/>
      <c r="BM65" s="5"/>
      <c r="BN65" s="5">
        <v>1</v>
      </c>
      <c r="BO65" s="5"/>
      <c r="BP65" s="5"/>
      <c r="BQ65" s="5">
        <v>1</v>
      </c>
      <c r="BR65" s="5"/>
      <c r="BS65" s="5">
        <v>1</v>
      </c>
      <c r="BT65" s="5"/>
      <c r="BU65" s="5">
        <v>0.5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0.5</v>
      </c>
      <c r="CM65" s="5"/>
      <c r="CN65" s="5">
        <v>1</v>
      </c>
      <c r="CO65" s="5"/>
      <c r="CP65" s="5"/>
      <c r="CQ65" s="5"/>
      <c r="CR65" s="5">
        <v>1</v>
      </c>
      <c r="CS65" s="5"/>
      <c r="CT65" s="5"/>
      <c r="CU65" s="5"/>
      <c r="CV65" s="5"/>
      <c r="CW65" s="5"/>
      <c r="CX65" s="5"/>
      <c r="CY65" s="5"/>
      <c r="CZ65" s="5">
        <v>1</v>
      </c>
      <c r="DA65" s="5"/>
      <c r="DB65" s="5"/>
    </row>
    <row r="66" spans="1:106" x14ac:dyDescent="0.25">
      <c r="A66" s="2" t="s">
        <v>15</v>
      </c>
      <c r="B66" s="9">
        <f>SUM(G66:DB66)</f>
        <v>0</v>
      </c>
      <c r="C66" s="9"/>
      <c r="D66" s="13"/>
      <c r="E66" s="13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</row>
    <row r="67" spans="1:106" x14ac:dyDescent="0.25">
      <c r="A67" s="2" t="s">
        <v>16</v>
      </c>
      <c r="B67" s="9">
        <f>SUM(G67:DB67)</f>
        <v>0</v>
      </c>
      <c r="C67" s="9"/>
      <c r="D67" s="13"/>
      <c r="E67" s="13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</row>
    <row r="68" spans="1:106" x14ac:dyDescent="0.25">
      <c r="A68" s="3" t="s">
        <v>33</v>
      </c>
      <c r="B68" s="8"/>
      <c r="C68" s="8"/>
      <c r="D68" s="12"/>
      <c r="E68" s="12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</row>
    <row r="69" spans="1:106" x14ac:dyDescent="0.25">
      <c r="A69" s="2" t="s">
        <v>24</v>
      </c>
      <c r="B69" s="9">
        <f>SUM(G69:DB69)</f>
        <v>61</v>
      </c>
      <c r="C69" s="9"/>
      <c r="D69" s="13"/>
      <c r="E69" s="13"/>
      <c r="F69" s="9"/>
      <c r="G69" s="5">
        <v>1</v>
      </c>
      <c r="H69" s="5">
        <v>1</v>
      </c>
      <c r="I69" s="5">
        <v>1</v>
      </c>
      <c r="J69" s="5">
        <v>1</v>
      </c>
      <c r="K69" s="5">
        <v>0.5</v>
      </c>
      <c r="L69" s="5">
        <v>1</v>
      </c>
      <c r="M69" s="5">
        <v>1</v>
      </c>
      <c r="N69" s="5">
        <v>1</v>
      </c>
      <c r="O69" s="5">
        <v>1</v>
      </c>
      <c r="P69" s="5"/>
      <c r="Q69" s="5">
        <v>1</v>
      </c>
      <c r="R69" s="5"/>
      <c r="S69" s="5">
        <v>1</v>
      </c>
      <c r="T69" s="5">
        <v>0.5</v>
      </c>
      <c r="U69" s="5"/>
      <c r="V69" s="5"/>
      <c r="W69" s="5"/>
      <c r="X69" s="5">
        <v>1</v>
      </c>
      <c r="Y69" s="5"/>
      <c r="Z69" s="5"/>
      <c r="AA69" s="5">
        <v>1</v>
      </c>
      <c r="AB69" s="5"/>
      <c r="AC69" s="5">
        <v>1</v>
      </c>
      <c r="AD69" s="5">
        <v>1</v>
      </c>
      <c r="AE69" s="5">
        <v>1</v>
      </c>
      <c r="AF69" s="5">
        <v>1</v>
      </c>
      <c r="AG69" s="5"/>
      <c r="AH69" s="5">
        <v>0.5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/>
      <c r="AS69" s="5"/>
      <c r="AT69" s="5">
        <v>1</v>
      </c>
      <c r="AU69" s="5">
        <v>1</v>
      </c>
      <c r="AV69" s="5">
        <v>1</v>
      </c>
      <c r="AW69" s="5">
        <v>1</v>
      </c>
      <c r="AX69" s="5">
        <v>0.5</v>
      </c>
      <c r="AY69" s="5">
        <v>1</v>
      </c>
      <c r="AZ69" s="5"/>
      <c r="BA69" s="5"/>
      <c r="BB69" s="5"/>
      <c r="BC69" s="5"/>
      <c r="BD69" s="5">
        <v>1</v>
      </c>
      <c r="BE69" s="5"/>
      <c r="BF69" s="5"/>
      <c r="BG69" s="5"/>
      <c r="BH69" s="5">
        <v>1</v>
      </c>
      <c r="BI69" s="5"/>
      <c r="BJ69" s="5">
        <v>1</v>
      </c>
      <c r="BK69" s="5"/>
      <c r="BL69" s="5">
        <v>1</v>
      </c>
      <c r="BM69" s="5"/>
      <c r="BN69" s="5"/>
      <c r="BO69" s="5">
        <v>1</v>
      </c>
      <c r="BP69" s="5">
        <v>1</v>
      </c>
      <c r="BQ69" s="5"/>
      <c r="BR69" s="5"/>
      <c r="BS69" s="5"/>
      <c r="BT69" s="5">
        <v>0.5</v>
      </c>
      <c r="BU69" s="5">
        <v>0.5</v>
      </c>
      <c r="BV69" s="5"/>
      <c r="BW69" s="5"/>
      <c r="BX69" s="5">
        <v>1</v>
      </c>
      <c r="BY69" s="5">
        <v>1</v>
      </c>
      <c r="BZ69" s="5"/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/>
      <c r="CG69" s="5"/>
      <c r="CH69" s="5">
        <v>1</v>
      </c>
      <c r="CI69" s="5">
        <v>1</v>
      </c>
      <c r="CJ69" s="5"/>
      <c r="CK69" s="5">
        <v>1</v>
      </c>
      <c r="CL69" s="5"/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/>
      <c r="CU69" s="5"/>
      <c r="CV69" s="5">
        <v>0.5</v>
      </c>
      <c r="CW69" s="5">
        <v>1</v>
      </c>
      <c r="CX69" s="5">
        <v>0.5</v>
      </c>
      <c r="CY69" s="5">
        <v>1</v>
      </c>
      <c r="CZ69" s="5"/>
      <c r="DA69" s="5">
        <v>1</v>
      </c>
      <c r="DB69" s="5">
        <v>1</v>
      </c>
    </row>
    <row r="70" spans="1:106" x14ac:dyDescent="0.25">
      <c r="A70" s="2" t="s">
        <v>26</v>
      </c>
      <c r="B70" s="9">
        <f>SUM(G70:DB70)</f>
        <v>2</v>
      </c>
      <c r="C70" s="9"/>
      <c r="D70" s="13"/>
      <c r="E70" s="13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</row>
    <row r="71" spans="1:106" x14ac:dyDescent="0.25">
      <c r="A71" s="2" t="s">
        <v>25</v>
      </c>
      <c r="B71" s="9">
        <f>SUM(G71:DB71)</f>
        <v>7.5</v>
      </c>
      <c r="C71" s="9"/>
      <c r="D71" s="13"/>
      <c r="E71" s="13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0.5</v>
      </c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</v>
      </c>
      <c r="BG71" s="5"/>
      <c r="BH71" s="5"/>
      <c r="BI71" s="5">
        <v>1</v>
      </c>
      <c r="BJ71" s="5"/>
      <c r="BK71" s="5"/>
      <c r="BL71" s="5"/>
      <c r="BM71" s="5"/>
      <c r="BN71" s="5"/>
      <c r="BO71" s="5"/>
      <c r="BP71" s="5"/>
      <c r="BQ71" s="5"/>
      <c r="BR71" s="5">
        <v>1</v>
      </c>
      <c r="BS71" s="5"/>
      <c r="BT71" s="5">
        <v>0.5</v>
      </c>
      <c r="BU71" s="5"/>
      <c r="BV71" s="5"/>
      <c r="BW71" s="5">
        <v>1</v>
      </c>
      <c r="BX71" s="5"/>
      <c r="BY71" s="5"/>
      <c r="BZ71" s="5">
        <v>1</v>
      </c>
      <c r="CA71" s="5"/>
      <c r="CB71" s="5"/>
      <c r="CC71" s="5"/>
      <c r="CD71" s="5"/>
      <c r="CE71" s="5"/>
      <c r="CF71" s="5">
        <v>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0.5</v>
      </c>
      <c r="CW71" s="5"/>
      <c r="CX71" s="5"/>
      <c r="CY71" s="5"/>
      <c r="CZ71" s="5"/>
      <c r="DA71" s="5"/>
      <c r="DB71" s="5"/>
    </row>
    <row r="72" spans="1:106" x14ac:dyDescent="0.25">
      <c r="A72" s="2" t="s">
        <v>28</v>
      </c>
      <c r="B72" s="9">
        <f>SUM(G72:DB72)</f>
        <v>0</v>
      </c>
      <c r="C72" s="9"/>
      <c r="D72" s="13"/>
      <c r="E72" s="13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</row>
    <row r="73" spans="1:106" x14ac:dyDescent="0.25">
      <c r="A73" s="2" t="s">
        <v>27</v>
      </c>
      <c r="B73" s="9">
        <f>SUM(G73:DB73)</f>
        <v>0</v>
      </c>
      <c r="C73" s="9"/>
      <c r="D73" s="13"/>
      <c r="E73" s="13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</row>
    <row r="74" spans="1:106" x14ac:dyDescent="0.25">
      <c r="A74" s="3" t="s">
        <v>30</v>
      </c>
      <c r="B74" s="8"/>
      <c r="C74" s="8"/>
      <c r="D74" s="12"/>
      <c r="E74" s="12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</row>
    <row r="75" spans="1:106" x14ac:dyDescent="0.25">
      <c r="A75" s="2" t="s">
        <v>8</v>
      </c>
      <c r="B75" s="9">
        <f>SUM(G75:DB75)</f>
        <v>49.333333333333329</v>
      </c>
      <c r="C75" s="9"/>
      <c r="D75" s="13"/>
      <c r="E75" s="13"/>
      <c r="F75" s="9"/>
      <c r="G75" s="5">
        <v>1</v>
      </c>
      <c r="H75" s="5"/>
      <c r="I75" s="5"/>
      <c r="J75" s="5">
        <v>1</v>
      </c>
      <c r="K75" s="5"/>
      <c r="L75" s="5"/>
      <c r="M75" s="5"/>
      <c r="N75" s="5"/>
      <c r="O75" s="5"/>
      <c r="P75" s="5"/>
      <c r="Q75" s="5">
        <v>1</v>
      </c>
      <c r="R75" s="5"/>
      <c r="S75" s="5"/>
      <c r="T75" s="5">
        <v>1</v>
      </c>
      <c r="U75" s="5">
        <v>1</v>
      </c>
      <c r="V75" s="5">
        <v>1</v>
      </c>
      <c r="W75" s="5">
        <v>1</v>
      </c>
      <c r="X75" s="5"/>
      <c r="Y75" s="5">
        <v>1</v>
      </c>
      <c r="Z75" s="5">
        <v>1</v>
      </c>
      <c r="AA75" s="5"/>
      <c r="AB75" s="5">
        <v>1</v>
      </c>
      <c r="AC75" s="5"/>
      <c r="AD75" s="5"/>
      <c r="AE75" s="5">
        <v>1</v>
      </c>
      <c r="AF75" s="5"/>
      <c r="AG75" s="5"/>
      <c r="AH75" s="5"/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/>
      <c r="AO75" s="5">
        <v>1</v>
      </c>
      <c r="AP75" s="5">
        <v>1</v>
      </c>
      <c r="AQ75" s="5">
        <v>1</v>
      </c>
      <c r="AR75" s="5"/>
      <c r="AS75" s="5"/>
      <c r="AT75" s="5"/>
      <c r="AU75" s="5">
        <v>1</v>
      </c>
      <c r="AV75" s="5"/>
      <c r="AW75" s="5"/>
      <c r="AX75" s="5"/>
      <c r="AY75" s="5"/>
      <c r="AZ75" s="5">
        <v>1</v>
      </c>
      <c r="BA75" s="5"/>
      <c r="BB75" s="5">
        <v>1</v>
      </c>
      <c r="BC75" s="5">
        <v>0.33333333333333298</v>
      </c>
      <c r="BD75" s="5"/>
      <c r="BE75" s="5"/>
      <c r="BF75" s="5"/>
      <c r="BG75" s="5"/>
      <c r="BH75" s="5"/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/>
      <c r="BO75" s="5">
        <v>1</v>
      </c>
      <c r="BP75" s="5"/>
      <c r="BQ75" s="5">
        <v>1</v>
      </c>
      <c r="BR75" s="5">
        <v>1</v>
      </c>
      <c r="BS75" s="5">
        <v>1</v>
      </c>
      <c r="BT75" s="5">
        <v>0.5</v>
      </c>
      <c r="BU75" s="5">
        <v>1</v>
      </c>
      <c r="BV75" s="5"/>
      <c r="BW75" s="5"/>
      <c r="BX75" s="5"/>
      <c r="BY75" s="5"/>
      <c r="BZ75" s="5">
        <v>1</v>
      </c>
      <c r="CA75" s="5"/>
      <c r="CB75" s="5"/>
      <c r="CC75" s="5">
        <v>1</v>
      </c>
      <c r="CD75" s="5"/>
      <c r="CE75" s="5">
        <v>1</v>
      </c>
      <c r="CF75" s="5">
        <v>0.5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/>
      <c r="CN75" s="5"/>
      <c r="CO75" s="5">
        <v>0.5</v>
      </c>
      <c r="CP75" s="5"/>
      <c r="CQ75" s="5">
        <v>1</v>
      </c>
      <c r="CR75" s="5"/>
      <c r="CS75" s="5">
        <v>1</v>
      </c>
      <c r="CT75" s="5">
        <v>0.5</v>
      </c>
      <c r="CU75" s="5"/>
      <c r="CV75" s="5">
        <v>1</v>
      </c>
      <c r="CW75" s="5">
        <v>1</v>
      </c>
      <c r="CX75" s="5">
        <v>1</v>
      </c>
      <c r="CY75" s="5"/>
      <c r="CZ75" s="5"/>
      <c r="DA75" s="5"/>
      <c r="DB75" s="5">
        <v>1</v>
      </c>
    </row>
    <row r="76" spans="1:106" x14ac:dyDescent="0.25">
      <c r="A76" s="2" t="s">
        <v>13</v>
      </c>
      <c r="B76" s="9">
        <f>SUM(G76:DB76)</f>
        <v>0</v>
      </c>
      <c r="C76" s="9"/>
      <c r="D76" s="13"/>
      <c r="E76" s="13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</row>
    <row r="77" spans="1:106" x14ac:dyDescent="0.25">
      <c r="A77" s="2" t="s">
        <v>10</v>
      </c>
      <c r="B77" s="9">
        <f>SUM(G77:DB77)</f>
        <v>19.333333333333332</v>
      </c>
      <c r="C77" s="9"/>
      <c r="D77" s="13"/>
      <c r="E77" s="13"/>
      <c r="F77" s="9"/>
      <c r="G77" s="5"/>
      <c r="H77" s="5">
        <v>0.5</v>
      </c>
      <c r="I77" s="5"/>
      <c r="J77" s="5"/>
      <c r="K77" s="5"/>
      <c r="L77" s="5"/>
      <c r="M77" s="5">
        <v>1</v>
      </c>
      <c r="N77" s="5"/>
      <c r="O77" s="5"/>
      <c r="P77" s="5"/>
      <c r="Q77" s="5"/>
      <c r="R77" s="5">
        <v>1</v>
      </c>
      <c r="S77" s="5">
        <v>1</v>
      </c>
      <c r="T77" s="5"/>
      <c r="U77" s="5"/>
      <c r="V77" s="5"/>
      <c r="W77" s="5"/>
      <c r="X77" s="5">
        <v>1</v>
      </c>
      <c r="Y77" s="5"/>
      <c r="Z77" s="5"/>
      <c r="AA77" s="5">
        <v>1</v>
      </c>
      <c r="AB77" s="5"/>
      <c r="AC77" s="5"/>
      <c r="AD77" s="5"/>
      <c r="AE77" s="5"/>
      <c r="AF77" s="5"/>
      <c r="AG77" s="5">
        <v>1</v>
      </c>
      <c r="AH77" s="5">
        <v>1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0.5</v>
      </c>
      <c r="AS77" s="5"/>
      <c r="AT77" s="5"/>
      <c r="AU77" s="5"/>
      <c r="AV77" s="5"/>
      <c r="AW77" s="5">
        <v>1</v>
      </c>
      <c r="AX77" s="5">
        <v>1</v>
      </c>
      <c r="AY77" s="5"/>
      <c r="AZ77" s="5"/>
      <c r="BA77" s="5">
        <v>1</v>
      </c>
      <c r="BB77" s="5"/>
      <c r="BC77" s="5">
        <v>0.33333333333333298</v>
      </c>
      <c r="BD77" s="5">
        <v>1</v>
      </c>
      <c r="BE77" s="5"/>
      <c r="BF77" s="5">
        <v>1</v>
      </c>
      <c r="BG77" s="5"/>
      <c r="BH77" s="5"/>
      <c r="BI77" s="5"/>
      <c r="BJ77" s="5"/>
      <c r="BK77" s="5"/>
      <c r="BL77" s="5"/>
      <c r="BM77" s="5"/>
      <c r="BN77" s="5"/>
      <c r="BO77" s="5"/>
      <c r="BP77" s="5">
        <v>0.5</v>
      </c>
      <c r="BQ77" s="5"/>
      <c r="BR77" s="5"/>
      <c r="BS77" s="5"/>
      <c r="BT77" s="5"/>
      <c r="BU77" s="5"/>
      <c r="BV77" s="5"/>
      <c r="BW77" s="5">
        <v>1</v>
      </c>
      <c r="BX77" s="5"/>
      <c r="BY77" s="5">
        <v>1</v>
      </c>
      <c r="BZ77" s="5"/>
      <c r="CA77" s="5"/>
      <c r="CB77" s="5"/>
      <c r="CC77" s="5"/>
      <c r="CD77" s="5">
        <v>1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0.5</v>
      </c>
      <c r="CP77" s="5"/>
      <c r="CQ77" s="5"/>
      <c r="CR77" s="5"/>
      <c r="CS77" s="5"/>
      <c r="CT77" s="5"/>
      <c r="CU77" s="5">
        <v>1</v>
      </c>
      <c r="CV77" s="5"/>
      <c r="CW77" s="5"/>
      <c r="CX77" s="5"/>
      <c r="CY77" s="5"/>
      <c r="CZ77" s="5">
        <v>1</v>
      </c>
      <c r="DA77" s="5"/>
      <c r="DB77" s="5"/>
    </row>
    <row r="78" spans="1:106" x14ac:dyDescent="0.25">
      <c r="A78" s="2" t="s">
        <v>11</v>
      </c>
      <c r="B78" s="9">
        <f>SUM(G78:DB78)</f>
        <v>4</v>
      </c>
      <c r="C78" s="9"/>
      <c r="D78" s="13"/>
      <c r="E78" s="13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0.5</v>
      </c>
      <c r="BU78" s="5"/>
      <c r="BV78" s="5">
        <v>0.5</v>
      </c>
      <c r="BW78" s="5"/>
      <c r="BX78" s="5"/>
      <c r="BY78" s="5"/>
      <c r="BZ78" s="5"/>
      <c r="CA78" s="5"/>
      <c r="CB78" s="5">
        <v>1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</row>
    <row r="79" spans="1:106" x14ac:dyDescent="0.25">
      <c r="A79" s="2" t="s">
        <v>12</v>
      </c>
      <c r="B79" s="9">
        <f>SUM(G79:DB79)</f>
        <v>14.833333333333332</v>
      </c>
      <c r="C79" s="9"/>
      <c r="D79" s="13"/>
      <c r="E79" s="13"/>
      <c r="F79" s="9"/>
      <c r="G79" s="5"/>
      <c r="H79" s="5"/>
      <c r="I79" s="5"/>
      <c r="J79" s="5"/>
      <c r="K79" s="5">
        <v>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>
        <v>1</v>
      </c>
      <c r="AG79" s="5"/>
      <c r="AH79" s="5"/>
      <c r="AI79" s="5"/>
      <c r="AJ79" s="5"/>
      <c r="AK79" s="5"/>
      <c r="AL79" s="5"/>
      <c r="AM79" s="5"/>
      <c r="AN79" s="5">
        <v>1</v>
      </c>
      <c r="AO79" s="5"/>
      <c r="AP79" s="5"/>
      <c r="AQ79" s="5"/>
      <c r="AR79" s="5">
        <v>0.5</v>
      </c>
      <c r="AS79" s="5"/>
      <c r="AT79" s="5">
        <v>1</v>
      </c>
      <c r="AU79" s="5"/>
      <c r="AV79" s="5"/>
      <c r="AW79" s="5"/>
      <c r="AX79" s="5"/>
      <c r="AY79" s="5">
        <v>1</v>
      </c>
      <c r="AZ79" s="5"/>
      <c r="BA79" s="5"/>
      <c r="BB79" s="5"/>
      <c r="BC79" s="5">
        <v>0.33333333333333298</v>
      </c>
      <c r="BD79" s="5"/>
      <c r="BE79" s="5"/>
      <c r="BF79" s="5"/>
      <c r="BG79" s="5">
        <v>1</v>
      </c>
      <c r="BH79" s="5">
        <v>1</v>
      </c>
      <c r="BI79" s="5"/>
      <c r="BJ79" s="5"/>
      <c r="BK79" s="5"/>
      <c r="BL79" s="5"/>
      <c r="BM79" s="5"/>
      <c r="BN79" s="5">
        <v>1</v>
      </c>
      <c r="BO79" s="5"/>
      <c r="BP79" s="5">
        <v>0.5</v>
      </c>
      <c r="BQ79" s="5"/>
      <c r="BR79" s="5"/>
      <c r="BS79" s="5"/>
      <c r="BT79" s="5"/>
      <c r="BU79" s="5"/>
      <c r="BV79" s="5">
        <v>0.5</v>
      </c>
      <c r="BW79" s="5"/>
      <c r="BX79" s="5"/>
      <c r="BY79" s="5"/>
      <c r="BZ79" s="5"/>
      <c r="CA79" s="5">
        <v>1</v>
      </c>
      <c r="CB79" s="5"/>
      <c r="CC79" s="5"/>
      <c r="CD79" s="5"/>
      <c r="CE79" s="5"/>
      <c r="CF79" s="5">
        <v>0.5</v>
      </c>
      <c r="CG79" s="5"/>
      <c r="CH79" s="5"/>
      <c r="CI79" s="5"/>
      <c r="CJ79" s="5"/>
      <c r="CK79" s="5"/>
      <c r="CL79" s="5"/>
      <c r="CM79" s="5">
        <v>1</v>
      </c>
      <c r="CN79" s="5"/>
      <c r="CO79" s="5"/>
      <c r="CP79" s="5">
        <v>1</v>
      </c>
      <c r="CQ79" s="5"/>
      <c r="CR79" s="5"/>
      <c r="CS79" s="5"/>
      <c r="CT79" s="5">
        <v>0.5</v>
      </c>
      <c r="CU79" s="5"/>
      <c r="CV79" s="5"/>
      <c r="CW79" s="5"/>
      <c r="CX79" s="5"/>
      <c r="CY79" s="5"/>
      <c r="CZ79" s="5"/>
      <c r="DA79" s="5">
        <v>1</v>
      </c>
      <c r="DB79" s="5"/>
    </row>
    <row r="80" spans="1:106" x14ac:dyDescent="0.25">
      <c r="G80">
        <f>SUM(G57:G79)</f>
        <v>2</v>
      </c>
      <c r="H80">
        <f t="shared" ref="H80:BS80" si="22">SUM(H57:H79)</f>
        <v>2</v>
      </c>
      <c r="I80">
        <f t="shared" si="22"/>
        <v>2</v>
      </c>
      <c r="J80">
        <f t="shared" si="22"/>
        <v>2</v>
      </c>
      <c r="K80">
        <f t="shared" si="22"/>
        <v>2</v>
      </c>
      <c r="L80">
        <f t="shared" si="22"/>
        <v>2</v>
      </c>
      <c r="M80">
        <f t="shared" si="22"/>
        <v>2</v>
      </c>
      <c r="N80">
        <f t="shared" si="22"/>
        <v>2</v>
      </c>
      <c r="O80">
        <f t="shared" si="22"/>
        <v>2</v>
      </c>
      <c r="P80">
        <f t="shared" si="22"/>
        <v>2</v>
      </c>
      <c r="Q80">
        <f t="shared" si="22"/>
        <v>2</v>
      </c>
      <c r="R80">
        <f t="shared" si="22"/>
        <v>2</v>
      </c>
      <c r="S80">
        <f t="shared" si="22"/>
        <v>2</v>
      </c>
      <c r="T80">
        <f t="shared" si="22"/>
        <v>2</v>
      </c>
      <c r="U80">
        <f t="shared" si="22"/>
        <v>2</v>
      </c>
      <c r="V80">
        <f t="shared" si="22"/>
        <v>2</v>
      </c>
      <c r="W80">
        <f t="shared" si="22"/>
        <v>2</v>
      </c>
      <c r="X80">
        <f t="shared" si="22"/>
        <v>2</v>
      </c>
      <c r="Y80">
        <f t="shared" si="22"/>
        <v>2</v>
      </c>
      <c r="Z80">
        <f t="shared" si="22"/>
        <v>2</v>
      </c>
      <c r="AA80">
        <f t="shared" si="22"/>
        <v>2</v>
      </c>
      <c r="AB80">
        <f t="shared" si="22"/>
        <v>2</v>
      </c>
      <c r="AC80">
        <f t="shared" si="22"/>
        <v>2</v>
      </c>
      <c r="AD80">
        <f t="shared" si="22"/>
        <v>2</v>
      </c>
      <c r="AE80">
        <f t="shared" si="22"/>
        <v>2</v>
      </c>
      <c r="AF80">
        <f t="shared" si="22"/>
        <v>2</v>
      </c>
      <c r="AG80">
        <f t="shared" si="22"/>
        <v>2</v>
      </c>
      <c r="AH80">
        <f t="shared" si="22"/>
        <v>2</v>
      </c>
      <c r="AI80">
        <f t="shared" si="22"/>
        <v>2</v>
      </c>
      <c r="AJ80">
        <f t="shared" si="22"/>
        <v>2</v>
      </c>
      <c r="AK80">
        <f t="shared" si="22"/>
        <v>2</v>
      </c>
      <c r="AL80">
        <f t="shared" si="22"/>
        <v>2</v>
      </c>
      <c r="AM80">
        <f t="shared" si="22"/>
        <v>2</v>
      </c>
      <c r="AN80">
        <f t="shared" si="22"/>
        <v>2</v>
      </c>
      <c r="AO80">
        <f t="shared" si="22"/>
        <v>2</v>
      </c>
      <c r="AP80">
        <f t="shared" si="22"/>
        <v>2</v>
      </c>
      <c r="AQ80">
        <f t="shared" si="22"/>
        <v>2</v>
      </c>
      <c r="AR80">
        <f t="shared" si="22"/>
        <v>2</v>
      </c>
      <c r="AS80">
        <f t="shared" si="22"/>
        <v>2</v>
      </c>
      <c r="AT80">
        <f t="shared" si="22"/>
        <v>2</v>
      </c>
      <c r="AU80">
        <f t="shared" si="22"/>
        <v>2</v>
      </c>
      <c r="AV80">
        <f t="shared" si="22"/>
        <v>2</v>
      </c>
      <c r="AW80">
        <f t="shared" si="22"/>
        <v>2</v>
      </c>
      <c r="AX80">
        <f t="shared" si="22"/>
        <v>2</v>
      </c>
      <c r="AY80">
        <f t="shared" si="22"/>
        <v>2</v>
      </c>
      <c r="AZ80">
        <f t="shared" si="22"/>
        <v>2</v>
      </c>
      <c r="BA80">
        <f t="shared" si="22"/>
        <v>2</v>
      </c>
      <c r="BB80">
        <f t="shared" si="22"/>
        <v>2</v>
      </c>
      <c r="BC80">
        <f t="shared" si="22"/>
        <v>1.9999999999999991</v>
      </c>
      <c r="BD80">
        <f t="shared" si="22"/>
        <v>2</v>
      </c>
      <c r="BE80">
        <f t="shared" si="22"/>
        <v>2</v>
      </c>
      <c r="BF80">
        <f t="shared" si="22"/>
        <v>2</v>
      </c>
      <c r="BG80">
        <f t="shared" si="22"/>
        <v>2</v>
      </c>
      <c r="BH80">
        <f t="shared" si="22"/>
        <v>2</v>
      </c>
      <c r="BI80">
        <f t="shared" si="22"/>
        <v>2</v>
      </c>
      <c r="BJ80">
        <f t="shared" si="22"/>
        <v>2</v>
      </c>
      <c r="BK80">
        <f t="shared" si="22"/>
        <v>2</v>
      </c>
      <c r="BL80">
        <f t="shared" si="22"/>
        <v>2</v>
      </c>
      <c r="BM80">
        <f t="shared" si="22"/>
        <v>2</v>
      </c>
      <c r="BN80">
        <f t="shared" si="22"/>
        <v>2</v>
      </c>
      <c r="BO80">
        <f t="shared" si="22"/>
        <v>2</v>
      </c>
      <c r="BP80">
        <f t="shared" si="22"/>
        <v>2</v>
      </c>
      <c r="BQ80">
        <f t="shared" si="22"/>
        <v>2</v>
      </c>
      <c r="BR80">
        <f t="shared" si="22"/>
        <v>2</v>
      </c>
      <c r="BS80">
        <f t="shared" si="22"/>
        <v>2</v>
      </c>
      <c r="BT80">
        <f t="shared" ref="BT80:DB80" si="23">SUM(BT57:BT79)</f>
        <v>2</v>
      </c>
      <c r="BU80">
        <f t="shared" si="23"/>
        <v>2</v>
      </c>
      <c r="BV80">
        <f t="shared" si="23"/>
        <v>2</v>
      </c>
      <c r="BW80">
        <f t="shared" si="23"/>
        <v>2</v>
      </c>
      <c r="BX80">
        <f t="shared" si="23"/>
        <v>2</v>
      </c>
      <c r="BY80">
        <f t="shared" si="23"/>
        <v>2</v>
      </c>
      <c r="BZ80">
        <f t="shared" si="23"/>
        <v>2</v>
      </c>
      <c r="CA80">
        <f t="shared" si="23"/>
        <v>2</v>
      </c>
      <c r="CB80">
        <f t="shared" si="23"/>
        <v>2</v>
      </c>
      <c r="CC80">
        <f t="shared" si="23"/>
        <v>2</v>
      </c>
      <c r="CD80">
        <f t="shared" si="23"/>
        <v>2</v>
      </c>
      <c r="CE80">
        <f t="shared" si="23"/>
        <v>2</v>
      </c>
      <c r="CF80">
        <f t="shared" si="23"/>
        <v>2</v>
      </c>
      <c r="CG80">
        <f t="shared" si="23"/>
        <v>2</v>
      </c>
      <c r="CH80">
        <f t="shared" si="23"/>
        <v>2</v>
      </c>
      <c r="CI80">
        <f t="shared" si="23"/>
        <v>2</v>
      </c>
      <c r="CJ80">
        <f t="shared" si="23"/>
        <v>2</v>
      </c>
      <c r="CK80">
        <f t="shared" si="23"/>
        <v>2</v>
      </c>
      <c r="CL80">
        <f t="shared" si="23"/>
        <v>2</v>
      </c>
      <c r="CM80">
        <f t="shared" si="23"/>
        <v>2</v>
      </c>
      <c r="CN80">
        <f t="shared" si="23"/>
        <v>2</v>
      </c>
      <c r="CO80">
        <f t="shared" si="23"/>
        <v>2</v>
      </c>
      <c r="CP80">
        <f t="shared" si="23"/>
        <v>2</v>
      </c>
      <c r="CQ80">
        <f t="shared" si="23"/>
        <v>2</v>
      </c>
      <c r="CR80">
        <f t="shared" si="23"/>
        <v>2</v>
      </c>
      <c r="CS80">
        <f t="shared" si="23"/>
        <v>2</v>
      </c>
      <c r="CT80">
        <f t="shared" si="23"/>
        <v>2</v>
      </c>
      <c r="CU80">
        <f t="shared" si="23"/>
        <v>2</v>
      </c>
      <c r="CV80">
        <f t="shared" si="23"/>
        <v>2</v>
      </c>
      <c r="CW80">
        <f t="shared" si="23"/>
        <v>2</v>
      </c>
      <c r="CX80">
        <f t="shared" si="23"/>
        <v>2</v>
      </c>
      <c r="CY80">
        <f t="shared" si="23"/>
        <v>2</v>
      </c>
      <c r="CZ80">
        <f t="shared" si="23"/>
        <v>2</v>
      </c>
      <c r="DA80">
        <f t="shared" si="23"/>
        <v>2</v>
      </c>
      <c r="DB80">
        <f t="shared" si="23"/>
        <v>2</v>
      </c>
    </row>
    <row r="82" spans="1:106" x14ac:dyDescent="0.25">
      <c r="A82" s="4" t="s">
        <v>45</v>
      </c>
      <c r="B82" s="7"/>
      <c r="C82" s="7"/>
      <c r="D82" s="11"/>
      <c r="E82" s="11"/>
      <c r="F82" s="7"/>
      <c r="G82" s="4">
        <v>1</v>
      </c>
      <c r="H82" s="4">
        <v>2</v>
      </c>
      <c r="I82" s="4">
        <v>3</v>
      </c>
      <c r="J82" s="4">
        <v>4</v>
      </c>
      <c r="K82" s="4">
        <v>5</v>
      </c>
      <c r="L82" s="4">
        <v>6</v>
      </c>
      <c r="M82" s="4">
        <v>7</v>
      </c>
      <c r="N82" s="4">
        <v>8</v>
      </c>
      <c r="O82" s="4">
        <v>9</v>
      </c>
      <c r="P82" s="4">
        <v>10</v>
      </c>
      <c r="Q82" s="4">
        <v>11</v>
      </c>
      <c r="R82" s="4">
        <v>12</v>
      </c>
      <c r="S82" s="4">
        <v>13</v>
      </c>
      <c r="T82" s="4">
        <v>14</v>
      </c>
      <c r="U82" s="4">
        <v>15</v>
      </c>
      <c r="V82" s="4">
        <v>16</v>
      </c>
      <c r="W82" s="4">
        <v>17</v>
      </c>
      <c r="X82" s="4">
        <v>18</v>
      </c>
      <c r="Y82" s="4">
        <v>19</v>
      </c>
      <c r="Z82" s="4">
        <v>20</v>
      </c>
      <c r="AA82" s="4">
        <v>21</v>
      </c>
      <c r="AB82" s="4">
        <v>22</v>
      </c>
      <c r="AC82" s="4">
        <v>23</v>
      </c>
      <c r="AD82" s="4">
        <v>24</v>
      </c>
      <c r="AE82" s="4">
        <v>25</v>
      </c>
      <c r="AF82" s="4">
        <v>26</v>
      </c>
      <c r="AG82" s="4">
        <v>27</v>
      </c>
      <c r="AH82" s="4">
        <v>28</v>
      </c>
      <c r="AI82" s="4">
        <v>29</v>
      </c>
      <c r="AJ82" s="4">
        <v>30</v>
      </c>
      <c r="AK82" s="4">
        <v>31</v>
      </c>
      <c r="AL82" s="4">
        <v>32</v>
      </c>
      <c r="AM82" s="4">
        <v>33</v>
      </c>
      <c r="AN82" s="4">
        <v>34</v>
      </c>
      <c r="AO82" s="4">
        <v>35</v>
      </c>
      <c r="AP82" s="4">
        <v>36</v>
      </c>
      <c r="AQ82" s="4">
        <v>37</v>
      </c>
      <c r="AR82" s="4">
        <v>38</v>
      </c>
      <c r="AS82" s="4">
        <v>39</v>
      </c>
      <c r="AT82" s="4">
        <v>40</v>
      </c>
      <c r="AU82" s="4">
        <v>41</v>
      </c>
      <c r="AV82" s="4">
        <v>42</v>
      </c>
      <c r="AW82" s="4">
        <v>43</v>
      </c>
      <c r="AX82" s="4">
        <v>44</v>
      </c>
      <c r="AY82" s="4">
        <v>45</v>
      </c>
      <c r="AZ82" s="4">
        <v>46</v>
      </c>
      <c r="BA82" s="4">
        <v>47</v>
      </c>
      <c r="BB82" s="4">
        <v>48</v>
      </c>
      <c r="BC82" s="4">
        <v>49</v>
      </c>
      <c r="BD82" s="4">
        <v>50</v>
      </c>
      <c r="BE82" s="4">
        <v>51</v>
      </c>
      <c r="BF82" s="4">
        <v>52</v>
      </c>
      <c r="BG82" s="4">
        <v>53</v>
      </c>
      <c r="BH82" s="4">
        <v>54</v>
      </c>
      <c r="BI82" s="4">
        <v>55</v>
      </c>
      <c r="BJ82" s="4">
        <v>56</v>
      </c>
      <c r="BK82" s="4">
        <v>57</v>
      </c>
      <c r="BL82" s="4">
        <v>58</v>
      </c>
      <c r="BM82" s="4">
        <v>59</v>
      </c>
      <c r="BN82" s="4">
        <v>60</v>
      </c>
      <c r="BO82" s="4">
        <v>61</v>
      </c>
      <c r="BP82" s="4">
        <v>62</v>
      </c>
      <c r="BQ82" s="4">
        <v>63</v>
      </c>
      <c r="BR82" s="4">
        <v>64</v>
      </c>
      <c r="BS82" s="4">
        <v>65</v>
      </c>
      <c r="BT82" s="4">
        <v>66</v>
      </c>
      <c r="BU82" s="4">
        <v>67</v>
      </c>
      <c r="BV82" s="4">
        <v>68</v>
      </c>
      <c r="BW82" s="4">
        <v>69</v>
      </c>
      <c r="BX82" s="4">
        <v>70</v>
      </c>
      <c r="BY82" s="4">
        <v>71</v>
      </c>
      <c r="BZ82" s="4">
        <v>72</v>
      </c>
      <c r="CA82" s="4">
        <v>73</v>
      </c>
      <c r="CB82" s="4">
        <v>74</v>
      </c>
      <c r="CC82" s="4">
        <v>75</v>
      </c>
      <c r="CD82" s="4">
        <v>76</v>
      </c>
      <c r="CE82" s="4">
        <v>77</v>
      </c>
      <c r="CF82" s="4">
        <v>78</v>
      </c>
      <c r="CG82" s="4">
        <v>79</v>
      </c>
      <c r="CH82" s="4">
        <v>80</v>
      </c>
      <c r="CI82" s="4">
        <v>81</v>
      </c>
      <c r="CJ82" s="4">
        <v>82</v>
      </c>
      <c r="CK82" s="4">
        <v>83</v>
      </c>
      <c r="CL82" s="4">
        <v>84</v>
      </c>
      <c r="CM82" s="4">
        <v>85</v>
      </c>
      <c r="CN82" s="4">
        <v>86</v>
      </c>
      <c r="CO82" s="4">
        <v>87</v>
      </c>
      <c r="CP82" s="4">
        <v>88</v>
      </c>
      <c r="CQ82" s="4">
        <v>89</v>
      </c>
      <c r="CR82" s="4">
        <v>90</v>
      </c>
      <c r="CS82" s="4">
        <v>91</v>
      </c>
      <c r="CT82" s="4">
        <v>92</v>
      </c>
      <c r="CU82" s="4">
        <v>93</v>
      </c>
      <c r="CV82" s="4">
        <v>94</v>
      </c>
      <c r="CW82" s="4">
        <v>95</v>
      </c>
      <c r="CX82" s="4">
        <v>96</v>
      </c>
      <c r="CY82" s="4">
        <v>97</v>
      </c>
      <c r="CZ82" s="4">
        <v>98</v>
      </c>
      <c r="DA82" s="4">
        <v>99</v>
      </c>
      <c r="DB82" s="4">
        <v>100</v>
      </c>
    </row>
    <row r="83" spans="1:106" x14ac:dyDescent="0.25">
      <c r="A83" s="3" t="s">
        <v>32</v>
      </c>
      <c r="B83" s="8"/>
      <c r="C83" s="8"/>
      <c r="D83" s="12"/>
      <c r="E83" s="12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</row>
    <row r="84" spans="1:106" x14ac:dyDescent="0.25">
      <c r="A84" s="2" t="s">
        <v>21</v>
      </c>
      <c r="B84" s="9">
        <f>SUM(G84:DB84)</f>
        <v>9.5</v>
      </c>
      <c r="C84" s="9"/>
      <c r="D84" s="13"/>
      <c r="E84" s="13"/>
      <c r="F84" s="9"/>
      <c r="G84" s="5"/>
      <c r="H84" s="5"/>
      <c r="I84" s="5"/>
      <c r="J84" s="5"/>
      <c r="K84" s="5"/>
      <c r="L84" s="5"/>
      <c r="M84" s="5"/>
      <c r="N84" s="5">
        <v>1</v>
      </c>
      <c r="O84" s="5"/>
      <c r="P84" s="5"/>
      <c r="Q84" s="5">
        <v>1</v>
      </c>
      <c r="R84" s="5"/>
      <c r="S84" s="5"/>
      <c r="T84" s="5"/>
      <c r="U84" s="5"/>
      <c r="V84" s="5"/>
      <c r="W84" s="5">
        <v>1</v>
      </c>
      <c r="X84" s="5"/>
      <c r="Y84" s="5"/>
      <c r="Z84" s="5"/>
      <c r="AA84" s="5"/>
      <c r="AB84" s="5"/>
      <c r="AC84" s="5"/>
      <c r="AD84" s="5"/>
      <c r="AE84" s="5"/>
      <c r="AF84" s="5">
        <v>1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</v>
      </c>
      <c r="AS84" s="5">
        <v>1</v>
      </c>
      <c r="AT84" s="5"/>
      <c r="AU84" s="5">
        <v>0.5</v>
      </c>
      <c r="AV84" s="5">
        <v>1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1</v>
      </c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</row>
    <row r="85" spans="1:106" x14ac:dyDescent="0.25">
      <c r="A85" s="2" t="s">
        <v>19</v>
      </c>
      <c r="B85" s="9">
        <f>SUM(G85:DB85)</f>
        <v>2</v>
      </c>
      <c r="C85" s="9"/>
      <c r="D85" s="13"/>
      <c r="E85" s="13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</v>
      </c>
      <c r="BX85" s="5"/>
      <c r="BY85" s="5">
        <v>1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</row>
    <row r="86" spans="1:106" x14ac:dyDescent="0.25">
      <c r="A86" s="2" t="s">
        <v>20</v>
      </c>
      <c r="B86" s="9">
        <f>SUM(G86:DB86)</f>
        <v>60.333333333333336</v>
      </c>
      <c r="C86" s="9"/>
      <c r="D86" s="13"/>
      <c r="E86" s="13"/>
      <c r="F86" s="9"/>
      <c r="G86" s="5">
        <v>1</v>
      </c>
      <c r="H86" s="5">
        <v>0.5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/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/>
      <c r="W86" s="5"/>
      <c r="X86" s="5">
        <v>1</v>
      </c>
      <c r="Y86" s="5">
        <v>1</v>
      </c>
      <c r="Z86" s="5">
        <v>0.5</v>
      </c>
      <c r="AA86" s="5">
        <v>1</v>
      </c>
      <c r="AB86" s="5">
        <v>1</v>
      </c>
      <c r="AC86" s="5">
        <v>1</v>
      </c>
      <c r="AD86" s="5"/>
      <c r="AE86" s="5">
        <v>1</v>
      </c>
      <c r="AF86" s="5"/>
      <c r="AG86" s="5">
        <v>1</v>
      </c>
      <c r="AH86" s="5">
        <v>1</v>
      </c>
      <c r="AI86" s="5">
        <v>1</v>
      </c>
      <c r="AJ86" s="5"/>
      <c r="AK86" s="5">
        <v>1</v>
      </c>
      <c r="AL86" s="5">
        <v>1</v>
      </c>
      <c r="AM86" s="5"/>
      <c r="AN86" s="5">
        <v>1</v>
      </c>
      <c r="AO86" s="5">
        <v>1</v>
      </c>
      <c r="AP86" s="5">
        <v>0.5</v>
      </c>
      <c r="AQ86" s="5">
        <v>1</v>
      </c>
      <c r="AR86" s="5">
        <v>1</v>
      </c>
      <c r="AS86" s="5"/>
      <c r="AT86" s="5">
        <v>1</v>
      </c>
      <c r="AU86" s="5">
        <v>0.5</v>
      </c>
      <c r="AV86" s="5"/>
      <c r="AW86" s="5">
        <v>1</v>
      </c>
      <c r="AX86" s="5">
        <v>1</v>
      </c>
      <c r="AY86" s="5"/>
      <c r="AZ86" s="5"/>
      <c r="BA86" s="5">
        <v>0.5</v>
      </c>
      <c r="BB86" s="5">
        <v>1</v>
      </c>
      <c r="BC86" s="5"/>
      <c r="BD86" s="5">
        <v>1</v>
      </c>
      <c r="BE86" s="5"/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/>
      <c r="BL86" s="5">
        <v>1</v>
      </c>
      <c r="BM86" s="5">
        <v>1</v>
      </c>
      <c r="BN86" s="5"/>
      <c r="BO86" s="15">
        <v>0.33333333333333331</v>
      </c>
      <c r="BP86" s="5">
        <v>1</v>
      </c>
      <c r="BQ86" s="5"/>
      <c r="BR86" s="5"/>
      <c r="BS86" s="5">
        <v>1</v>
      </c>
      <c r="BT86" s="5">
        <v>1</v>
      </c>
      <c r="BU86" s="5"/>
      <c r="BV86" s="5"/>
      <c r="BW86" s="5"/>
      <c r="BX86" s="5">
        <v>1</v>
      </c>
      <c r="BY86" s="5"/>
      <c r="BZ86" s="5"/>
      <c r="CA86" s="5">
        <v>1</v>
      </c>
      <c r="CB86" s="5"/>
      <c r="CC86" s="5">
        <v>0.5</v>
      </c>
      <c r="CD86" s="5"/>
      <c r="CE86" s="5">
        <v>1</v>
      </c>
      <c r="CF86" s="5"/>
      <c r="CG86" s="5">
        <v>1</v>
      </c>
      <c r="CH86" s="5"/>
      <c r="CI86" s="5"/>
      <c r="CJ86" s="5">
        <v>1</v>
      </c>
      <c r="CK86" s="5"/>
      <c r="CL86" s="5"/>
      <c r="CM86" s="5">
        <v>1</v>
      </c>
      <c r="CN86" s="5"/>
      <c r="CO86" s="5">
        <v>1</v>
      </c>
      <c r="CP86" s="5"/>
      <c r="CQ86" s="5"/>
      <c r="CR86" s="5"/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/>
      <c r="CY86" s="5"/>
      <c r="CZ86" s="5">
        <v>1</v>
      </c>
      <c r="DA86" s="5"/>
      <c r="DB86" s="5">
        <v>1</v>
      </c>
    </row>
    <row r="87" spans="1:106" x14ac:dyDescent="0.25">
      <c r="A87" s="2" t="s">
        <v>23</v>
      </c>
      <c r="B87" s="9">
        <f>SUM(G87:DB87)</f>
        <v>0</v>
      </c>
      <c r="C87" s="9"/>
      <c r="D87" s="13"/>
      <c r="E87" s="13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</row>
    <row r="88" spans="1:106" x14ac:dyDescent="0.25">
      <c r="A88" s="2" t="s">
        <v>22</v>
      </c>
      <c r="B88" s="9">
        <f>SUM(G88:DB88)</f>
        <v>0</v>
      </c>
      <c r="C88" s="9"/>
      <c r="D88" s="13"/>
      <c r="E88" s="13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</row>
    <row r="89" spans="1:106" x14ac:dyDescent="0.25">
      <c r="A89" s="3" t="s">
        <v>31</v>
      </c>
      <c r="B89" s="8"/>
      <c r="C89" s="8"/>
      <c r="D89" s="12"/>
      <c r="E89" s="12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</row>
    <row r="90" spans="1:106" x14ac:dyDescent="0.25">
      <c r="A90" s="2" t="s">
        <v>17</v>
      </c>
      <c r="B90" s="9">
        <f>SUM(G90:DB90)</f>
        <v>0</v>
      </c>
      <c r="C90" s="9"/>
      <c r="D90" s="13"/>
      <c r="E90" s="13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</row>
    <row r="91" spans="1:106" x14ac:dyDescent="0.25">
      <c r="A91" s="2" t="s">
        <v>18</v>
      </c>
      <c r="B91" s="9">
        <f>SUM(G91:DB91)</f>
        <v>0</v>
      </c>
      <c r="C91" s="9"/>
      <c r="D91" s="13"/>
      <c r="E91" s="13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</row>
    <row r="92" spans="1:106" x14ac:dyDescent="0.25">
      <c r="A92" s="2" t="s">
        <v>14</v>
      </c>
      <c r="B92" s="9">
        <f>SUM(G92:DB92)</f>
        <v>0</v>
      </c>
      <c r="C92" s="9"/>
      <c r="D92" s="13"/>
      <c r="E92" s="13"/>
      <c r="F92" s="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</row>
    <row r="93" spans="1:106" x14ac:dyDescent="0.25">
      <c r="A93" s="2" t="s">
        <v>15</v>
      </c>
      <c r="B93" s="9">
        <f>SUM(G93:DB93)</f>
        <v>0</v>
      </c>
      <c r="C93" s="9"/>
      <c r="D93" s="13"/>
      <c r="E93" s="13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</row>
    <row r="94" spans="1:106" x14ac:dyDescent="0.25">
      <c r="A94" s="2" t="s">
        <v>16</v>
      </c>
      <c r="B94" s="9">
        <f>SUM(G94:DB94)</f>
        <v>0</v>
      </c>
      <c r="C94" s="9"/>
      <c r="D94" s="13"/>
      <c r="E94" s="13"/>
      <c r="F94" s="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</row>
    <row r="95" spans="1:106" x14ac:dyDescent="0.25">
      <c r="A95" s="3" t="s">
        <v>33</v>
      </c>
      <c r="B95" s="8"/>
      <c r="C95" s="8"/>
      <c r="D95" s="12"/>
      <c r="E95" s="12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</row>
    <row r="96" spans="1:106" x14ac:dyDescent="0.25">
      <c r="A96" s="2" t="s">
        <v>24</v>
      </c>
      <c r="B96" s="9">
        <f>SUM(G96:DB96)</f>
        <v>6.5</v>
      </c>
      <c r="C96" s="9"/>
      <c r="D96" s="13"/>
      <c r="E96" s="13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15">
        <v>0.5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>
        <v>1</v>
      </c>
      <c r="BS96" s="5"/>
      <c r="BT96" s="15">
        <v>0.5</v>
      </c>
      <c r="BU96" s="5"/>
      <c r="BV96" s="5"/>
      <c r="BW96" s="5">
        <v>1</v>
      </c>
      <c r="BX96" s="5"/>
      <c r="BY96" s="5"/>
      <c r="BZ96" s="5">
        <v>1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1</v>
      </c>
      <c r="CU96" s="5"/>
      <c r="CV96" s="15">
        <v>0.5</v>
      </c>
      <c r="CW96" s="5"/>
      <c r="CX96" s="5"/>
      <c r="CY96" s="5"/>
      <c r="CZ96" s="5"/>
      <c r="DA96" s="5"/>
      <c r="DB96" s="5"/>
    </row>
    <row r="97" spans="1:106" x14ac:dyDescent="0.25">
      <c r="A97" s="2" t="s">
        <v>26</v>
      </c>
      <c r="B97" s="9">
        <f>SUM(G97:DB97)</f>
        <v>13</v>
      </c>
      <c r="C97" s="9"/>
      <c r="D97" s="13"/>
      <c r="E97" s="13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</v>
      </c>
      <c r="Z97" s="5"/>
      <c r="AA97" s="5"/>
      <c r="AB97" s="5">
        <v>1</v>
      </c>
      <c r="AC97" s="5"/>
      <c r="AD97" s="5"/>
      <c r="AE97" s="5">
        <v>1</v>
      </c>
      <c r="AF97" s="5">
        <v>1</v>
      </c>
      <c r="AG97" s="5"/>
      <c r="AH97" s="5">
        <v>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v>0.5</v>
      </c>
      <c r="AZ97" s="5"/>
      <c r="BA97" s="5"/>
      <c r="BB97" s="5"/>
      <c r="BC97" s="5"/>
      <c r="BD97" s="5"/>
      <c r="BE97" s="5"/>
      <c r="BF97" s="5"/>
      <c r="BG97" s="5"/>
      <c r="BH97" s="5"/>
      <c r="BI97" s="5">
        <v>1</v>
      </c>
      <c r="BJ97" s="5"/>
      <c r="BK97" s="15">
        <v>0.66666666666666663</v>
      </c>
      <c r="BL97" s="5"/>
      <c r="BM97" s="5"/>
      <c r="BN97" s="5"/>
      <c r="BO97" s="15">
        <v>0.33333333333333331</v>
      </c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>
        <v>1</v>
      </c>
      <c r="CA97" s="5"/>
      <c r="CB97" s="5">
        <v>1</v>
      </c>
      <c r="CC97" s="5">
        <v>0.5</v>
      </c>
      <c r="CD97" s="5"/>
      <c r="CE97" s="5"/>
      <c r="CF97" s="5">
        <v>1</v>
      </c>
      <c r="CG97" s="5"/>
      <c r="CH97" s="5"/>
      <c r="CI97" s="5"/>
      <c r="CJ97" s="5"/>
      <c r="CK97" s="5"/>
      <c r="CL97" s="5">
        <v>1</v>
      </c>
      <c r="CM97" s="5"/>
      <c r="CN97" s="5"/>
      <c r="CO97" s="5"/>
      <c r="CP97" s="5"/>
      <c r="CQ97" s="5">
        <v>1</v>
      </c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</row>
    <row r="98" spans="1:106" x14ac:dyDescent="0.25">
      <c r="A98" s="2" t="s">
        <v>25</v>
      </c>
      <c r="B98" s="9">
        <f>SUM(G98:DB98)</f>
        <v>32.5</v>
      </c>
      <c r="C98" s="9"/>
      <c r="D98" s="13"/>
      <c r="E98" s="13"/>
      <c r="F98" s="9"/>
      <c r="G98" s="5"/>
      <c r="H98" s="5"/>
      <c r="I98" s="5"/>
      <c r="J98" s="5"/>
      <c r="K98" s="5">
        <v>0.5</v>
      </c>
      <c r="L98" s="5"/>
      <c r="M98" s="5"/>
      <c r="N98" s="5"/>
      <c r="O98" s="5"/>
      <c r="P98" s="5">
        <v>1</v>
      </c>
      <c r="Q98" s="5"/>
      <c r="R98" s="5"/>
      <c r="S98" s="5"/>
      <c r="T98" s="15">
        <v>0.5</v>
      </c>
      <c r="U98" s="5"/>
      <c r="V98" s="5"/>
      <c r="W98" s="5">
        <v>1</v>
      </c>
      <c r="X98" s="5">
        <v>1</v>
      </c>
      <c r="Y98" s="5"/>
      <c r="Z98" s="5">
        <v>0.5</v>
      </c>
      <c r="AA98" s="5"/>
      <c r="AB98" s="5"/>
      <c r="AC98" s="5"/>
      <c r="AD98" s="5"/>
      <c r="AE98" s="5"/>
      <c r="AF98" s="5"/>
      <c r="AG98" s="5"/>
      <c r="AH98" s="5"/>
      <c r="AI98" s="5"/>
      <c r="AJ98" s="5">
        <v>1</v>
      </c>
      <c r="AK98" s="5"/>
      <c r="AL98" s="5">
        <v>1</v>
      </c>
      <c r="AM98" s="5"/>
      <c r="AN98" s="5">
        <v>0.5</v>
      </c>
      <c r="AO98" s="5"/>
      <c r="AP98" s="5">
        <v>0.5</v>
      </c>
      <c r="AQ98" s="5">
        <v>1</v>
      </c>
      <c r="AR98" s="5"/>
      <c r="AS98" s="5">
        <v>1</v>
      </c>
      <c r="AT98" s="5"/>
      <c r="AU98" s="5"/>
      <c r="AV98" s="5"/>
      <c r="AW98" s="5">
        <v>0.5</v>
      </c>
      <c r="AX98" s="5">
        <v>1</v>
      </c>
      <c r="AY98" s="5"/>
      <c r="AZ98" s="5">
        <v>1</v>
      </c>
      <c r="BA98" s="5">
        <v>0.5</v>
      </c>
      <c r="BB98" s="5">
        <v>1</v>
      </c>
      <c r="BC98" s="5"/>
      <c r="BD98" s="5"/>
      <c r="BE98" s="5">
        <v>0.5</v>
      </c>
      <c r="BF98" s="5"/>
      <c r="BG98" s="5">
        <v>1</v>
      </c>
      <c r="BH98" s="5"/>
      <c r="BI98" s="5"/>
      <c r="BJ98" s="5"/>
      <c r="BK98" s="15">
        <v>0.66666666666666663</v>
      </c>
      <c r="BL98" s="5"/>
      <c r="BM98" s="5"/>
      <c r="BN98" s="5">
        <v>1</v>
      </c>
      <c r="BO98" s="15">
        <v>0.33333333333333331</v>
      </c>
      <c r="BP98" s="5"/>
      <c r="BQ98" s="5">
        <v>0.5</v>
      </c>
      <c r="BR98" s="5"/>
      <c r="BS98" s="5"/>
      <c r="BT98" s="15">
        <v>0.5</v>
      </c>
      <c r="BU98" s="5">
        <v>1</v>
      </c>
      <c r="BV98" s="5"/>
      <c r="BW98" s="5"/>
      <c r="BX98" s="5"/>
      <c r="BY98" s="5"/>
      <c r="BZ98" s="5"/>
      <c r="CA98" s="5"/>
      <c r="CB98" s="5">
        <v>1</v>
      </c>
      <c r="CC98" s="5">
        <v>1</v>
      </c>
      <c r="CD98" s="5">
        <v>1</v>
      </c>
      <c r="CE98" s="5">
        <v>1</v>
      </c>
      <c r="CF98" s="5"/>
      <c r="CG98" s="5"/>
      <c r="CH98" s="5">
        <v>1</v>
      </c>
      <c r="CI98" s="5">
        <v>1</v>
      </c>
      <c r="CJ98" s="5"/>
      <c r="CK98" s="5">
        <v>1</v>
      </c>
      <c r="CL98" s="5"/>
      <c r="CM98" s="5"/>
      <c r="CN98" s="5">
        <v>1</v>
      </c>
      <c r="CO98" s="5">
        <v>1</v>
      </c>
      <c r="CP98" s="5"/>
      <c r="CQ98" s="5">
        <v>1</v>
      </c>
      <c r="CR98" s="5">
        <v>1</v>
      </c>
      <c r="CS98" s="5"/>
      <c r="CT98" s="5"/>
      <c r="CU98" s="5"/>
      <c r="CV98" s="15">
        <v>0.5</v>
      </c>
      <c r="CW98" s="5"/>
      <c r="CX98" s="5">
        <v>0.5</v>
      </c>
      <c r="CY98" s="5">
        <v>0.5</v>
      </c>
      <c r="CZ98" s="5">
        <v>1</v>
      </c>
      <c r="DA98" s="5"/>
      <c r="DB98" s="5"/>
    </row>
    <row r="99" spans="1:106" x14ac:dyDescent="0.25">
      <c r="A99" s="2" t="s">
        <v>28</v>
      </c>
      <c r="B99" s="9">
        <f>SUM(G99:DB99)</f>
        <v>0</v>
      </c>
      <c r="C99" s="9"/>
      <c r="D99" s="13"/>
      <c r="E99" s="13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</row>
    <row r="100" spans="1:106" x14ac:dyDescent="0.25">
      <c r="A100" s="2" t="s">
        <v>27</v>
      </c>
      <c r="B100" s="9">
        <f>SUM(G100:DB100)</f>
        <v>0</v>
      </c>
      <c r="C100" s="9"/>
      <c r="D100" s="13"/>
      <c r="E100" s="13"/>
      <c r="F100" s="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</row>
    <row r="101" spans="1:106" x14ac:dyDescent="0.25">
      <c r="A101" s="3" t="s">
        <v>30</v>
      </c>
      <c r="B101" s="8"/>
      <c r="C101" s="8"/>
      <c r="D101" s="12"/>
      <c r="E101" s="12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</row>
    <row r="102" spans="1:106" x14ac:dyDescent="0.25">
      <c r="A102" s="2" t="s">
        <v>8</v>
      </c>
      <c r="B102" s="9">
        <f>SUM(G102:DB102)</f>
        <v>20.666666666666664</v>
      </c>
      <c r="C102" s="9"/>
      <c r="D102" s="13"/>
      <c r="E102" s="13"/>
      <c r="F102" s="9"/>
      <c r="G102" s="5"/>
      <c r="H102" s="5">
        <v>1</v>
      </c>
      <c r="I102" s="5"/>
      <c r="J102" s="5"/>
      <c r="K102" s="5">
        <v>0.5</v>
      </c>
      <c r="L102" s="5">
        <v>1</v>
      </c>
      <c r="M102" s="5">
        <v>1</v>
      </c>
      <c r="N102" s="5"/>
      <c r="O102" s="5">
        <v>1</v>
      </c>
      <c r="P102" s="5"/>
      <c r="Q102" s="5"/>
      <c r="R102" s="5"/>
      <c r="S102" s="5">
        <v>0.5</v>
      </c>
      <c r="T102" s="5"/>
      <c r="U102" s="5"/>
      <c r="V102" s="5"/>
      <c r="W102" s="5"/>
      <c r="X102" s="5"/>
      <c r="Y102" s="5"/>
      <c r="Z102" s="5"/>
      <c r="AA102" s="5">
        <v>1</v>
      </c>
      <c r="AB102" s="5"/>
      <c r="AC102" s="5"/>
      <c r="AD102" s="5">
        <v>0.5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v>0.5</v>
      </c>
      <c r="AO102" s="5"/>
      <c r="AP102" s="5"/>
      <c r="AQ102" s="5"/>
      <c r="AR102" s="5"/>
      <c r="AS102" s="5"/>
      <c r="AT102" s="5"/>
      <c r="AU102" s="5"/>
      <c r="AV102" s="5"/>
      <c r="AW102" s="5">
        <v>0.5</v>
      </c>
      <c r="AX102" s="5"/>
      <c r="AY102" s="5">
        <v>0.5</v>
      </c>
      <c r="AZ102" s="5"/>
      <c r="BA102" s="5">
        <v>1</v>
      </c>
      <c r="BB102" s="5"/>
      <c r="BC102" s="15">
        <f>2/3</f>
        <v>0.66666666666666663</v>
      </c>
      <c r="BD102" s="5">
        <v>1</v>
      </c>
      <c r="BE102" s="5">
        <v>0.5</v>
      </c>
      <c r="BF102" s="5">
        <v>1</v>
      </c>
      <c r="BG102" s="5"/>
      <c r="BH102" s="5">
        <v>1</v>
      </c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>
        <v>1</v>
      </c>
      <c r="BW102" s="5"/>
      <c r="BX102" s="5"/>
      <c r="BY102" s="5">
        <v>1</v>
      </c>
      <c r="BZ102" s="5"/>
      <c r="CA102" s="5">
        <v>1</v>
      </c>
      <c r="CB102" s="5"/>
      <c r="CC102" s="5"/>
      <c r="CD102" s="5"/>
      <c r="CE102" s="5"/>
      <c r="CF102" s="15">
        <v>0.5</v>
      </c>
      <c r="CG102" s="5"/>
      <c r="CH102" s="5"/>
      <c r="CI102" s="5"/>
      <c r="CJ102" s="5"/>
      <c r="CK102" s="5"/>
      <c r="CL102" s="5"/>
      <c r="CM102" s="5">
        <v>1</v>
      </c>
      <c r="CN102" s="5"/>
      <c r="CO102" s="5"/>
      <c r="CP102" s="5">
        <v>0.5</v>
      </c>
      <c r="CQ102" s="5"/>
      <c r="CR102" s="5"/>
      <c r="CS102" s="5"/>
      <c r="CT102" s="5"/>
      <c r="CU102" s="5">
        <v>1</v>
      </c>
      <c r="CV102" s="5"/>
      <c r="CW102" s="5"/>
      <c r="CX102" s="5"/>
      <c r="CY102" s="5">
        <v>0.5</v>
      </c>
      <c r="CZ102" s="5"/>
      <c r="DA102" s="5">
        <v>1</v>
      </c>
      <c r="DB102" s="5"/>
    </row>
    <row r="103" spans="1:106" x14ac:dyDescent="0.25">
      <c r="A103" s="2" t="s">
        <v>13</v>
      </c>
      <c r="B103" s="9">
        <f>SUM(G103:DB103)</f>
        <v>0</v>
      </c>
      <c r="C103" s="9"/>
      <c r="D103" s="13"/>
      <c r="E103" s="13"/>
      <c r="F103" s="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</row>
    <row r="104" spans="1:106" x14ac:dyDescent="0.25">
      <c r="A104" s="2" t="s">
        <v>10</v>
      </c>
      <c r="B104" s="9">
        <f>SUM(G104:DB104)</f>
        <v>29.166666666666664</v>
      </c>
      <c r="C104" s="9"/>
      <c r="D104" s="13"/>
      <c r="E104" s="13"/>
      <c r="F104" s="9"/>
      <c r="G104" s="5">
        <v>1</v>
      </c>
      <c r="H104" s="5"/>
      <c r="I104" s="5">
        <v>1</v>
      </c>
      <c r="J104" s="5"/>
      <c r="K104" s="5"/>
      <c r="L104" s="5"/>
      <c r="M104" s="5"/>
      <c r="N104" s="5"/>
      <c r="O104" s="5">
        <v>1</v>
      </c>
      <c r="P104" s="5"/>
      <c r="Q104" s="5"/>
      <c r="R104" s="5"/>
      <c r="S104" s="5"/>
      <c r="T104" s="5"/>
      <c r="U104" s="5">
        <v>1</v>
      </c>
      <c r="V104" s="5">
        <v>1</v>
      </c>
      <c r="W104" s="5"/>
      <c r="X104" s="5"/>
      <c r="Y104" s="5"/>
      <c r="Z104" s="5">
        <v>1</v>
      </c>
      <c r="AA104" s="5"/>
      <c r="AB104" s="5"/>
      <c r="AC104" s="5"/>
      <c r="AD104" s="5">
        <v>1</v>
      </c>
      <c r="AE104" s="5"/>
      <c r="AF104" s="5"/>
      <c r="AG104" s="5"/>
      <c r="AH104" s="5"/>
      <c r="AI104" s="5">
        <v>1</v>
      </c>
      <c r="AJ104" s="5">
        <v>0.5</v>
      </c>
      <c r="AK104" s="5">
        <v>1</v>
      </c>
      <c r="AL104" s="5"/>
      <c r="AM104" s="5">
        <v>1</v>
      </c>
      <c r="AN104" s="5"/>
      <c r="AO104" s="5">
        <v>1</v>
      </c>
      <c r="AP104" s="5"/>
      <c r="AQ104" s="5"/>
      <c r="AR104" s="5"/>
      <c r="AS104" s="5"/>
      <c r="AT104" s="5"/>
      <c r="AU104" s="5"/>
      <c r="AV104" s="5"/>
      <c r="AW104" s="5"/>
      <c r="AX104" s="5"/>
      <c r="AY104" s="5">
        <v>1</v>
      </c>
      <c r="AZ104" s="5">
        <v>1</v>
      </c>
      <c r="BA104" s="5"/>
      <c r="BB104" s="5"/>
      <c r="BC104" s="15">
        <f>2/3</f>
        <v>0.66666666666666663</v>
      </c>
      <c r="BD104" s="5"/>
      <c r="BE104" s="5">
        <v>1</v>
      </c>
      <c r="BF104" s="5"/>
      <c r="BG104" s="5"/>
      <c r="BH104" s="5"/>
      <c r="BI104" s="5"/>
      <c r="BJ104" s="5"/>
      <c r="BK104" s="5"/>
      <c r="BL104" s="5"/>
      <c r="BM104" s="5">
        <v>1</v>
      </c>
      <c r="BN104" s="5">
        <v>1</v>
      </c>
      <c r="BO104" s="5"/>
      <c r="BP104" s="15">
        <v>0.5</v>
      </c>
      <c r="BQ104" s="5">
        <v>0.5</v>
      </c>
      <c r="BR104" s="5"/>
      <c r="BS104" s="5">
        <v>1</v>
      </c>
      <c r="BT104" s="5"/>
      <c r="BU104" s="5">
        <v>1</v>
      </c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>
        <v>1</v>
      </c>
      <c r="CH104" s="5">
        <v>1</v>
      </c>
      <c r="CI104" s="5"/>
      <c r="CJ104" s="5">
        <v>1</v>
      </c>
      <c r="CK104" s="5"/>
      <c r="CL104" s="5"/>
      <c r="CM104" s="5"/>
      <c r="CN104" s="5"/>
      <c r="CO104" s="5"/>
      <c r="CP104" s="5"/>
      <c r="CQ104" s="5"/>
      <c r="CR104" s="5">
        <v>1</v>
      </c>
      <c r="CS104" s="5">
        <v>1</v>
      </c>
      <c r="CT104" s="5"/>
      <c r="CU104" s="5"/>
      <c r="CV104" s="5"/>
      <c r="CW104" s="5"/>
      <c r="CX104" s="5">
        <v>1</v>
      </c>
      <c r="CY104" s="5">
        <v>1</v>
      </c>
      <c r="CZ104" s="5"/>
      <c r="DA104" s="5">
        <v>1</v>
      </c>
      <c r="DB104" s="5">
        <v>1</v>
      </c>
    </row>
    <row r="105" spans="1:106" x14ac:dyDescent="0.25">
      <c r="A105" s="2" t="s">
        <v>11</v>
      </c>
      <c r="B105" s="9">
        <f>SUM(G105:DB105)</f>
        <v>13.5</v>
      </c>
      <c r="C105" s="9"/>
      <c r="D105" s="13"/>
      <c r="E105" s="13"/>
      <c r="F105" s="9"/>
      <c r="G105" s="5"/>
      <c r="H105" s="5"/>
      <c r="I105" s="5"/>
      <c r="J105" s="5">
        <v>1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>
        <v>1</v>
      </c>
      <c r="AD105" s="5"/>
      <c r="AE105" s="5"/>
      <c r="AF105" s="5"/>
      <c r="AG105" s="5"/>
      <c r="AH105" s="5"/>
      <c r="AI105" s="5"/>
      <c r="AJ105" s="5">
        <v>0.5</v>
      </c>
      <c r="AK105" s="5"/>
      <c r="AL105" s="5"/>
      <c r="AM105" s="5">
        <v>1</v>
      </c>
      <c r="AN105" s="5"/>
      <c r="AO105" s="5"/>
      <c r="AP105" s="5">
        <v>1</v>
      </c>
      <c r="AQ105" s="5"/>
      <c r="AR105" s="5"/>
      <c r="AS105" s="5"/>
      <c r="AT105" s="5">
        <v>1</v>
      </c>
      <c r="AU105" s="5">
        <v>1</v>
      </c>
      <c r="AV105" s="5">
        <v>1</v>
      </c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>
        <v>1</v>
      </c>
      <c r="BK105" s="5"/>
      <c r="BL105" s="5"/>
      <c r="BM105" s="5"/>
      <c r="BN105" s="5"/>
      <c r="BO105" s="5"/>
      <c r="BP105" s="5"/>
      <c r="BQ105" s="5"/>
      <c r="BR105" s="5">
        <v>1</v>
      </c>
      <c r="BS105" s="5"/>
      <c r="BT105" s="5"/>
      <c r="BU105" s="5"/>
      <c r="BV105" s="15">
        <v>0.5</v>
      </c>
      <c r="BW105" s="5"/>
      <c r="BX105" s="5">
        <v>1</v>
      </c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>
        <v>1</v>
      </c>
      <c r="CL105" s="5"/>
      <c r="CM105" s="5"/>
      <c r="CN105" s="5">
        <v>1</v>
      </c>
      <c r="CO105" s="5"/>
      <c r="CP105" s="5">
        <v>0.5</v>
      </c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</row>
    <row r="106" spans="1:106" x14ac:dyDescent="0.25">
      <c r="A106" s="2" t="s">
        <v>12</v>
      </c>
      <c r="B106" s="9">
        <f>SUM(G106:DB106)</f>
        <v>12.833333333333334</v>
      </c>
      <c r="C106" s="9"/>
      <c r="D106" s="13"/>
      <c r="E106" s="13"/>
      <c r="F106" s="9"/>
      <c r="G106" s="5"/>
      <c r="H106" s="5">
        <v>0.5</v>
      </c>
      <c r="I106" s="5"/>
      <c r="J106" s="5"/>
      <c r="K106" s="5"/>
      <c r="L106" s="5"/>
      <c r="M106" s="5"/>
      <c r="N106" s="5"/>
      <c r="O106" s="5"/>
      <c r="P106" s="5"/>
      <c r="Q106" s="5"/>
      <c r="R106" s="5">
        <v>1</v>
      </c>
      <c r="S106" s="5">
        <v>0.5</v>
      </c>
      <c r="T106" s="5"/>
      <c r="U106" s="5"/>
      <c r="V106" s="5">
        <v>1</v>
      </c>
      <c r="W106" s="5"/>
      <c r="X106" s="5"/>
      <c r="Y106" s="5"/>
      <c r="Z106" s="5"/>
      <c r="AA106" s="5"/>
      <c r="AB106" s="5"/>
      <c r="AC106" s="5"/>
      <c r="AD106" s="15">
        <v>0.5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15">
        <f>2/3</f>
        <v>0.66666666666666663</v>
      </c>
      <c r="BD106" s="5"/>
      <c r="BE106" s="5"/>
      <c r="BF106" s="5"/>
      <c r="BG106" s="5"/>
      <c r="BH106" s="5"/>
      <c r="BI106" s="5"/>
      <c r="BJ106" s="5"/>
      <c r="BK106" s="15">
        <v>0.66666666666666663</v>
      </c>
      <c r="BL106" s="5">
        <v>1</v>
      </c>
      <c r="BM106" s="5"/>
      <c r="BN106" s="5"/>
      <c r="BO106" s="5"/>
      <c r="BP106" s="15">
        <v>0.5</v>
      </c>
      <c r="BQ106" s="5">
        <v>1</v>
      </c>
      <c r="BR106" s="5"/>
      <c r="BS106" s="5"/>
      <c r="BT106" s="5"/>
      <c r="BU106" s="5"/>
      <c r="BV106" s="15">
        <v>0.5</v>
      </c>
      <c r="BW106" s="5"/>
      <c r="BX106" s="5"/>
      <c r="BY106" s="5"/>
      <c r="BZ106" s="5"/>
      <c r="CA106" s="5"/>
      <c r="CB106" s="5"/>
      <c r="CC106" s="5"/>
      <c r="CD106" s="5">
        <v>1</v>
      </c>
      <c r="CE106" s="5"/>
      <c r="CF106" s="15">
        <v>0.5</v>
      </c>
      <c r="CG106" s="5"/>
      <c r="CH106" s="5"/>
      <c r="CI106" s="5">
        <v>1</v>
      </c>
      <c r="CJ106" s="5"/>
      <c r="CK106" s="5"/>
      <c r="CL106" s="5">
        <v>1</v>
      </c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>
        <v>1</v>
      </c>
      <c r="CX106" s="5">
        <v>0.5</v>
      </c>
      <c r="CY106" s="5"/>
      <c r="CZ106" s="5"/>
      <c r="DA106" s="5"/>
      <c r="DB106" s="5"/>
    </row>
    <row r="107" spans="1:106" x14ac:dyDescent="0.25">
      <c r="G107" s="5">
        <f>SUM(G84:G106)</f>
        <v>2</v>
      </c>
      <c r="H107" s="5">
        <f t="shared" ref="H107:BS107" si="24">SUM(H84:H106)</f>
        <v>2</v>
      </c>
      <c r="I107" s="5">
        <f t="shared" si="24"/>
        <v>2</v>
      </c>
      <c r="J107" s="5">
        <f t="shared" si="24"/>
        <v>2</v>
      </c>
      <c r="K107" s="5">
        <f t="shared" si="24"/>
        <v>2</v>
      </c>
      <c r="L107" s="5">
        <f t="shared" si="24"/>
        <v>2</v>
      </c>
      <c r="M107" s="5">
        <f t="shared" si="24"/>
        <v>2</v>
      </c>
      <c r="N107" s="5">
        <f t="shared" si="24"/>
        <v>2</v>
      </c>
      <c r="O107" s="5">
        <f t="shared" si="24"/>
        <v>2</v>
      </c>
      <c r="P107" s="5">
        <f t="shared" si="24"/>
        <v>2</v>
      </c>
      <c r="Q107" s="5">
        <f t="shared" si="24"/>
        <v>2</v>
      </c>
      <c r="R107" s="5">
        <f t="shared" si="24"/>
        <v>2</v>
      </c>
      <c r="S107" s="5">
        <f t="shared" si="24"/>
        <v>2</v>
      </c>
      <c r="T107" s="5">
        <f t="shared" si="24"/>
        <v>2</v>
      </c>
      <c r="U107" s="5">
        <f t="shared" si="24"/>
        <v>2</v>
      </c>
      <c r="V107" s="5">
        <f t="shared" si="24"/>
        <v>2</v>
      </c>
      <c r="W107" s="5">
        <f t="shared" si="24"/>
        <v>2</v>
      </c>
      <c r="X107" s="5">
        <f t="shared" si="24"/>
        <v>2</v>
      </c>
      <c r="Y107" s="5">
        <f t="shared" si="24"/>
        <v>2</v>
      </c>
      <c r="Z107" s="5">
        <f t="shared" si="24"/>
        <v>2</v>
      </c>
      <c r="AA107" s="5">
        <f t="shared" si="24"/>
        <v>2</v>
      </c>
      <c r="AB107" s="5">
        <f t="shared" si="24"/>
        <v>2</v>
      </c>
      <c r="AC107" s="5">
        <f t="shared" si="24"/>
        <v>2</v>
      </c>
      <c r="AD107" s="5">
        <f t="shared" si="24"/>
        <v>2</v>
      </c>
      <c r="AE107" s="5">
        <f t="shared" si="24"/>
        <v>2</v>
      </c>
      <c r="AF107" s="5">
        <f t="shared" si="24"/>
        <v>2</v>
      </c>
      <c r="AG107" s="5">
        <f t="shared" si="24"/>
        <v>2</v>
      </c>
      <c r="AH107" s="5">
        <f t="shared" si="24"/>
        <v>2</v>
      </c>
      <c r="AI107" s="5">
        <f t="shared" si="24"/>
        <v>2</v>
      </c>
      <c r="AJ107" s="5">
        <f t="shared" si="24"/>
        <v>2</v>
      </c>
      <c r="AK107" s="5">
        <f t="shared" si="24"/>
        <v>2</v>
      </c>
      <c r="AL107" s="5">
        <f t="shared" si="24"/>
        <v>2</v>
      </c>
      <c r="AM107" s="5">
        <f t="shared" si="24"/>
        <v>2</v>
      </c>
      <c r="AN107" s="5">
        <f t="shared" si="24"/>
        <v>2</v>
      </c>
      <c r="AO107" s="5">
        <f t="shared" si="24"/>
        <v>2</v>
      </c>
      <c r="AP107" s="5">
        <f t="shared" si="24"/>
        <v>2</v>
      </c>
      <c r="AQ107" s="5">
        <f t="shared" si="24"/>
        <v>2</v>
      </c>
      <c r="AR107" s="5">
        <f t="shared" si="24"/>
        <v>2</v>
      </c>
      <c r="AS107" s="5">
        <f t="shared" si="24"/>
        <v>2</v>
      </c>
      <c r="AT107" s="5">
        <f t="shared" si="24"/>
        <v>2</v>
      </c>
      <c r="AU107" s="5">
        <f t="shared" si="24"/>
        <v>2</v>
      </c>
      <c r="AV107" s="5">
        <f t="shared" si="24"/>
        <v>2</v>
      </c>
      <c r="AW107" s="5">
        <f t="shared" si="24"/>
        <v>2</v>
      </c>
      <c r="AX107" s="5">
        <f t="shared" si="24"/>
        <v>2</v>
      </c>
      <c r="AY107" s="5">
        <f t="shared" si="24"/>
        <v>2</v>
      </c>
      <c r="AZ107" s="5">
        <f t="shared" si="24"/>
        <v>2</v>
      </c>
      <c r="BA107" s="5">
        <f t="shared" si="24"/>
        <v>2</v>
      </c>
      <c r="BB107" s="5">
        <f t="shared" si="24"/>
        <v>2</v>
      </c>
      <c r="BC107" s="5">
        <f t="shared" si="24"/>
        <v>2</v>
      </c>
      <c r="BD107" s="5">
        <f t="shared" si="24"/>
        <v>2</v>
      </c>
      <c r="BE107" s="5">
        <f t="shared" si="24"/>
        <v>2</v>
      </c>
      <c r="BF107" s="5">
        <f t="shared" si="24"/>
        <v>2</v>
      </c>
      <c r="BG107" s="5">
        <f t="shared" si="24"/>
        <v>2</v>
      </c>
      <c r="BH107" s="5">
        <f t="shared" si="24"/>
        <v>2</v>
      </c>
      <c r="BI107" s="5">
        <f t="shared" si="24"/>
        <v>2</v>
      </c>
      <c r="BJ107" s="5">
        <f t="shared" si="24"/>
        <v>2</v>
      </c>
      <c r="BK107" s="5">
        <f t="shared" si="24"/>
        <v>2</v>
      </c>
      <c r="BL107" s="5">
        <f t="shared" si="24"/>
        <v>2</v>
      </c>
      <c r="BM107" s="5">
        <f t="shared" si="24"/>
        <v>2</v>
      </c>
      <c r="BN107" s="5">
        <f t="shared" si="24"/>
        <v>2</v>
      </c>
      <c r="BO107" s="5">
        <f t="shared" si="24"/>
        <v>1.9999999999999998</v>
      </c>
      <c r="BP107" s="5">
        <f t="shared" si="24"/>
        <v>2</v>
      </c>
      <c r="BQ107" s="5">
        <f t="shared" si="24"/>
        <v>2</v>
      </c>
      <c r="BR107" s="5">
        <f t="shared" si="24"/>
        <v>2</v>
      </c>
      <c r="BS107" s="5">
        <f t="shared" si="24"/>
        <v>2</v>
      </c>
      <c r="BT107" s="5">
        <f t="shared" ref="BT107:DB107" si="25">SUM(BT84:BT106)</f>
        <v>2</v>
      </c>
      <c r="BU107" s="5">
        <f t="shared" si="25"/>
        <v>2</v>
      </c>
      <c r="BV107" s="5">
        <f t="shared" si="25"/>
        <v>2</v>
      </c>
      <c r="BW107" s="5">
        <f t="shared" si="25"/>
        <v>2</v>
      </c>
      <c r="BX107" s="5">
        <f t="shared" si="25"/>
        <v>2</v>
      </c>
      <c r="BY107" s="5">
        <f t="shared" si="25"/>
        <v>2</v>
      </c>
      <c r="BZ107" s="5">
        <f t="shared" si="25"/>
        <v>2</v>
      </c>
      <c r="CA107" s="5">
        <f t="shared" si="25"/>
        <v>2</v>
      </c>
      <c r="CB107" s="5">
        <f t="shared" si="25"/>
        <v>2</v>
      </c>
      <c r="CC107" s="5">
        <f t="shared" si="25"/>
        <v>2</v>
      </c>
      <c r="CD107" s="5">
        <f t="shared" si="25"/>
        <v>2</v>
      </c>
      <c r="CE107" s="5">
        <f t="shared" si="25"/>
        <v>2</v>
      </c>
      <c r="CF107" s="5">
        <f t="shared" si="25"/>
        <v>2</v>
      </c>
      <c r="CG107" s="5">
        <f t="shared" si="25"/>
        <v>2</v>
      </c>
      <c r="CH107" s="5">
        <f t="shared" si="25"/>
        <v>2</v>
      </c>
      <c r="CI107" s="5">
        <f t="shared" si="25"/>
        <v>2</v>
      </c>
      <c r="CJ107" s="5">
        <f t="shared" si="25"/>
        <v>2</v>
      </c>
      <c r="CK107" s="5">
        <f t="shared" si="25"/>
        <v>2</v>
      </c>
      <c r="CL107" s="5">
        <f t="shared" si="25"/>
        <v>2</v>
      </c>
      <c r="CM107" s="5">
        <f t="shared" si="25"/>
        <v>2</v>
      </c>
      <c r="CN107" s="5">
        <f t="shared" si="25"/>
        <v>2</v>
      </c>
      <c r="CO107" s="5">
        <f t="shared" si="25"/>
        <v>2</v>
      </c>
      <c r="CP107" s="5">
        <f t="shared" si="25"/>
        <v>2</v>
      </c>
      <c r="CQ107" s="5">
        <f t="shared" si="25"/>
        <v>2</v>
      </c>
      <c r="CR107" s="5">
        <f t="shared" si="25"/>
        <v>2</v>
      </c>
      <c r="CS107" s="5">
        <f t="shared" si="25"/>
        <v>2</v>
      </c>
      <c r="CT107" s="5">
        <f t="shared" si="25"/>
        <v>2</v>
      </c>
      <c r="CU107" s="5">
        <f t="shared" si="25"/>
        <v>2</v>
      </c>
      <c r="CV107" s="5">
        <f t="shared" si="25"/>
        <v>2</v>
      </c>
      <c r="CW107" s="5">
        <f t="shared" si="25"/>
        <v>2</v>
      </c>
      <c r="CX107" s="5">
        <f t="shared" si="25"/>
        <v>2</v>
      </c>
      <c r="CY107" s="5">
        <f t="shared" si="25"/>
        <v>2</v>
      </c>
      <c r="CZ107" s="5">
        <f t="shared" si="25"/>
        <v>2</v>
      </c>
      <c r="DA107" s="5">
        <f t="shared" si="25"/>
        <v>2</v>
      </c>
      <c r="DB107" s="5">
        <f t="shared" si="25"/>
        <v>2</v>
      </c>
    </row>
    <row r="109" spans="1:106" x14ac:dyDescent="0.25">
      <c r="A109" s="4" t="s">
        <v>36</v>
      </c>
      <c r="B109" s="7" t="s">
        <v>38</v>
      </c>
      <c r="C109" s="7" t="s">
        <v>39</v>
      </c>
      <c r="D109" s="11" t="s">
        <v>40</v>
      </c>
      <c r="E109" s="11" t="s">
        <v>41</v>
      </c>
      <c r="F109" s="7" t="s">
        <v>42</v>
      </c>
      <c r="G109" s="4">
        <v>1</v>
      </c>
      <c r="H109" s="4">
        <v>2</v>
      </c>
      <c r="I109" s="4">
        <v>3</v>
      </c>
      <c r="J109" s="4">
        <v>4</v>
      </c>
      <c r="K109" s="4">
        <v>5</v>
      </c>
      <c r="L109" s="4">
        <v>6</v>
      </c>
      <c r="M109" s="4">
        <v>7</v>
      </c>
      <c r="N109" s="4">
        <v>8</v>
      </c>
      <c r="O109" s="4">
        <v>9</v>
      </c>
      <c r="P109" s="4">
        <v>10</v>
      </c>
      <c r="Q109" s="4">
        <v>11</v>
      </c>
      <c r="R109" s="4">
        <v>12</v>
      </c>
      <c r="S109" s="4">
        <v>13</v>
      </c>
      <c r="T109" s="4">
        <v>14</v>
      </c>
      <c r="U109" s="4">
        <v>15</v>
      </c>
      <c r="V109" s="4">
        <v>16</v>
      </c>
      <c r="W109" s="4">
        <v>17</v>
      </c>
      <c r="X109" s="4">
        <v>18</v>
      </c>
      <c r="Y109" s="4">
        <v>19</v>
      </c>
      <c r="Z109" s="4">
        <v>20</v>
      </c>
      <c r="AA109" s="4">
        <v>21</v>
      </c>
      <c r="AB109" s="4">
        <v>22</v>
      </c>
      <c r="AC109" s="4">
        <v>23</v>
      </c>
      <c r="AD109" s="4">
        <v>24</v>
      </c>
      <c r="AE109" s="4">
        <v>25</v>
      </c>
      <c r="AF109" s="4">
        <v>26</v>
      </c>
      <c r="AG109" s="4">
        <v>27</v>
      </c>
      <c r="AH109" s="4">
        <v>28</v>
      </c>
      <c r="AI109" s="4">
        <v>29</v>
      </c>
      <c r="AJ109" s="4">
        <v>30</v>
      </c>
      <c r="AK109" s="4">
        <v>31</v>
      </c>
      <c r="AL109" s="4">
        <v>32</v>
      </c>
      <c r="AM109" s="4">
        <v>33</v>
      </c>
      <c r="AN109" s="4">
        <v>34</v>
      </c>
      <c r="AO109" s="4">
        <v>35</v>
      </c>
      <c r="AP109" s="4">
        <v>36</v>
      </c>
      <c r="AQ109" s="4">
        <v>37</v>
      </c>
      <c r="AR109" s="4">
        <v>38</v>
      </c>
      <c r="AS109" s="4">
        <v>39</v>
      </c>
      <c r="AT109" s="4">
        <v>40</v>
      </c>
      <c r="AU109" s="4">
        <v>41</v>
      </c>
      <c r="AV109" s="4">
        <v>42</v>
      </c>
      <c r="AW109" s="4">
        <v>43</v>
      </c>
      <c r="AX109" s="4">
        <v>44</v>
      </c>
      <c r="AY109" s="4">
        <v>45</v>
      </c>
      <c r="AZ109" s="4">
        <v>46</v>
      </c>
      <c r="BA109" s="4">
        <v>47</v>
      </c>
      <c r="BB109" s="4">
        <v>48</v>
      </c>
      <c r="BC109" s="4">
        <v>49</v>
      </c>
      <c r="BD109" s="4">
        <v>50</v>
      </c>
      <c r="BE109" s="4">
        <v>51</v>
      </c>
      <c r="BF109" s="4">
        <v>52</v>
      </c>
      <c r="BG109" s="4">
        <v>53</v>
      </c>
      <c r="BH109" s="4">
        <v>54</v>
      </c>
      <c r="BI109" s="4">
        <v>55</v>
      </c>
      <c r="BJ109" s="4">
        <v>56</v>
      </c>
      <c r="BK109" s="4">
        <v>57</v>
      </c>
      <c r="BL109" s="4">
        <v>58</v>
      </c>
      <c r="BM109" s="4">
        <v>59</v>
      </c>
      <c r="BN109" s="4">
        <v>60</v>
      </c>
      <c r="BO109" s="4">
        <v>61</v>
      </c>
      <c r="BP109" s="4">
        <v>62</v>
      </c>
      <c r="BQ109" s="4">
        <v>63</v>
      </c>
      <c r="BR109" s="4">
        <v>64</v>
      </c>
      <c r="BS109" s="4">
        <v>65</v>
      </c>
      <c r="BT109" s="4">
        <v>66</v>
      </c>
      <c r="BU109" s="4">
        <v>67</v>
      </c>
      <c r="BV109" s="4">
        <v>68</v>
      </c>
      <c r="BW109" s="4">
        <v>69</v>
      </c>
      <c r="BX109" s="4">
        <v>70</v>
      </c>
      <c r="BY109" s="4">
        <v>71</v>
      </c>
      <c r="BZ109" s="4">
        <v>72</v>
      </c>
      <c r="CA109" s="4">
        <v>73</v>
      </c>
      <c r="CB109" s="4">
        <v>74</v>
      </c>
      <c r="CC109" s="4">
        <v>75</v>
      </c>
      <c r="CD109" s="4">
        <v>76</v>
      </c>
      <c r="CE109" s="4">
        <v>77</v>
      </c>
      <c r="CF109" s="4">
        <v>78</v>
      </c>
      <c r="CG109" s="4">
        <v>79</v>
      </c>
      <c r="CH109" s="4">
        <v>80</v>
      </c>
      <c r="CI109" s="4">
        <v>81</v>
      </c>
      <c r="CJ109" s="4">
        <v>82</v>
      </c>
      <c r="CK109" s="4">
        <v>83</v>
      </c>
      <c r="CL109" s="4">
        <v>84</v>
      </c>
      <c r="CM109" s="4">
        <v>85</v>
      </c>
      <c r="CN109" s="4">
        <v>86</v>
      </c>
      <c r="CO109" s="4">
        <v>87</v>
      </c>
      <c r="CP109" s="4">
        <v>88</v>
      </c>
      <c r="CQ109" s="4">
        <v>89</v>
      </c>
      <c r="CR109" s="4">
        <v>90</v>
      </c>
      <c r="CS109" s="4">
        <v>91</v>
      </c>
      <c r="CT109" s="4">
        <v>92</v>
      </c>
      <c r="CU109" s="4">
        <v>93</v>
      </c>
      <c r="CV109" s="4">
        <v>94</v>
      </c>
      <c r="CW109" s="4">
        <v>95</v>
      </c>
      <c r="CX109" s="4">
        <v>96</v>
      </c>
      <c r="CY109" s="4">
        <v>97</v>
      </c>
      <c r="CZ109" s="4">
        <v>98</v>
      </c>
      <c r="DA109" s="4">
        <v>99</v>
      </c>
      <c r="DB109" s="4">
        <v>100</v>
      </c>
    </row>
    <row r="110" spans="1:106" x14ac:dyDescent="0.25">
      <c r="A110" s="3" t="s">
        <v>32</v>
      </c>
      <c r="B110" s="8"/>
      <c r="C110" s="8"/>
      <c r="D110" s="12"/>
      <c r="E110" s="12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</row>
    <row r="111" spans="1:106" x14ac:dyDescent="0.25">
      <c r="A111" s="2" t="s">
        <v>21</v>
      </c>
      <c r="B111" s="9">
        <f>AVERAGE($G111:$DB111)</f>
        <v>970.92</v>
      </c>
      <c r="C111" s="9">
        <f>MEDIAN($G111:$DB111)</f>
        <v>970</v>
      </c>
      <c r="D111" s="13">
        <f>MAX($G111:$DB111)</f>
        <v>1091</v>
      </c>
      <c r="E111" s="13">
        <f>MIN($G111:$DB111)</f>
        <v>883</v>
      </c>
      <c r="F111" s="9">
        <f>STDEV($G111:$DB111)</f>
        <v>44.649177942142352</v>
      </c>
      <c r="G111" s="5">
        <v>1012</v>
      </c>
      <c r="H111" s="5">
        <v>996</v>
      </c>
      <c r="I111" s="5">
        <v>971</v>
      </c>
      <c r="J111" s="5">
        <v>898</v>
      </c>
      <c r="K111" s="5">
        <v>989</v>
      </c>
      <c r="L111" s="5">
        <v>921</v>
      </c>
      <c r="M111" s="5">
        <v>1030</v>
      </c>
      <c r="N111" s="5">
        <v>981</v>
      </c>
      <c r="O111" s="5">
        <v>988</v>
      </c>
      <c r="P111" s="5">
        <v>982</v>
      </c>
      <c r="Q111" s="5">
        <v>1048</v>
      </c>
      <c r="R111" s="5">
        <v>947</v>
      </c>
      <c r="S111" s="5">
        <v>907</v>
      </c>
      <c r="T111" s="5">
        <v>989</v>
      </c>
      <c r="U111" s="5">
        <v>909</v>
      </c>
      <c r="V111" s="5">
        <v>908</v>
      </c>
      <c r="W111" s="5">
        <v>950</v>
      </c>
      <c r="X111" s="5">
        <v>1031</v>
      </c>
      <c r="Y111" s="5">
        <v>970</v>
      </c>
      <c r="Z111" s="5">
        <v>969</v>
      </c>
      <c r="AA111" s="5">
        <v>972</v>
      </c>
      <c r="AB111" s="5">
        <v>895</v>
      </c>
      <c r="AC111" s="5">
        <v>1021</v>
      </c>
      <c r="AD111" s="5">
        <v>920</v>
      </c>
      <c r="AE111" s="5">
        <v>960</v>
      </c>
      <c r="AF111" s="5">
        <v>1007</v>
      </c>
      <c r="AG111" s="5">
        <v>1051</v>
      </c>
      <c r="AH111" s="5">
        <v>998</v>
      </c>
      <c r="AI111" s="5">
        <v>924</v>
      </c>
      <c r="AJ111" s="5">
        <v>960</v>
      </c>
      <c r="AK111" s="5">
        <v>921</v>
      </c>
      <c r="AL111" s="5">
        <v>982</v>
      </c>
      <c r="AM111" s="5">
        <v>1013</v>
      </c>
      <c r="AN111" s="5">
        <v>1026</v>
      </c>
      <c r="AO111" s="5">
        <v>950</v>
      </c>
      <c r="AP111" s="5">
        <v>1008</v>
      </c>
      <c r="AQ111" s="5">
        <v>971</v>
      </c>
      <c r="AR111" s="5">
        <v>1034</v>
      </c>
      <c r="AS111" s="5">
        <v>1001</v>
      </c>
      <c r="AT111" s="5">
        <v>986</v>
      </c>
      <c r="AU111" s="5">
        <v>1091</v>
      </c>
      <c r="AV111" s="5">
        <v>1013</v>
      </c>
      <c r="AW111" s="5">
        <v>883</v>
      </c>
      <c r="AX111" s="5">
        <v>994</v>
      </c>
      <c r="AY111" s="5">
        <v>963</v>
      </c>
      <c r="AZ111" s="5">
        <v>1043</v>
      </c>
      <c r="BA111" s="5">
        <v>979</v>
      </c>
      <c r="BB111" s="5">
        <v>1065</v>
      </c>
      <c r="BC111" s="5">
        <v>963</v>
      </c>
      <c r="BD111" s="5">
        <v>944</v>
      </c>
      <c r="BE111" s="5">
        <v>934</v>
      </c>
      <c r="BF111" s="5">
        <v>991</v>
      </c>
      <c r="BG111" s="5">
        <v>955</v>
      </c>
      <c r="BH111" s="5">
        <v>1030</v>
      </c>
      <c r="BI111" s="5">
        <v>1041</v>
      </c>
      <c r="BJ111" s="5">
        <v>910</v>
      </c>
      <c r="BK111" s="5">
        <v>997</v>
      </c>
      <c r="BL111" s="5">
        <v>903</v>
      </c>
      <c r="BM111" s="5">
        <v>954</v>
      </c>
      <c r="BN111" s="5">
        <v>908</v>
      </c>
      <c r="BO111" s="5">
        <v>1040</v>
      </c>
      <c r="BP111" s="5">
        <v>1016</v>
      </c>
      <c r="BQ111" s="5">
        <v>986</v>
      </c>
      <c r="BR111" s="5">
        <v>914</v>
      </c>
      <c r="BS111" s="5">
        <v>931</v>
      </c>
      <c r="BT111" s="5">
        <v>925</v>
      </c>
      <c r="BU111" s="5">
        <v>1014</v>
      </c>
      <c r="BV111" s="5">
        <v>1021</v>
      </c>
      <c r="BW111" s="5">
        <v>968</v>
      </c>
      <c r="BX111" s="5">
        <v>1005</v>
      </c>
      <c r="BY111" s="5">
        <v>979</v>
      </c>
      <c r="BZ111" s="5">
        <v>939</v>
      </c>
      <c r="CA111" s="5">
        <v>956</v>
      </c>
      <c r="CB111" s="5">
        <v>1061</v>
      </c>
      <c r="CC111" s="5">
        <v>913</v>
      </c>
      <c r="CD111" s="5">
        <v>994</v>
      </c>
      <c r="CE111" s="5">
        <v>916</v>
      </c>
      <c r="CF111" s="5">
        <v>959</v>
      </c>
      <c r="CG111" s="5">
        <v>957</v>
      </c>
      <c r="CH111" s="5">
        <v>942</v>
      </c>
      <c r="CI111" s="5">
        <v>957</v>
      </c>
      <c r="CJ111" s="5">
        <v>982</v>
      </c>
      <c r="CK111" s="5">
        <v>920</v>
      </c>
      <c r="CL111" s="5">
        <v>929</v>
      </c>
      <c r="CM111" s="5">
        <v>968</v>
      </c>
      <c r="CN111" s="5">
        <v>990</v>
      </c>
      <c r="CO111" s="5">
        <v>961</v>
      </c>
      <c r="CP111" s="5">
        <v>997</v>
      </c>
      <c r="CQ111" s="5">
        <v>931</v>
      </c>
      <c r="CR111" s="5">
        <v>937</v>
      </c>
      <c r="CS111" s="5">
        <v>984</v>
      </c>
      <c r="CT111" s="5">
        <v>951</v>
      </c>
      <c r="CU111" s="5">
        <v>913</v>
      </c>
      <c r="CV111" s="5">
        <v>1017</v>
      </c>
      <c r="CW111" s="5">
        <v>959</v>
      </c>
      <c r="CX111" s="5">
        <v>905</v>
      </c>
      <c r="CY111" s="5">
        <v>944</v>
      </c>
      <c r="CZ111" s="5">
        <v>977</v>
      </c>
      <c r="DA111" s="5">
        <v>907</v>
      </c>
      <c r="DB111" s="5">
        <v>970</v>
      </c>
    </row>
    <row r="112" spans="1:106" x14ac:dyDescent="0.25">
      <c r="A112" s="2" t="s">
        <v>19</v>
      </c>
      <c r="B112" s="9">
        <f t="shared" ref="B112:B115" si="26">AVERAGE($G112:$DB112)</f>
        <v>1046.08</v>
      </c>
      <c r="C112" s="9">
        <f t="shared" ref="C112:C115" si="27">MEDIAN($G112:$DB112)</f>
        <v>1048.5</v>
      </c>
      <c r="D112" s="13">
        <f t="shared" ref="D112:D115" si="28">MAX($G112:$DB112)</f>
        <v>1155</v>
      </c>
      <c r="E112" s="13">
        <f t="shared" ref="E112:E115" si="29">MIN($G112:$DB112)</f>
        <v>927</v>
      </c>
      <c r="F112" s="9">
        <f t="shared" ref="F112:F115" si="30">STDEV($G112:$DB112)</f>
        <v>48.508809988131503</v>
      </c>
      <c r="G112" s="5">
        <v>1028</v>
      </c>
      <c r="H112" s="5">
        <v>1046</v>
      </c>
      <c r="I112" s="5">
        <v>1070</v>
      </c>
      <c r="J112" s="5">
        <v>1068</v>
      </c>
      <c r="K112" s="5">
        <v>975</v>
      </c>
      <c r="L112" s="5">
        <v>1063</v>
      </c>
      <c r="M112" s="5">
        <v>1052</v>
      </c>
      <c r="N112" s="5">
        <v>1042</v>
      </c>
      <c r="O112" s="5">
        <v>941</v>
      </c>
      <c r="P112" s="5">
        <v>1037</v>
      </c>
      <c r="Q112" s="5">
        <v>1130</v>
      </c>
      <c r="R112" s="5">
        <v>1061</v>
      </c>
      <c r="S112" s="5">
        <v>1024</v>
      </c>
      <c r="T112" s="5">
        <v>1085</v>
      </c>
      <c r="U112" s="5">
        <v>1146</v>
      </c>
      <c r="V112" s="5">
        <v>1036</v>
      </c>
      <c r="W112" s="5">
        <v>1082</v>
      </c>
      <c r="X112" s="5">
        <v>1033</v>
      </c>
      <c r="Y112" s="5">
        <v>976</v>
      </c>
      <c r="Z112" s="5">
        <v>997</v>
      </c>
      <c r="AA112" s="5">
        <v>1048</v>
      </c>
      <c r="AB112" s="5">
        <v>989</v>
      </c>
      <c r="AC112" s="5">
        <v>957</v>
      </c>
      <c r="AD112" s="5">
        <v>1080</v>
      </c>
      <c r="AE112" s="5">
        <v>992</v>
      </c>
      <c r="AF112" s="5">
        <v>1088</v>
      </c>
      <c r="AG112" s="5">
        <v>986</v>
      </c>
      <c r="AH112" s="5">
        <v>1024</v>
      </c>
      <c r="AI112" s="5">
        <v>1047</v>
      </c>
      <c r="AJ112" s="5">
        <v>1101</v>
      </c>
      <c r="AK112" s="5">
        <v>1055</v>
      </c>
      <c r="AL112" s="5">
        <v>1079</v>
      </c>
      <c r="AM112" s="5">
        <v>1075</v>
      </c>
      <c r="AN112" s="5">
        <v>1085</v>
      </c>
      <c r="AO112" s="5">
        <v>1064</v>
      </c>
      <c r="AP112" s="5">
        <v>1044</v>
      </c>
      <c r="AQ112" s="5">
        <v>1037</v>
      </c>
      <c r="AR112" s="5">
        <v>1016</v>
      </c>
      <c r="AS112" s="5">
        <v>948</v>
      </c>
      <c r="AT112" s="5">
        <v>1102</v>
      </c>
      <c r="AU112" s="5">
        <v>1045</v>
      </c>
      <c r="AV112" s="5">
        <v>1029</v>
      </c>
      <c r="AW112" s="5">
        <v>1049</v>
      </c>
      <c r="AX112" s="5">
        <v>1025</v>
      </c>
      <c r="AY112" s="5">
        <v>982</v>
      </c>
      <c r="AZ112" s="5">
        <v>1050</v>
      </c>
      <c r="BA112" s="5">
        <v>972</v>
      </c>
      <c r="BB112" s="5">
        <v>1020</v>
      </c>
      <c r="BC112" s="5">
        <v>966</v>
      </c>
      <c r="BD112" s="5">
        <v>1020</v>
      </c>
      <c r="BE112" s="5">
        <v>1088</v>
      </c>
      <c r="BF112" s="5">
        <v>1084</v>
      </c>
      <c r="BG112" s="5">
        <v>1080</v>
      </c>
      <c r="BH112" s="5">
        <v>1049</v>
      </c>
      <c r="BI112" s="5">
        <v>1148</v>
      </c>
      <c r="BJ112" s="5">
        <v>1090</v>
      </c>
      <c r="BK112" s="5">
        <v>973</v>
      </c>
      <c r="BL112" s="5">
        <v>1087</v>
      </c>
      <c r="BM112" s="5">
        <v>1115</v>
      </c>
      <c r="BN112" s="5">
        <v>1070</v>
      </c>
      <c r="BO112" s="5">
        <v>1053</v>
      </c>
      <c r="BP112" s="5">
        <v>1036</v>
      </c>
      <c r="BQ112" s="5">
        <v>927</v>
      </c>
      <c r="BR112" s="5">
        <v>1050</v>
      </c>
      <c r="BS112" s="5">
        <v>1005</v>
      </c>
      <c r="BT112" s="5">
        <v>1150</v>
      </c>
      <c r="BU112" s="5">
        <v>1091</v>
      </c>
      <c r="BV112" s="5">
        <v>1094</v>
      </c>
      <c r="BW112" s="5">
        <v>1020</v>
      </c>
      <c r="BX112" s="5">
        <v>1079</v>
      </c>
      <c r="BY112" s="5">
        <v>989</v>
      </c>
      <c r="BZ112" s="5">
        <v>1097</v>
      </c>
      <c r="CA112" s="5">
        <v>1083</v>
      </c>
      <c r="CB112" s="5">
        <v>994</v>
      </c>
      <c r="CC112" s="5">
        <v>1088</v>
      </c>
      <c r="CD112" s="5">
        <v>1069</v>
      </c>
      <c r="CE112" s="5">
        <v>1122</v>
      </c>
      <c r="CF112" s="5">
        <v>1072</v>
      </c>
      <c r="CG112" s="5">
        <v>984</v>
      </c>
      <c r="CH112" s="5">
        <v>996</v>
      </c>
      <c r="CI112" s="5">
        <v>1071</v>
      </c>
      <c r="CJ112" s="5">
        <v>1033</v>
      </c>
      <c r="CK112" s="5">
        <v>1020</v>
      </c>
      <c r="CL112" s="5">
        <v>1104</v>
      </c>
      <c r="CM112" s="5">
        <v>988</v>
      </c>
      <c r="CN112" s="5">
        <v>980</v>
      </c>
      <c r="CO112" s="5">
        <v>1036</v>
      </c>
      <c r="CP112" s="5">
        <v>1086</v>
      </c>
      <c r="CQ112" s="5">
        <v>1097</v>
      </c>
      <c r="CR112" s="5">
        <v>1066</v>
      </c>
      <c r="CS112" s="5">
        <v>1155</v>
      </c>
      <c r="CT112" s="5">
        <v>1035</v>
      </c>
      <c r="CU112" s="5">
        <v>995</v>
      </c>
      <c r="CV112" s="5">
        <v>1059</v>
      </c>
      <c r="CW112" s="5">
        <v>1104</v>
      </c>
      <c r="CX112" s="5">
        <v>1024</v>
      </c>
      <c r="CY112" s="5">
        <v>1028</v>
      </c>
      <c r="CZ112" s="5">
        <v>996</v>
      </c>
      <c r="DA112" s="5">
        <v>1067</v>
      </c>
      <c r="DB112" s="5">
        <v>1014</v>
      </c>
    </row>
    <row r="113" spans="1:106" x14ac:dyDescent="0.25">
      <c r="A113" s="2" t="s">
        <v>20</v>
      </c>
      <c r="B113" s="9">
        <f t="shared" si="26"/>
        <v>963.97</v>
      </c>
      <c r="C113" s="9">
        <f t="shared" si="27"/>
        <v>963</v>
      </c>
      <c r="D113" s="13">
        <f t="shared" si="28"/>
        <v>1114</v>
      </c>
      <c r="E113" s="13">
        <f t="shared" si="29"/>
        <v>870</v>
      </c>
      <c r="F113" s="9">
        <f t="shared" si="30"/>
        <v>44.461867670709424</v>
      </c>
      <c r="G113" s="5">
        <v>982</v>
      </c>
      <c r="H113" s="5">
        <v>891</v>
      </c>
      <c r="I113" s="5">
        <v>970</v>
      </c>
      <c r="J113" s="5">
        <v>959</v>
      </c>
      <c r="K113" s="5">
        <v>1034</v>
      </c>
      <c r="L113" s="5">
        <v>961</v>
      </c>
      <c r="M113" s="5">
        <v>914</v>
      </c>
      <c r="N113" s="5">
        <v>895</v>
      </c>
      <c r="O113" s="5">
        <v>932</v>
      </c>
      <c r="P113" s="5">
        <v>981</v>
      </c>
      <c r="Q113" s="5">
        <v>1015</v>
      </c>
      <c r="R113" s="5">
        <v>1029</v>
      </c>
      <c r="S113" s="5">
        <v>948</v>
      </c>
      <c r="T113" s="5">
        <v>1046</v>
      </c>
      <c r="U113" s="5">
        <v>1030</v>
      </c>
      <c r="V113" s="5">
        <v>936</v>
      </c>
      <c r="W113" s="5">
        <v>982</v>
      </c>
      <c r="X113" s="5">
        <v>976</v>
      </c>
      <c r="Y113" s="5">
        <v>968</v>
      </c>
      <c r="Z113" s="5">
        <v>946</v>
      </c>
      <c r="AA113" s="5">
        <v>1003</v>
      </c>
      <c r="AB113" s="5">
        <v>971</v>
      </c>
      <c r="AC113" s="5">
        <v>994</v>
      </c>
      <c r="AD113" s="5">
        <v>1009</v>
      </c>
      <c r="AE113" s="5">
        <v>942</v>
      </c>
      <c r="AF113" s="5">
        <v>982</v>
      </c>
      <c r="AG113" s="5">
        <v>988</v>
      </c>
      <c r="AH113" s="5">
        <v>953</v>
      </c>
      <c r="AI113" s="5">
        <v>997</v>
      </c>
      <c r="AJ113" s="5">
        <v>931</v>
      </c>
      <c r="AK113" s="5">
        <v>1000</v>
      </c>
      <c r="AL113" s="5">
        <v>1020</v>
      </c>
      <c r="AM113" s="5">
        <v>953</v>
      </c>
      <c r="AN113" s="5">
        <v>940</v>
      </c>
      <c r="AO113" s="5">
        <v>916</v>
      </c>
      <c r="AP113" s="5">
        <v>969</v>
      </c>
      <c r="AQ113" s="5">
        <v>923</v>
      </c>
      <c r="AR113" s="5">
        <v>1033</v>
      </c>
      <c r="AS113" s="5">
        <v>982</v>
      </c>
      <c r="AT113" s="5">
        <v>948</v>
      </c>
      <c r="AU113" s="5">
        <v>907</v>
      </c>
      <c r="AV113" s="5">
        <v>893</v>
      </c>
      <c r="AW113" s="5">
        <v>954</v>
      </c>
      <c r="AX113" s="5">
        <v>955</v>
      </c>
      <c r="AY113" s="5">
        <v>874</v>
      </c>
      <c r="AZ113" s="5">
        <v>955</v>
      </c>
      <c r="BA113" s="5">
        <v>1020</v>
      </c>
      <c r="BB113" s="5">
        <v>975</v>
      </c>
      <c r="BC113" s="5">
        <v>913</v>
      </c>
      <c r="BD113" s="5">
        <v>939</v>
      </c>
      <c r="BE113" s="5">
        <v>933</v>
      </c>
      <c r="BF113" s="5">
        <v>1030</v>
      </c>
      <c r="BG113" s="5">
        <v>907</v>
      </c>
      <c r="BH113" s="5">
        <v>959</v>
      </c>
      <c r="BI113" s="5">
        <v>1025</v>
      </c>
      <c r="BJ113" s="5">
        <v>975</v>
      </c>
      <c r="BK113" s="5">
        <v>898</v>
      </c>
      <c r="BL113" s="5">
        <v>1034</v>
      </c>
      <c r="BM113" s="5">
        <v>999</v>
      </c>
      <c r="BN113" s="5">
        <v>973</v>
      </c>
      <c r="BO113" s="5">
        <v>922</v>
      </c>
      <c r="BP113" s="5">
        <v>964</v>
      </c>
      <c r="BQ113" s="5">
        <v>964</v>
      </c>
      <c r="BR113" s="5">
        <v>985</v>
      </c>
      <c r="BS113" s="5">
        <v>880</v>
      </c>
      <c r="BT113" s="5">
        <v>940</v>
      </c>
      <c r="BU113" s="5">
        <v>995</v>
      </c>
      <c r="BV113" s="5">
        <v>980</v>
      </c>
      <c r="BW113" s="5">
        <v>1017</v>
      </c>
      <c r="BX113" s="5">
        <v>977</v>
      </c>
      <c r="BY113" s="5">
        <v>957</v>
      </c>
      <c r="BZ113" s="5">
        <v>939</v>
      </c>
      <c r="CA113" s="5">
        <v>977</v>
      </c>
      <c r="CB113" s="5">
        <v>908</v>
      </c>
      <c r="CC113" s="5">
        <v>936</v>
      </c>
      <c r="CD113" s="5">
        <v>947</v>
      </c>
      <c r="CE113" s="5">
        <v>1052</v>
      </c>
      <c r="CF113" s="5">
        <v>969</v>
      </c>
      <c r="CG113" s="5">
        <v>1007</v>
      </c>
      <c r="CH113" s="5">
        <v>920</v>
      </c>
      <c r="CI113" s="5">
        <v>1114</v>
      </c>
      <c r="CJ113" s="5">
        <v>925</v>
      </c>
      <c r="CK113" s="5">
        <v>939</v>
      </c>
      <c r="CL113" s="5">
        <v>962</v>
      </c>
      <c r="CM113" s="5">
        <v>924</v>
      </c>
      <c r="CN113" s="5">
        <v>943</v>
      </c>
      <c r="CO113" s="5">
        <v>956</v>
      </c>
      <c r="CP113" s="5">
        <v>1011</v>
      </c>
      <c r="CQ113" s="5">
        <v>890</v>
      </c>
      <c r="CR113" s="5">
        <v>988</v>
      </c>
      <c r="CS113" s="5">
        <v>938</v>
      </c>
      <c r="CT113" s="5">
        <v>958</v>
      </c>
      <c r="CU113" s="5">
        <v>982</v>
      </c>
      <c r="CV113" s="5">
        <v>1002</v>
      </c>
      <c r="CW113" s="5">
        <v>999</v>
      </c>
      <c r="CX113" s="5">
        <v>870</v>
      </c>
      <c r="CY113" s="5">
        <v>971</v>
      </c>
      <c r="CZ113" s="5">
        <v>1002</v>
      </c>
      <c r="DA113" s="5">
        <v>875</v>
      </c>
      <c r="DB113" s="5">
        <v>945</v>
      </c>
    </row>
    <row r="114" spans="1:106" x14ac:dyDescent="0.25">
      <c r="A114" s="2" t="s">
        <v>23</v>
      </c>
      <c r="B114" s="9">
        <f t="shared" si="26"/>
        <v>773.64</v>
      </c>
      <c r="C114" s="9">
        <f t="shared" si="27"/>
        <v>774.5</v>
      </c>
      <c r="D114" s="13">
        <f t="shared" si="28"/>
        <v>858</v>
      </c>
      <c r="E114" s="13">
        <f t="shared" si="29"/>
        <v>674</v>
      </c>
      <c r="F114" s="9">
        <f t="shared" si="30"/>
        <v>40.814812126100598</v>
      </c>
      <c r="G114" s="5">
        <v>727</v>
      </c>
      <c r="H114" s="5">
        <v>806</v>
      </c>
      <c r="I114" s="5">
        <v>831</v>
      </c>
      <c r="J114" s="5">
        <v>785</v>
      </c>
      <c r="K114" s="5">
        <v>709</v>
      </c>
      <c r="L114" s="5">
        <v>770</v>
      </c>
      <c r="M114" s="5">
        <v>724</v>
      </c>
      <c r="N114" s="5">
        <v>774</v>
      </c>
      <c r="O114" s="5">
        <v>811</v>
      </c>
      <c r="P114" s="5">
        <v>778</v>
      </c>
      <c r="Q114" s="5">
        <v>722</v>
      </c>
      <c r="R114" s="5">
        <v>744</v>
      </c>
      <c r="S114" s="5">
        <v>841</v>
      </c>
      <c r="T114" s="5">
        <v>797</v>
      </c>
      <c r="U114" s="5">
        <v>763</v>
      </c>
      <c r="V114" s="5">
        <v>812</v>
      </c>
      <c r="W114" s="5">
        <v>700</v>
      </c>
      <c r="X114" s="5">
        <v>820</v>
      </c>
      <c r="Y114" s="5">
        <v>779</v>
      </c>
      <c r="Z114" s="5">
        <v>755</v>
      </c>
      <c r="AA114" s="5">
        <v>808</v>
      </c>
      <c r="AB114" s="5">
        <v>790</v>
      </c>
      <c r="AC114" s="5">
        <v>693</v>
      </c>
      <c r="AD114" s="5">
        <v>758</v>
      </c>
      <c r="AE114" s="5">
        <v>789</v>
      </c>
      <c r="AF114" s="5">
        <v>698</v>
      </c>
      <c r="AG114" s="5">
        <v>796</v>
      </c>
      <c r="AH114" s="5">
        <v>828</v>
      </c>
      <c r="AI114" s="5">
        <v>781</v>
      </c>
      <c r="AJ114" s="5">
        <v>783</v>
      </c>
      <c r="AK114" s="5">
        <v>822</v>
      </c>
      <c r="AL114" s="5">
        <v>790</v>
      </c>
      <c r="AM114" s="5">
        <v>781</v>
      </c>
      <c r="AN114" s="5">
        <v>749</v>
      </c>
      <c r="AO114" s="5">
        <v>723</v>
      </c>
      <c r="AP114" s="5">
        <v>843</v>
      </c>
      <c r="AQ114" s="5">
        <v>823</v>
      </c>
      <c r="AR114" s="5">
        <v>704</v>
      </c>
      <c r="AS114" s="5">
        <v>849</v>
      </c>
      <c r="AT114" s="5">
        <v>764</v>
      </c>
      <c r="AU114" s="5">
        <v>726</v>
      </c>
      <c r="AV114" s="5">
        <v>778</v>
      </c>
      <c r="AW114" s="5">
        <v>794</v>
      </c>
      <c r="AX114" s="5">
        <v>767</v>
      </c>
      <c r="AY114" s="5">
        <v>731</v>
      </c>
      <c r="AZ114" s="5">
        <v>780</v>
      </c>
      <c r="BA114" s="5">
        <v>803</v>
      </c>
      <c r="BB114" s="5">
        <v>735</v>
      </c>
      <c r="BC114" s="5">
        <v>760</v>
      </c>
      <c r="BD114" s="5">
        <v>854</v>
      </c>
      <c r="BE114" s="5">
        <v>774</v>
      </c>
      <c r="BF114" s="5">
        <v>853</v>
      </c>
      <c r="BG114" s="5">
        <v>742</v>
      </c>
      <c r="BH114" s="5">
        <v>769</v>
      </c>
      <c r="BI114" s="5">
        <v>750</v>
      </c>
      <c r="BJ114" s="5">
        <v>794</v>
      </c>
      <c r="BK114" s="5">
        <v>725</v>
      </c>
      <c r="BL114" s="5">
        <v>808</v>
      </c>
      <c r="BM114" s="5">
        <v>821</v>
      </c>
      <c r="BN114" s="5">
        <v>773</v>
      </c>
      <c r="BO114" s="5">
        <v>731</v>
      </c>
      <c r="BP114" s="5">
        <v>699</v>
      </c>
      <c r="BQ114" s="5">
        <v>786</v>
      </c>
      <c r="BR114" s="5">
        <v>803</v>
      </c>
      <c r="BS114" s="5">
        <v>754</v>
      </c>
      <c r="BT114" s="5">
        <v>780</v>
      </c>
      <c r="BU114" s="5">
        <v>749</v>
      </c>
      <c r="BV114" s="5">
        <v>768</v>
      </c>
      <c r="BW114" s="5">
        <v>847</v>
      </c>
      <c r="BX114" s="5">
        <v>774</v>
      </c>
      <c r="BY114" s="5">
        <v>815</v>
      </c>
      <c r="BZ114" s="5">
        <v>674</v>
      </c>
      <c r="CA114" s="5">
        <v>816</v>
      </c>
      <c r="CB114" s="5">
        <v>739</v>
      </c>
      <c r="CC114" s="5">
        <v>775</v>
      </c>
      <c r="CD114" s="5">
        <v>746</v>
      </c>
      <c r="CE114" s="5">
        <v>858</v>
      </c>
      <c r="CF114" s="5">
        <v>817</v>
      </c>
      <c r="CG114" s="5">
        <v>755</v>
      </c>
      <c r="CH114" s="5">
        <v>729</v>
      </c>
      <c r="CI114" s="5">
        <v>803</v>
      </c>
      <c r="CJ114" s="5">
        <v>772</v>
      </c>
      <c r="CK114" s="5">
        <v>766</v>
      </c>
      <c r="CL114" s="5">
        <v>770</v>
      </c>
      <c r="CM114" s="5">
        <v>758</v>
      </c>
      <c r="CN114" s="5">
        <v>776</v>
      </c>
      <c r="CO114" s="5">
        <v>792</v>
      </c>
      <c r="CP114" s="5">
        <v>845</v>
      </c>
      <c r="CQ114" s="5">
        <v>705</v>
      </c>
      <c r="CR114" s="5">
        <v>798</v>
      </c>
      <c r="CS114" s="5">
        <v>780</v>
      </c>
      <c r="CT114" s="5">
        <v>712</v>
      </c>
      <c r="CU114" s="5">
        <v>777</v>
      </c>
      <c r="CV114" s="5">
        <v>769</v>
      </c>
      <c r="CW114" s="5">
        <v>704</v>
      </c>
      <c r="CX114" s="5">
        <v>784</v>
      </c>
      <c r="CY114" s="5">
        <v>774</v>
      </c>
      <c r="CZ114" s="5">
        <v>787</v>
      </c>
      <c r="DA114" s="5">
        <v>763</v>
      </c>
      <c r="DB114" s="5">
        <v>757</v>
      </c>
    </row>
    <row r="115" spans="1:106" x14ac:dyDescent="0.25">
      <c r="A115" s="2" t="s">
        <v>22</v>
      </c>
      <c r="B115" s="9">
        <f t="shared" si="26"/>
        <v>893.64</v>
      </c>
      <c r="C115" s="9">
        <f t="shared" si="27"/>
        <v>894</v>
      </c>
      <c r="D115" s="13">
        <f t="shared" si="28"/>
        <v>990</v>
      </c>
      <c r="E115" s="13">
        <f t="shared" si="29"/>
        <v>788</v>
      </c>
      <c r="F115" s="9">
        <f t="shared" si="30"/>
        <v>42.281050988915503</v>
      </c>
      <c r="G115" s="5">
        <v>832</v>
      </c>
      <c r="H115" s="5">
        <v>878</v>
      </c>
      <c r="I115" s="5">
        <v>937</v>
      </c>
      <c r="J115" s="5">
        <v>949</v>
      </c>
      <c r="K115" s="5">
        <v>892</v>
      </c>
      <c r="L115" s="5">
        <v>905</v>
      </c>
      <c r="M115" s="5">
        <v>870</v>
      </c>
      <c r="N115" s="5">
        <v>924</v>
      </c>
      <c r="O115" s="5">
        <v>932</v>
      </c>
      <c r="P115" s="5">
        <v>938</v>
      </c>
      <c r="Q115" s="5">
        <v>858</v>
      </c>
      <c r="R115" s="5">
        <v>887</v>
      </c>
      <c r="S115" s="5">
        <v>863</v>
      </c>
      <c r="T115" s="5">
        <v>922</v>
      </c>
      <c r="U115" s="5">
        <v>989</v>
      </c>
      <c r="V115" s="5">
        <v>883</v>
      </c>
      <c r="W115" s="5">
        <v>927</v>
      </c>
      <c r="X115" s="5">
        <v>914</v>
      </c>
      <c r="Y115" s="5">
        <v>835</v>
      </c>
      <c r="Z115" s="5">
        <v>919</v>
      </c>
      <c r="AA115" s="5">
        <v>865</v>
      </c>
      <c r="AB115" s="5">
        <v>891</v>
      </c>
      <c r="AC115" s="5">
        <v>909</v>
      </c>
      <c r="AD115" s="5">
        <v>911</v>
      </c>
      <c r="AE115" s="5">
        <v>850</v>
      </c>
      <c r="AF115" s="5">
        <v>821</v>
      </c>
      <c r="AG115" s="5">
        <v>916</v>
      </c>
      <c r="AH115" s="5">
        <v>847</v>
      </c>
      <c r="AI115" s="5">
        <v>824</v>
      </c>
      <c r="AJ115" s="5">
        <v>884</v>
      </c>
      <c r="AK115" s="5">
        <v>850</v>
      </c>
      <c r="AL115" s="5">
        <v>875</v>
      </c>
      <c r="AM115" s="5">
        <v>850</v>
      </c>
      <c r="AN115" s="5">
        <v>905</v>
      </c>
      <c r="AO115" s="5">
        <v>896</v>
      </c>
      <c r="AP115" s="5">
        <v>918</v>
      </c>
      <c r="AQ115" s="5">
        <v>933</v>
      </c>
      <c r="AR115" s="5">
        <v>865</v>
      </c>
      <c r="AS115" s="5">
        <v>938</v>
      </c>
      <c r="AT115" s="5">
        <v>895</v>
      </c>
      <c r="AU115" s="5">
        <v>910</v>
      </c>
      <c r="AV115" s="5">
        <v>985</v>
      </c>
      <c r="AW115" s="5">
        <v>924</v>
      </c>
      <c r="AX115" s="5">
        <v>888</v>
      </c>
      <c r="AY115" s="5">
        <v>885</v>
      </c>
      <c r="AZ115" s="5">
        <v>891</v>
      </c>
      <c r="BA115" s="5">
        <v>893</v>
      </c>
      <c r="BB115" s="5">
        <v>800</v>
      </c>
      <c r="BC115" s="5">
        <v>905</v>
      </c>
      <c r="BD115" s="5">
        <v>961</v>
      </c>
      <c r="BE115" s="5">
        <v>886</v>
      </c>
      <c r="BF115" s="5">
        <v>904</v>
      </c>
      <c r="BG115" s="5">
        <v>907</v>
      </c>
      <c r="BH115" s="5">
        <v>913</v>
      </c>
      <c r="BI115" s="5">
        <v>881</v>
      </c>
      <c r="BJ115" s="5">
        <v>875</v>
      </c>
      <c r="BK115" s="5">
        <v>917</v>
      </c>
      <c r="BL115" s="5">
        <v>924</v>
      </c>
      <c r="BM115" s="5">
        <v>804</v>
      </c>
      <c r="BN115" s="5">
        <v>934</v>
      </c>
      <c r="BO115" s="5">
        <v>843</v>
      </c>
      <c r="BP115" s="5">
        <v>893</v>
      </c>
      <c r="BQ115" s="5">
        <v>945</v>
      </c>
      <c r="BR115" s="5">
        <v>922</v>
      </c>
      <c r="BS115" s="5">
        <v>863</v>
      </c>
      <c r="BT115" s="5">
        <v>905</v>
      </c>
      <c r="BU115" s="5">
        <v>788</v>
      </c>
      <c r="BV115" s="5">
        <v>889</v>
      </c>
      <c r="BW115" s="5">
        <v>909</v>
      </c>
      <c r="BX115" s="5">
        <v>903</v>
      </c>
      <c r="BY115" s="5">
        <v>904</v>
      </c>
      <c r="BZ115" s="5">
        <v>860</v>
      </c>
      <c r="CA115" s="5">
        <v>846</v>
      </c>
      <c r="CB115" s="5">
        <v>880</v>
      </c>
      <c r="CC115" s="5">
        <v>876</v>
      </c>
      <c r="CD115" s="5">
        <v>822</v>
      </c>
      <c r="CE115" s="5">
        <v>931</v>
      </c>
      <c r="CF115" s="5">
        <v>854</v>
      </c>
      <c r="CG115" s="5">
        <v>985</v>
      </c>
      <c r="CH115" s="5">
        <v>844</v>
      </c>
      <c r="CI115" s="5">
        <v>916</v>
      </c>
      <c r="CJ115" s="5">
        <v>951</v>
      </c>
      <c r="CK115" s="5">
        <v>878</v>
      </c>
      <c r="CL115" s="5">
        <v>961</v>
      </c>
      <c r="CM115" s="5">
        <v>864</v>
      </c>
      <c r="CN115" s="5">
        <v>904</v>
      </c>
      <c r="CO115" s="5">
        <v>954</v>
      </c>
      <c r="CP115" s="5">
        <v>842</v>
      </c>
      <c r="CQ115" s="5">
        <v>990</v>
      </c>
      <c r="CR115" s="5">
        <v>928</v>
      </c>
      <c r="CS115" s="5">
        <v>894</v>
      </c>
      <c r="CT115" s="5">
        <v>840</v>
      </c>
      <c r="CU115" s="5">
        <v>834</v>
      </c>
      <c r="CV115" s="5">
        <v>840</v>
      </c>
      <c r="CW115" s="5">
        <v>956</v>
      </c>
      <c r="CX115" s="5">
        <v>894</v>
      </c>
      <c r="CY115" s="5">
        <v>887</v>
      </c>
      <c r="CZ115" s="5">
        <v>900</v>
      </c>
      <c r="DA115" s="5">
        <v>932</v>
      </c>
      <c r="DB115" s="5">
        <v>853</v>
      </c>
    </row>
    <row r="116" spans="1:106" x14ac:dyDescent="0.25">
      <c r="A116" s="3" t="s">
        <v>31</v>
      </c>
      <c r="B116" s="8"/>
      <c r="C116" s="8"/>
      <c r="D116" s="12"/>
      <c r="E116" s="12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</row>
    <row r="117" spans="1:106" x14ac:dyDescent="0.25">
      <c r="A117" s="2" t="s">
        <v>17</v>
      </c>
      <c r="B117" s="9">
        <f>AVERAGE($G117:$DB117)</f>
        <v>825.77</v>
      </c>
      <c r="C117" s="9">
        <f>MEDIAN($G117:$DB117)</f>
        <v>825</v>
      </c>
      <c r="D117" s="13">
        <f>MAX($G117:$DB117)</f>
        <v>893</v>
      </c>
      <c r="E117" s="13">
        <f>MIN($G117:$DB117)</f>
        <v>752</v>
      </c>
      <c r="F117" s="9">
        <f>STDEV($G117:$DB117)</f>
        <v>31.447842019394077</v>
      </c>
      <c r="G117" s="5">
        <v>828</v>
      </c>
      <c r="H117" s="5">
        <v>818</v>
      </c>
      <c r="I117" s="5">
        <v>823</v>
      </c>
      <c r="J117" s="5">
        <v>826</v>
      </c>
      <c r="K117" s="5">
        <v>815</v>
      </c>
      <c r="L117" s="5">
        <v>788</v>
      </c>
      <c r="M117" s="5">
        <v>845</v>
      </c>
      <c r="N117" s="5">
        <v>815</v>
      </c>
      <c r="O117" s="5">
        <v>841</v>
      </c>
      <c r="P117" s="5">
        <v>842</v>
      </c>
      <c r="Q117" s="5">
        <v>834</v>
      </c>
      <c r="R117" s="5">
        <v>852</v>
      </c>
      <c r="S117" s="5">
        <v>778</v>
      </c>
      <c r="T117" s="5">
        <v>810</v>
      </c>
      <c r="U117" s="5">
        <v>857</v>
      </c>
      <c r="V117" s="5">
        <v>850</v>
      </c>
      <c r="W117" s="5">
        <v>772</v>
      </c>
      <c r="X117" s="5">
        <v>879</v>
      </c>
      <c r="Y117" s="5">
        <v>818</v>
      </c>
      <c r="Z117" s="5">
        <v>830</v>
      </c>
      <c r="AA117" s="5">
        <v>804</v>
      </c>
      <c r="AB117" s="5">
        <v>833</v>
      </c>
      <c r="AC117" s="5">
        <v>847</v>
      </c>
      <c r="AD117" s="5">
        <v>843</v>
      </c>
      <c r="AE117" s="5">
        <v>873</v>
      </c>
      <c r="AF117" s="5">
        <v>791</v>
      </c>
      <c r="AG117" s="5">
        <v>834</v>
      </c>
      <c r="AH117" s="5">
        <v>835</v>
      </c>
      <c r="AI117" s="5">
        <v>777</v>
      </c>
      <c r="AJ117" s="5">
        <v>870</v>
      </c>
      <c r="AK117" s="5">
        <v>792</v>
      </c>
      <c r="AL117" s="5">
        <v>817</v>
      </c>
      <c r="AM117" s="5">
        <v>754</v>
      </c>
      <c r="AN117" s="5">
        <v>807</v>
      </c>
      <c r="AO117" s="5">
        <v>864</v>
      </c>
      <c r="AP117" s="5">
        <v>824</v>
      </c>
      <c r="AQ117" s="5">
        <v>800</v>
      </c>
      <c r="AR117" s="5">
        <v>857</v>
      </c>
      <c r="AS117" s="5">
        <v>812</v>
      </c>
      <c r="AT117" s="5">
        <v>862</v>
      </c>
      <c r="AU117" s="5">
        <v>770</v>
      </c>
      <c r="AV117" s="5">
        <v>843</v>
      </c>
      <c r="AW117" s="5">
        <v>863</v>
      </c>
      <c r="AX117" s="5">
        <v>813</v>
      </c>
      <c r="AY117" s="5">
        <v>823</v>
      </c>
      <c r="AZ117" s="5">
        <v>786</v>
      </c>
      <c r="BA117" s="5">
        <v>827</v>
      </c>
      <c r="BB117" s="5">
        <v>845</v>
      </c>
      <c r="BC117" s="5">
        <v>864</v>
      </c>
      <c r="BD117" s="5">
        <v>869</v>
      </c>
      <c r="BE117" s="5">
        <v>848</v>
      </c>
      <c r="BF117" s="5">
        <v>876</v>
      </c>
      <c r="BG117" s="5">
        <v>753</v>
      </c>
      <c r="BH117" s="5">
        <v>862</v>
      </c>
      <c r="BI117" s="5">
        <v>829</v>
      </c>
      <c r="BJ117" s="5">
        <v>839</v>
      </c>
      <c r="BK117" s="5">
        <v>873</v>
      </c>
      <c r="BL117" s="5">
        <v>837</v>
      </c>
      <c r="BM117" s="5">
        <v>846</v>
      </c>
      <c r="BN117" s="5">
        <v>845</v>
      </c>
      <c r="BO117" s="5">
        <v>811</v>
      </c>
      <c r="BP117" s="5">
        <v>822</v>
      </c>
      <c r="BQ117" s="5">
        <v>877</v>
      </c>
      <c r="BR117" s="5">
        <v>798</v>
      </c>
      <c r="BS117" s="5">
        <v>765</v>
      </c>
      <c r="BT117" s="5">
        <v>784</v>
      </c>
      <c r="BU117" s="5">
        <v>793</v>
      </c>
      <c r="BV117" s="5">
        <v>822</v>
      </c>
      <c r="BW117" s="5">
        <v>838</v>
      </c>
      <c r="BX117" s="5">
        <v>842</v>
      </c>
      <c r="BY117" s="5">
        <v>792</v>
      </c>
      <c r="BZ117" s="5">
        <v>807</v>
      </c>
      <c r="CA117" s="5">
        <v>824</v>
      </c>
      <c r="CB117" s="5">
        <v>842</v>
      </c>
      <c r="CC117" s="5">
        <v>772</v>
      </c>
      <c r="CD117" s="5">
        <v>818</v>
      </c>
      <c r="CE117" s="5">
        <v>851</v>
      </c>
      <c r="CF117" s="5">
        <v>760</v>
      </c>
      <c r="CG117" s="5">
        <v>893</v>
      </c>
      <c r="CH117" s="5">
        <v>852</v>
      </c>
      <c r="CI117" s="5">
        <v>813</v>
      </c>
      <c r="CJ117" s="5">
        <v>816</v>
      </c>
      <c r="CK117" s="5">
        <v>875</v>
      </c>
      <c r="CL117" s="5">
        <v>870</v>
      </c>
      <c r="CM117" s="5">
        <v>800</v>
      </c>
      <c r="CN117" s="5">
        <v>831</v>
      </c>
      <c r="CO117" s="5">
        <v>838</v>
      </c>
      <c r="CP117" s="5">
        <v>817</v>
      </c>
      <c r="CQ117" s="5">
        <v>752</v>
      </c>
      <c r="CR117" s="5">
        <v>861</v>
      </c>
      <c r="CS117" s="5">
        <v>814</v>
      </c>
      <c r="CT117" s="5">
        <v>807</v>
      </c>
      <c r="CU117" s="5">
        <v>820</v>
      </c>
      <c r="CV117" s="5">
        <v>865</v>
      </c>
      <c r="CW117" s="5">
        <v>820</v>
      </c>
      <c r="CX117" s="5">
        <v>808</v>
      </c>
      <c r="CY117" s="5">
        <v>822</v>
      </c>
      <c r="CZ117" s="5">
        <v>800</v>
      </c>
      <c r="DA117" s="5">
        <v>837</v>
      </c>
      <c r="DB117" s="5">
        <v>820</v>
      </c>
    </row>
    <row r="118" spans="1:106" x14ac:dyDescent="0.25">
      <c r="A118" s="2" t="s">
        <v>18</v>
      </c>
      <c r="B118" s="9">
        <f t="shared" ref="B118:B121" si="31">AVERAGE($G118:$DB118)</f>
        <v>656.92</v>
      </c>
      <c r="C118" s="9">
        <f t="shared" ref="C118:C121" si="32">MEDIAN($G118:$DB118)</f>
        <v>652</v>
      </c>
      <c r="D118" s="13">
        <f t="shared" ref="D118:D121" si="33">MAX($G118:$DB118)</f>
        <v>763</v>
      </c>
      <c r="E118" s="13">
        <f t="shared" ref="E118:E121" si="34">MIN($G118:$DB118)</f>
        <v>575</v>
      </c>
      <c r="F118" s="9">
        <f t="shared" ref="F118:F121" si="35">STDEV($G118:$DB118)</f>
        <v>38.484859937960593</v>
      </c>
      <c r="G118" s="5">
        <v>715</v>
      </c>
      <c r="H118" s="5">
        <v>699</v>
      </c>
      <c r="I118" s="5">
        <v>627</v>
      </c>
      <c r="J118" s="5">
        <v>696</v>
      </c>
      <c r="K118" s="5">
        <v>662</v>
      </c>
      <c r="L118" s="5">
        <v>634</v>
      </c>
      <c r="M118" s="5">
        <v>633</v>
      </c>
      <c r="N118" s="5">
        <v>638</v>
      </c>
      <c r="O118" s="5">
        <v>740</v>
      </c>
      <c r="P118" s="5">
        <v>757</v>
      </c>
      <c r="Q118" s="5">
        <v>645</v>
      </c>
      <c r="R118" s="5">
        <v>677</v>
      </c>
      <c r="S118" s="5">
        <v>717</v>
      </c>
      <c r="T118" s="5">
        <v>647</v>
      </c>
      <c r="U118" s="5">
        <v>611</v>
      </c>
      <c r="V118" s="5">
        <v>665</v>
      </c>
      <c r="W118" s="5">
        <v>653</v>
      </c>
      <c r="X118" s="5">
        <v>660</v>
      </c>
      <c r="Y118" s="5">
        <v>683</v>
      </c>
      <c r="Z118" s="5">
        <v>645</v>
      </c>
      <c r="AA118" s="5">
        <v>644</v>
      </c>
      <c r="AB118" s="5">
        <v>660</v>
      </c>
      <c r="AC118" s="5">
        <v>677</v>
      </c>
      <c r="AD118" s="5">
        <v>645</v>
      </c>
      <c r="AE118" s="5">
        <v>664</v>
      </c>
      <c r="AF118" s="5">
        <v>588</v>
      </c>
      <c r="AG118" s="5">
        <v>677</v>
      </c>
      <c r="AH118" s="5">
        <v>670</v>
      </c>
      <c r="AI118" s="5">
        <v>643</v>
      </c>
      <c r="AJ118" s="5">
        <v>615</v>
      </c>
      <c r="AK118" s="5">
        <v>653</v>
      </c>
      <c r="AL118" s="5">
        <v>683</v>
      </c>
      <c r="AM118" s="5">
        <v>640</v>
      </c>
      <c r="AN118" s="5">
        <v>656</v>
      </c>
      <c r="AO118" s="5">
        <v>681</v>
      </c>
      <c r="AP118" s="5">
        <v>686</v>
      </c>
      <c r="AQ118" s="5">
        <v>633</v>
      </c>
      <c r="AR118" s="5">
        <v>621</v>
      </c>
      <c r="AS118" s="5">
        <v>637</v>
      </c>
      <c r="AT118" s="5">
        <v>601</v>
      </c>
      <c r="AU118" s="5">
        <v>707</v>
      </c>
      <c r="AV118" s="5">
        <v>641</v>
      </c>
      <c r="AW118" s="5">
        <v>674</v>
      </c>
      <c r="AX118" s="5">
        <v>605</v>
      </c>
      <c r="AY118" s="5">
        <v>593</v>
      </c>
      <c r="AZ118" s="5">
        <v>668</v>
      </c>
      <c r="BA118" s="5">
        <v>705</v>
      </c>
      <c r="BB118" s="5">
        <v>731</v>
      </c>
      <c r="BC118" s="5">
        <v>603</v>
      </c>
      <c r="BD118" s="5">
        <v>622</v>
      </c>
      <c r="BE118" s="5">
        <v>732</v>
      </c>
      <c r="BF118" s="5">
        <v>667</v>
      </c>
      <c r="BG118" s="5">
        <v>650</v>
      </c>
      <c r="BH118" s="5">
        <v>651</v>
      </c>
      <c r="BI118" s="5">
        <v>638</v>
      </c>
      <c r="BJ118" s="5">
        <v>599</v>
      </c>
      <c r="BK118" s="5">
        <v>642</v>
      </c>
      <c r="BL118" s="5">
        <v>683</v>
      </c>
      <c r="BM118" s="5">
        <v>636</v>
      </c>
      <c r="BN118" s="5">
        <v>675</v>
      </c>
      <c r="BO118" s="5">
        <v>624</v>
      </c>
      <c r="BP118" s="5">
        <v>669</v>
      </c>
      <c r="BQ118" s="5">
        <v>687</v>
      </c>
      <c r="BR118" s="5">
        <v>692</v>
      </c>
      <c r="BS118" s="5">
        <v>618</v>
      </c>
      <c r="BT118" s="5">
        <v>654</v>
      </c>
      <c r="BU118" s="5">
        <v>671</v>
      </c>
      <c r="BV118" s="5">
        <v>633</v>
      </c>
      <c r="BW118" s="5">
        <v>699</v>
      </c>
      <c r="BX118" s="5">
        <v>711</v>
      </c>
      <c r="BY118" s="5">
        <v>643</v>
      </c>
      <c r="BZ118" s="5">
        <v>643</v>
      </c>
      <c r="CA118" s="5">
        <v>671</v>
      </c>
      <c r="CB118" s="5">
        <v>582</v>
      </c>
      <c r="CC118" s="5">
        <v>617</v>
      </c>
      <c r="CD118" s="5">
        <v>655</v>
      </c>
      <c r="CE118" s="5">
        <v>661</v>
      </c>
      <c r="CF118" s="5">
        <v>632</v>
      </c>
      <c r="CG118" s="5">
        <v>651</v>
      </c>
      <c r="CH118" s="5">
        <v>637</v>
      </c>
      <c r="CI118" s="5">
        <v>698</v>
      </c>
      <c r="CJ118" s="5">
        <v>616</v>
      </c>
      <c r="CK118" s="5">
        <v>619</v>
      </c>
      <c r="CL118" s="5">
        <v>698</v>
      </c>
      <c r="CM118" s="5">
        <v>684</v>
      </c>
      <c r="CN118" s="5">
        <v>575</v>
      </c>
      <c r="CO118" s="5">
        <v>626</v>
      </c>
      <c r="CP118" s="5">
        <v>763</v>
      </c>
      <c r="CQ118" s="5">
        <v>637</v>
      </c>
      <c r="CR118" s="5">
        <v>686</v>
      </c>
      <c r="CS118" s="5">
        <v>643</v>
      </c>
      <c r="CT118" s="5">
        <v>579</v>
      </c>
      <c r="CU118" s="5">
        <v>704</v>
      </c>
      <c r="CV118" s="5">
        <v>616</v>
      </c>
      <c r="CW118" s="5">
        <v>686</v>
      </c>
      <c r="CX118" s="5">
        <v>632</v>
      </c>
      <c r="CY118" s="5">
        <v>726</v>
      </c>
      <c r="CZ118" s="5">
        <v>648</v>
      </c>
      <c r="DA118" s="5">
        <v>679</v>
      </c>
      <c r="DB118" s="5">
        <v>627</v>
      </c>
    </row>
    <row r="119" spans="1:106" x14ac:dyDescent="0.25">
      <c r="A119" s="2" t="s">
        <v>14</v>
      </c>
      <c r="B119" s="9">
        <f t="shared" si="31"/>
        <v>993.54</v>
      </c>
      <c r="C119" s="9">
        <f t="shared" si="32"/>
        <v>994</v>
      </c>
      <c r="D119" s="13">
        <f t="shared" si="33"/>
        <v>1115</v>
      </c>
      <c r="E119" s="13">
        <f t="shared" si="34"/>
        <v>879</v>
      </c>
      <c r="F119" s="9">
        <f t="shared" si="35"/>
        <v>44.612001827655142</v>
      </c>
      <c r="G119" s="5">
        <v>984</v>
      </c>
      <c r="H119" s="5">
        <v>1020</v>
      </c>
      <c r="I119" s="5">
        <v>1059</v>
      </c>
      <c r="J119" s="5">
        <v>1028</v>
      </c>
      <c r="K119" s="5">
        <v>1053</v>
      </c>
      <c r="L119" s="5">
        <v>1048</v>
      </c>
      <c r="M119" s="5">
        <v>975</v>
      </c>
      <c r="N119" s="5">
        <v>947</v>
      </c>
      <c r="O119" s="5">
        <v>920</v>
      </c>
      <c r="P119" s="5">
        <v>973</v>
      </c>
      <c r="Q119" s="5">
        <v>1010</v>
      </c>
      <c r="R119" s="5">
        <v>879</v>
      </c>
      <c r="S119" s="5">
        <v>956</v>
      </c>
      <c r="T119" s="5">
        <v>964</v>
      </c>
      <c r="U119" s="5">
        <v>991</v>
      </c>
      <c r="V119" s="5">
        <v>1056</v>
      </c>
      <c r="W119" s="5">
        <v>1036</v>
      </c>
      <c r="X119" s="5">
        <v>991</v>
      </c>
      <c r="Y119" s="5">
        <v>896</v>
      </c>
      <c r="Z119" s="5">
        <v>1046</v>
      </c>
      <c r="AA119" s="5">
        <v>1007</v>
      </c>
      <c r="AB119" s="5">
        <v>947</v>
      </c>
      <c r="AC119" s="5">
        <v>987</v>
      </c>
      <c r="AD119" s="5">
        <v>960</v>
      </c>
      <c r="AE119" s="5">
        <v>985</v>
      </c>
      <c r="AF119" s="5">
        <v>1052</v>
      </c>
      <c r="AG119" s="5">
        <v>1048</v>
      </c>
      <c r="AH119" s="5">
        <v>1076</v>
      </c>
      <c r="AI119" s="5">
        <v>996</v>
      </c>
      <c r="AJ119" s="5">
        <v>968</v>
      </c>
      <c r="AK119" s="5">
        <v>1072</v>
      </c>
      <c r="AL119" s="5">
        <v>1045</v>
      </c>
      <c r="AM119" s="5">
        <v>1011</v>
      </c>
      <c r="AN119" s="5">
        <v>1059</v>
      </c>
      <c r="AO119" s="5">
        <v>978</v>
      </c>
      <c r="AP119" s="5">
        <v>1028</v>
      </c>
      <c r="AQ119" s="5">
        <v>966</v>
      </c>
      <c r="AR119" s="5">
        <v>1000</v>
      </c>
      <c r="AS119" s="5">
        <v>1034</v>
      </c>
      <c r="AT119" s="5">
        <v>1035</v>
      </c>
      <c r="AU119" s="5">
        <v>952</v>
      </c>
      <c r="AV119" s="5">
        <v>966</v>
      </c>
      <c r="AW119" s="5">
        <v>1008</v>
      </c>
      <c r="AX119" s="5">
        <v>1021</v>
      </c>
      <c r="AY119" s="5">
        <v>1033</v>
      </c>
      <c r="AZ119" s="5">
        <v>1010</v>
      </c>
      <c r="BA119" s="5">
        <v>963</v>
      </c>
      <c r="BB119" s="5">
        <v>938</v>
      </c>
      <c r="BC119" s="5">
        <v>996</v>
      </c>
      <c r="BD119" s="5">
        <v>1003</v>
      </c>
      <c r="BE119" s="5">
        <v>999</v>
      </c>
      <c r="BF119" s="5">
        <v>1115</v>
      </c>
      <c r="BG119" s="5">
        <v>1004</v>
      </c>
      <c r="BH119" s="5">
        <v>928</v>
      </c>
      <c r="BI119" s="5">
        <v>1018</v>
      </c>
      <c r="BJ119" s="5">
        <v>1021</v>
      </c>
      <c r="BK119" s="5">
        <v>1022</v>
      </c>
      <c r="BL119" s="5">
        <v>947</v>
      </c>
      <c r="BM119" s="5">
        <v>993</v>
      </c>
      <c r="BN119" s="5">
        <v>959</v>
      </c>
      <c r="BO119" s="5">
        <v>982</v>
      </c>
      <c r="BP119" s="5">
        <v>1002</v>
      </c>
      <c r="BQ119" s="5">
        <v>912</v>
      </c>
      <c r="BR119" s="5">
        <v>988</v>
      </c>
      <c r="BS119" s="5">
        <v>906</v>
      </c>
      <c r="BT119" s="5">
        <v>1031</v>
      </c>
      <c r="BU119" s="5">
        <v>981</v>
      </c>
      <c r="BV119" s="5">
        <v>986</v>
      </c>
      <c r="BW119" s="5">
        <v>962</v>
      </c>
      <c r="BX119" s="5">
        <v>972</v>
      </c>
      <c r="BY119" s="5">
        <v>993</v>
      </c>
      <c r="BZ119" s="5">
        <v>1000</v>
      </c>
      <c r="CA119" s="5">
        <v>913</v>
      </c>
      <c r="CB119" s="5">
        <v>979</v>
      </c>
      <c r="CC119" s="5">
        <v>999</v>
      </c>
      <c r="CD119" s="5">
        <v>1030</v>
      </c>
      <c r="CE119" s="5">
        <v>974</v>
      </c>
      <c r="CF119" s="5">
        <v>965</v>
      </c>
      <c r="CG119" s="5">
        <v>1044</v>
      </c>
      <c r="CH119" s="5">
        <v>1014</v>
      </c>
      <c r="CI119" s="5">
        <v>988</v>
      </c>
      <c r="CJ119" s="5">
        <v>990</v>
      </c>
      <c r="CK119" s="5">
        <v>939</v>
      </c>
      <c r="CL119" s="5">
        <v>908</v>
      </c>
      <c r="CM119" s="5">
        <v>1013</v>
      </c>
      <c r="CN119" s="5">
        <v>976</v>
      </c>
      <c r="CO119" s="5">
        <v>910</v>
      </c>
      <c r="CP119" s="5">
        <v>1008</v>
      </c>
      <c r="CQ119" s="5">
        <v>995</v>
      </c>
      <c r="CR119" s="5">
        <v>923</v>
      </c>
      <c r="CS119" s="5">
        <v>1025</v>
      </c>
      <c r="CT119" s="5">
        <v>992</v>
      </c>
      <c r="CU119" s="5">
        <v>1041</v>
      </c>
      <c r="CV119" s="5">
        <v>991</v>
      </c>
      <c r="CW119" s="5">
        <v>962</v>
      </c>
      <c r="CX119" s="5">
        <v>1092</v>
      </c>
      <c r="CY119" s="5">
        <v>1043</v>
      </c>
      <c r="CZ119" s="5">
        <v>946</v>
      </c>
      <c r="DA119" s="5">
        <v>999</v>
      </c>
      <c r="DB119" s="5">
        <v>998</v>
      </c>
    </row>
    <row r="120" spans="1:106" x14ac:dyDescent="0.25">
      <c r="A120" s="2" t="s">
        <v>15</v>
      </c>
      <c r="B120" s="9">
        <f t="shared" si="31"/>
        <v>994.33</v>
      </c>
      <c r="C120" s="9">
        <f t="shared" si="32"/>
        <v>995</v>
      </c>
      <c r="D120" s="13">
        <f t="shared" si="33"/>
        <v>1141</v>
      </c>
      <c r="E120" s="13">
        <f t="shared" si="34"/>
        <v>878</v>
      </c>
      <c r="F120" s="9">
        <f t="shared" si="35"/>
        <v>46.640697319665435</v>
      </c>
      <c r="G120" s="5">
        <v>1010</v>
      </c>
      <c r="H120" s="5">
        <v>945</v>
      </c>
      <c r="I120" s="5">
        <v>1037</v>
      </c>
      <c r="J120" s="5">
        <v>995</v>
      </c>
      <c r="K120" s="5">
        <v>1011</v>
      </c>
      <c r="L120" s="5">
        <v>995</v>
      </c>
      <c r="M120" s="5">
        <v>1052</v>
      </c>
      <c r="N120" s="5">
        <v>948</v>
      </c>
      <c r="O120" s="5">
        <v>1024</v>
      </c>
      <c r="P120" s="5">
        <v>1026</v>
      </c>
      <c r="Q120" s="5">
        <v>1046</v>
      </c>
      <c r="R120" s="5">
        <v>1037</v>
      </c>
      <c r="S120" s="5">
        <v>983</v>
      </c>
      <c r="T120" s="5">
        <v>985</v>
      </c>
      <c r="U120" s="5">
        <v>1027</v>
      </c>
      <c r="V120" s="5">
        <v>1083</v>
      </c>
      <c r="W120" s="5">
        <v>929</v>
      </c>
      <c r="X120" s="5">
        <v>975</v>
      </c>
      <c r="Y120" s="5">
        <v>1065</v>
      </c>
      <c r="Z120" s="5">
        <v>1088</v>
      </c>
      <c r="AA120" s="5">
        <v>910</v>
      </c>
      <c r="AB120" s="5">
        <v>1053</v>
      </c>
      <c r="AC120" s="5">
        <v>1141</v>
      </c>
      <c r="AD120" s="5">
        <v>995</v>
      </c>
      <c r="AE120" s="5">
        <v>1032</v>
      </c>
      <c r="AF120" s="5">
        <v>878</v>
      </c>
      <c r="AG120" s="5">
        <v>1026</v>
      </c>
      <c r="AH120" s="5">
        <v>998</v>
      </c>
      <c r="AI120" s="5">
        <v>897</v>
      </c>
      <c r="AJ120" s="5">
        <v>986</v>
      </c>
      <c r="AK120" s="5">
        <v>980</v>
      </c>
      <c r="AL120" s="5">
        <v>1003</v>
      </c>
      <c r="AM120" s="5">
        <v>1031</v>
      </c>
      <c r="AN120" s="5">
        <v>986</v>
      </c>
      <c r="AO120" s="5">
        <v>979</v>
      </c>
      <c r="AP120" s="5">
        <v>1050</v>
      </c>
      <c r="AQ120" s="5">
        <v>1032</v>
      </c>
      <c r="AR120" s="5">
        <v>992</v>
      </c>
      <c r="AS120" s="5">
        <v>944</v>
      </c>
      <c r="AT120" s="5">
        <v>977</v>
      </c>
      <c r="AU120" s="5">
        <v>1004</v>
      </c>
      <c r="AV120" s="5">
        <v>969</v>
      </c>
      <c r="AW120" s="5">
        <v>998</v>
      </c>
      <c r="AX120" s="5">
        <v>1015</v>
      </c>
      <c r="AY120" s="5">
        <v>886</v>
      </c>
      <c r="AZ120" s="5">
        <v>991</v>
      </c>
      <c r="BA120" s="5">
        <v>985</v>
      </c>
      <c r="BB120" s="5">
        <v>1003</v>
      </c>
      <c r="BC120" s="5">
        <v>962</v>
      </c>
      <c r="BD120" s="5">
        <v>1023</v>
      </c>
      <c r="BE120" s="5">
        <v>935</v>
      </c>
      <c r="BF120" s="5">
        <v>1012</v>
      </c>
      <c r="BG120" s="5">
        <v>907</v>
      </c>
      <c r="BH120" s="5">
        <v>1066</v>
      </c>
      <c r="BI120" s="5">
        <v>955</v>
      </c>
      <c r="BJ120" s="5">
        <v>923</v>
      </c>
      <c r="BK120" s="5">
        <v>1013</v>
      </c>
      <c r="BL120" s="5">
        <v>1047</v>
      </c>
      <c r="BM120" s="5">
        <v>979</v>
      </c>
      <c r="BN120" s="5">
        <v>984</v>
      </c>
      <c r="BO120" s="5">
        <v>1014</v>
      </c>
      <c r="BP120" s="5">
        <v>975</v>
      </c>
      <c r="BQ120" s="5">
        <v>991</v>
      </c>
      <c r="BR120" s="5">
        <v>990</v>
      </c>
      <c r="BS120" s="5">
        <v>999</v>
      </c>
      <c r="BT120" s="5">
        <v>1046</v>
      </c>
      <c r="BU120" s="5">
        <v>989</v>
      </c>
      <c r="BV120" s="5">
        <v>955</v>
      </c>
      <c r="BW120" s="5">
        <v>1000</v>
      </c>
      <c r="BX120" s="5">
        <v>1002</v>
      </c>
      <c r="BY120" s="5">
        <v>998</v>
      </c>
      <c r="BZ120" s="5">
        <v>980</v>
      </c>
      <c r="CA120" s="5">
        <v>996</v>
      </c>
      <c r="CB120" s="5">
        <v>994</v>
      </c>
      <c r="CC120" s="5">
        <v>933</v>
      </c>
      <c r="CD120" s="5">
        <v>994</v>
      </c>
      <c r="CE120" s="5">
        <v>993</v>
      </c>
      <c r="CF120" s="5">
        <v>891</v>
      </c>
      <c r="CG120" s="5">
        <v>1019</v>
      </c>
      <c r="CH120" s="5">
        <v>893</v>
      </c>
      <c r="CI120" s="5">
        <v>1001</v>
      </c>
      <c r="CJ120" s="5">
        <v>990</v>
      </c>
      <c r="CK120" s="5">
        <v>965</v>
      </c>
      <c r="CL120" s="5">
        <v>1010</v>
      </c>
      <c r="CM120" s="5">
        <v>1025</v>
      </c>
      <c r="CN120" s="5">
        <v>990</v>
      </c>
      <c r="CO120" s="5">
        <v>996</v>
      </c>
      <c r="CP120" s="5">
        <v>906</v>
      </c>
      <c r="CQ120" s="5">
        <v>995</v>
      </c>
      <c r="CR120" s="5">
        <v>945</v>
      </c>
      <c r="CS120" s="5">
        <v>1063</v>
      </c>
      <c r="CT120" s="5">
        <v>987</v>
      </c>
      <c r="CU120" s="5">
        <v>1047</v>
      </c>
      <c r="CV120" s="5">
        <v>982</v>
      </c>
      <c r="CW120" s="5">
        <v>999</v>
      </c>
      <c r="CX120" s="5">
        <v>1034</v>
      </c>
      <c r="CY120" s="5">
        <v>1029</v>
      </c>
      <c r="CZ120" s="5">
        <v>1080</v>
      </c>
      <c r="DA120" s="5">
        <v>963</v>
      </c>
      <c r="DB120" s="5">
        <v>966</v>
      </c>
    </row>
    <row r="121" spans="1:106" x14ac:dyDescent="0.25">
      <c r="A121" s="2" t="s">
        <v>16</v>
      </c>
      <c r="B121" s="9">
        <f t="shared" si="31"/>
        <v>762.92</v>
      </c>
      <c r="C121" s="9">
        <f t="shared" si="32"/>
        <v>760.5</v>
      </c>
      <c r="D121" s="13">
        <f t="shared" si="33"/>
        <v>854</v>
      </c>
      <c r="E121" s="13">
        <f t="shared" si="34"/>
        <v>687</v>
      </c>
      <c r="F121" s="9">
        <f t="shared" si="35"/>
        <v>36.853430688815855</v>
      </c>
      <c r="G121" s="5">
        <v>778</v>
      </c>
      <c r="H121" s="5">
        <v>755</v>
      </c>
      <c r="I121" s="5">
        <v>789</v>
      </c>
      <c r="J121" s="5">
        <v>728</v>
      </c>
      <c r="K121" s="5">
        <v>840</v>
      </c>
      <c r="L121" s="5">
        <v>733</v>
      </c>
      <c r="M121" s="5">
        <v>793</v>
      </c>
      <c r="N121" s="5">
        <v>728</v>
      </c>
      <c r="O121" s="5">
        <v>785</v>
      </c>
      <c r="P121" s="5">
        <v>744</v>
      </c>
      <c r="Q121" s="5">
        <v>712</v>
      </c>
      <c r="R121" s="5">
        <v>788</v>
      </c>
      <c r="S121" s="5">
        <v>854</v>
      </c>
      <c r="T121" s="5">
        <v>723</v>
      </c>
      <c r="U121" s="5">
        <v>753</v>
      </c>
      <c r="V121" s="5">
        <v>782</v>
      </c>
      <c r="W121" s="5">
        <v>738</v>
      </c>
      <c r="X121" s="5">
        <v>739</v>
      </c>
      <c r="Y121" s="5">
        <v>731</v>
      </c>
      <c r="Z121" s="5">
        <v>769</v>
      </c>
      <c r="AA121" s="5">
        <v>773</v>
      </c>
      <c r="AB121" s="5">
        <v>744</v>
      </c>
      <c r="AC121" s="5">
        <v>798</v>
      </c>
      <c r="AD121" s="5">
        <v>701</v>
      </c>
      <c r="AE121" s="5">
        <v>767</v>
      </c>
      <c r="AF121" s="5">
        <v>776</v>
      </c>
      <c r="AG121" s="5">
        <v>807</v>
      </c>
      <c r="AH121" s="5">
        <v>744</v>
      </c>
      <c r="AI121" s="5">
        <v>793</v>
      </c>
      <c r="AJ121" s="5">
        <v>777</v>
      </c>
      <c r="AK121" s="5">
        <v>768</v>
      </c>
      <c r="AL121" s="5">
        <v>735</v>
      </c>
      <c r="AM121" s="5">
        <v>747</v>
      </c>
      <c r="AN121" s="5">
        <v>753</v>
      </c>
      <c r="AO121" s="5">
        <v>748</v>
      </c>
      <c r="AP121" s="5">
        <v>762</v>
      </c>
      <c r="AQ121" s="5">
        <v>786</v>
      </c>
      <c r="AR121" s="5">
        <v>709</v>
      </c>
      <c r="AS121" s="5">
        <v>812</v>
      </c>
      <c r="AT121" s="5">
        <v>773</v>
      </c>
      <c r="AU121" s="5">
        <v>757</v>
      </c>
      <c r="AV121" s="5">
        <v>769</v>
      </c>
      <c r="AW121" s="5">
        <v>813</v>
      </c>
      <c r="AX121" s="5">
        <v>759</v>
      </c>
      <c r="AY121" s="5">
        <v>768</v>
      </c>
      <c r="AZ121" s="5">
        <v>753</v>
      </c>
      <c r="BA121" s="5">
        <v>687</v>
      </c>
      <c r="BB121" s="5">
        <v>709</v>
      </c>
      <c r="BC121" s="5">
        <v>753</v>
      </c>
      <c r="BD121" s="5">
        <v>770</v>
      </c>
      <c r="BE121" s="5">
        <v>771</v>
      </c>
      <c r="BF121" s="5">
        <v>759</v>
      </c>
      <c r="BG121" s="5">
        <v>770</v>
      </c>
      <c r="BH121" s="5">
        <v>769</v>
      </c>
      <c r="BI121" s="5">
        <v>730</v>
      </c>
      <c r="BJ121" s="5">
        <v>784</v>
      </c>
      <c r="BK121" s="5">
        <v>717</v>
      </c>
      <c r="BL121" s="5">
        <v>728</v>
      </c>
      <c r="BM121" s="5">
        <v>748</v>
      </c>
      <c r="BN121" s="5">
        <v>831</v>
      </c>
      <c r="BO121" s="5">
        <v>774</v>
      </c>
      <c r="BP121" s="5">
        <v>735</v>
      </c>
      <c r="BQ121" s="5">
        <v>778</v>
      </c>
      <c r="BR121" s="5">
        <v>750</v>
      </c>
      <c r="BS121" s="5">
        <v>765</v>
      </c>
      <c r="BT121" s="5">
        <v>778</v>
      </c>
      <c r="BU121" s="5">
        <v>788</v>
      </c>
      <c r="BV121" s="5">
        <v>836</v>
      </c>
      <c r="BW121" s="5">
        <v>828</v>
      </c>
      <c r="BX121" s="5">
        <v>718</v>
      </c>
      <c r="BY121" s="5">
        <v>800</v>
      </c>
      <c r="BZ121" s="5">
        <v>712</v>
      </c>
      <c r="CA121" s="5">
        <v>780</v>
      </c>
      <c r="CB121" s="5">
        <v>838</v>
      </c>
      <c r="CC121" s="5">
        <v>717</v>
      </c>
      <c r="CD121" s="5">
        <v>746</v>
      </c>
      <c r="CE121" s="5">
        <v>769</v>
      </c>
      <c r="CF121" s="5">
        <v>713</v>
      </c>
      <c r="CG121" s="5">
        <v>724</v>
      </c>
      <c r="CH121" s="5">
        <v>838</v>
      </c>
      <c r="CI121" s="5">
        <v>757</v>
      </c>
      <c r="CJ121" s="5">
        <v>713</v>
      </c>
      <c r="CK121" s="5">
        <v>816</v>
      </c>
      <c r="CL121" s="5">
        <v>786</v>
      </c>
      <c r="CM121" s="5">
        <v>736</v>
      </c>
      <c r="CN121" s="5">
        <v>799</v>
      </c>
      <c r="CO121" s="5">
        <v>759</v>
      </c>
      <c r="CP121" s="5">
        <v>747</v>
      </c>
      <c r="CQ121" s="5">
        <v>730</v>
      </c>
      <c r="CR121" s="5">
        <v>818</v>
      </c>
      <c r="CS121" s="5">
        <v>753</v>
      </c>
      <c r="CT121" s="5">
        <v>737</v>
      </c>
      <c r="CU121" s="5">
        <v>713</v>
      </c>
      <c r="CV121" s="5">
        <v>722</v>
      </c>
      <c r="CW121" s="5">
        <v>776</v>
      </c>
      <c r="CX121" s="5">
        <v>696</v>
      </c>
      <c r="CY121" s="5">
        <v>834</v>
      </c>
      <c r="CZ121" s="5">
        <v>836</v>
      </c>
      <c r="DA121" s="5">
        <v>762</v>
      </c>
      <c r="DB121" s="5">
        <v>735</v>
      </c>
    </row>
    <row r="122" spans="1:106" x14ac:dyDescent="0.25">
      <c r="A122" s="3" t="s">
        <v>33</v>
      </c>
      <c r="B122" s="8"/>
      <c r="C122" s="8"/>
      <c r="D122" s="12"/>
      <c r="E122" s="12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</row>
    <row r="123" spans="1:106" x14ac:dyDescent="0.25">
      <c r="A123" s="2" t="s">
        <v>24</v>
      </c>
      <c r="B123" s="9">
        <f>AVERAGE($G123:$DB123)</f>
        <v>926.49</v>
      </c>
      <c r="C123" s="9">
        <f>MEDIAN($G123:$DB123)</f>
        <v>932</v>
      </c>
      <c r="D123" s="13">
        <f>MAX($G123:$DB123)</f>
        <v>1071</v>
      </c>
      <c r="E123" s="13">
        <f>MIN($G123:$DB123)</f>
        <v>826</v>
      </c>
      <c r="F123" s="9">
        <f>STDEV($G123:$DB123)</f>
        <v>41.720206813553268</v>
      </c>
      <c r="G123" s="5">
        <v>936</v>
      </c>
      <c r="H123" s="5">
        <v>935</v>
      </c>
      <c r="I123" s="5">
        <v>941</v>
      </c>
      <c r="J123" s="5">
        <v>992</v>
      </c>
      <c r="K123" s="5">
        <v>893</v>
      </c>
      <c r="L123" s="5">
        <v>950</v>
      </c>
      <c r="M123" s="5">
        <v>906</v>
      </c>
      <c r="N123" s="5">
        <v>916</v>
      </c>
      <c r="O123" s="5">
        <v>956</v>
      </c>
      <c r="P123" s="5">
        <v>911</v>
      </c>
      <c r="Q123" s="5">
        <v>826</v>
      </c>
      <c r="R123" s="5">
        <v>982</v>
      </c>
      <c r="S123" s="5">
        <v>910</v>
      </c>
      <c r="T123" s="5">
        <v>913</v>
      </c>
      <c r="U123" s="5">
        <v>896</v>
      </c>
      <c r="V123" s="5">
        <v>923</v>
      </c>
      <c r="W123" s="5">
        <v>931</v>
      </c>
      <c r="X123" s="5">
        <v>898</v>
      </c>
      <c r="Y123" s="5">
        <v>949</v>
      </c>
      <c r="Z123" s="5">
        <v>958</v>
      </c>
      <c r="AA123" s="5">
        <v>950</v>
      </c>
      <c r="AB123" s="5">
        <v>967</v>
      </c>
      <c r="AC123" s="5">
        <v>870</v>
      </c>
      <c r="AD123" s="5">
        <v>855</v>
      </c>
      <c r="AE123" s="5">
        <v>945</v>
      </c>
      <c r="AF123" s="5">
        <v>951</v>
      </c>
      <c r="AG123" s="5">
        <v>855</v>
      </c>
      <c r="AH123" s="5">
        <v>931</v>
      </c>
      <c r="AI123" s="5">
        <v>846</v>
      </c>
      <c r="AJ123" s="5">
        <v>831</v>
      </c>
      <c r="AK123" s="5">
        <v>934</v>
      </c>
      <c r="AL123" s="5">
        <v>940</v>
      </c>
      <c r="AM123" s="5">
        <v>970</v>
      </c>
      <c r="AN123" s="5">
        <v>873</v>
      </c>
      <c r="AO123" s="5">
        <v>1003</v>
      </c>
      <c r="AP123" s="5">
        <v>885</v>
      </c>
      <c r="AQ123" s="5">
        <v>879</v>
      </c>
      <c r="AR123" s="5">
        <v>907</v>
      </c>
      <c r="AS123" s="5">
        <v>891</v>
      </c>
      <c r="AT123" s="5">
        <v>939</v>
      </c>
      <c r="AU123" s="5">
        <v>933</v>
      </c>
      <c r="AV123" s="5">
        <v>950</v>
      </c>
      <c r="AW123" s="5">
        <v>951</v>
      </c>
      <c r="AX123" s="5">
        <v>953</v>
      </c>
      <c r="AY123" s="5">
        <v>923</v>
      </c>
      <c r="AZ123" s="5">
        <v>973</v>
      </c>
      <c r="BA123" s="5">
        <v>963</v>
      </c>
      <c r="BB123" s="5">
        <v>951</v>
      </c>
      <c r="BC123" s="5">
        <v>934</v>
      </c>
      <c r="BD123" s="5">
        <v>894</v>
      </c>
      <c r="BE123" s="5">
        <v>1011</v>
      </c>
      <c r="BF123" s="5">
        <v>891</v>
      </c>
      <c r="BG123" s="5">
        <v>961</v>
      </c>
      <c r="BH123" s="5">
        <v>922</v>
      </c>
      <c r="BI123" s="5">
        <v>903</v>
      </c>
      <c r="BJ123" s="5">
        <v>894</v>
      </c>
      <c r="BK123" s="5">
        <v>901</v>
      </c>
      <c r="BL123" s="5">
        <v>1002</v>
      </c>
      <c r="BM123" s="5">
        <v>889</v>
      </c>
      <c r="BN123" s="5">
        <v>966</v>
      </c>
      <c r="BO123" s="5">
        <v>960</v>
      </c>
      <c r="BP123" s="5">
        <v>920</v>
      </c>
      <c r="BQ123" s="5">
        <v>965</v>
      </c>
      <c r="BR123" s="5">
        <v>889</v>
      </c>
      <c r="BS123" s="5">
        <v>891</v>
      </c>
      <c r="BT123" s="5">
        <v>946</v>
      </c>
      <c r="BU123" s="5">
        <v>967</v>
      </c>
      <c r="BV123" s="5">
        <v>1071</v>
      </c>
      <c r="BW123" s="5">
        <v>933</v>
      </c>
      <c r="BX123" s="5">
        <v>933</v>
      </c>
      <c r="BY123" s="5">
        <v>944</v>
      </c>
      <c r="BZ123" s="5">
        <v>905</v>
      </c>
      <c r="CA123" s="5">
        <v>942</v>
      </c>
      <c r="CB123" s="5">
        <v>970</v>
      </c>
      <c r="CC123" s="5">
        <v>867</v>
      </c>
      <c r="CD123" s="5">
        <v>967</v>
      </c>
      <c r="CE123" s="5">
        <v>879</v>
      </c>
      <c r="CF123" s="5">
        <v>875</v>
      </c>
      <c r="CG123" s="5">
        <v>993</v>
      </c>
      <c r="CH123" s="5">
        <v>961</v>
      </c>
      <c r="CI123" s="5">
        <v>886</v>
      </c>
      <c r="CJ123" s="5">
        <v>922</v>
      </c>
      <c r="CK123" s="5">
        <v>950</v>
      </c>
      <c r="CL123" s="5">
        <v>973</v>
      </c>
      <c r="CM123" s="5">
        <v>919</v>
      </c>
      <c r="CN123" s="5">
        <v>959</v>
      </c>
      <c r="CO123" s="5">
        <v>918</v>
      </c>
      <c r="CP123" s="5">
        <v>903</v>
      </c>
      <c r="CQ123" s="5">
        <v>847</v>
      </c>
      <c r="CR123" s="5">
        <v>865</v>
      </c>
      <c r="CS123" s="5">
        <v>915</v>
      </c>
      <c r="CT123" s="5">
        <v>958</v>
      </c>
      <c r="CU123" s="5">
        <v>921</v>
      </c>
      <c r="CV123" s="5">
        <v>913</v>
      </c>
      <c r="CW123" s="5">
        <v>880</v>
      </c>
      <c r="CX123" s="5">
        <v>945</v>
      </c>
      <c r="CY123" s="5">
        <v>965</v>
      </c>
      <c r="CZ123" s="5">
        <v>894</v>
      </c>
      <c r="DA123" s="5">
        <v>939</v>
      </c>
      <c r="DB123" s="5">
        <v>890</v>
      </c>
    </row>
    <row r="124" spans="1:106" x14ac:dyDescent="0.25">
      <c r="A124" s="2" t="s">
        <v>26</v>
      </c>
      <c r="B124" s="9">
        <f t="shared" ref="B124:B127" si="36">AVERAGE($G124:$DB124)</f>
        <v>845.82</v>
      </c>
      <c r="C124" s="9">
        <f t="shared" ref="C124:C127" si="37">MEDIAN($G124:$DB124)</f>
        <v>842.5</v>
      </c>
      <c r="D124" s="13">
        <f t="shared" ref="D124:D127" si="38">MAX($G124:$DB124)</f>
        <v>938</v>
      </c>
      <c r="E124" s="13">
        <f t="shared" ref="E124:E127" si="39">MIN($G124:$DB124)</f>
        <v>734</v>
      </c>
      <c r="F124" s="9">
        <f t="shared" ref="F124:F127" si="40">STDEV($G124:$DB124)</f>
        <v>40.71789619696812</v>
      </c>
      <c r="G124" s="5">
        <v>836</v>
      </c>
      <c r="H124" s="5">
        <v>900</v>
      </c>
      <c r="I124" s="5">
        <v>813</v>
      </c>
      <c r="J124" s="5">
        <v>867</v>
      </c>
      <c r="K124" s="5">
        <v>875</v>
      </c>
      <c r="L124" s="5">
        <v>811</v>
      </c>
      <c r="M124" s="5">
        <v>803</v>
      </c>
      <c r="N124" s="5">
        <v>842</v>
      </c>
      <c r="O124" s="5">
        <v>854</v>
      </c>
      <c r="P124" s="5">
        <v>930</v>
      </c>
      <c r="Q124" s="5">
        <v>752</v>
      </c>
      <c r="R124" s="5">
        <v>840</v>
      </c>
      <c r="S124" s="5">
        <v>893</v>
      </c>
      <c r="T124" s="5">
        <v>893</v>
      </c>
      <c r="U124" s="5">
        <v>887</v>
      </c>
      <c r="V124" s="5">
        <v>842</v>
      </c>
      <c r="W124" s="5">
        <v>810</v>
      </c>
      <c r="X124" s="5">
        <v>799</v>
      </c>
      <c r="Y124" s="5">
        <v>867</v>
      </c>
      <c r="Z124" s="5">
        <v>779</v>
      </c>
      <c r="AA124" s="5">
        <v>883</v>
      </c>
      <c r="AB124" s="5">
        <v>859</v>
      </c>
      <c r="AC124" s="5">
        <v>884</v>
      </c>
      <c r="AD124" s="5">
        <v>881</v>
      </c>
      <c r="AE124" s="5">
        <v>837</v>
      </c>
      <c r="AF124" s="5">
        <v>904</v>
      </c>
      <c r="AG124" s="5">
        <v>938</v>
      </c>
      <c r="AH124" s="5">
        <v>841</v>
      </c>
      <c r="AI124" s="5">
        <v>824</v>
      </c>
      <c r="AJ124" s="5">
        <v>782</v>
      </c>
      <c r="AK124" s="5">
        <v>842</v>
      </c>
      <c r="AL124" s="5">
        <v>790</v>
      </c>
      <c r="AM124" s="5">
        <v>822</v>
      </c>
      <c r="AN124" s="5">
        <v>837</v>
      </c>
      <c r="AO124" s="5">
        <v>781</v>
      </c>
      <c r="AP124" s="5">
        <v>818</v>
      </c>
      <c r="AQ124" s="5">
        <v>883</v>
      </c>
      <c r="AR124" s="5">
        <v>797</v>
      </c>
      <c r="AS124" s="5">
        <v>873</v>
      </c>
      <c r="AT124" s="5">
        <v>885</v>
      </c>
      <c r="AU124" s="5">
        <v>895</v>
      </c>
      <c r="AV124" s="5">
        <v>894</v>
      </c>
      <c r="AW124" s="5">
        <v>767</v>
      </c>
      <c r="AX124" s="5">
        <v>828</v>
      </c>
      <c r="AY124" s="5">
        <v>845</v>
      </c>
      <c r="AZ124" s="5">
        <v>819</v>
      </c>
      <c r="BA124" s="5">
        <v>843</v>
      </c>
      <c r="BB124" s="5">
        <v>840</v>
      </c>
      <c r="BC124" s="5">
        <v>844</v>
      </c>
      <c r="BD124" s="5">
        <v>822</v>
      </c>
      <c r="BE124" s="5">
        <v>891</v>
      </c>
      <c r="BF124" s="5">
        <v>785</v>
      </c>
      <c r="BG124" s="5">
        <v>827</v>
      </c>
      <c r="BH124" s="5">
        <v>829</v>
      </c>
      <c r="BI124" s="5">
        <v>846</v>
      </c>
      <c r="BJ124" s="5">
        <v>779</v>
      </c>
      <c r="BK124" s="5">
        <v>827</v>
      </c>
      <c r="BL124" s="5">
        <v>808</v>
      </c>
      <c r="BM124" s="5">
        <v>925</v>
      </c>
      <c r="BN124" s="5">
        <v>876</v>
      </c>
      <c r="BO124" s="5">
        <v>887</v>
      </c>
      <c r="BP124" s="5">
        <v>802</v>
      </c>
      <c r="BQ124" s="5">
        <v>823</v>
      </c>
      <c r="BR124" s="5">
        <v>734</v>
      </c>
      <c r="BS124" s="5">
        <v>868</v>
      </c>
      <c r="BT124" s="5">
        <v>852</v>
      </c>
      <c r="BU124" s="5">
        <v>846</v>
      </c>
      <c r="BV124" s="5">
        <v>863</v>
      </c>
      <c r="BW124" s="5">
        <v>835</v>
      </c>
      <c r="BX124" s="5">
        <v>822</v>
      </c>
      <c r="BY124" s="5">
        <v>858</v>
      </c>
      <c r="BZ124" s="5">
        <v>919</v>
      </c>
      <c r="CA124" s="5">
        <v>843</v>
      </c>
      <c r="CB124" s="5">
        <v>849</v>
      </c>
      <c r="CC124" s="5">
        <v>866</v>
      </c>
      <c r="CD124" s="5">
        <v>787</v>
      </c>
      <c r="CE124" s="5">
        <v>839</v>
      </c>
      <c r="CF124" s="5">
        <v>845</v>
      </c>
      <c r="CG124" s="5">
        <v>883</v>
      </c>
      <c r="CH124" s="5">
        <v>832</v>
      </c>
      <c r="CI124" s="5">
        <v>838</v>
      </c>
      <c r="CJ124" s="5">
        <v>885</v>
      </c>
      <c r="CK124" s="5">
        <v>828</v>
      </c>
      <c r="CL124" s="5">
        <v>900</v>
      </c>
      <c r="CM124" s="5">
        <v>905</v>
      </c>
      <c r="CN124" s="5">
        <v>823</v>
      </c>
      <c r="CO124" s="5">
        <v>828</v>
      </c>
      <c r="CP124" s="5">
        <v>833</v>
      </c>
      <c r="CQ124" s="5">
        <v>863</v>
      </c>
      <c r="CR124" s="5">
        <v>855</v>
      </c>
      <c r="CS124" s="5">
        <v>791</v>
      </c>
      <c r="CT124" s="5">
        <v>893</v>
      </c>
      <c r="CU124" s="5">
        <v>897</v>
      </c>
      <c r="CV124" s="5">
        <v>890</v>
      </c>
      <c r="CW124" s="5">
        <v>891</v>
      </c>
      <c r="CX124" s="5">
        <v>828</v>
      </c>
      <c r="CY124" s="5">
        <v>780</v>
      </c>
      <c r="CZ124" s="5">
        <v>854</v>
      </c>
      <c r="DA124" s="5">
        <v>880</v>
      </c>
      <c r="DB124" s="5">
        <v>823</v>
      </c>
    </row>
    <row r="125" spans="1:106" x14ac:dyDescent="0.25">
      <c r="A125" s="2" t="s">
        <v>25</v>
      </c>
      <c r="B125" s="9">
        <f t="shared" si="36"/>
        <v>828.94</v>
      </c>
      <c r="C125" s="9">
        <f t="shared" si="37"/>
        <v>826.5</v>
      </c>
      <c r="D125" s="13">
        <f t="shared" si="38"/>
        <v>917</v>
      </c>
      <c r="E125" s="13">
        <f t="shared" si="39"/>
        <v>733</v>
      </c>
      <c r="F125" s="9">
        <f t="shared" si="40"/>
        <v>39.817467361331609</v>
      </c>
      <c r="G125" s="5">
        <v>829</v>
      </c>
      <c r="H125" s="5">
        <v>800</v>
      </c>
      <c r="I125" s="5">
        <v>842</v>
      </c>
      <c r="J125" s="5">
        <v>749</v>
      </c>
      <c r="K125" s="5">
        <v>819</v>
      </c>
      <c r="L125" s="5">
        <v>775</v>
      </c>
      <c r="M125" s="5">
        <v>809</v>
      </c>
      <c r="N125" s="5">
        <v>811</v>
      </c>
      <c r="O125" s="5">
        <v>874</v>
      </c>
      <c r="P125" s="5">
        <v>880</v>
      </c>
      <c r="Q125" s="5">
        <v>819</v>
      </c>
      <c r="R125" s="5">
        <v>794</v>
      </c>
      <c r="S125" s="5">
        <v>858</v>
      </c>
      <c r="T125" s="5">
        <v>833</v>
      </c>
      <c r="U125" s="5">
        <v>769</v>
      </c>
      <c r="V125" s="5">
        <v>744</v>
      </c>
      <c r="W125" s="5">
        <v>810</v>
      </c>
      <c r="X125" s="5">
        <v>813</v>
      </c>
      <c r="Y125" s="5">
        <v>818</v>
      </c>
      <c r="Z125" s="5">
        <v>822</v>
      </c>
      <c r="AA125" s="5">
        <v>733</v>
      </c>
      <c r="AB125" s="5">
        <v>773</v>
      </c>
      <c r="AC125" s="5">
        <v>851</v>
      </c>
      <c r="AD125" s="5">
        <v>780</v>
      </c>
      <c r="AE125" s="5">
        <v>884</v>
      </c>
      <c r="AF125" s="5">
        <v>847</v>
      </c>
      <c r="AG125" s="5">
        <v>855</v>
      </c>
      <c r="AH125" s="5">
        <v>861</v>
      </c>
      <c r="AI125" s="5">
        <v>788</v>
      </c>
      <c r="AJ125" s="5">
        <v>833</v>
      </c>
      <c r="AK125" s="5">
        <v>847</v>
      </c>
      <c r="AL125" s="5">
        <v>792</v>
      </c>
      <c r="AM125" s="5">
        <v>775</v>
      </c>
      <c r="AN125" s="5">
        <v>792</v>
      </c>
      <c r="AO125" s="5">
        <v>813</v>
      </c>
      <c r="AP125" s="5">
        <v>846</v>
      </c>
      <c r="AQ125" s="5">
        <v>863</v>
      </c>
      <c r="AR125" s="5">
        <v>823</v>
      </c>
      <c r="AS125" s="5">
        <v>836</v>
      </c>
      <c r="AT125" s="5">
        <v>839</v>
      </c>
      <c r="AU125" s="5">
        <v>852</v>
      </c>
      <c r="AV125" s="5">
        <v>853</v>
      </c>
      <c r="AW125" s="5">
        <v>815</v>
      </c>
      <c r="AX125" s="5">
        <v>882</v>
      </c>
      <c r="AY125" s="5">
        <v>797</v>
      </c>
      <c r="AZ125" s="5">
        <v>902</v>
      </c>
      <c r="BA125" s="5">
        <v>897</v>
      </c>
      <c r="BB125" s="5">
        <v>854</v>
      </c>
      <c r="BC125" s="5">
        <v>822</v>
      </c>
      <c r="BD125" s="5">
        <v>861</v>
      </c>
      <c r="BE125" s="5">
        <v>856</v>
      </c>
      <c r="BF125" s="5">
        <v>811</v>
      </c>
      <c r="BG125" s="5">
        <v>897</v>
      </c>
      <c r="BH125" s="5">
        <v>828</v>
      </c>
      <c r="BI125" s="5">
        <v>899</v>
      </c>
      <c r="BJ125" s="5">
        <v>802</v>
      </c>
      <c r="BK125" s="5">
        <v>862</v>
      </c>
      <c r="BL125" s="5">
        <v>880</v>
      </c>
      <c r="BM125" s="5">
        <v>814</v>
      </c>
      <c r="BN125" s="5">
        <v>797</v>
      </c>
      <c r="BO125" s="5">
        <v>806</v>
      </c>
      <c r="BP125" s="5">
        <v>850</v>
      </c>
      <c r="BQ125" s="5">
        <v>917</v>
      </c>
      <c r="BR125" s="5">
        <v>802</v>
      </c>
      <c r="BS125" s="5">
        <v>826</v>
      </c>
      <c r="BT125" s="5">
        <v>864</v>
      </c>
      <c r="BU125" s="5">
        <v>859</v>
      </c>
      <c r="BV125" s="5">
        <v>870</v>
      </c>
      <c r="BW125" s="5">
        <v>878</v>
      </c>
      <c r="BX125" s="5">
        <v>880</v>
      </c>
      <c r="BY125" s="5">
        <v>836</v>
      </c>
      <c r="BZ125" s="5">
        <v>804</v>
      </c>
      <c r="CA125" s="5">
        <v>850</v>
      </c>
      <c r="CB125" s="5">
        <v>816</v>
      </c>
      <c r="CC125" s="5">
        <v>827</v>
      </c>
      <c r="CD125" s="5">
        <v>804</v>
      </c>
      <c r="CE125" s="5">
        <v>822</v>
      </c>
      <c r="CF125" s="5">
        <v>872</v>
      </c>
      <c r="CG125" s="5">
        <v>822</v>
      </c>
      <c r="CH125" s="5">
        <v>785</v>
      </c>
      <c r="CI125" s="5">
        <v>797</v>
      </c>
      <c r="CJ125" s="5">
        <v>805</v>
      </c>
      <c r="CK125" s="5">
        <v>773</v>
      </c>
      <c r="CL125" s="5">
        <v>748</v>
      </c>
      <c r="CM125" s="5">
        <v>750</v>
      </c>
      <c r="CN125" s="5">
        <v>851</v>
      </c>
      <c r="CO125" s="5">
        <v>780</v>
      </c>
      <c r="CP125" s="5">
        <v>917</v>
      </c>
      <c r="CQ125" s="5">
        <v>826</v>
      </c>
      <c r="CR125" s="5">
        <v>872</v>
      </c>
      <c r="CS125" s="5">
        <v>794</v>
      </c>
      <c r="CT125" s="5">
        <v>836</v>
      </c>
      <c r="CU125" s="5">
        <v>797</v>
      </c>
      <c r="CV125" s="5">
        <v>860</v>
      </c>
      <c r="CW125" s="5">
        <v>883</v>
      </c>
      <c r="CX125" s="5">
        <v>784</v>
      </c>
      <c r="CY125" s="5">
        <v>845</v>
      </c>
      <c r="CZ125" s="5">
        <v>801</v>
      </c>
      <c r="DA125" s="5">
        <v>859</v>
      </c>
      <c r="DB125" s="5">
        <v>846</v>
      </c>
    </row>
    <row r="126" spans="1:106" x14ac:dyDescent="0.25">
      <c r="A126" s="2" t="s">
        <v>28</v>
      </c>
      <c r="B126" s="9">
        <f t="shared" si="36"/>
        <v>720.33</v>
      </c>
      <c r="C126" s="9">
        <f t="shared" si="37"/>
        <v>720</v>
      </c>
      <c r="D126" s="13">
        <f t="shared" si="38"/>
        <v>828</v>
      </c>
      <c r="E126" s="13">
        <f t="shared" si="39"/>
        <v>634</v>
      </c>
      <c r="F126" s="9">
        <f t="shared" si="40"/>
        <v>40.355755100071775</v>
      </c>
      <c r="G126" s="5">
        <v>746</v>
      </c>
      <c r="H126" s="5">
        <v>699</v>
      </c>
      <c r="I126" s="5">
        <v>745</v>
      </c>
      <c r="J126" s="5">
        <v>671</v>
      </c>
      <c r="K126" s="5">
        <v>739</v>
      </c>
      <c r="L126" s="5">
        <v>705</v>
      </c>
      <c r="M126" s="5">
        <v>715</v>
      </c>
      <c r="N126" s="5">
        <v>726</v>
      </c>
      <c r="O126" s="5">
        <v>679</v>
      </c>
      <c r="P126" s="5">
        <v>698</v>
      </c>
      <c r="Q126" s="5">
        <v>724</v>
      </c>
      <c r="R126" s="5">
        <v>682</v>
      </c>
      <c r="S126" s="5">
        <v>662</v>
      </c>
      <c r="T126" s="5">
        <v>690</v>
      </c>
      <c r="U126" s="5">
        <v>816</v>
      </c>
      <c r="V126" s="5">
        <v>679</v>
      </c>
      <c r="W126" s="5">
        <v>747</v>
      </c>
      <c r="X126" s="5">
        <v>634</v>
      </c>
      <c r="Y126" s="5">
        <v>770</v>
      </c>
      <c r="Z126" s="5">
        <v>736</v>
      </c>
      <c r="AA126" s="5">
        <v>733</v>
      </c>
      <c r="AB126" s="5">
        <v>757</v>
      </c>
      <c r="AC126" s="5">
        <v>778</v>
      </c>
      <c r="AD126" s="5">
        <v>673</v>
      </c>
      <c r="AE126" s="5">
        <v>781</v>
      </c>
      <c r="AF126" s="5">
        <v>672</v>
      </c>
      <c r="AG126" s="5">
        <v>700</v>
      </c>
      <c r="AH126" s="5">
        <v>771</v>
      </c>
      <c r="AI126" s="5">
        <v>675</v>
      </c>
      <c r="AJ126" s="5">
        <v>754</v>
      </c>
      <c r="AK126" s="5">
        <v>714</v>
      </c>
      <c r="AL126" s="5">
        <v>757</v>
      </c>
      <c r="AM126" s="5">
        <v>657</v>
      </c>
      <c r="AN126" s="5">
        <v>672</v>
      </c>
      <c r="AO126" s="5">
        <v>674</v>
      </c>
      <c r="AP126" s="5">
        <v>680</v>
      </c>
      <c r="AQ126" s="5">
        <v>755</v>
      </c>
      <c r="AR126" s="5">
        <v>736</v>
      </c>
      <c r="AS126" s="5">
        <v>778</v>
      </c>
      <c r="AT126" s="5">
        <v>714</v>
      </c>
      <c r="AU126" s="5">
        <v>686</v>
      </c>
      <c r="AV126" s="5">
        <v>740</v>
      </c>
      <c r="AW126" s="5">
        <v>743</v>
      </c>
      <c r="AX126" s="5">
        <v>710</v>
      </c>
      <c r="AY126" s="5">
        <v>721</v>
      </c>
      <c r="AZ126" s="5">
        <v>741</v>
      </c>
      <c r="BA126" s="5">
        <v>721</v>
      </c>
      <c r="BB126" s="5">
        <v>719</v>
      </c>
      <c r="BC126" s="5">
        <v>800</v>
      </c>
      <c r="BD126" s="5">
        <v>739</v>
      </c>
      <c r="BE126" s="5">
        <v>696</v>
      </c>
      <c r="BF126" s="5">
        <v>711</v>
      </c>
      <c r="BG126" s="5">
        <v>718</v>
      </c>
      <c r="BH126" s="5">
        <v>703</v>
      </c>
      <c r="BI126" s="5">
        <v>672</v>
      </c>
      <c r="BJ126" s="5">
        <v>702</v>
      </c>
      <c r="BK126" s="5">
        <v>723</v>
      </c>
      <c r="BL126" s="5">
        <v>723</v>
      </c>
      <c r="BM126" s="5">
        <v>720</v>
      </c>
      <c r="BN126" s="5">
        <v>785</v>
      </c>
      <c r="BO126" s="5">
        <v>699</v>
      </c>
      <c r="BP126" s="5">
        <v>735</v>
      </c>
      <c r="BQ126" s="5">
        <v>678</v>
      </c>
      <c r="BR126" s="5">
        <v>799</v>
      </c>
      <c r="BS126" s="5">
        <v>692</v>
      </c>
      <c r="BT126" s="5">
        <v>738</v>
      </c>
      <c r="BU126" s="5">
        <v>689</v>
      </c>
      <c r="BV126" s="5">
        <v>728</v>
      </c>
      <c r="BW126" s="5">
        <v>669</v>
      </c>
      <c r="BX126" s="5">
        <v>807</v>
      </c>
      <c r="BY126" s="5">
        <v>693</v>
      </c>
      <c r="BZ126" s="5">
        <v>656</v>
      </c>
      <c r="CA126" s="5">
        <v>678</v>
      </c>
      <c r="CB126" s="5">
        <v>732</v>
      </c>
      <c r="CC126" s="5">
        <v>667</v>
      </c>
      <c r="CD126" s="5">
        <v>674</v>
      </c>
      <c r="CE126" s="5">
        <v>681</v>
      </c>
      <c r="CF126" s="5">
        <v>797</v>
      </c>
      <c r="CG126" s="5">
        <v>749</v>
      </c>
      <c r="CH126" s="5">
        <v>721</v>
      </c>
      <c r="CI126" s="5">
        <v>708</v>
      </c>
      <c r="CJ126" s="5">
        <v>689</v>
      </c>
      <c r="CK126" s="5">
        <v>726</v>
      </c>
      <c r="CL126" s="5">
        <v>712</v>
      </c>
      <c r="CM126" s="5">
        <v>828</v>
      </c>
      <c r="CN126" s="5">
        <v>772</v>
      </c>
      <c r="CO126" s="5">
        <v>678</v>
      </c>
      <c r="CP126" s="5">
        <v>743</v>
      </c>
      <c r="CQ126" s="5">
        <v>720</v>
      </c>
      <c r="CR126" s="5">
        <v>802</v>
      </c>
      <c r="CS126" s="5">
        <v>662</v>
      </c>
      <c r="CT126" s="5">
        <v>720</v>
      </c>
      <c r="CU126" s="5">
        <v>768</v>
      </c>
      <c r="CV126" s="5">
        <v>737</v>
      </c>
      <c r="CW126" s="5">
        <v>752</v>
      </c>
      <c r="CX126" s="5">
        <v>702</v>
      </c>
      <c r="CY126" s="5">
        <v>714</v>
      </c>
      <c r="CZ126" s="5">
        <v>732</v>
      </c>
      <c r="DA126" s="5">
        <v>690</v>
      </c>
      <c r="DB126" s="5">
        <v>729</v>
      </c>
    </row>
    <row r="127" spans="1:106" x14ac:dyDescent="0.25">
      <c r="A127" s="2" t="s">
        <v>27</v>
      </c>
      <c r="B127" s="9">
        <f t="shared" si="36"/>
        <v>793.06</v>
      </c>
      <c r="C127" s="9">
        <f t="shared" si="37"/>
        <v>793.5</v>
      </c>
      <c r="D127" s="13">
        <f t="shared" si="38"/>
        <v>872</v>
      </c>
      <c r="E127" s="13">
        <f t="shared" si="39"/>
        <v>694</v>
      </c>
      <c r="F127" s="9">
        <f t="shared" si="40"/>
        <v>38.76497950939271</v>
      </c>
      <c r="G127" s="5">
        <v>789</v>
      </c>
      <c r="H127" s="5">
        <v>806</v>
      </c>
      <c r="I127" s="5">
        <v>787</v>
      </c>
      <c r="J127" s="5">
        <v>778</v>
      </c>
      <c r="K127" s="5">
        <v>788</v>
      </c>
      <c r="L127" s="5">
        <v>815</v>
      </c>
      <c r="M127" s="5">
        <v>830</v>
      </c>
      <c r="N127" s="5">
        <v>804</v>
      </c>
      <c r="O127" s="5">
        <v>814</v>
      </c>
      <c r="P127" s="5">
        <v>807</v>
      </c>
      <c r="Q127" s="5">
        <v>733</v>
      </c>
      <c r="R127" s="5">
        <v>842</v>
      </c>
      <c r="S127" s="5">
        <v>825</v>
      </c>
      <c r="T127" s="5">
        <v>719</v>
      </c>
      <c r="U127" s="5">
        <v>767</v>
      </c>
      <c r="V127" s="5">
        <v>779</v>
      </c>
      <c r="W127" s="5">
        <v>765</v>
      </c>
      <c r="X127" s="5">
        <v>758</v>
      </c>
      <c r="Y127" s="5">
        <v>826</v>
      </c>
      <c r="Z127" s="5">
        <v>856</v>
      </c>
      <c r="AA127" s="5">
        <v>796</v>
      </c>
      <c r="AB127" s="5">
        <v>723</v>
      </c>
      <c r="AC127" s="5">
        <v>730</v>
      </c>
      <c r="AD127" s="5">
        <v>777</v>
      </c>
      <c r="AE127" s="5">
        <v>694</v>
      </c>
      <c r="AF127" s="5">
        <v>867</v>
      </c>
      <c r="AG127" s="5">
        <v>793</v>
      </c>
      <c r="AH127" s="5">
        <v>762</v>
      </c>
      <c r="AI127" s="5">
        <v>811</v>
      </c>
      <c r="AJ127" s="5">
        <v>834</v>
      </c>
      <c r="AK127" s="5">
        <v>747</v>
      </c>
      <c r="AL127" s="5">
        <v>763</v>
      </c>
      <c r="AM127" s="5">
        <v>750</v>
      </c>
      <c r="AN127" s="5">
        <v>793</v>
      </c>
      <c r="AO127" s="5">
        <v>793</v>
      </c>
      <c r="AP127" s="5">
        <v>797</v>
      </c>
      <c r="AQ127" s="5">
        <v>715</v>
      </c>
      <c r="AR127" s="5">
        <v>729</v>
      </c>
      <c r="AS127" s="5">
        <v>800</v>
      </c>
      <c r="AT127" s="5">
        <v>810</v>
      </c>
      <c r="AU127" s="5">
        <v>765</v>
      </c>
      <c r="AV127" s="5">
        <v>757</v>
      </c>
      <c r="AW127" s="5">
        <v>808</v>
      </c>
      <c r="AX127" s="5">
        <v>754</v>
      </c>
      <c r="AY127" s="5">
        <v>792</v>
      </c>
      <c r="AZ127" s="5">
        <v>826</v>
      </c>
      <c r="BA127" s="5">
        <v>872</v>
      </c>
      <c r="BB127" s="5">
        <v>825</v>
      </c>
      <c r="BC127" s="5">
        <v>781</v>
      </c>
      <c r="BD127" s="5">
        <v>814</v>
      </c>
      <c r="BE127" s="5">
        <v>838</v>
      </c>
      <c r="BF127" s="5">
        <v>788</v>
      </c>
      <c r="BG127" s="5">
        <v>790</v>
      </c>
      <c r="BH127" s="5">
        <v>797</v>
      </c>
      <c r="BI127" s="5">
        <v>757</v>
      </c>
      <c r="BJ127" s="5">
        <v>782</v>
      </c>
      <c r="BK127" s="5">
        <v>791</v>
      </c>
      <c r="BL127" s="5">
        <v>825</v>
      </c>
      <c r="BM127" s="5">
        <v>747</v>
      </c>
      <c r="BN127" s="5">
        <v>820</v>
      </c>
      <c r="BO127" s="5">
        <v>817</v>
      </c>
      <c r="BP127" s="5">
        <v>802</v>
      </c>
      <c r="BQ127" s="5">
        <v>858</v>
      </c>
      <c r="BR127" s="5">
        <v>798</v>
      </c>
      <c r="BS127" s="5">
        <v>796</v>
      </c>
      <c r="BT127" s="5">
        <v>775</v>
      </c>
      <c r="BU127" s="5">
        <v>852</v>
      </c>
      <c r="BV127" s="5">
        <v>726</v>
      </c>
      <c r="BW127" s="5">
        <v>735</v>
      </c>
      <c r="BX127" s="5">
        <v>841</v>
      </c>
      <c r="BY127" s="5">
        <v>760</v>
      </c>
      <c r="BZ127" s="5">
        <v>759</v>
      </c>
      <c r="CA127" s="5">
        <v>830</v>
      </c>
      <c r="CB127" s="5">
        <v>828</v>
      </c>
      <c r="CC127" s="5">
        <v>781</v>
      </c>
      <c r="CD127" s="5">
        <v>752</v>
      </c>
      <c r="CE127" s="5">
        <v>749</v>
      </c>
      <c r="CF127" s="5">
        <v>778</v>
      </c>
      <c r="CG127" s="5">
        <v>840</v>
      </c>
      <c r="CH127" s="5">
        <v>765</v>
      </c>
      <c r="CI127" s="5">
        <v>794</v>
      </c>
      <c r="CJ127" s="5">
        <v>824</v>
      </c>
      <c r="CK127" s="5">
        <v>835</v>
      </c>
      <c r="CL127" s="5">
        <v>728</v>
      </c>
      <c r="CM127" s="5">
        <v>830</v>
      </c>
      <c r="CN127" s="5">
        <v>804</v>
      </c>
      <c r="CO127" s="5">
        <v>777</v>
      </c>
      <c r="CP127" s="5">
        <v>778</v>
      </c>
      <c r="CQ127" s="5">
        <v>802</v>
      </c>
      <c r="CR127" s="5">
        <v>870</v>
      </c>
      <c r="CS127" s="5">
        <v>840</v>
      </c>
      <c r="CT127" s="5">
        <v>825</v>
      </c>
      <c r="CU127" s="5">
        <v>823</v>
      </c>
      <c r="CV127" s="5">
        <v>793</v>
      </c>
      <c r="CW127" s="5">
        <v>750</v>
      </c>
      <c r="CX127" s="5">
        <v>826</v>
      </c>
      <c r="CY127" s="5">
        <v>748</v>
      </c>
      <c r="CZ127" s="5">
        <v>845</v>
      </c>
      <c r="DA127" s="5">
        <v>810</v>
      </c>
      <c r="DB127" s="5">
        <v>861</v>
      </c>
    </row>
    <row r="128" spans="1:106" x14ac:dyDescent="0.25">
      <c r="A128" s="3" t="s">
        <v>30</v>
      </c>
      <c r="B128" s="8"/>
      <c r="C128" s="8"/>
      <c r="D128" s="12"/>
      <c r="E128" s="12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</row>
    <row r="129" spans="1:106" x14ac:dyDescent="0.25">
      <c r="A129" s="2" t="s">
        <v>8</v>
      </c>
      <c r="B129" s="9">
        <f>AVERAGE($G129:$DB129)</f>
        <v>872.77</v>
      </c>
      <c r="C129" s="9">
        <f>MEDIAN($G129:$DB129)</f>
        <v>868</v>
      </c>
      <c r="D129" s="13">
        <f>MAX($G129:$DB129)</f>
        <v>960</v>
      </c>
      <c r="E129" s="13">
        <f>MIN($G129:$DB129)</f>
        <v>760</v>
      </c>
      <c r="F129" s="9">
        <f>STDEV($G129:$DB129)</f>
        <v>42.337951310994256</v>
      </c>
      <c r="G129" s="5">
        <v>821</v>
      </c>
      <c r="H129" s="5">
        <v>937</v>
      </c>
      <c r="I129" s="5">
        <v>878</v>
      </c>
      <c r="J129" s="5">
        <v>927</v>
      </c>
      <c r="K129" s="5">
        <v>871</v>
      </c>
      <c r="L129" s="5">
        <v>936</v>
      </c>
      <c r="M129" s="5">
        <v>813</v>
      </c>
      <c r="N129" s="5">
        <v>900</v>
      </c>
      <c r="O129" s="5">
        <v>902</v>
      </c>
      <c r="P129" s="5">
        <v>924</v>
      </c>
      <c r="Q129" s="5">
        <v>960</v>
      </c>
      <c r="R129" s="5">
        <v>852</v>
      </c>
      <c r="S129" s="5">
        <v>928</v>
      </c>
      <c r="T129" s="5">
        <v>847</v>
      </c>
      <c r="U129" s="5">
        <v>908</v>
      </c>
      <c r="V129" s="5">
        <v>948</v>
      </c>
      <c r="W129" s="5">
        <v>859</v>
      </c>
      <c r="X129" s="5">
        <v>856</v>
      </c>
      <c r="Y129" s="5">
        <v>827</v>
      </c>
      <c r="Z129" s="5">
        <v>866</v>
      </c>
      <c r="AA129" s="5">
        <v>898</v>
      </c>
      <c r="AB129" s="5">
        <v>928</v>
      </c>
      <c r="AC129" s="5">
        <v>867</v>
      </c>
      <c r="AD129" s="5">
        <v>903</v>
      </c>
      <c r="AE129" s="5">
        <v>824</v>
      </c>
      <c r="AF129" s="5">
        <v>802</v>
      </c>
      <c r="AG129" s="5">
        <v>843</v>
      </c>
      <c r="AH129" s="5">
        <v>835</v>
      </c>
      <c r="AI129" s="5">
        <v>922</v>
      </c>
      <c r="AJ129" s="5">
        <v>914</v>
      </c>
      <c r="AK129" s="5">
        <v>866</v>
      </c>
      <c r="AL129" s="5">
        <v>866</v>
      </c>
      <c r="AM129" s="5">
        <v>923</v>
      </c>
      <c r="AN129" s="5">
        <v>918</v>
      </c>
      <c r="AO129" s="5">
        <v>829</v>
      </c>
      <c r="AP129" s="5">
        <v>876</v>
      </c>
      <c r="AQ129" s="5">
        <v>899</v>
      </c>
      <c r="AR129" s="5">
        <v>818</v>
      </c>
      <c r="AS129" s="5">
        <v>850</v>
      </c>
      <c r="AT129" s="5">
        <v>844</v>
      </c>
      <c r="AU129" s="5">
        <v>850</v>
      </c>
      <c r="AV129" s="5">
        <v>857</v>
      </c>
      <c r="AW129" s="5">
        <v>841</v>
      </c>
      <c r="AX129" s="5">
        <v>855</v>
      </c>
      <c r="AY129" s="5">
        <v>843</v>
      </c>
      <c r="AZ129" s="5">
        <v>916</v>
      </c>
      <c r="BA129" s="5">
        <v>778</v>
      </c>
      <c r="BB129" s="5">
        <v>918</v>
      </c>
      <c r="BC129" s="5">
        <v>864</v>
      </c>
      <c r="BD129" s="5">
        <v>781</v>
      </c>
      <c r="BE129" s="5">
        <v>831</v>
      </c>
      <c r="BF129" s="5">
        <v>868</v>
      </c>
      <c r="BG129" s="5">
        <v>843</v>
      </c>
      <c r="BH129" s="5">
        <v>835</v>
      </c>
      <c r="BI129" s="5">
        <v>840</v>
      </c>
      <c r="BJ129" s="5">
        <v>927</v>
      </c>
      <c r="BK129" s="5">
        <v>856</v>
      </c>
      <c r="BL129" s="5">
        <v>894</v>
      </c>
      <c r="BM129" s="5">
        <v>921</v>
      </c>
      <c r="BN129" s="5">
        <v>801</v>
      </c>
      <c r="BO129" s="5">
        <v>890</v>
      </c>
      <c r="BP129" s="5">
        <v>914</v>
      </c>
      <c r="BQ129" s="5">
        <v>928</v>
      </c>
      <c r="BR129" s="5">
        <v>922</v>
      </c>
      <c r="BS129" s="5">
        <v>911</v>
      </c>
      <c r="BT129" s="5">
        <v>855</v>
      </c>
      <c r="BU129" s="5">
        <v>896</v>
      </c>
      <c r="BV129" s="5">
        <v>843</v>
      </c>
      <c r="BW129" s="5">
        <v>840</v>
      </c>
      <c r="BX129" s="5">
        <v>861</v>
      </c>
      <c r="BY129" s="5">
        <v>851</v>
      </c>
      <c r="BZ129" s="5">
        <v>888</v>
      </c>
      <c r="CA129" s="5">
        <v>881</v>
      </c>
      <c r="CB129" s="5">
        <v>760</v>
      </c>
      <c r="CC129" s="5">
        <v>801</v>
      </c>
      <c r="CD129" s="5">
        <v>836</v>
      </c>
      <c r="CE129" s="5">
        <v>921</v>
      </c>
      <c r="CF129" s="5">
        <v>886</v>
      </c>
      <c r="CG129" s="5">
        <v>865</v>
      </c>
      <c r="CH129" s="5">
        <v>915</v>
      </c>
      <c r="CI129" s="5">
        <v>866</v>
      </c>
      <c r="CJ129" s="5">
        <v>882</v>
      </c>
      <c r="CK129" s="5">
        <v>861</v>
      </c>
      <c r="CL129" s="5">
        <v>873</v>
      </c>
      <c r="CM129" s="5">
        <v>832</v>
      </c>
      <c r="CN129" s="5">
        <v>873</v>
      </c>
      <c r="CO129" s="5">
        <v>870</v>
      </c>
      <c r="CP129" s="5">
        <v>904</v>
      </c>
      <c r="CQ129" s="5">
        <v>808</v>
      </c>
      <c r="CR129" s="5">
        <v>960</v>
      </c>
      <c r="CS129" s="5">
        <v>888</v>
      </c>
      <c r="CT129" s="5">
        <v>821</v>
      </c>
      <c r="CU129" s="5">
        <v>910</v>
      </c>
      <c r="CV129" s="5">
        <v>924</v>
      </c>
      <c r="CW129" s="5">
        <v>868</v>
      </c>
      <c r="CX129" s="5">
        <v>898</v>
      </c>
      <c r="CY129" s="5">
        <v>855</v>
      </c>
      <c r="CZ129" s="5">
        <v>868</v>
      </c>
      <c r="DA129" s="5">
        <v>824</v>
      </c>
      <c r="DB129" s="5">
        <v>924</v>
      </c>
    </row>
    <row r="130" spans="1:106" x14ac:dyDescent="0.25">
      <c r="A130" s="2" t="s">
        <v>13</v>
      </c>
      <c r="B130" s="9">
        <f t="shared" ref="B130:B133" si="41">AVERAGE($G130:$DB130)</f>
        <v>815.2</v>
      </c>
      <c r="C130" s="9">
        <f t="shared" ref="C130:C133" si="42">MEDIAN($G130:$DB130)</f>
        <v>816</v>
      </c>
      <c r="D130" s="13">
        <f t="shared" ref="D130:D133" si="43">MAX($G130:$DB130)</f>
        <v>888</v>
      </c>
      <c r="E130" s="13">
        <f t="shared" ref="E130:E133" si="44">MIN($G130:$DB130)</f>
        <v>729</v>
      </c>
      <c r="F130" s="9">
        <f t="shared" ref="F130:F133" si="45">STDEV($G130:$DB130)</f>
        <v>37.074317937152273</v>
      </c>
      <c r="G130" s="5">
        <v>815</v>
      </c>
      <c r="H130" s="5">
        <v>838</v>
      </c>
      <c r="I130" s="5">
        <v>825</v>
      </c>
      <c r="J130" s="5">
        <v>866</v>
      </c>
      <c r="K130" s="5">
        <v>799</v>
      </c>
      <c r="L130" s="5">
        <v>763</v>
      </c>
      <c r="M130" s="5">
        <v>824</v>
      </c>
      <c r="N130" s="5">
        <v>805</v>
      </c>
      <c r="O130" s="5">
        <v>782</v>
      </c>
      <c r="P130" s="5">
        <v>855</v>
      </c>
      <c r="Q130" s="5">
        <v>846</v>
      </c>
      <c r="R130" s="5">
        <v>818</v>
      </c>
      <c r="S130" s="5">
        <v>772</v>
      </c>
      <c r="T130" s="5">
        <v>858</v>
      </c>
      <c r="U130" s="5">
        <v>742</v>
      </c>
      <c r="V130" s="5">
        <v>767</v>
      </c>
      <c r="W130" s="5">
        <v>793</v>
      </c>
      <c r="X130" s="5">
        <v>846</v>
      </c>
      <c r="Y130" s="5">
        <v>817</v>
      </c>
      <c r="Z130" s="5">
        <v>825</v>
      </c>
      <c r="AA130" s="5">
        <v>839</v>
      </c>
      <c r="AB130" s="5">
        <v>756</v>
      </c>
      <c r="AC130" s="5">
        <v>784</v>
      </c>
      <c r="AD130" s="5">
        <v>888</v>
      </c>
      <c r="AE130" s="5">
        <v>818</v>
      </c>
      <c r="AF130" s="5">
        <v>761</v>
      </c>
      <c r="AG130" s="5">
        <v>843</v>
      </c>
      <c r="AH130" s="5">
        <v>760</v>
      </c>
      <c r="AI130" s="5">
        <v>851</v>
      </c>
      <c r="AJ130" s="5">
        <v>811</v>
      </c>
      <c r="AK130" s="5">
        <v>798</v>
      </c>
      <c r="AL130" s="5">
        <v>822</v>
      </c>
      <c r="AM130" s="5">
        <v>765</v>
      </c>
      <c r="AN130" s="5">
        <v>830</v>
      </c>
      <c r="AO130" s="5">
        <v>790</v>
      </c>
      <c r="AP130" s="5">
        <v>755</v>
      </c>
      <c r="AQ130" s="5">
        <v>856</v>
      </c>
      <c r="AR130" s="5">
        <v>859</v>
      </c>
      <c r="AS130" s="5">
        <v>757</v>
      </c>
      <c r="AT130" s="5">
        <v>800</v>
      </c>
      <c r="AU130" s="5">
        <v>801</v>
      </c>
      <c r="AV130" s="5">
        <v>846</v>
      </c>
      <c r="AW130" s="5">
        <v>765</v>
      </c>
      <c r="AX130" s="5">
        <v>841</v>
      </c>
      <c r="AY130" s="5">
        <v>808</v>
      </c>
      <c r="AZ130" s="5">
        <v>843</v>
      </c>
      <c r="BA130" s="5">
        <v>765</v>
      </c>
      <c r="BB130" s="5">
        <v>798</v>
      </c>
      <c r="BC130" s="5">
        <v>859</v>
      </c>
      <c r="BD130" s="5">
        <v>812</v>
      </c>
      <c r="BE130" s="5">
        <v>853</v>
      </c>
      <c r="BF130" s="5">
        <v>787</v>
      </c>
      <c r="BG130" s="5">
        <v>780</v>
      </c>
      <c r="BH130" s="5">
        <v>735</v>
      </c>
      <c r="BI130" s="5">
        <v>866</v>
      </c>
      <c r="BJ130" s="5">
        <v>815</v>
      </c>
      <c r="BK130" s="5">
        <v>836</v>
      </c>
      <c r="BL130" s="5">
        <v>840</v>
      </c>
      <c r="BM130" s="5">
        <v>857</v>
      </c>
      <c r="BN130" s="5">
        <v>865</v>
      </c>
      <c r="BO130" s="5">
        <v>812</v>
      </c>
      <c r="BP130" s="5">
        <v>862</v>
      </c>
      <c r="BQ130" s="5">
        <v>824</v>
      </c>
      <c r="BR130" s="5">
        <v>852</v>
      </c>
      <c r="BS130" s="5">
        <v>824</v>
      </c>
      <c r="BT130" s="5">
        <v>845</v>
      </c>
      <c r="BU130" s="5">
        <v>800</v>
      </c>
      <c r="BV130" s="5">
        <v>800</v>
      </c>
      <c r="BW130" s="5">
        <v>853</v>
      </c>
      <c r="BX130" s="5">
        <v>775</v>
      </c>
      <c r="BY130" s="5">
        <v>814</v>
      </c>
      <c r="BZ130" s="5">
        <v>828</v>
      </c>
      <c r="CA130" s="5">
        <v>810</v>
      </c>
      <c r="CB130" s="5">
        <v>824</v>
      </c>
      <c r="CC130" s="5">
        <v>875</v>
      </c>
      <c r="CD130" s="5">
        <v>821</v>
      </c>
      <c r="CE130" s="5">
        <v>865</v>
      </c>
      <c r="CF130" s="5">
        <v>786</v>
      </c>
      <c r="CG130" s="5">
        <v>789</v>
      </c>
      <c r="CH130" s="5">
        <v>885</v>
      </c>
      <c r="CI130" s="5">
        <v>802</v>
      </c>
      <c r="CJ130" s="5">
        <v>750</v>
      </c>
      <c r="CK130" s="5">
        <v>819</v>
      </c>
      <c r="CL130" s="5">
        <v>815</v>
      </c>
      <c r="CM130" s="5">
        <v>807</v>
      </c>
      <c r="CN130" s="5">
        <v>833</v>
      </c>
      <c r="CO130" s="5">
        <v>771</v>
      </c>
      <c r="CP130" s="5">
        <v>885</v>
      </c>
      <c r="CQ130" s="5">
        <v>777</v>
      </c>
      <c r="CR130" s="5">
        <v>801</v>
      </c>
      <c r="CS130" s="5">
        <v>833</v>
      </c>
      <c r="CT130" s="5">
        <v>845</v>
      </c>
      <c r="CU130" s="5">
        <v>841</v>
      </c>
      <c r="CV130" s="5">
        <v>729</v>
      </c>
      <c r="CW130" s="5">
        <v>814</v>
      </c>
      <c r="CX130" s="5">
        <v>860</v>
      </c>
      <c r="CY130" s="5">
        <v>786</v>
      </c>
      <c r="CZ130" s="5">
        <v>873</v>
      </c>
      <c r="DA130" s="5">
        <v>800</v>
      </c>
      <c r="DB130" s="5">
        <v>764</v>
      </c>
    </row>
    <row r="131" spans="1:106" x14ac:dyDescent="0.25">
      <c r="A131" s="2" t="s">
        <v>10</v>
      </c>
      <c r="B131" s="9">
        <f t="shared" si="41"/>
        <v>981.77</v>
      </c>
      <c r="C131" s="9">
        <f t="shared" si="42"/>
        <v>982.5</v>
      </c>
      <c r="D131" s="13">
        <f t="shared" si="43"/>
        <v>1091</v>
      </c>
      <c r="E131" s="13">
        <f t="shared" si="44"/>
        <v>879</v>
      </c>
      <c r="F131" s="9">
        <f t="shared" si="45"/>
        <v>44.759933156357789</v>
      </c>
      <c r="G131" s="5">
        <v>953</v>
      </c>
      <c r="H131" s="5">
        <v>987</v>
      </c>
      <c r="I131" s="5">
        <v>1032</v>
      </c>
      <c r="J131" s="5">
        <v>927</v>
      </c>
      <c r="K131" s="5">
        <v>953</v>
      </c>
      <c r="L131" s="5">
        <v>1032</v>
      </c>
      <c r="M131" s="5">
        <v>1048</v>
      </c>
      <c r="N131" s="5">
        <v>1063</v>
      </c>
      <c r="O131" s="5">
        <v>1052</v>
      </c>
      <c r="P131" s="5">
        <v>913</v>
      </c>
      <c r="Q131" s="5">
        <v>960</v>
      </c>
      <c r="R131" s="5">
        <v>973</v>
      </c>
      <c r="S131" s="5">
        <v>1055</v>
      </c>
      <c r="T131" s="5">
        <v>994</v>
      </c>
      <c r="U131" s="5">
        <v>1017</v>
      </c>
      <c r="V131" s="5">
        <v>1050</v>
      </c>
      <c r="W131" s="5">
        <v>941</v>
      </c>
      <c r="X131" s="5">
        <v>992</v>
      </c>
      <c r="Y131" s="5">
        <v>919</v>
      </c>
      <c r="Z131" s="5">
        <v>994</v>
      </c>
      <c r="AA131" s="5">
        <v>998</v>
      </c>
      <c r="AB131" s="5">
        <v>963</v>
      </c>
      <c r="AC131" s="5">
        <v>1012</v>
      </c>
      <c r="AD131" s="5">
        <v>943</v>
      </c>
      <c r="AE131" s="5">
        <v>900</v>
      </c>
      <c r="AF131" s="5">
        <v>943</v>
      </c>
      <c r="AG131" s="5">
        <v>1064</v>
      </c>
      <c r="AH131" s="5">
        <v>982</v>
      </c>
      <c r="AI131" s="5">
        <v>937</v>
      </c>
      <c r="AJ131" s="5">
        <v>947</v>
      </c>
      <c r="AK131" s="5">
        <v>963</v>
      </c>
      <c r="AL131" s="5">
        <v>1026</v>
      </c>
      <c r="AM131" s="5">
        <v>931</v>
      </c>
      <c r="AN131" s="5">
        <v>902</v>
      </c>
      <c r="AO131" s="5">
        <v>918</v>
      </c>
      <c r="AP131" s="5">
        <v>1025</v>
      </c>
      <c r="AQ131" s="5">
        <v>899</v>
      </c>
      <c r="AR131" s="5">
        <v>1011</v>
      </c>
      <c r="AS131" s="5">
        <v>972</v>
      </c>
      <c r="AT131" s="5">
        <v>983</v>
      </c>
      <c r="AU131" s="5">
        <v>995</v>
      </c>
      <c r="AV131" s="5">
        <v>1002</v>
      </c>
      <c r="AW131" s="5">
        <v>948</v>
      </c>
      <c r="AX131" s="5">
        <v>978</v>
      </c>
      <c r="AY131" s="5">
        <v>1024</v>
      </c>
      <c r="AZ131" s="5">
        <v>989</v>
      </c>
      <c r="BA131" s="5">
        <v>1050</v>
      </c>
      <c r="BB131" s="5">
        <v>1045</v>
      </c>
      <c r="BC131" s="5">
        <v>984</v>
      </c>
      <c r="BD131" s="5">
        <v>1010</v>
      </c>
      <c r="BE131" s="5">
        <v>1091</v>
      </c>
      <c r="BF131" s="5">
        <v>1004</v>
      </c>
      <c r="BG131" s="5">
        <v>996</v>
      </c>
      <c r="BH131" s="5">
        <v>970</v>
      </c>
      <c r="BI131" s="5">
        <v>1035</v>
      </c>
      <c r="BJ131" s="5">
        <v>966</v>
      </c>
      <c r="BK131" s="5">
        <v>927</v>
      </c>
      <c r="BL131" s="5">
        <v>970</v>
      </c>
      <c r="BM131" s="5">
        <v>983</v>
      </c>
      <c r="BN131" s="5">
        <v>1007</v>
      </c>
      <c r="BO131" s="5">
        <v>922</v>
      </c>
      <c r="BP131" s="5">
        <v>1023</v>
      </c>
      <c r="BQ131" s="5">
        <v>997</v>
      </c>
      <c r="BR131" s="5">
        <v>933</v>
      </c>
      <c r="BS131" s="5">
        <v>971</v>
      </c>
      <c r="BT131" s="5">
        <v>983</v>
      </c>
      <c r="BU131" s="5">
        <v>1007</v>
      </c>
      <c r="BV131" s="5">
        <v>952</v>
      </c>
      <c r="BW131" s="5">
        <v>1043</v>
      </c>
      <c r="BX131" s="5">
        <v>1028</v>
      </c>
      <c r="BY131" s="5">
        <v>983</v>
      </c>
      <c r="BZ131" s="5">
        <v>914</v>
      </c>
      <c r="CA131" s="5">
        <v>1036</v>
      </c>
      <c r="CB131" s="5">
        <v>985</v>
      </c>
      <c r="CC131" s="5">
        <v>950</v>
      </c>
      <c r="CD131" s="5">
        <v>979</v>
      </c>
      <c r="CE131" s="5">
        <v>968</v>
      </c>
      <c r="CF131" s="5">
        <v>975</v>
      </c>
      <c r="CG131" s="5">
        <v>960</v>
      </c>
      <c r="CH131" s="5">
        <v>942</v>
      </c>
      <c r="CI131" s="5">
        <v>980</v>
      </c>
      <c r="CJ131" s="5">
        <v>990</v>
      </c>
      <c r="CK131" s="5">
        <v>943</v>
      </c>
      <c r="CL131" s="5">
        <v>918</v>
      </c>
      <c r="CM131" s="5">
        <v>879</v>
      </c>
      <c r="CN131" s="5">
        <v>1020</v>
      </c>
      <c r="CO131" s="5">
        <v>973</v>
      </c>
      <c r="CP131" s="5">
        <v>957</v>
      </c>
      <c r="CQ131" s="5">
        <v>920</v>
      </c>
      <c r="CR131" s="5">
        <v>997</v>
      </c>
      <c r="CS131" s="5">
        <v>936</v>
      </c>
      <c r="CT131" s="5">
        <v>956</v>
      </c>
      <c r="CU131" s="5">
        <v>1041</v>
      </c>
      <c r="CV131" s="5">
        <v>969</v>
      </c>
      <c r="CW131" s="5">
        <v>1009</v>
      </c>
      <c r="CX131" s="5">
        <v>917</v>
      </c>
      <c r="CY131" s="5">
        <v>1065</v>
      </c>
      <c r="CZ131" s="5">
        <v>964</v>
      </c>
      <c r="DA131" s="5">
        <v>1042</v>
      </c>
      <c r="DB131" s="5">
        <v>1002</v>
      </c>
    </row>
    <row r="132" spans="1:106" x14ac:dyDescent="0.25">
      <c r="A132" s="2" t="s">
        <v>11</v>
      </c>
      <c r="B132" s="9">
        <f t="shared" si="41"/>
        <v>865.6</v>
      </c>
      <c r="C132" s="9">
        <f t="shared" si="42"/>
        <v>867.5</v>
      </c>
      <c r="D132" s="13">
        <f t="shared" si="43"/>
        <v>977</v>
      </c>
      <c r="E132" s="13">
        <f t="shared" si="44"/>
        <v>764</v>
      </c>
      <c r="F132" s="9">
        <f t="shared" si="45"/>
        <v>46.144043247993849</v>
      </c>
      <c r="G132" s="5">
        <v>909</v>
      </c>
      <c r="H132" s="5">
        <v>901</v>
      </c>
      <c r="I132" s="5">
        <v>844</v>
      </c>
      <c r="J132" s="5">
        <v>866</v>
      </c>
      <c r="K132" s="5">
        <v>896</v>
      </c>
      <c r="L132" s="5">
        <v>906</v>
      </c>
      <c r="M132" s="5">
        <v>831</v>
      </c>
      <c r="N132" s="5">
        <v>879</v>
      </c>
      <c r="O132" s="5">
        <v>961</v>
      </c>
      <c r="P132" s="5">
        <v>840</v>
      </c>
      <c r="Q132" s="5">
        <v>789</v>
      </c>
      <c r="R132" s="5">
        <v>793</v>
      </c>
      <c r="S132" s="5">
        <v>880</v>
      </c>
      <c r="T132" s="5">
        <v>824</v>
      </c>
      <c r="U132" s="5">
        <v>854</v>
      </c>
      <c r="V132" s="5">
        <v>775</v>
      </c>
      <c r="W132" s="5">
        <v>862</v>
      </c>
      <c r="X132" s="5">
        <v>839</v>
      </c>
      <c r="Y132" s="5">
        <v>826</v>
      </c>
      <c r="Z132" s="5">
        <v>864</v>
      </c>
      <c r="AA132" s="5">
        <v>844</v>
      </c>
      <c r="AB132" s="5">
        <v>866</v>
      </c>
      <c r="AC132" s="5">
        <v>938</v>
      </c>
      <c r="AD132" s="5">
        <v>892</v>
      </c>
      <c r="AE132" s="5">
        <v>858</v>
      </c>
      <c r="AF132" s="5">
        <v>927</v>
      </c>
      <c r="AG132" s="5">
        <v>892</v>
      </c>
      <c r="AH132" s="5">
        <v>881</v>
      </c>
      <c r="AI132" s="5">
        <v>791</v>
      </c>
      <c r="AJ132" s="5">
        <v>902</v>
      </c>
      <c r="AK132" s="5">
        <v>795</v>
      </c>
      <c r="AL132" s="5">
        <v>810</v>
      </c>
      <c r="AM132" s="5">
        <v>854</v>
      </c>
      <c r="AN132" s="5">
        <v>942</v>
      </c>
      <c r="AO132" s="5">
        <v>764</v>
      </c>
      <c r="AP132" s="5">
        <v>896</v>
      </c>
      <c r="AQ132" s="5">
        <v>933</v>
      </c>
      <c r="AR132" s="5">
        <v>872</v>
      </c>
      <c r="AS132" s="5">
        <v>935</v>
      </c>
      <c r="AT132" s="5">
        <v>828</v>
      </c>
      <c r="AU132" s="5">
        <v>857</v>
      </c>
      <c r="AV132" s="5">
        <v>833</v>
      </c>
      <c r="AW132" s="5">
        <v>865</v>
      </c>
      <c r="AX132" s="5">
        <v>783</v>
      </c>
      <c r="AY132" s="5">
        <v>857</v>
      </c>
      <c r="AZ132" s="5">
        <v>843</v>
      </c>
      <c r="BA132" s="5">
        <v>883</v>
      </c>
      <c r="BB132" s="5">
        <v>847</v>
      </c>
      <c r="BC132" s="5">
        <v>783</v>
      </c>
      <c r="BD132" s="5">
        <v>837</v>
      </c>
      <c r="BE132" s="5">
        <v>892</v>
      </c>
      <c r="BF132" s="5">
        <v>911</v>
      </c>
      <c r="BG132" s="5">
        <v>799</v>
      </c>
      <c r="BH132" s="5">
        <v>890</v>
      </c>
      <c r="BI132" s="5">
        <v>877</v>
      </c>
      <c r="BJ132" s="5">
        <v>898</v>
      </c>
      <c r="BK132" s="5">
        <v>891</v>
      </c>
      <c r="BL132" s="5">
        <v>846</v>
      </c>
      <c r="BM132" s="5">
        <v>822</v>
      </c>
      <c r="BN132" s="5">
        <v>858</v>
      </c>
      <c r="BO132" s="5">
        <v>827</v>
      </c>
      <c r="BP132" s="5">
        <v>816</v>
      </c>
      <c r="BQ132" s="5">
        <v>887</v>
      </c>
      <c r="BR132" s="5">
        <v>837</v>
      </c>
      <c r="BS132" s="5">
        <v>872</v>
      </c>
      <c r="BT132" s="5">
        <v>892</v>
      </c>
      <c r="BU132" s="5">
        <v>894</v>
      </c>
      <c r="BV132" s="5">
        <v>919</v>
      </c>
      <c r="BW132" s="5">
        <v>804</v>
      </c>
      <c r="BX132" s="5">
        <v>870</v>
      </c>
      <c r="BY132" s="5">
        <v>870</v>
      </c>
      <c r="BZ132" s="5">
        <v>878</v>
      </c>
      <c r="CA132" s="5">
        <v>931</v>
      </c>
      <c r="CB132" s="5">
        <v>907</v>
      </c>
      <c r="CC132" s="5">
        <v>844</v>
      </c>
      <c r="CD132" s="5">
        <v>837</v>
      </c>
      <c r="CE132" s="5">
        <v>789</v>
      </c>
      <c r="CF132" s="5">
        <v>970</v>
      </c>
      <c r="CG132" s="5">
        <v>826</v>
      </c>
      <c r="CH132" s="5">
        <v>867</v>
      </c>
      <c r="CI132" s="5">
        <v>881</v>
      </c>
      <c r="CJ132" s="5">
        <v>911</v>
      </c>
      <c r="CK132" s="5">
        <v>900</v>
      </c>
      <c r="CL132" s="5">
        <v>869</v>
      </c>
      <c r="CM132" s="5">
        <v>977</v>
      </c>
      <c r="CN132" s="5">
        <v>953</v>
      </c>
      <c r="CO132" s="5">
        <v>878</v>
      </c>
      <c r="CP132" s="5">
        <v>885</v>
      </c>
      <c r="CQ132" s="5">
        <v>812</v>
      </c>
      <c r="CR132" s="5">
        <v>902</v>
      </c>
      <c r="CS132" s="5">
        <v>825</v>
      </c>
      <c r="CT132" s="5">
        <v>829</v>
      </c>
      <c r="CU132" s="5">
        <v>960</v>
      </c>
      <c r="CV132" s="5">
        <v>904</v>
      </c>
      <c r="CW132" s="5">
        <v>825</v>
      </c>
      <c r="CX132" s="5">
        <v>876</v>
      </c>
      <c r="CY132" s="5">
        <v>868</v>
      </c>
      <c r="CZ132" s="5">
        <v>855</v>
      </c>
      <c r="DA132" s="5">
        <v>879</v>
      </c>
      <c r="DB132" s="5">
        <v>803</v>
      </c>
    </row>
    <row r="133" spans="1:106" x14ac:dyDescent="0.25">
      <c r="A133" s="2" t="s">
        <v>12</v>
      </c>
      <c r="B133" s="9">
        <f t="shared" si="41"/>
        <v>952.66</v>
      </c>
      <c r="C133" s="9">
        <f t="shared" si="42"/>
        <v>955.5</v>
      </c>
      <c r="D133" s="13">
        <f t="shared" si="43"/>
        <v>1074</v>
      </c>
      <c r="E133" s="13">
        <f t="shared" si="44"/>
        <v>857</v>
      </c>
      <c r="F133" s="9">
        <f t="shared" si="45"/>
        <v>46.891497366287254</v>
      </c>
      <c r="G133" s="5">
        <v>986</v>
      </c>
      <c r="H133" s="5">
        <v>965</v>
      </c>
      <c r="I133" s="5">
        <v>1020</v>
      </c>
      <c r="J133" s="5">
        <v>978</v>
      </c>
      <c r="K133" s="5">
        <v>1028</v>
      </c>
      <c r="L133" s="5">
        <v>967</v>
      </c>
      <c r="M133" s="5">
        <v>913</v>
      </c>
      <c r="N133" s="5">
        <v>926</v>
      </c>
      <c r="O133" s="5">
        <v>999</v>
      </c>
      <c r="P133" s="5">
        <v>954</v>
      </c>
      <c r="Q133" s="5">
        <v>893</v>
      </c>
      <c r="R133" s="5">
        <v>991</v>
      </c>
      <c r="S133" s="5">
        <v>1004</v>
      </c>
      <c r="T133" s="5">
        <v>954</v>
      </c>
      <c r="U133" s="5">
        <v>882</v>
      </c>
      <c r="V133" s="5">
        <v>979</v>
      </c>
      <c r="W133" s="5">
        <v>926</v>
      </c>
      <c r="X133" s="5">
        <v>974</v>
      </c>
      <c r="Y133" s="5">
        <v>925</v>
      </c>
      <c r="Z133" s="5">
        <v>979</v>
      </c>
      <c r="AA133" s="5">
        <v>969</v>
      </c>
      <c r="AB133" s="5">
        <v>857</v>
      </c>
      <c r="AC133" s="5">
        <v>928</v>
      </c>
      <c r="AD133" s="5">
        <v>962</v>
      </c>
      <c r="AE133" s="5">
        <v>859</v>
      </c>
      <c r="AF133" s="5">
        <v>1030</v>
      </c>
      <c r="AG133" s="5">
        <v>974</v>
      </c>
      <c r="AH133" s="5">
        <v>908</v>
      </c>
      <c r="AI133" s="5">
        <v>949</v>
      </c>
      <c r="AJ133" s="5">
        <v>936</v>
      </c>
      <c r="AK133" s="5">
        <v>953</v>
      </c>
      <c r="AL133" s="5">
        <v>865</v>
      </c>
      <c r="AM133" s="5">
        <v>955</v>
      </c>
      <c r="AN133" s="5">
        <v>990</v>
      </c>
      <c r="AO133" s="5">
        <v>916</v>
      </c>
      <c r="AP133" s="5">
        <v>922</v>
      </c>
      <c r="AQ133" s="5">
        <v>952</v>
      </c>
      <c r="AR133" s="5">
        <v>964</v>
      </c>
      <c r="AS133" s="5">
        <v>907</v>
      </c>
      <c r="AT133" s="5">
        <v>983</v>
      </c>
      <c r="AU133" s="5">
        <v>965</v>
      </c>
      <c r="AV133" s="5">
        <v>1026</v>
      </c>
      <c r="AW133" s="5">
        <v>956</v>
      </c>
      <c r="AX133" s="5">
        <v>863</v>
      </c>
      <c r="AY133" s="5">
        <v>1024</v>
      </c>
      <c r="AZ133" s="5">
        <v>969</v>
      </c>
      <c r="BA133" s="5">
        <v>909</v>
      </c>
      <c r="BB133" s="5">
        <v>981</v>
      </c>
      <c r="BC133" s="5">
        <v>997</v>
      </c>
      <c r="BD133" s="5">
        <v>967</v>
      </c>
      <c r="BE133" s="5">
        <v>1007</v>
      </c>
      <c r="BF133" s="5">
        <v>918</v>
      </c>
      <c r="BG133" s="5">
        <v>922</v>
      </c>
      <c r="BH133" s="5">
        <v>965</v>
      </c>
      <c r="BI133" s="5">
        <v>984</v>
      </c>
      <c r="BJ133" s="5">
        <v>963</v>
      </c>
      <c r="BK133" s="5">
        <v>951</v>
      </c>
      <c r="BL133" s="5">
        <v>1023</v>
      </c>
      <c r="BM133" s="5">
        <v>859</v>
      </c>
      <c r="BN133" s="5">
        <v>981</v>
      </c>
      <c r="BO133" s="5">
        <v>875</v>
      </c>
      <c r="BP133" s="5">
        <v>928</v>
      </c>
      <c r="BQ133" s="5">
        <v>930</v>
      </c>
      <c r="BR133" s="5">
        <v>948</v>
      </c>
      <c r="BS133" s="5">
        <v>923</v>
      </c>
      <c r="BT133" s="5">
        <v>959</v>
      </c>
      <c r="BU133" s="5">
        <v>935</v>
      </c>
      <c r="BV133" s="5">
        <v>994</v>
      </c>
      <c r="BW133" s="5">
        <v>953</v>
      </c>
      <c r="BX133" s="5">
        <v>1074</v>
      </c>
      <c r="BY133" s="5">
        <v>918</v>
      </c>
      <c r="BZ133" s="5">
        <v>935</v>
      </c>
      <c r="CA133" s="5">
        <v>978</v>
      </c>
      <c r="CB133" s="5">
        <v>904</v>
      </c>
      <c r="CC133" s="5">
        <v>981</v>
      </c>
      <c r="CD133" s="5">
        <v>1017</v>
      </c>
      <c r="CE133" s="5">
        <v>990</v>
      </c>
      <c r="CF133" s="5">
        <v>933</v>
      </c>
      <c r="CG133" s="5">
        <v>875</v>
      </c>
      <c r="CH133" s="5">
        <v>956</v>
      </c>
      <c r="CI133" s="5">
        <v>964</v>
      </c>
      <c r="CJ133" s="5">
        <v>864</v>
      </c>
      <c r="CK133" s="5">
        <v>966</v>
      </c>
      <c r="CL133" s="5">
        <v>1011</v>
      </c>
      <c r="CM133" s="5">
        <v>939</v>
      </c>
      <c r="CN133" s="5">
        <v>935</v>
      </c>
      <c r="CO133" s="5">
        <v>949</v>
      </c>
      <c r="CP133" s="5">
        <v>1015</v>
      </c>
      <c r="CQ133" s="5">
        <v>903</v>
      </c>
      <c r="CR133" s="5">
        <v>923</v>
      </c>
      <c r="CS133" s="5">
        <v>956</v>
      </c>
      <c r="CT133" s="5">
        <v>865</v>
      </c>
      <c r="CU133" s="5">
        <v>961</v>
      </c>
      <c r="CV133" s="5">
        <v>943</v>
      </c>
      <c r="CW133" s="5">
        <v>939</v>
      </c>
      <c r="CX133" s="5">
        <v>961</v>
      </c>
      <c r="CY133" s="5">
        <v>1061</v>
      </c>
      <c r="CZ133" s="5">
        <v>875</v>
      </c>
      <c r="DA133" s="5">
        <v>1053</v>
      </c>
      <c r="DB133" s="5">
        <v>925</v>
      </c>
    </row>
    <row r="136" spans="1:106" x14ac:dyDescent="0.25">
      <c r="A136" s="4" t="s">
        <v>37</v>
      </c>
      <c r="B136" s="7" t="s">
        <v>38</v>
      </c>
      <c r="C136" s="7" t="s">
        <v>39</v>
      </c>
      <c r="D136" s="11" t="s">
        <v>40</v>
      </c>
      <c r="E136" s="11" t="s">
        <v>41</v>
      </c>
      <c r="F136" s="7" t="s">
        <v>42</v>
      </c>
      <c r="G136" s="4">
        <v>1</v>
      </c>
      <c r="H136" s="4">
        <v>2</v>
      </c>
      <c r="I136" s="4">
        <v>3</v>
      </c>
      <c r="J136" s="4">
        <v>4</v>
      </c>
      <c r="K136" s="4">
        <v>5</v>
      </c>
      <c r="L136" s="4">
        <v>6</v>
      </c>
      <c r="M136" s="4">
        <v>7</v>
      </c>
      <c r="N136" s="4">
        <v>8</v>
      </c>
      <c r="O136" s="4">
        <v>9</v>
      </c>
      <c r="P136" s="4">
        <v>10</v>
      </c>
      <c r="Q136" s="4">
        <v>11</v>
      </c>
      <c r="R136" s="4">
        <v>12</v>
      </c>
      <c r="S136" s="4">
        <v>13</v>
      </c>
      <c r="T136" s="4">
        <v>14</v>
      </c>
      <c r="U136" s="4">
        <v>15</v>
      </c>
      <c r="V136" s="4">
        <v>16</v>
      </c>
      <c r="W136" s="4">
        <v>17</v>
      </c>
      <c r="X136" s="4">
        <v>18</v>
      </c>
      <c r="Y136" s="4">
        <v>19</v>
      </c>
      <c r="Z136" s="4">
        <v>20</v>
      </c>
      <c r="AA136" s="4">
        <v>21</v>
      </c>
      <c r="AB136" s="4">
        <v>22</v>
      </c>
      <c r="AC136" s="4">
        <v>23</v>
      </c>
      <c r="AD136" s="4">
        <v>24</v>
      </c>
      <c r="AE136" s="4">
        <v>25</v>
      </c>
      <c r="AF136" s="4">
        <v>26</v>
      </c>
      <c r="AG136" s="4">
        <v>27</v>
      </c>
      <c r="AH136" s="4">
        <v>28</v>
      </c>
      <c r="AI136" s="4">
        <v>29</v>
      </c>
      <c r="AJ136" s="4">
        <v>30</v>
      </c>
      <c r="AK136" s="4">
        <v>31</v>
      </c>
      <c r="AL136" s="4">
        <v>32</v>
      </c>
      <c r="AM136" s="4">
        <v>33</v>
      </c>
      <c r="AN136" s="4">
        <v>34</v>
      </c>
      <c r="AO136" s="4">
        <v>35</v>
      </c>
      <c r="AP136" s="4">
        <v>36</v>
      </c>
      <c r="AQ136" s="4">
        <v>37</v>
      </c>
      <c r="AR136" s="4">
        <v>38</v>
      </c>
      <c r="AS136" s="4">
        <v>39</v>
      </c>
      <c r="AT136" s="4">
        <v>40</v>
      </c>
      <c r="AU136" s="4">
        <v>41</v>
      </c>
      <c r="AV136" s="4">
        <v>42</v>
      </c>
      <c r="AW136" s="4">
        <v>43</v>
      </c>
      <c r="AX136" s="4">
        <v>44</v>
      </c>
      <c r="AY136" s="4">
        <v>45</v>
      </c>
      <c r="AZ136" s="4">
        <v>46</v>
      </c>
      <c r="BA136" s="4">
        <v>47</v>
      </c>
      <c r="BB136" s="4">
        <v>48</v>
      </c>
      <c r="BC136" s="4">
        <v>49</v>
      </c>
      <c r="BD136" s="4">
        <v>50</v>
      </c>
      <c r="BE136" s="4">
        <v>51</v>
      </c>
      <c r="BF136" s="4">
        <v>52</v>
      </c>
      <c r="BG136" s="4">
        <v>53</v>
      </c>
      <c r="BH136" s="4">
        <v>54</v>
      </c>
      <c r="BI136" s="4">
        <v>55</v>
      </c>
      <c r="BJ136" s="4">
        <v>56</v>
      </c>
      <c r="BK136" s="4">
        <v>57</v>
      </c>
      <c r="BL136" s="4">
        <v>58</v>
      </c>
      <c r="BM136" s="4">
        <v>59</v>
      </c>
      <c r="BN136" s="4">
        <v>60</v>
      </c>
      <c r="BO136" s="4">
        <v>61</v>
      </c>
      <c r="BP136" s="4">
        <v>62</v>
      </c>
      <c r="BQ136" s="4">
        <v>63</v>
      </c>
      <c r="BR136" s="4">
        <v>64</v>
      </c>
      <c r="BS136" s="4">
        <v>65</v>
      </c>
      <c r="BT136" s="4">
        <v>66</v>
      </c>
      <c r="BU136" s="4">
        <v>67</v>
      </c>
      <c r="BV136" s="4">
        <v>68</v>
      </c>
      <c r="BW136" s="4">
        <v>69</v>
      </c>
      <c r="BX136" s="4">
        <v>70</v>
      </c>
      <c r="BY136" s="4">
        <v>71</v>
      </c>
      <c r="BZ136" s="4">
        <v>72</v>
      </c>
      <c r="CA136" s="4">
        <v>73</v>
      </c>
      <c r="CB136" s="4">
        <v>74</v>
      </c>
      <c r="CC136" s="4">
        <v>75</v>
      </c>
      <c r="CD136" s="4">
        <v>76</v>
      </c>
      <c r="CE136" s="4">
        <v>77</v>
      </c>
      <c r="CF136" s="4">
        <v>78</v>
      </c>
      <c r="CG136" s="4">
        <v>79</v>
      </c>
      <c r="CH136" s="4">
        <v>80</v>
      </c>
      <c r="CI136" s="4">
        <v>81</v>
      </c>
      <c r="CJ136" s="4">
        <v>82</v>
      </c>
      <c r="CK136" s="4">
        <v>83</v>
      </c>
      <c r="CL136" s="4">
        <v>84</v>
      </c>
      <c r="CM136" s="4">
        <v>85</v>
      </c>
      <c r="CN136" s="4">
        <v>86</v>
      </c>
      <c r="CO136" s="4">
        <v>87</v>
      </c>
      <c r="CP136" s="4">
        <v>88</v>
      </c>
      <c r="CQ136" s="4">
        <v>89</v>
      </c>
      <c r="CR136" s="4">
        <v>90</v>
      </c>
      <c r="CS136" s="4">
        <v>91</v>
      </c>
      <c r="CT136" s="4">
        <v>92</v>
      </c>
      <c r="CU136" s="4">
        <v>93</v>
      </c>
      <c r="CV136" s="4">
        <v>94</v>
      </c>
      <c r="CW136" s="4">
        <v>95</v>
      </c>
      <c r="CX136" s="4">
        <v>96</v>
      </c>
      <c r="CY136" s="4">
        <v>97</v>
      </c>
      <c r="CZ136" s="4">
        <v>98</v>
      </c>
      <c r="DA136" s="4">
        <v>99</v>
      </c>
      <c r="DB136" s="4">
        <v>100</v>
      </c>
    </row>
    <row r="137" spans="1:106" x14ac:dyDescent="0.25">
      <c r="A137" s="3" t="s">
        <v>32</v>
      </c>
      <c r="B137" s="8"/>
      <c r="C137" s="8"/>
      <c r="D137" s="12"/>
      <c r="E137" s="12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</row>
    <row r="138" spans="1:106" x14ac:dyDescent="0.25">
      <c r="A138" s="2" t="s">
        <v>21</v>
      </c>
      <c r="B138" s="9">
        <f>AVERAGE($G138:$DB138)</f>
        <v>904.05</v>
      </c>
      <c r="C138" s="9">
        <f>MEDIAN($G138:$DB138)</f>
        <v>906.5</v>
      </c>
      <c r="D138" s="13">
        <f>MAX($G138:$DB138)</f>
        <v>1042</v>
      </c>
      <c r="E138" s="13">
        <f>MIN($G138:$DB138)</f>
        <v>832</v>
      </c>
      <c r="F138" s="9">
        <f>STDEV($G138:$DB138)</f>
        <v>40.829375194679116</v>
      </c>
      <c r="G138" s="5">
        <v>955</v>
      </c>
      <c r="H138" s="5">
        <v>895</v>
      </c>
      <c r="I138" s="5">
        <v>945</v>
      </c>
      <c r="J138" s="5">
        <v>894</v>
      </c>
      <c r="K138" s="5">
        <v>917</v>
      </c>
      <c r="L138" s="5">
        <v>897</v>
      </c>
      <c r="M138" s="5">
        <v>921</v>
      </c>
      <c r="N138" s="5">
        <v>832</v>
      </c>
      <c r="O138" s="5">
        <v>935</v>
      </c>
      <c r="P138" s="5">
        <v>926</v>
      </c>
      <c r="Q138" s="5">
        <v>903</v>
      </c>
      <c r="R138" s="5">
        <v>935</v>
      </c>
      <c r="S138" s="5">
        <v>936</v>
      </c>
      <c r="T138" s="5">
        <v>837</v>
      </c>
      <c r="U138" s="5">
        <v>887</v>
      </c>
      <c r="V138" s="5">
        <v>900</v>
      </c>
      <c r="W138" s="5">
        <v>833</v>
      </c>
      <c r="X138" s="5">
        <v>852</v>
      </c>
      <c r="Y138" s="5">
        <v>919</v>
      </c>
      <c r="Z138" s="5">
        <v>891</v>
      </c>
      <c r="AA138" s="5">
        <v>871</v>
      </c>
      <c r="AB138" s="5">
        <v>933</v>
      </c>
      <c r="AC138" s="5">
        <v>902</v>
      </c>
      <c r="AD138" s="5">
        <v>906</v>
      </c>
      <c r="AE138" s="5">
        <v>836</v>
      </c>
      <c r="AF138" s="5">
        <v>894</v>
      </c>
      <c r="AG138" s="5">
        <v>919</v>
      </c>
      <c r="AH138" s="5">
        <v>860</v>
      </c>
      <c r="AI138" s="5">
        <v>889</v>
      </c>
      <c r="AJ138" s="5">
        <v>881</v>
      </c>
      <c r="AK138" s="5">
        <v>937</v>
      </c>
      <c r="AL138" s="5">
        <v>936</v>
      </c>
      <c r="AM138" s="5">
        <v>900</v>
      </c>
      <c r="AN138" s="5">
        <v>845</v>
      </c>
      <c r="AO138" s="5">
        <v>854</v>
      </c>
      <c r="AP138" s="5">
        <v>907</v>
      </c>
      <c r="AQ138" s="5">
        <v>939</v>
      </c>
      <c r="AR138" s="5">
        <v>845</v>
      </c>
      <c r="AS138" s="5">
        <v>832</v>
      </c>
      <c r="AT138" s="5">
        <v>965</v>
      </c>
      <c r="AU138" s="5">
        <v>875</v>
      </c>
      <c r="AV138" s="5">
        <v>839</v>
      </c>
      <c r="AW138" s="5">
        <v>936</v>
      </c>
      <c r="AX138" s="5">
        <v>879</v>
      </c>
      <c r="AY138" s="5">
        <v>861</v>
      </c>
      <c r="AZ138" s="5">
        <v>908</v>
      </c>
      <c r="BA138" s="5">
        <v>921</v>
      </c>
      <c r="BB138" s="5">
        <v>925</v>
      </c>
      <c r="BC138" s="5">
        <v>845</v>
      </c>
      <c r="BD138" s="5">
        <v>920</v>
      </c>
      <c r="BE138" s="5">
        <v>936</v>
      </c>
      <c r="BF138" s="5">
        <v>985</v>
      </c>
      <c r="BG138" s="5">
        <v>889</v>
      </c>
      <c r="BH138" s="5">
        <v>918</v>
      </c>
      <c r="BI138" s="5">
        <v>949</v>
      </c>
      <c r="BJ138" s="5">
        <v>902</v>
      </c>
      <c r="BK138" s="5">
        <v>953</v>
      </c>
      <c r="BL138" s="5">
        <v>898</v>
      </c>
      <c r="BM138" s="5">
        <v>924</v>
      </c>
      <c r="BN138" s="5">
        <v>941</v>
      </c>
      <c r="BO138" s="5">
        <v>839</v>
      </c>
      <c r="BP138" s="5">
        <v>886</v>
      </c>
      <c r="BQ138" s="5">
        <v>960</v>
      </c>
      <c r="BR138" s="5">
        <v>929</v>
      </c>
      <c r="BS138" s="5">
        <v>865</v>
      </c>
      <c r="BT138" s="5">
        <v>1042</v>
      </c>
      <c r="BU138" s="5">
        <v>914</v>
      </c>
      <c r="BV138" s="5">
        <v>934</v>
      </c>
      <c r="BW138" s="5">
        <v>872</v>
      </c>
      <c r="BX138" s="5">
        <v>919</v>
      </c>
      <c r="BY138" s="5">
        <v>941</v>
      </c>
      <c r="BZ138" s="5">
        <v>833</v>
      </c>
      <c r="CA138" s="5">
        <v>935</v>
      </c>
      <c r="CB138" s="5">
        <v>920</v>
      </c>
      <c r="CC138" s="5">
        <v>868</v>
      </c>
      <c r="CD138" s="5">
        <v>913</v>
      </c>
      <c r="CE138" s="5">
        <v>924</v>
      </c>
      <c r="CF138" s="5">
        <v>907</v>
      </c>
      <c r="CG138" s="5">
        <v>978</v>
      </c>
      <c r="CH138" s="5">
        <v>870</v>
      </c>
      <c r="CI138" s="5">
        <v>931</v>
      </c>
      <c r="CJ138" s="5">
        <v>881</v>
      </c>
      <c r="CK138" s="5">
        <v>905</v>
      </c>
      <c r="CL138" s="5">
        <v>880</v>
      </c>
      <c r="CM138" s="5">
        <v>952</v>
      </c>
      <c r="CN138" s="5">
        <v>969</v>
      </c>
      <c r="CO138" s="5">
        <v>904</v>
      </c>
      <c r="CP138" s="5">
        <v>907</v>
      </c>
      <c r="CQ138" s="5">
        <v>863</v>
      </c>
      <c r="CR138" s="5">
        <v>909</v>
      </c>
      <c r="CS138" s="5">
        <v>940</v>
      </c>
      <c r="CT138" s="5">
        <v>897</v>
      </c>
      <c r="CU138" s="5">
        <v>989</v>
      </c>
      <c r="CV138" s="5">
        <v>846</v>
      </c>
      <c r="CW138" s="5">
        <v>874</v>
      </c>
      <c r="CX138" s="5">
        <v>845</v>
      </c>
      <c r="CY138" s="5">
        <v>938</v>
      </c>
      <c r="CZ138" s="5">
        <v>884</v>
      </c>
      <c r="DA138" s="5">
        <v>935</v>
      </c>
      <c r="DB138" s="5">
        <v>842</v>
      </c>
    </row>
    <row r="139" spans="1:106" x14ac:dyDescent="0.25">
      <c r="A139" s="2" t="s">
        <v>19</v>
      </c>
      <c r="B139" s="9">
        <f t="shared" ref="B139:B142" si="46">AVERAGE($G139:$DB139)</f>
        <v>757.49</v>
      </c>
      <c r="C139" s="9">
        <f t="shared" ref="C139:C142" si="47">MEDIAN($G139:$DB139)</f>
        <v>761.5</v>
      </c>
      <c r="D139" s="13">
        <f t="shared" ref="D139:D142" si="48">MAX($G139:$DB139)</f>
        <v>858</v>
      </c>
      <c r="E139" s="13">
        <f t="shared" ref="E139:E142" si="49">MIN($G139:$DB139)</f>
        <v>643</v>
      </c>
      <c r="F139" s="9">
        <f t="shared" ref="F139:F142" si="50">STDEV($G139:$DB139)</f>
        <v>43.528347897744418</v>
      </c>
      <c r="G139" s="5">
        <v>750</v>
      </c>
      <c r="H139" s="5">
        <v>854</v>
      </c>
      <c r="I139" s="5">
        <v>737</v>
      </c>
      <c r="J139" s="5">
        <v>781</v>
      </c>
      <c r="K139" s="5">
        <v>718</v>
      </c>
      <c r="L139" s="5">
        <v>795</v>
      </c>
      <c r="M139" s="5">
        <v>729</v>
      </c>
      <c r="N139" s="5">
        <v>815</v>
      </c>
      <c r="O139" s="5">
        <v>773</v>
      </c>
      <c r="P139" s="5">
        <v>818</v>
      </c>
      <c r="Q139" s="5">
        <v>771</v>
      </c>
      <c r="R139" s="5">
        <v>738</v>
      </c>
      <c r="S139" s="5">
        <v>745</v>
      </c>
      <c r="T139" s="5">
        <v>783</v>
      </c>
      <c r="U139" s="5">
        <v>721</v>
      </c>
      <c r="V139" s="5">
        <v>725</v>
      </c>
      <c r="W139" s="5">
        <v>825</v>
      </c>
      <c r="X139" s="5">
        <v>756</v>
      </c>
      <c r="Y139" s="5">
        <v>739</v>
      </c>
      <c r="Z139" s="5">
        <v>775</v>
      </c>
      <c r="AA139" s="5">
        <v>694</v>
      </c>
      <c r="AB139" s="5">
        <v>716</v>
      </c>
      <c r="AC139" s="5">
        <v>796</v>
      </c>
      <c r="AD139" s="5">
        <v>778</v>
      </c>
      <c r="AE139" s="5">
        <v>716</v>
      </c>
      <c r="AF139" s="5">
        <v>766</v>
      </c>
      <c r="AG139" s="5">
        <v>702</v>
      </c>
      <c r="AH139" s="5">
        <v>831</v>
      </c>
      <c r="AI139" s="5">
        <v>729</v>
      </c>
      <c r="AJ139" s="5">
        <v>714</v>
      </c>
      <c r="AK139" s="5">
        <v>765</v>
      </c>
      <c r="AL139" s="5">
        <v>798</v>
      </c>
      <c r="AM139" s="5">
        <v>755</v>
      </c>
      <c r="AN139" s="5">
        <v>692</v>
      </c>
      <c r="AO139" s="5">
        <v>730</v>
      </c>
      <c r="AP139" s="5">
        <v>810</v>
      </c>
      <c r="AQ139" s="5">
        <v>744</v>
      </c>
      <c r="AR139" s="5">
        <v>714</v>
      </c>
      <c r="AS139" s="5">
        <v>746</v>
      </c>
      <c r="AT139" s="5">
        <v>791</v>
      </c>
      <c r="AU139" s="5">
        <v>763</v>
      </c>
      <c r="AV139" s="5">
        <v>763</v>
      </c>
      <c r="AW139" s="5">
        <v>766</v>
      </c>
      <c r="AX139" s="5">
        <v>733</v>
      </c>
      <c r="AY139" s="5">
        <v>726</v>
      </c>
      <c r="AZ139" s="5">
        <v>842</v>
      </c>
      <c r="BA139" s="5">
        <v>773</v>
      </c>
      <c r="BB139" s="5">
        <v>783</v>
      </c>
      <c r="BC139" s="5">
        <v>693</v>
      </c>
      <c r="BD139" s="5">
        <v>800</v>
      </c>
      <c r="BE139" s="5">
        <v>657</v>
      </c>
      <c r="BF139" s="5">
        <v>763</v>
      </c>
      <c r="BG139" s="5">
        <v>787</v>
      </c>
      <c r="BH139" s="5">
        <v>774</v>
      </c>
      <c r="BI139" s="5">
        <v>761</v>
      </c>
      <c r="BJ139" s="5">
        <v>691</v>
      </c>
      <c r="BK139" s="5">
        <v>776</v>
      </c>
      <c r="BL139" s="5">
        <v>800</v>
      </c>
      <c r="BM139" s="5">
        <v>748</v>
      </c>
      <c r="BN139" s="5">
        <v>681</v>
      </c>
      <c r="BO139" s="5">
        <v>788</v>
      </c>
      <c r="BP139" s="5">
        <v>791</v>
      </c>
      <c r="BQ139" s="5">
        <v>746</v>
      </c>
      <c r="BR139" s="5">
        <v>752</v>
      </c>
      <c r="BS139" s="5">
        <v>705</v>
      </c>
      <c r="BT139" s="5">
        <v>739</v>
      </c>
      <c r="BU139" s="5">
        <v>710</v>
      </c>
      <c r="BV139" s="5">
        <v>858</v>
      </c>
      <c r="BW139" s="5">
        <v>824</v>
      </c>
      <c r="BX139" s="5">
        <v>777</v>
      </c>
      <c r="BY139" s="5">
        <v>800</v>
      </c>
      <c r="BZ139" s="5">
        <v>780</v>
      </c>
      <c r="CA139" s="5">
        <v>684</v>
      </c>
      <c r="CB139" s="5">
        <v>766</v>
      </c>
      <c r="CC139" s="5">
        <v>739</v>
      </c>
      <c r="CD139" s="5">
        <v>734</v>
      </c>
      <c r="CE139" s="5">
        <v>804</v>
      </c>
      <c r="CF139" s="5">
        <v>684</v>
      </c>
      <c r="CG139" s="5">
        <v>777</v>
      </c>
      <c r="CH139" s="5">
        <v>756</v>
      </c>
      <c r="CI139" s="5">
        <v>759</v>
      </c>
      <c r="CJ139" s="5">
        <v>762</v>
      </c>
      <c r="CK139" s="5">
        <v>790</v>
      </c>
      <c r="CL139" s="5">
        <v>825</v>
      </c>
      <c r="CM139" s="5">
        <v>783</v>
      </c>
      <c r="CN139" s="5">
        <v>745</v>
      </c>
      <c r="CO139" s="5">
        <v>690</v>
      </c>
      <c r="CP139" s="5">
        <v>798</v>
      </c>
      <c r="CQ139" s="5">
        <v>688</v>
      </c>
      <c r="CR139" s="5">
        <v>724</v>
      </c>
      <c r="CS139" s="5">
        <v>822</v>
      </c>
      <c r="CT139" s="5">
        <v>747</v>
      </c>
      <c r="CU139" s="5">
        <v>723</v>
      </c>
      <c r="CV139" s="5">
        <v>781</v>
      </c>
      <c r="CW139" s="5">
        <v>771</v>
      </c>
      <c r="CX139" s="5">
        <v>807</v>
      </c>
      <c r="CY139" s="5">
        <v>804</v>
      </c>
      <c r="CZ139" s="5">
        <v>643</v>
      </c>
      <c r="DA139" s="5">
        <v>752</v>
      </c>
      <c r="DB139" s="5">
        <v>706</v>
      </c>
    </row>
    <row r="140" spans="1:106" x14ac:dyDescent="0.25">
      <c r="A140" s="2" t="s">
        <v>20</v>
      </c>
      <c r="B140" s="9">
        <f t="shared" si="46"/>
        <v>819.21</v>
      </c>
      <c r="C140" s="9">
        <f t="shared" si="47"/>
        <v>820</v>
      </c>
      <c r="D140" s="13">
        <f t="shared" si="48"/>
        <v>941</v>
      </c>
      <c r="E140" s="13">
        <f t="shared" si="49"/>
        <v>725</v>
      </c>
      <c r="F140" s="9">
        <f t="shared" si="50"/>
        <v>38.429075429729487</v>
      </c>
      <c r="G140" s="5">
        <v>835</v>
      </c>
      <c r="H140" s="5">
        <v>819</v>
      </c>
      <c r="I140" s="5">
        <v>810</v>
      </c>
      <c r="J140" s="5">
        <v>784</v>
      </c>
      <c r="K140" s="5">
        <v>842</v>
      </c>
      <c r="L140" s="5">
        <v>827</v>
      </c>
      <c r="M140" s="5">
        <v>854</v>
      </c>
      <c r="N140" s="5">
        <v>829</v>
      </c>
      <c r="O140" s="5">
        <v>869</v>
      </c>
      <c r="P140" s="5">
        <v>862</v>
      </c>
      <c r="Q140" s="5">
        <v>779</v>
      </c>
      <c r="R140" s="5">
        <v>792</v>
      </c>
      <c r="S140" s="5">
        <v>853</v>
      </c>
      <c r="T140" s="5">
        <v>834</v>
      </c>
      <c r="U140" s="5">
        <v>818</v>
      </c>
      <c r="V140" s="5">
        <v>848</v>
      </c>
      <c r="W140" s="5">
        <v>865</v>
      </c>
      <c r="X140" s="5">
        <v>784</v>
      </c>
      <c r="Y140" s="5">
        <v>831</v>
      </c>
      <c r="Z140" s="5">
        <v>842</v>
      </c>
      <c r="AA140" s="5">
        <v>835</v>
      </c>
      <c r="AB140" s="5">
        <v>782</v>
      </c>
      <c r="AC140" s="5">
        <v>856</v>
      </c>
      <c r="AD140" s="5">
        <v>846</v>
      </c>
      <c r="AE140" s="5">
        <v>781</v>
      </c>
      <c r="AF140" s="5">
        <v>863</v>
      </c>
      <c r="AG140" s="5">
        <v>837</v>
      </c>
      <c r="AH140" s="5">
        <v>861</v>
      </c>
      <c r="AI140" s="5">
        <v>725</v>
      </c>
      <c r="AJ140" s="5">
        <v>826</v>
      </c>
      <c r="AK140" s="5">
        <v>740</v>
      </c>
      <c r="AL140" s="5">
        <v>780</v>
      </c>
      <c r="AM140" s="5">
        <v>811</v>
      </c>
      <c r="AN140" s="5">
        <v>817</v>
      </c>
      <c r="AO140" s="5">
        <v>780</v>
      </c>
      <c r="AP140" s="5">
        <v>797</v>
      </c>
      <c r="AQ140" s="5">
        <v>828</v>
      </c>
      <c r="AR140" s="5">
        <v>822</v>
      </c>
      <c r="AS140" s="5">
        <v>864</v>
      </c>
      <c r="AT140" s="5">
        <v>813</v>
      </c>
      <c r="AU140" s="5">
        <v>797</v>
      </c>
      <c r="AV140" s="5">
        <v>839</v>
      </c>
      <c r="AW140" s="5">
        <v>764</v>
      </c>
      <c r="AX140" s="5">
        <v>775</v>
      </c>
      <c r="AY140" s="5">
        <v>737</v>
      </c>
      <c r="AZ140" s="5">
        <v>816</v>
      </c>
      <c r="BA140" s="5">
        <v>804</v>
      </c>
      <c r="BB140" s="5">
        <v>805</v>
      </c>
      <c r="BC140" s="5">
        <v>803</v>
      </c>
      <c r="BD140" s="5">
        <v>859</v>
      </c>
      <c r="BE140" s="5">
        <v>836</v>
      </c>
      <c r="BF140" s="5">
        <v>760</v>
      </c>
      <c r="BG140" s="5">
        <v>785</v>
      </c>
      <c r="BH140" s="5">
        <v>808</v>
      </c>
      <c r="BI140" s="5">
        <v>836</v>
      </c>
      <c r="BJ140" s="5">
        <v>811</v>
      </c>
      <c r="BK140" s="5">
        <v>789</v>
      </c>
      <c r="BL140" s="5">
        <v>885</v>
      </c>
      <c r="BM140" s="5">
        <v>833</v>
      </c>
      <c r="BN140" s="5">
        <v>796</v>
      </c>
      <c r="BO140" s="5">
        <v>774</v>
      </c>
      <c r="BP140" s="5">
        <v>824</v>
      </c>
      <c r="BQ140" s="5">
        <v>830</v>
      </c>
      <c r="BR140" s="5">
        <v>849</v>
      </c>
      <c r="BS140" s="5">
        <v>785</v>
      </c>
      <c r="BT140" s="5">
        <v>742</v>
      </c>
      <c r="BU140" s="5">
        <v>865</v>
      </c>
      <c r="BV140" s="5">
        <v>844</v>
      </c>
      <c r="BW140" s="5">
        <v>800</v>
      </c>
      <c r="BX140" s="5">
        <v>855</v>
      </c>
      <c r="BY140" s="5">
        <v>759</v>
      </c>
      <c r="BZ140" s="5">
        <v>782</v>
      </c>
      <c r="CA140" s="5">
        <v>815</v>
      </c>
      <c r="CB140" s="5">
        <v>876</v>
      </c>
      <c r="CC140" s="5">
        <v>860</v>
      </c>
      <c r="CD140" s="5">
        <v>807</v>
      </c>
      <c r="CE140" s="5">
        <v>837</v>
      </c>
      <c r="CF140" s="5">
        <v>773</v>
      </c>
      <c r="CG140" s="5">
        <v>844</v>
      </c>
      <c r="CH140" s="5">
        <v>842</v>
      </c>
      <c r="CI140" s="5">
        <v>740</v>
      </c>
      <c r="CJ140" s="5">
        <v>817</v>
      </c>
      <c r="CK140" s="5">
        <v>798</v>
      </c>
      <c r="CL140" s="5">
        <v>885</v>
      </c>
      <c r="CM140" s="5">
        <v>762</v>
      </c>
      <c r="CN140" s="5">
        <v>866</v>
      </c>
      <c r="CO140" s="5">
        <v>800</v>
      </c>
      <c r="CP140" s="5">
        <v>941</v>
      </c>
      <c r="CQ140" s="5">
        <v>806</v>
      </c>
      <c r="CR140" s="5">
        <v>874</v>
      </c>
      <c r="CS140" s="5">
        <v>821</v>
      </c>
      <c r="CT140" s="5">
        <v>884</v>
      </c>
      <c r="CU140" s="5">
        <v>815</v>
      </c>
      <c r="CV140" s="5">
        <v>832</v>
      </c>
      <c r="CW140" s="5">
        <v>830</v>
      </c>
      <c r="CX140" s="5">
        <v>789</v>
      </c>
      <c r="CY140" s="5">
        <v>875</v>
      </c>
      <c r="CZ140" s="5">
        <v>844</v>
      </c>
      <c r="DA140" s="5">
        <v>815</v>
      </c>
      <c r="DB140" s="5">
        <v>785</v>
      </c>
    </row>
    <row r="141" spans="1:106" x14ac:dyDescent="0.25">
      <c r="A141" s="2" t="s">
        <v>23</v>
      </c>
      <c r="B141" s="9">
        <f t="shared" si="46"/>
        <v>1068.68</v>
      </c>
      <c r="C141" s="9">
        <f t="shared" si="47"/>
        <v>1063</v>
      </c>
      <c r="D141" s="13">
        <f t="shared" si="48"/>
        <v>1213</v>
      </c>
      <c r="E141" s="13">
        <f t="shared" si="49"/>
        <v>953</v>
      </c>
      <c r="F141" s="9">
        <f t="shared" si="50"/>
        <v>51.388573190403477</v>
      </c>
      <c r="G141" s="5">
        <v>1213</v>
      </c>
      <c r="H141" s="5">
        <v>1129</v>
      </c>
      <c r="I141" s="5">
        <v>1179</v>
      </c>
      <c r="J141" s="5">
        <v>1098</v>
      </c>
      <c r="K141" s="5">
        <v>1079</v>
      </c>
      <c r="L141" s="5">
        <v>1111</v>
      </c>
      <c r="M141" s="5">
        <v>1112</v>
      </c>
      <c r="N141" s="5">
        <v>1053</v>
      </c>
      <c r="O141" s="5">
        <v>1127</v>
      </c>
      <c r="P141" s="5">
        <v>1091</v>
      </c>
      <c r="Q141" s="5">
        <v>1013</v>
      </c>
      <c r="R141" s="5">
        <v>1069</v>
      </c>
      <c r="S141" s="5">
        <v>1054</v>
      </c>
      <c r="T141" s="5">
        <v>1058</v>
      </c>
      <c r="U141" s="5">
        <v>1137</v>
      </c>
      <c r="V141" s="5">
        <v>1104</v>
      </c>
      <c r="W141" s="5">
        <v>1066</v>
      </c>
      <c r="X141" s="5">
        <v>1113</v>
      </c>
      <c r="Y141" s="5">
        <v>1062</v>
      </c>
      <c r="Z141" s="5">
        <v>1151</v>
      </c>
      <c r="AA141" s="5">
        <v>1081</v>
      </c>
      <c r="AB141" s="5">
        <v>1100</v>
      </c>
      <c r="AC141" s="5">
        <v>1022</v>
      </c>
      <c r="AD141" s="5">
        <v>1050</v>
      </c>
      <c r="AE141" s="5">
        <v>1060</v>
      </c>
      <c r="AF141" s="5">
        <v>990</v>
      </c>
      <c r="AG141" s="5">
        <v>1086</v>
      </c>
      <c r="AH141" s="5">
        <v>953</v>
      </c>
      <c r="AI141" s="5">
        <v>1039</v>
      </c>
      <c r="AJ141" s="5">
        <v>1004</v>
      </c>
      <c r="AK141" s="5">
        <v>1062</v>
      </c>
      <c r="AL141" s="5">
        <v>1118</v>
      </c>
      <c r="AM141" s="5">
        <v>1111</v>
      </c>
      <c r="AN141" s="5">
        <v>973</v>
      </c>
      <c r="AO141" s="5">
        <v>1120</v>
      </c>
      <c r="AP141" s="5">
        <v>1046</v>
      </c>
      <c r="AQ141" s="5">
        <v>1000</v>
      </c>
      <c r="AR141" s="5">
        <v>1058</v>
      </c>
      <c r="AS141" s="5">
        <v>1033</v>
      </c>
      <c r="AT141" s="5">
        <v>1049</v>
      </c>
      <c r="AU141" s="5">
        <v>1047</v>
      </c>
      <c r="AV141" s="5">
        <v>1120</v>
      </c>
      <c r="AW141" s="5">
        <v>1017</v>
      </c>
      <c r="AX141" s="5">
        <v>1031</v>
      </c>
      <c r="AY141" s="5">
        <v>1026</v>
      </c>
      <c r="AZ141" s="5">
        <v>1070</v>
      </c>
      <c r="BA141" s="5">
        <v>1086</v>
      </c>
      <c r="BB141" s="5">
        <v>1152</v>
      </c>
      <c r="BC141" s="5">
        <v>995</v>
      </c>
      <c r="BD141" s="5">
        <v>1094</v>
      </c>
      <c r="BE141" s="5">
        <v>1066</v>
      </c>
      <c r="BF141" s="5">
        <v>1061</v>
      </c>
      <c r="BG141" s="5">
        <v>1061</v>
      </c>
      <c r="BH141" s="5">
        <v>1096</v>
      </c>
      <c r="BI141" s="5">
        <v>991</v>
      </c>
      <c r="BJ141" s="5">
        <v>1001</v>
      </c>
      <c r="BK141" s="5">
        <v>1024</v>
      </c>
      <c r="BL141" s="5">
        <v>1040</v>
      </c>
      <c r="BM141" s="5">
        <v>989</v>
      </c>
      <c r="BN141" s="5">
        <v>1091</v>
      </c>
      <c r="BO141" s="5">
        <v>1120</v>
      </c>
      <c r="BP141" s="5">
        <v>1080</v>
      </c>
      <c r="BQ141" s="5">
        <v>1092</v>
      </c>
      <c r="BR141" s="5">
        <v>1039</v>
      </c>
      <c r="BS141" s="5">
        <v>1100</v>
      </c>
      <c r="BT141" s="5">
        <v>1153</v>
      </c>
      <c r="BU141" s="5">
        <v>1037</v>
      </c>
      <c r="BV141" s="5">
        <v>1007</v>
      </c>
      <c r="BW141" s="5">
        <v>1055</v>
      </c>
      <c r="BX141" s="5">
        <v>1190</v>
      </c>
      <c r="BY141" s="5">
        <v>1095</v>
      </c>
      <c r="BZ141" s="5">
        <v>1102</v>
      </c>
      <c r="CA141" s="5">
        <v>1150</v>
      </c>
      <c r="CB141" s="5">
        <v>1043</v>
      </c>
      <c r="CC141" s="5">
        <v>1033</v>
      </c>
      <c r="CD141" s="5">
        <v>1070</v>
      </c>
      <c r="CE141" s="5">
        <v>1078</v>
      </c>
      <c r="CF141" s="5">
        <v>1057</v>
      </c>
      <c r="CG141" s="5">
        <v>1107</v>
      </c>
      <c r="CH141" s="5">
        <v>1075</v>
      </c>
      <c r="CI141" s="5">
        <v>1125</v>
      </c>
      <c r="CJ141" s="5">
        <v>966</v>
      </c>
      <c r="CK141" s="5">
        <v>1054</v>
      </c>
      <c r="CL141" s="5">
        <v>1039</v>
      </c>
      <c r="CM141" s="5">
        <v>1051</v>
      </c>
      <c r="CN141" s="5">
        <v>1064</v>
      </c>
      <c r="CO141" s="5">
        <v>1013</v>
      </c>
      <c r="CP141" s="5">
        <v>1110</v>
      </c>
      <c r="CQ141" s="5">
        <v>1000</v>
      </c>
      <c r="CR141" s="5">
        <v>1059</v>
      </c>
      <c r="CS141" s="5">
        <v>1028</v>
      </c>
      <c r="CT141" s="5">
        <v>972</v>
      </c>
      <c r="CU141" s="5">
        <v>1018</v>
      </c>
      <c r="CV141" s="5">
        <v>1039</v>
      </c>
      <c r="CW141" s="5">
        <v>1019</v>
      </c>
      <c r="CX141" s="5">
        <v>1074</v>
      </c>
      <c r="CY141" s="5">
        <v>1096</v>
      </c>
      <c r="CZ141" s="5">
        <v>1140</v>
      </c>
      <c r="DA141" s="5">
        <v>1144</v>
      </c>
      <c r="DB141" s="5">
        <v>1142</v>
      </c>
    </row>
    <row r="142" spans="1:106" x14ac:dyDescent="0.25">
      <c r="A142" s="2" t="s">
        <v>22</v>
      </c>
      <c r="B142" s="9">
        <f t="shared" si="46"/>
        <v>979.39</v>
      </c>
      <c r="C142" s="9">
        <f t="shared" si="47"/>
        <v>973.5</v>
      </c>
      <c r="D142" s="13">
        <f t="shared" si="48"/>
        <v>1108</v>
      </c>
      <c r="E142" s="13">
        <f t="shared" si="49"/>
        <v>855</v>
      </c>
      <c r="F142" s="9">
        <f t="shared" si="50"/>
        <v>44.844263621983792</v>
      </c>
      <c r="G142" s="5">
        <v>888</v>
      </c>
      <c r="H142" s="5">
        <v>1001</v>
      </c>
      <c r="I142" s="5">
        <v>1030</v>
      </c>
      <c r="J142" s="5">
        <v>1015</v>
      </c>
      <c r="K142" s="5">
        <v>988</v>
      </c>
      <c r="L142" s="5">
        <v>944</v>
      </c>
      <c r="M142" s="5">
        <v>954</v>
      </c>
      <c r="N142" s="5">
        <v>1017</v>
      </c>
      <c r="O142" s="5">
        <v>935</v>
      </c>
      <c r="P142" s="5">
        <v>1021</v>
      </c>
      <c r="Q142" s="5">
        <v>994</v>
      </c>
      <c r="R142" s="5">
        <v>939</v>
      </c>
      <c r="S142" s="5">
        <v>922</v>
      </c>
      <c r="T142" s="5">
        <v>877</v>
      </c>
      <c r="U142" s="5">
        <v>1055</v>
      </c>
      <c r="V142" s="5">
        <v>1029</v>
      </c>
      <c r="W142" s="5">
        <v>922</v>
      </c>
      <c r="X142" s="5">
        <v>951</v>
      </c>
      <c r="Y142" s="5">
        <v>1005</v>
      </c>
      <c r="Z142" s="5">
        <v>1042</v>
      </c>
      <c r="AA142" s="5">
        <v>970</v>
      </c>
      <c r="AB142" s="5">
        <v>1042</v>
      </c>
      <c r="AC142" s="5">
        <v>1041</v>
      </c>
      <c r="AD142" s="5">
        <v>913</v>
      </c>
      <c r="AE142" s="5">
        <v>993</v>
      </c>
      <c r="AF142" s="5">
        <v>969</v>
      </c>
      <c r="AG142" s="5">
        <v>1015</v>
      </c>
      <c r="AH142" s="5">
        <v>956</v>
      </c>
      <c r="AI142" s="5">
        <v>975</v>
      </c>
      <c r="AJ142" s="5">
        <v>1058</v>
      </c>
      <c r="AK142" s="5">
        <v>966</v>
      </c>
      <c r="AL142" s="5">
        <v>1006</v>
      </c>
      <c r="AM142" s="5">
        <v>963</v>
      </c>
      <c r="AN142" s="5">
        <v>1108</v>
      </c>
      <c r="AO142" s="5">
        <v>930</v>
      </c>
      <c r="AP142" s="5">
        <v>928</v>
      </c>
      <c r="AQ142" s="5">
        <v>946</v>
      </c>
      <c r="AR142" s="5">
        <v>1003</v>
      </c>
      <c r="AS142" s="5">
        <v>1008</v>
      </c>
      <c r="AT142" s="5">
        <v>855</v>
      </c>
      <c r="AU142" s="5">
        <v>1081</v>
      </c>
      <c r="AV142" s="5">
        <v>1003</v>
      </c>
      <c r="AW142" s="5">
        <v>960</v>
      </c>
      <c r="AX142" s="5">
        <v>913</v>
      </c>
      <c r="AY142" s="5">
        <v>992</v>
      </c>
      <c r="AZ142" s="5">
        <v>956</v>
      </c>
      <c r="BA142" s="5">
        <v>956</v>
      </c>
      <c r="BB142" s="5">
        <v>1012</v>
      </c>
      <c r="BC142" s="5">
        <v>970</v>
      </c>
      <c r="BD142" s="5">
        <v>1025</v>
      </c>
      <c r="BE142" s="5">
        <v>944</v>
      </c>
      <c r="BF142" s="5">
        <v>1008</v>
      </c>
      <c r="BG142" s="5">
        <v>1021</v>
      </c>
      <c r="BH142" s="5">
        <v>934</v>
      </c>
      <c r="BI142" s="5">
        <v>966</v>
      </c>
      <c r="BJ142" s="5">
        <v>1022</v>
      </c>
      <c r="BK142" s="5">
        <v>960</v>
      </c>
      <c r="BL142" s="5">
        <v>1010</v>
      </c>
      <c r="BM142" s="5">
        <v>1012</v>
      </c>
      <c r="BN142" s="5">
        <v>1057</v>
      </c>
      <c r="BO142" s="5">
        <v>1000</v>
      </c>
      <c r="BP142" s="5">
        <v>977</v>
      </c>
      <c r="BQ142" s="5">
        <v>1005</v>
      </c>
      <c r="BR142" s="5">
        <v>1072</v>
      </c>
      <c r="BS142" s="5">
        <v>956</v>
      </c>
      <c r="BT142" s="5">
        <v>935</v>
      </c>
      <c r="BU142" s="5">
        <v>953</v>
      </c>
      <c r="BV142" s="5">
        <v>986</v>
      </c>
      <c r="BW142" s="5">
        <v>949</v>
      </c>
      <c r="BX142" s="5">
        <v>971</v>
      </c>
      <c r="BY142" s="5">
        <v>975</v>
      </c>
      <c r="BZ142" s="5">
        <v>973</v>
      </c>
      <c r="CA142" s="5">
        <v>943</v>
      </c>
      <c r="CB142" s="5">
        <v>1002</v>
      </c>
      <c r="CC142" s="5">
        <v>968</v>
      </c>
      <c r="CD142" s="5">
        <v>932</v>
      </c>
      <c r="CE142" s="5">
        <v>945</v>
      </c>
      <c r="CF142" s="5">
        <v>955</v>
      </c>
      <c r="CG142" s="5">
        <v>1025</v>
      </c>
      <c r="CH142" s="5">
        <v>954</v>
      </c>
      <c r="CI142" s="5">
        <v>945</v>
      </c>
      <c r="CJ142" s="5">
        <v>983</v>
      </c>
      <c r="CK142" s="5">
        <v>932</v>
      </c>
      <c r="CL142" s="5">
        <v>988</v>
      </c>
      <c r="CM142" s="5">
        <v>936</v>
      </c>
      <c r="CN142" s="5">
        <v>934</v>
      </c>
      <c r="CO142" s="5">
        <v>966</v>
      </c>
      <c r="CP142" s="5">
        <v>1038</v>
      </c>
      <c r="CQ142" s="5">
        <v>968</v>
      </c>
      <c r="CR142" s="5">
        <v>998</v>
      </c>
      <c r="CS142" s="5">
        <v>930</v>
      </c>
      <c r="CT142" s="5">
        <v>962</v>
      </c>
      <c r="CU142" s="5">
        <v>912</v>
      </c>
      <c r="CV142" s="5">
        <v>964</v>
      </c>
      <c r="CW142" s="5">
        <v>1013</v>
      </c>
      <c r="CX142" s="5">
        <v>1049</v>
      </c>
      <c r="CY142" s="5">
        <v>974</v>
      </c>
      <c r="CZ142" s="5">
        <v>1013</v>
      </c>
      <c r="DA142" s="5">
        <v>996</v>
      </c>
      <c r="DB142" s="5">
        <v>986</v>
      </c>
    </row>
    <row r="143" spans="1:106" x14ac:dyDescent="0.25">
      <c r="A143" s="3" t="s">
        <v>31</v>
      </c>
      <c r="B143" s="8"/>
      <c r="C143" s="8"/>
      <c r="D143" s="12"/>
      <c r="E143" s="12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</row>
    <row r="144" spans="1:106" x14ac:dyDescent="0.25">
      <c r="A144" s="2" t="s">
        <v>17</v>
      </c>
      <c r="B144" s="9">
        <f>AVERAGE($G144:$DB144)</f>
        <v>989.57</v>
      </c>
      <c r="C144" s="9">
        <f>MEDIAN($G144:$DB144)</f>
        <v>991</v>
      </c>
      <c r="D144" s="13">
        <f>MAX($G144:$DB144)</f>
        <v>1062</v>
      </c>
      <c r="E144" s="13">
        <f>MIN($G144:$DB144)</f>
        <v>879</v>
      </c>
      <c r="F144" s="9">
        <f>STDEV($G144:$DB144)</f>
        <v>40.456300154885909</v>
      </c>
      <c r="G144" s="5">
        <v>998</v>
      </c>
      <c r="H144" s="5">
        <v>994</v>
      </c>
      <c r="I144" s="5">
        <v>1018</v>
      </c>
      <c r="J144" s="5">
        <v>1017</v>
      </c>
      <c r="K144" s="5">
        <v>930</v>
      </c>
      <c r="L144" s="5">
        <v>949</v>
      </c>
      <c r="M144" s="5">
        <v>980</v>
      </c>
      <c r="N144" s="5">
        <v>943</v>
      </c>
      <c r="O144" s="5">
        <v>969</v>
      </c>
      <c r="P144" s="5">
        <v>1002</v>
      </c>
      <c r="Q144" s="5">
        <v>970</v>
      </c>
      <c r="R144" s="5">
        <v>1053</v>
      </c>
      <c r="S144" s="5">
        <v>952</v>
      </c>
      <c r="T144" s="5">
        <v>1029</v>
      </c>
      <c r="U144" s="5">
        <v>968</v>
      </c>
      <c r="V144" s="5">
        <v>1042</v>
      </c>
      <c r="W144" s="5">
        <v>1034</v>
      </c>
      <c r="X144" s="5">
        <v>963</v>
      </c>
      <c r="Y144" s="5">
        <v>920</v>
      </c>
      <c r="Z144" s="5">
        <v>930</v>
      </c>
      <c r="AA144" s="5">
        <v>1030</v>
      </c>
      <c r="AB144" s="5">
        <v>983</v>
      </c>
      <c r="AC144" s="5">
        <v>948</v>
      </c>
      <c r="AD144" s="5">
        <v>1047</v>
      </c>
      <c r="AE144" s="5">
        <v>989</v>
      </c>
      <c r="AF144" s="5">
        <v>965</v>
      </c>
      <c r="AG144" s="5">
        <v>1021</v>
      </c>
      <c r="AH144" s="5">
        <v>1017</v>
      </c>
      <c r="AI144" s="5">
        <v>1044</v>
      </c>
      <c r="AJ144" s="5">
        <v>1020</v>
      </c>
      <c r="AK144" s="5">
        <v>952</v>
      </c>
      <c r="AL144" s="5">
        <v>944</v>
      </c>
      <c r="AM144" s="5">
        <v>990</v>
      </c>
      <c r="AN144" s="5">
        <v>1040</v>
      </c>
      <c r="AO144" s="5">
        <v>1035</v>
      </c>
      <c r="AP144" s="5">
        <v>951</v>
      </c>
      <c r="AQ144" s="5">
        <v>1019</v>
      </c>
      <c r="AR144" s="5">
        <v>991</v>
      </c>
      <c r="AS144" s="5">
        <v>974</v>
      </c>
      <c r="AT144" s="5">
        <v>987</v>
      </c>
      <c r="AU144" s="5">
        <v>1004</v>
      </c>
      <c r="AV144" s="5">
        <v>1007</v>
      </c>
      <c r="AW144" s="5">
        <v>991</v>
      </c>
      <c r="AX144" s="5">
        <v>927</v>
      </c>
      <c r="AY144" s="5">
        <v>1049</v>
      </c>
      <c r="AZ144" s="5">
        <v>1024</v>
      </c>
      <c r="BA144" s="5">
        <v>1016</v>
      </c>
      <c r="BB144" s="5">
        <v>1021</v>
      </c>
      <c r="BC144" s="5">
        <v>916</v>
      </c>
      <c r="BD144" s="5">
        <v>950</v>
      </c>
      <c r="BE144" s="5">
        <v>975</v>
      </c>
      <c r="BF144" s="5">
        <v>976</v>
      </c>
      <c r="BG144" s="5">
        <v>1033</v>
      </c>
      <c r="BH144" s="5">
        <v>1011</v>
      </c>
      <c r="BI144" s="5">
        <v>1062</v>
      </c>
      <c r="BJ144" s="5">
        <v>978</v>
      </c>
      <c r="BK144" s="5">
        <v>995</v>
      </c>
      <c r="BL144" s="5">
        <v>963</v>
      </c>
      <c r="BM144" s="5">
        <v>1060</v>
      </c>
      <c r="BN144" s="5">
        <v>1021</v>
      </c>
      <c r="BO144" s="5">
        <v>915</v>
      </c>
      <c r="BP144" s="5">
        <v>979</v>
      </c>
      <c r="BQ144" s="5">
        <v>986</v>
      </c>
      <c r="BR144" s="5">
        <v>1013</v>
      </c>
      <c r="BS144" s="5">
        <v>987</v>
      </c>
      <c r="BT144" s="5">
        <v>912</v>
      </c>
      <c r="BU144" s="5">
        <v>986</v>
      </c>
      <c r="BV144" s="5">
        <v>971</v>
      </c>
      <c r="BW144" s="5">
        <v>979</v>
      </c>
      <c r="BX144" s="5">
        <v>990</v>
      </c>
      <c r="BY144" s="5">
        <v>927</v>
      </c>
      <c r="BZ144" s="5">
        <v>1005</v>
      </c>
      <c r="CA144" s="5">
        <v>1020</v>
      </c>
      <c r="CB144" s="5">
        <v>897</v>
      </c>
      <c r="CC144" s="5">
        <v>913</v>
      </c>
      <c r="CD144" s="5">
        <v>1040</v>
      </c>
      <c r="CE144" s="5">
        <v>1001</v>
      </c>
      <c r="CF144" s="5">
        <v>997</v>
      </c>
      <c r="CG144" s="5">
        <v>1017</v>
      </c>
      <c r="CH144" s="5">
        <v>1016</v>
      </c>
      <c r="CI144" s="5">
        <v>1057</v>
      </c>
      <c r="CJ144" s="5">
        <v>991</v>
      </c>
      <c r="CK144" s="5">
        <v>987</v>
      </c>
      <c r="CL144" s="5">
        <v>1011</v>
      </c>
      <c r="CM144" s="5">
        <v>879</v>
      </c>
      <c r="CN144" s="5">
        <v>962</v>
      </c>
      <c r="CO144" s="5">
        <v>950</v>
      </c>
      <c r="CP144" s="5">
        <v>967</v>
      </c>
      <c r="CQ144" s="5">
        <v>934</v>
      </c>
      <c r="CR144" s="5">
        <v>1031</v>
      </c>
      <c r="CS144" s="5">
        <v>1017</v>
      </c>
      <c r="CT144" s="5">
        <v>938</v>
      </c>
      <c r="CU144" s="5">
        <v>1004</v>
      </c>
      <c r="CV144" s="5">
        <v>966</v>
      </c>
      <c r="CW144" s="5">
        <v>1028</v>
      </c>
      <c r="CX144" s="5">
        <v>973</v>
      </c>
      <c r="CY144" s="5">
        <v>1039</v>
      </c>
      <c r="CZ144" s="5">
        <v>1017</v>
      </c>
      <c r="DA144" s="5">
        <v>1040</v>
      </c>
      <c r="DB144" s="5">
        <v>1028</v>
      </c>
    </row>
    <row r="145" spans="1:106" x14ac:dyDescent="0.25">
      <c r="A145" s="2" t="s">
        <v>18</v>
      </c>
      <c r="B145" s="9">
        <f t="shared" ref="B145:B148" si="51">AVERAGE($G145:$DB145)</f>
        <v>1035.5</v>
      </c>
      <c r="C145" s="9">
        <f t="shared" ref="C145:C148" si="52">MEDIAN($G145:$DB145)</f>
        <v>1039.5</v>
      </c>
      <c r="D145" s="13">
        <f t="shared" ref="D145:D148" si="53">MAX($G145:$DB145)</f>
        <v>1163</v>
      </c>
      <c r="E145" s="13">
        <f t="shared" ref="E145:E148" si="54">MIN($G145:$DB145)</f>
        <v>924</v>
      </c>
      <c r="F145" s="9">
        <f t="shared" ref="F145:F148" si="55">STDEV($G145:$DB145)</f>
        <v>48.427285905799224</v>
      </c>
      <c r="G145" s="5">
        <v>1073</v>
      </c>
      <c r="H145" s="5">
        <v>1054</v>
      </c>
      <c r="I145" s="5">
        <v>1145</v>
      </c>
      <c r="J145" s="5">
        <v>1053</v>
      </c>
      <c r="K145" s="5">
        <v>1070</v>
      </c>
      <c r="L145" s="5">
        <v>1137</v>
      </c>
      <c r="M145" s="5">
        <v>1020</v>
      </c>
      <c r="N145" s="5">
        <v>1005</v>
      </c>
      <c r="O145" s="5">
        <v>1092</v>
      </c>
      <c r="P145" s="5">
        <v>1003</v>
      </c>
      <c r="Q145" s="5">
        <v>970</v>
      </c>
      <c r="R145" s="5">
        <v>995</v>
      </c>
      <c r="S145" s="5">
        <v>987</v>
      </c>
      <c r="T145" s="5">
        <v>1002</v>
      </c>
      <c r="U145" s="5">
        <v>1072</v>
      </c>
      <c r="V145" s="5">
        <v>1080</v>
      </c>
      <c r="W145" s="5">
        <v>971</v>
      </c>
      <c r="X145" s="5">
        <v>1036</v>
      </c>
      <c r="Y145" s="5">
        <v>1049</v>
      </c>
      <c r="Z145" s="5">
        <v>1020</v>
      </c>
      <c r="AA145" s="5">
        <v>986</v>
      </c>
      <c r="AB145" s="5">
        <v>1048</v>
      </c>
      <c r="AC145" s="5">
        <v>1056</v>
      </c>
      <c r="AD145" s="5">
        <v>1044</v>
      </c>
      <c r="AE145" s="5">
        <v>1020</v>
      </c>
      <c r="AF145" s="5">
        <v>1045</v>
      </c>
      <c r="AG145" s="5">
        <v>1066</v>
      </c>
      <c r="AH145" s="5">
        <v>1012</v>
      </c>
      <c r="AI145" s="5">
        <v>1030</v>
      </c>
      <c r="AJ145" s="5">
        <v>1036</v>
      </c>
      <c r="AK145" s="5">
        <v>1059</v>
      </c>
      <c r="AL145" s="5">
        <v>990</v>
      </c>
      <c r="AM145" s="5">
        <v>935</v>
      </c>
      <c r="AN145" s="5">
        <v>1054</v>
      </c>
      <c r="AO145" s="5">
        <v>1063</v>
      </c>
      <c r="AP145" s="5">
        <v>1084</v>
      </c>
      <c r="AQ145" s="5">
        <v>1106</v>
      </c>
      <c r="AR145" s="5">
        <v>1090</v>
      </c>
      <c r="AS145" s="5">
        <v>1025</v>
      </c>
      <c r="AT145" s="5">
        <v>956</v>
      </c>
      <c r="AU145" s="5">
        <v>975</v>
      </c>
      <c r="AV145" s="5">
        <v>1042</v>
      </c>
      <c r="AW145" s="5">
        <v>1072</v>
      </c>
      <c r="AX145" s="5">
        <v>1069</v>
      </c>
      <c r="AY145" s="5">
        <v>1010</v>
      </c>
      <c r="AZ145" s="5">
        <v>995</v>
      </c>
      <c r="BA145" s="5">
        <v>1071</v>
      </c>
      <c r="BB145" s="5">
        <v>1068</v>
      </c>
      <c r="BC145" s="5">
        <v>1073</v>
      </c>
      <c r="BD145" s="5">
        <v>1043</v>
      </c>
      <c r="BE145" s="5">
        <v>1037</v>
      </c>
      <c r="BF145" s="5">
        <v>973</v>
      </c>
      <c r="BG145" s="5">
        <v>1017</v>
      </c>
      <c r="BH145" s="5">
        <v>1019</v>
      </c>
      <c r="BI145" s="5">
        <v>1030</v>
      </c>
      <c r="BJ145" s="5">
        <v>987</v>
      </c>
      <c r="BK145" s="5">
        <v>925</v>
      </c>
      <c r="BL145" s="5">
        <v>1032</v>
      </c>
      <c r="BM145" s="5">
        <v>980</v>
      </c>
      <c r="BN145" s="5">
        <v>1132</v>
      </c>
      <c r="BO145" s="5">
        <v>1042</v>
      </c>
      <c r="BP145" s="5">
        <v>1011</v>
      </c>
      <c r="BQ145" s="5">
        <v>1077</v>
      </c>
      <c r="BR145" s="5">
        <v>970</v>
      </c>
      <c r="BS145" s="5">
        <v>1085</v>
      </c>
      <c r="BT145" s="5">
        <v>1029</v>
      </c>
      <c r="BU145" s="5">
        <v>1078</v>
      </c>
      <c r="BV145" s="5">
        <v>1078</v>
      </c>
      <c r="BW145" s="5">
        <v>1029</v>
      </c>
      <c r="BX145" s="5">
        <v>1163</v>
      </c>
      <c r="BY145" s="5">
        <v>997</v>
      </c>
      <c r="BZ145" s="5">
        <v>1084</v>
      </c>
      <c r="CA145" s="5">
        <v>1026</v>
      </c>
      <c r="CB145" s="5">
        <v>1077</v>
      </c>
      <c r="CC145" s="5">
        <v>1050</v>
      </c>
      <c r="CD145" s="5">
        <v>1026</v>
      </c>
      <c r="CE145" s="5">
        <v>1067</v>
      </c>
      <c r="CF145" s="5">
        <v>1073</v>
      </c>
      <c r="CG145" s="5">
        <v>1012</v>
      </c>
      <c r="CH145" s="5">
        <v>972</v>
      </c>
      <c r="CI145" s="5">
        <v>1058</v>
      </c>
      <c r="CJ145" s="5">
        <v>1070</v>
      </c>
      <c r="CK145" s="5">
        <v>1042</v>
      </c>
      <c r="CL145" s="5">
        <v>1009</v>
      </c>
      <c r="CM145" s="5">
        <v>1003</v>
      </c>
      <c r="CN145" s="5">
        <v>1052</v>
      </c>
      <c r="CO145" s="5">
        <v>924</v>
      </c>
      <c r="CP145" s="5">
        <v>997</v>
      </c>
      <c r="CQ145" s="5">
        <v>994</v>
      </c>
      <c r="CR145" s="5">
        <v>1031</v>
      </c>
      <c r="CS145" s="5">
        <v>1131</v>
      </c>
      <c r="CT145" s="5">
        <v>1042</v>
      </c>
      <c r="CU145" s="5">
        <v>1101</v>
      </c>
      <c r="CV145" s="5">
        <v>982</v>
      </c>
      <c r="CW145" s="5">
        <v>951</v>
      </c>
      <c r="CX145" s="5">
        <v>974</v>
      </c>
      <c r="CY145" s="5">
        <v>1098</v>
      </c>
      <c r="CZ145" s="5">
        <v>1060</v>
      </c>
      <c r="DA145" s="5">
        <v>1064</v>
      </c>
      <c r="DB145" s="5">
        <v>932</v>
      </c>
    </row>
    <row r="146" spans="1:106" x14ac:dyDescent="0.25">
      <c r="A146" s="2" t="s">
        <v>14</v>
      </c>
      <c r="B146" s="9">
        <f t="shared" si="51"/>
        <v>692.62</v>
      </c>
      <c r="C146" s="9">
        <f t="shared" si="52"/>
        <v>694</v>
      </c>
      <c r="D146" s="13">
        <f t="shared" si="53"/>
        <v>773</v>
      </c>
      <c r="E146" s="13">
        <f t="shared" si="54"/>
        <v>599</v>
      </c>
      <c r="F146" s="9">
        <f t="shared" si="55"/>
        <v>37.656549995661543</v>
      </c>
      <c r="G146" s="5">
        <v>599</v>
      </c>
      <c r="H146" s="5">
        <v>688</v>
      </c>
      <c r="I146" s="5">
        <v>742</v>
      </c>
      <c r="J146" s="5">
        <v>692</v>
      </c>
      <c r="K146" s="5">
        <v>728</v>
      </c>
      <c r="L146" s="5">
        <v>694</v>
      </c>
      <c r="M146" s="5">
        <v>675</v>
      </c>
      <c r="N146" s="5">
        <v>698</v>
      </c>
      <c r="O146" s="5">
        <v>689</v>
      </c>
      <c r="P146" s="5">
        <v>713</v>
      </c>
      <c r="Q146" s="5">
        <v>646</v>
      </c>
      <c r="R146" s="5">
        <v>666</v>
      </c>
      <c r="S146" s="5">
        <v>680</v>
      </c>
      <c r="T146" s="5">
        <v>684</v>
      </c>
      <c r="U146" s="5">
        <v>697</v>
      </c>
      <c r="V146" s="5">
        <v>683</v>
      </c>
      <c r="W146" s="5">
        <v>676</v>
      </c>
      <c r="X146" s="5">
        <v>696</v>
      </c>
      <c r="Y146" s="5">
        <v>731</v>
      </c>
      <c r="Z146" s="5">
        <v>722</v>
      </c>
      <c r="AA146" s="5">
        <v>695</v>
      </c>
      <c r="AB146" s="5">
        <v>641</v>
      </c>
      <c r="AC146" s="5">
        <v>658</v>
      </c>
      <c r="AD146" s="5">
        <v>693</v>
      </c>
      <c r="AE146" s="5">
        <v>647</v>
      </c>
      <c r="AF146" s="5">
        <v>735</v>
      </c>
      <c r="AG146" s="5">
        <v>682</v>
      </c>
      <c r="AH146" s="5">
        <v>703</v>
      </c>
      <c r="AI146" s="5">
        <v>715</v>
      </c>
      <c r="AJ146" s="5">
        <v>700</v>
      </c>
      <c r="AK146" s="5">
        <v>707</v>
      </c>
      <c r="AL146" s="5">
        <v>713</v>
      </c>
      <c r="AM146" s="5">
        <v>747</v>
      </c>
      <c r="AN146" s="5">
        <v>727</v>
      </c>
      <c r="AO146" s="5">
        <v>677</v>
      </c>
      <c r="AP146" s="5">
        <v>756</v>
      </c>
      <c r="AQ146" s="5">
        <v>632</v>
      </c>
      <c r="AR146" s="5">
        <v>726</v>
      </c>
      <c r="AS146" s="5">
        <v>755</v>
      </c>
      <c r="AT146" s="5">
        <v>754</v>
      </c>
      <c r="AU146" s="5">
        <v>719</v>
      </c>
      <c r="AV146" s="5">
        <v>670</v>
      </c>
      <c r="AW146" s="5">
        <v>717</v>
      </c>
      <c r="AX146" s="5">
        <v>741</v>
      </c>
      <c r="AY146" s="5">
        <v>716</v>
      </c>
      <c r="AZ146" s="5">
        <v>697</v>
      </c>
      <c r="BA146" s="5">
        <v>683</v>
      </c>
      <c r="BB146" s="5">
        <v>743</v>
      </c>
      <c r="BC146" s="5">
        <v>655</v>
      </c>
      <c r="BD146" s="5">
        <v>662</v>
      </c>
      <c r="BE146" s="5">
        <v>745</v>
      </c>
      <c r="BF146" s="5">
        <v>763</v>
      </c>
      <c r="BG146" s="5">
        <v>672</v>
      </c>
      <c r="BH146" s="5">
        <v>689</v>
      </c>
      <c r="BI146" s="5">
        <v>666</v>
      </c>
      <c r="BJ146" s="5">
        <v>696</v>
      </c>
      <c r="BK146" s="5">
        <v>755</v>
      </c>
      <c r="BL146" s="5">
        <v>697</v>
      </c>
      <c r="BM146" s="5">
        <v>686</v>
      </c>
      <c r="BN146" s="5">
        <v>733</v>
      </c>
      <c r="BO146" s="5">
        <v>637</v>
      </c>
      <c r="BP146" s="5">
        <v>633</v>
      </c>
      <c r="BQ146" s="5">
        <v>717</v>
      </c>
      <c r="BR146" s="5">
        <v>625</v>
      </c>
      <c r="BS146" s="5">
        <v>659</v>
      </c>
      <c r="BT146" s="5">
        <v>753</v>
      </c>
      <c r="BU146" s="5">
        <v>717</v>
      </c>
      <c r="BV146" s="5">
        <v>667</v>
      </c>
      <c r="BW146" s="5">
        <v>626</v>
      </c>
      <c r="BX146" s="5">
        <v>639</v>
      </c>
      <c r="BY146" s="5">
        <v>685</v>
      </c>
      <c r="BZ146" s="5">
        <v>640</v>
      </c>
      <c r="CA146" s="5">
        <v>637</v>
      </c>
      <c r="CB146" s="5">
        <v>678</v>
      </c>
      <c r="CC146" s="5">
        <v>706</v>
      </c>
      <c r="CD146" s="5">
        <v>687</v>
      </c>
      <c r="CE146" s="5">
        <v>674</v>
      </c>
      <c r="CF146" s="5">
        <v>722</v>
      </c>
      <c r="CG146" s="5">
        <v>697</v>
      </c>
      <c r="CH146" s="5">
        <v>616</v>
      </c>
      <c r="CI146" s="5">
        <v>714</v>
      </c>
      <c r="CJ146" s="5">
        <v>611</v>
      </c>
      <c r="CK146" s="5">
        <v>675</v>
      </c>
      <c r="CL146" s="5">
        <v>679</v>
      </c>
      <c r="CM146" s="5">
        <v>614</v>
      </c>
      <c r="CN146" s="5">
        <v>687</v>
      </c>
      <c r="CO146" s="5">
        <v>708</v>
      </c>
      <c r="CP146" s="5">
        <v>697</v>
      </c>
      <c r="CQ146" s="5">
        <v>707</v>
      </c>
      <c r="CR146" s="5">
        <v>773</v>
      </c>
      <c r="CS146" s="5">
        <v>707</v>
      </c>
      <c r="CT146" s="5">
        <v>713</v>
      </c>
      <c r="CU146" s="5">
        <v>694</v>
      </c>
      <c r="CV146" s="5">
        <v>704</v>
      </c>
      <c r="CW146" s="5">
        <v>686</v>
      </c>
      <c r="CX146" s="5">
        <v>682</v>
      </c>
      <c r="CY146" s="5">
        <v>694</v>
      </c>
      <c r="CZ146" s="5">
        <v>759</v>
      </c>
      <c r="DA146" s="5">
        <v>653</v>
      </c>
      <c r="DB146" s="5">
        <v>723</v>
      </c>
    </row>
    <row r="147" spans="1:106" x14ac:dyDescent="0.25">
      <c r="A147" s="2" t="s">
        <v>15</v>
      </c>
      <c r="B147" s="9">
        <f t="shared" si="51"/>
        <v>1171.08</v>
      </c>
      <c r="C147" s="9">
        <f t="shared" si="52"/>
        <v>1162.5</v>
      </c>
      <c r="D147" s="13">
        <f t="shared" si="53"/>
        <v>1315</v>
      </c>
      <c r="E147" s="13">
        <f t="shared" si="54"/>
        <v>1044</v>
      </c>
      <c r="F147" s="9">
        <f t="shared" si="55"/>
        <v>57.318475876175185</v>
      </c>
      <c r="G147" s="5">
        <v>1156</v>
      </c>
      <c r="H147" s="5">
        <v>1114</v>
      </c>
      <c r="I147" s="5">
        <v>1214</v>
      </c>
      <c r="J147" s="5">
        <v>1212</v>
      </c>
      <c r="K147" s="5">
        <v>1132</v>
      </c>
      <c r="L147" s="5">
        <v>1088</v>
      </c>
      <c r="M147" s="5">
        <v>1203</v>
      </c>
      <c r="N147" s="5">
        <v>1102</v>
      </c>
      <c r="O147" s="5">
        <v>1161</v>
      </c>
      <c r="P147" s="5">
        <v>1233</v>
      </c>
      <c r="Q147" s="5">
        <v>1236</v>
      </c>
      <c r="R147" s="5">
        <v>1140</v>
      </c>
      <c r="S147" s="5">
        <v>1272</v>
      </c>
      <c r="T147" s="5">
        <v>1207</v>
      </c>
      <c r="U147" s="5">
        <v>1220</v>
      </c>
      <c r="V147" s="5">
        <v>1220</v>
      </c>
      <c r="W147" s="5">
        <v>1158</v>
      </c>
      <c r="X147" s="5">
        <v>1192</v>
      </c>
      <c r="Y147" s="5">
        <v>1139</v>
      </c>
      <c r="Z147" s="5">
        <v>1247</v>
      </c>
      <c r="AA147" s="5">
        <v>1252</v>
      </c>
      <c r="AB147" s="5">
        <v>1250</v>
      </c>
      <c r="AC147" s="5">
        <v>1244</v>
      </c>
      <c r="AD147" s="5">
        <v>1161</v>
      </c>
      <c r="AE147" s="5">
        <v>1168</v>
      </c>
      <c r="AF147" s="5">
        <v>1095</v>
      </c>
      <c r="AG147" s="5">
        <v>1292</v>
      </c>
      <c r="AH147" s="5">
        <v>1157</v>
      </c>
      <c r="AI147" s="5">
        <v>1180</v>
      </c>
      <c r="AJ147" s="5">
        <v>1191</v>
      </c>
      <c r="AK147" s="5">
        <v>1149</v>
      </c>
      <c r="AL147" s="5">
        <v>1142</v>
      </c>
      <c r="AM147" s="5">
        <v>1183</v>
      </c>
      <c r="AN147" s="5">
        <v>1164</v>
      </c>
      <c r="AO147" s="5">
        <v>1073</v>
      </c>
      <c r="AP147" s="5">
        <v>1197</v>
      </c>
      <c r="AQ147" s="5">
        <v>1233</v>
      </c>
      <c r="AR147" s="5">
        <v>1142</v>
      </c>
      <c r="AS147" s="5">
        <v>1233</v>
      </c>
      <c r="AT147" s="5">
        <v>1142</v>
      </c>
      <c r="AU147" s="5">
        <v>1177</v>
      </c>
      <c r="AV147" s="5">
        <v>1206</v>
      </c>
      <c r="AW147" s="5">
        <v>1273</v>
      </c>
      <c r="AX147" s="5">
        <v>1067</v>
      </c>
      <c r="AY147" s="5">
        <v>1151</v>
      </c>
      <c r="AZ147" s="5">
        <v>1144</v>
      </c>
      <c r="BA147" s="5">
        <v>1137</v>
      </c>
      <c r="BB147" s="5">
        <v>1062</v>
      </c>
      <c r="BC147" s="5">
        <v>1243</v>
      </c>
      <c r="BD147" s="5">
        <v>1175</v>
      </c>
      <c r="BE147" s="5">
        <v>1193</v>
      </c>
      <c r="BF147" s="5">
        <v>1233</v>
      </c>
      <c r="BG147" s="5">
        <v>1045</v>
      </c>
      <c r="BH147" s="5">
        <v>1123</v>
      </c>
      <c r="BI147" s="5">
        <v>1199</v>
      </c>
      <c r="BJ147" s="5">
        <v>1139</v>
      </c>
      <c r="BK147" s="5">
        <v>1139</v>
      </c>
      <c r="BL147" s="5">
        <v>1170</v>
      </c>
      <c r="BM147" s="5">
        <v>1140</v>
      </c>
      <c r="BN147" s="5">
        <v>1192</v>
      </c>
      <c r="BO147" s="5">
        <v>1204</v>
      </c>
      <c r="BP147" s="5">
        <v>1132</v>
      </c>
      <c r="BQ147" s="5">
        <v>1073</v>
      </c>
      <c r="BR147" s="5">
        <v>1182</v>
      </c>
      <c r="BS147" s="5">
        <v>1044</v>
      </c>
      <c r="BT147" s="5">
        <v>1175</v>
      </c>
      <c r="BU147" s="5">
        <v>1137</v>
      </c>
      <c r="BV147" s="5">
        <v>1151</v>
      </c>
      <c r="BW147" s="5">
        <v>1273</v>
      </c>
      <c r="BX147" s="5">
        <v>1282</v>
      </c>
      <c r="BY147" s="5">
        <v>1106</v>
      </c>
      <c r="BZ147" s="5">
        <v>1148</v>
      </c>
      <c r="CA147" s="5">
        <v>1103</v>
      </c>
      <c r="CB147" s="5">
        <v>1154</v>
      </c>
      <c r="CC147" s="5">
        <v>1149</v>
      </c>
      <c r="CD147" s="5">
        <v>1123</v>
      </c>
      <c r="CE147" s="5">
        <v>1234</v>
      </c>
      <c r="CF147" s="5">
        <v>1157</v>
      </c>
      <c r="CG147" s="5">
        <v>1218</v>
      </c>
      <c r="CH147" s="5">
        <v>1128</v>
      </c>
      <c r="CI147" s="5">
        <v>1167</v>
      </c>
      <c r="CJ147" s="5">
        <v>1124</v>
      </c>
      <c r="CK147" s="5">
        <v>1138</v>
      </c>
      <c r="CL147" s="5">
        <v>1131</v>
      </c>
      <c r="CM147" s="5">
        <v>1151</v>
      </c>
      <c r="CN147" s="5">
        <v>1218</v>
      </c>
      <c r="CO147" s="5">
        <v>1211</v>
      </c>
      <c r="CP147" s="5">
        <v>1205</v>
      </c>
      <c r="CQ147" s="5">
        <v>1145</v>
      </c>
      <c r="CR147" s="5">
        <v>1073</v>
      </c>
      <c r="CS147" s="5">
        <v>1143</v>
      </c>
      <c r="CT147" s="5">
        <v>1112</v>
      </c>
      <c r="CU147" s="5">
        <v>1211</v>
      </c>
      <c r="CV147" s="5">
        <v>1242</v>
      </c>
      <c r="CW147" s="5">
        <v>1315</v>
      </c>
      <c r="CX147" s="5">
        <v>1211</v>
      </c>
      <c r="CY147" s="5">
        <v>1247</v>
      </c>
      <c r="CZ147" s="5">
        <v>1181</v>
      </c>
      <c r="DA147" s="5">
        <v>1108</v>
      </c>
      <c r="DB147" s="5">
        <v>1100</v>
      </c>
    </row>
    <row r="148" spans="1:106" x14ac:dyDescent="0.25">
      <c r="A148" s="2" t="s">
        <v>16</v>
      </c>
      <c r="B148" s="9">
        <f t="shared" si="51"/>
        <v>869.09</v>
      </c>
      <c r="C148" s="9">
        <f t="shared" si="52"/>
        <v>870</v>
      </c>
      <c r="D148" s="13">
        <f t="shared" si="53"/>
        <v>972</v>
      </c>
      <c r="E148" s="13">
        <f t="shared" si="54"/>
        <v>771</v>
      </c>
      <c r="F148" s="9">
        <f t="shared" si="55"/>
        <v>43.932476885016683</v>
      </c>
      <c r="G148" s="5">
        <v>909</v>
      </c>
      <c r="H148" s="5">
        <v>813</v>
      </c>
      <c r="I148" s="5">
        <v>840</v>
      </c>
      <c r="J148" s="5">
        <v>869</v>
      </c>
      <c r="K148" s="5">
        <v>906</v>
      </c>
      <c r="L148" s="5">
        <v>885</v>
      </c>
      <c r="M148" s="5">
        <v>858</v>
      </c>
      <c r="N148" s="5">
        <v>897</v>
      </c>
      <c r="O148" s="5">
        <v>963</v>
      </c>
      <c r="P148" s="5">
        <v>909</v>
      </c>
      <c r="Q148" s="5">
        <v>782</v>
      </c>
      <c r="R148" s="5">
        <v>862</v>
      </c>
      <c r="S148" s="5">
        <v>904</v>
      </c>
      <c r="T148" s="5">
        <v>874</v>
      </c>
      <c r="U148" s="5">
        <v>869</v>
      </c>
      <c r="V148" s="5">
        <v>883</v>
      </c>
      <c r="W148" s="5">
        <v>882</v>
      </c>
      <c r="X148" s="5">
        <v>907</v>
      </c>
      <c r="Y148" s="5">
        <v>817</v>
      </c>
      <c r="Z148" s="5">
        <v>872</v>
      </c>
      <c r="AA148" s="5">
        <v>897</v>
      </c>
      <c r="AB148" s="5">
        <v>819</v>
      </c>
      <c r="AC148" s="5">
        <v>930</v>
      </c>
      <c r="AD148" s="5">
        <v>900</v>
      </c>
      <c r="AE148" s="5">
        <v>900</v>
      </c>
      <c r="AF148" s="5">
        <v>870</v>
      </c>
      <c r="AG148" s="5">
        <v>965</v>
      </c>
      <c r="AH148" s="5">
        <v>877</v>
      </c>
      <c r="AI148" s="5">
        <v>797</v>
      </c>
      <c r="AJ148" s="5">
        <v>908</v>
      </c>
      <c r="AK148" s="5">
        <v>827</v>
      </c>
      <c r="AL148" s="5">
        <v>811</v>
      </c>
      <c r="AM148" s="5">
        <v>863</v>
      </c>
      <c r="AN148" s="5">
        <v>849</v>
      </c>
      <c r="AO148" s="5">
        <v>827</v>
      </c>
      <c r="AP148" s="5">
        <v>857</v>
      </c>
      <c r="AQ148" s="5">
        <v>855</v>
      </c>
      <c r="AR148" s="5">
        <v>848</v>
      </c>
      <c r="AS148" s="5">
        <v>859</v>
      </c>
      <c r="AT148" s="5">
        <v>860</v>
      </c>
      <c r="AU148" s="5">
        <v>810</v>
      </c>
      <c r="AV148" s="5">
        <v>913</v>
      </c>
      <c r="AW148" s="5">
        <v>929</v>
      </c>
      <c r="AX148" s="5">
        <v>887</v>
      </c>
      <c r="AY148" s="5">
        <v>891</v>
      </c>
      <c r="AZ148" s="5">
        <v>912</v>
      </c>
      <c r="BA148" s="5">
        <v>796</v>
      </c>
      <c r="BB148" s="5">
        <v>867</v>
      </c>
      <c r="BC148" s="5">
        <v>842</v>
      </c>
      <c r="BD148" s="5">
        <v>864</v>
      </c>
      <c r="BE148" s="5">
        <v>928</v>
      </c>
      <c r="BF148" s="5">
        <v>859</v>
      </c>
      <c r="BG148" s="5">
        <v>832</v>
      </c>
      <c r="BH148" s="5">
        <v>858</v>
      </c>
      <c r="BI148" s="5">
        <v>908</v>
      </c>
      <c r="BJ148" s="5">
        <v>849</v>
      </c>
      <c r="BK148" s="5">
        <v>841</v>
      </c>
      <c r="BL148" s="5">
        <v>870</v>
      </c>
      <c r="BM148" s="5">
        <v>796</v>
      </c>
      <c r="BN148" s="5">
        <v>896</v>
      </c>
      <c r="BO148" s="5">
        <v>866</v>
      </c>
      <c r="BP148" s="5">
        <v>874</v>
      </c>
      <c r="BQ148" s="5">
        <v>906</v>
      </c>
      <c r="BR148" s="5">
        <v>912</v>
      </c>
      <c r="BS148" s="5">
        <v>900</v>
      </c>
      <c r="BT148" s="5">
        <v>912</v>
      </c>
      <c r="BU148" s="5">
        <v>893</v>
      </c>
      <c r="BV148" s="5">
        <v>890</v>
      </c>
      <c r="BW148" s="5">
        <v>891</v>
      </c>
      <c r="BX148" s="5">
        <v>899</v>
      </c>
      <c r="BY148" s="5">
        <v>790</v>
      </c>
      <c r="BZ148" s="5">
        <v>873</v>
      </c>
      <c r="CA148" s="5">
        <v>966</v>
      </c>
      <c r="CB148" s="5">
        <v>832</v>
      </c>
      <c r="CC148" s="5">
        <v>771</v>
      </c>
      <c r="CD148" s="5">
        <v>890</v>
      </c>
      <c r="CE148" s="5">
        <v>936</v>
      </c>
      <c r="CF148" s="5">
        <v>776</v>
      </c>
      <c r="CG148" s="5">
        <v>845</v>
      </c>
      <c r="CH148" s="5">
        <v>803</v>
      </c>
      <c r="CI148" s="5">
        <v>910</v>
      </c>
      <c r="CJ148" s="5">
        <v>870</v>
      </c>
      <c r="CK148" s="5">
        <v>870</v>
      </c>
      <c r="CL148" s="5">
        <v>972</v>
      </c>
      <c r="CM148" s="5">
        <v>920</v>
      </c>
      <c r="CN148" s="5">
        <v>887</v>
      </c>
      <c r="CO148" s="5">
        <v>933</v>
      </c>
      <c r="CP148" s="5">
        <v>832</v>
      </c>
      <c r="CQ148" s="5">
        <v>784</v>
      </c>
      <c r="CR148" s="5">
        <v>872</v>
      </c>
      <c r="CS148" s="5">
        <v>889</v>
      </c>
      <c r="CT148" s="5">
        <v>829</v>
      </c>
      <c r="CU148" s="5">
        <v>842</v>
      </c>
      <c r="CV148" s="5">
        <v>889</v>
      </c>
      <c r="CW148" s="5">
        <v>855</v>
      </c>
      <c r="CX148" s="5">
        <v>804</v>
      </c>
      <c r="CY148" s="5">
        <v>829</v>
      </c>
      <c r="CZ148" s="5">
        <v>876</v>
      </c>
      <c r="DA148" s="5">
        <v>825</v>
      </c>
      <c r="DB148" s="5">
        <v>828</v>
      </c>
    </row>
    <row r="149" spans="1:106" x14ac:dyDescent="0.25">
      <c r="A149" s="3" t="s">
        <v>33</v>
      </c>
      <c r="B149" s="8"/>
      <c r="C149" s="8"/>
      <c r="D149" s="12"/>
      <c r="E149" s="12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</row>
    <row r="150" spans="1:106" x14ac:dyDescent="0.25">
      <c r="A150" s="2" t="s">
        <v>24</v>
      </c>
      <c r="B150" s="9">
        <f>AVERAGE($G150:$DB150)</f>
        <v>707.67</v>
      </c>
      <c r="C150" s="9">
        <f>MEDIAN($G150:$DB150)</f>
        <v>704.5</v>
      </c>
      <c r="D150" s="13">
        <f>MAX($G150:$DB150)</f>
        <v>829</v>
      </c>
      <c r="E150" s="13">
        <f>MIN($G150:$DB150)</f>
        <v>633</v>
      </c>
      <c r="F150" s="9">
        <f>STDEV($G150:$DB150)</f>
        <v>39.544133380926233</v>
      </c>
      <c r="G150" s="5">
        <v>700</v>
      </c>
      <c r="H150" s="5">
        <v>739</v>
      </c>
      <c r="I150" s="5">
        <v>682</v>
      </c>
      <c r="J150" s="5">
        <v>687</v>
      </c>
      <c r="K150" s="5">
        <v>706</v>
      </c>
      <c r="L150" s="5">
        <v>745</v>
      </c>
      <c r="M150" s="5">
        <v>702</v>
      </c>
      <c r="N150" s="5">
        <v>709</v>
      </c>
      <c r="O150" s="5">
        <v>716</v>
      </c>
      <c r="P150" s="5">
        <v>675</v>
      </c>
      <c r="Q150" s="5">
        <v>674</v>
      </c>
      <c r="R150" s="5">
        <v>707</v>
      </c>
      <c r="S150" s="5">
        <v>700</v>
      </c>
      <c r="T150" s="5">
        <v>722</v>
      </c>
      <c r="U150" s="5">
        <v>707</v>
      </c>
      <c r="V150" s="5">
        <v>653</v>
      </c>
      <c r="W150" s="5">
        <v>656</v>
      </c>
      <c r="X150" s="5">
        <v>717</v>
      </c>
      <c r="Y150" s="5">
        <v>711</v>
      </c>
      <c r="Z150" s="5">
        <v>778</v>
      </c>
      <c r="AA150" s="5">
        <v>712</v>
      </c>
      <c r="AB150" s="5">
        <v>637</v>
      </c>
      <c r="AC150" s="5">
        <v>715</v>
      </c>
      <c r="AD150" s="5">
        <v>781</v>
      </c>
      <c r="AE150" s="5">
        <v>661</v>
      </c>
      <c r="AF150" s="5">
        <v>742</v>
      </c>
      <c r="AG150" s="5">
        <v>702</v>
      </c>
      <c r="AH150" s="5">
        <v>702</v>
      </c>
      <c r="AI150" s="5">
        <v>699</v>
      </c>
      <c r="AJ150" s="5">
        <v>752</v>
      </c>
      <c r="AK150" s="5">
        <v>709</v>
      </c>
      <c r="AL150" s="5">
        <v>733</v>
      </c>
      <c r="AM150" s="5">
        <v>677</v>
      </c>
      <c r="AN150" s="5">
        <v>687</v>
      </c>
      <c r="AO150" s="5">
        <v>712</v>
      </c>
      <c r="AP150" s="5">
        <v>682</v>
      </c>
      <c r="AQ150" s="5">
        <v>671</v>
      </c>
      <c r="AR150" s="5">
        <v>654</v>
      </c>
      <c r="AS150" s="5">
        <v>644</v>
      </c>
      <c r="AT150" s="5">
        <v>765</v>
      </c>
      <c r="AU150" s="5">
        <v>714</v>
      </c>
      <c r="AV150" s="5">
        <v>724</v>
      </c>
      <c r="AW150" s="5">
        <v>722</v>
      </c>
      <c r="AX150" s="5">
        <v>763</v>
      </c>
      <c r="AY150" s="5">
        <v>735</v>
      </c>
      <c r="AZ150" s="5">
        <v>716</v>
      </c>
      <c r="BA150" s="5">
        <v>732</v>
      </c>
      <c r="BB150" s="5">
        <v>638</v>
      </c>
      <c r="BC150" s="5">
        <v>692</v>
      </c>
      <c r="BD150" s="5">
        <v>646</v>
      </c>
      <c r="BE150" s="5">
        <v>691</v>
      </c>
      <c r="BF150" s="5">
        <v>788</v>
      </c>
      <c r="BG150" s="5">
        <v>714</v>
      </c>
      <c r="BH150" s="5">
        <v>751</v>
      </c>
      <c r="BI150" s="5">
        <v>829</v>
      </c>
      <c r="BJ150" s="5">
        <v>709</v>
      </c>
      <c r="BK150" s="5">
        <v>667</v>
      </c>
      <c r="BL150" s="5">
        <v>784</v>
      </c>
      <c r="BM150" s="5">
        <v>787</v>
      </c>
      <c r="BN150" s="5">
        <v>686</v>
      </c>
      <c r="BO150" s="5">
        <v>676</v>
      </c>
      <c r="BP150" s="5">
        <v>722</v>
      </c>
      <c r="BQ150" s="5">
        <v>633</v>
      </c>
      <c r="BR150" s="5">
        <v>645</v>
      </c>
      <c r="BS150" s="5">
        <v>642</v>
      </c>
      <c r="BT150" s="5">
        <v>763</v>
      </c>
      <c r="BU150" s="5">
        <v>694</v>
      </c>
      <c r="BV150" s="5">
        <v>703</v>
      </c>
      <c r="BW150" s="5">
        <v>748</v>
      </c>
      <c r="BX150" s="5">
        <v>697</v>
      </c>
      <c r="BY150" s="5">
        <v>790</v>
      </c>
      <c r="BZ150" s="5">
        <v>695</v>
      </c>
      <c r="CA150" s="5">
        <v>716</v>
      </c>
      <c r="CB150" s="5">
        <v>680</v>
      </c>
      <c r="CC150" s="5">
        <v>640</v>
      </c>
      <c r="CD150" s="5">
        <v>697</v>
      </c>
      <c r="CE150" s="5">
        <v>700</v>
      </c>
      <c r="CF150" s="5">
        <v>725</v>
      </c>
      <c r="CG150" s="5">
        <v>710</v>
      </c>
      <c r="CH150" s="5">
        <v>785</v>
      </c>
      <c r="CI150" s="5">
        <v>726</v>
      </c>
      <c r="CJ150" s="5">
        <v>654</v>
      </c>
      <c r="CK150" s="5">
        <v>694</v>
      </c>
      <c r="CL150" s="5">
        <v>715</v>
      </c>
      <c r="CM150" s="5">
        <v>762</v>
      </c>
      <c r="CN150" s="5">
        <v>714</v>
      </c>
      <c r="CO150" s="5">
        <v>749</v>
      </c>
      <c r="CP150" s="5">
        <v>741</v>
      </c>
      <c r="CQ150" s="5">
        <v>699</v>
      </c>
      <c r="CR150" s="5">
        <v>673</v>
      </c>
      <c r="CS150" s="5">
        <v>674</v>
      </c>
      <c r="CT150" s="5">
        <v>694</v>
      </c>
      <c r="CU150" s="5">
        <v>701</v>
      </c>
      <c r="CV150" s="5">
        <v>697</v>
      </c>
      <c r="CW150" s="5">
        <v>682</v>
      </c>
      <c r="CX150" s="5">
        <v>687</v>
      </c>
      <c r="CY150" s="5">
        <v>715</v>
      </c>
      <c r="CZ150" s="5">
        <v>754</v>
      </c>
      <c r="DA150" s="5">
        <v>661</v>
      </c>
      <c r="DB150" s="5">
        <v>703</v>
      </c>
    </row>
    <row r="151" spans="1:106" x14ac:dyDescent="0.25">
      <c r="A151" s="2" t="s">
        <v>26</v>
      </c>
      <c r="B151" s="9">
        <f t="shared" ref="B151:B154" si="56">AVERAGE($G151:$DB151)</f>
        <v>808.86</v>
      </c>
      <c r="C151" s="9">
        <f t="shared" ref="C151:C154" si="57">MEDIAN($G151:$DB151)</f>
        <v>811</v>
      </c>
      <c r="D151" s="13">
        <f t="shared" ref="D151:D154" si="58">MAX($G151:$DB151)</f>
        <v>910</v>
      </c>
      <c r="E151" s="13">
        <f t="shared" ref="E151:E154" si="59">MIN($G151:$DB151)</f>
        <v>719</v>
      </c>
      <c r="F151" s="9">
        <f t="shared" ref="F151:F154" si="60">STDEV($G151:$DB151)</f>
        <v>39.059400503294555</v>
      </c>
      <c r="G151" s="5">
        <v>829</v>
      </c>
      <c r="H151" s="5">
        <v>819</v>
      </c>
      <c r="I151" s="5">
        <v>789</v>
      </c>
      <c r="J151" s="5">
        <v>824</v>
      </c>
      <c r="K151" s="5">
        <v>801</v>
      </c>
      <c r="L151" s="5">
        <v>895</v>
      </c>
      <c r="M151" s="5">
        <v>814</v>
      </c>
      <c r="N151" s="5">
        <v>789</v>
      </c>
      <c r="O151" s="5">
        <v>815</v>
      </c>
      <c r="P151" s="5">
        <v>808</v>
      </c>
      <c r="Q151" s="5">
        <v>815</v>
      </c>
      <c r="R151" s="5">
        <v>815</v>
      </c>
      <c r="S151" s="5">
        <v>844</v>
      </c>
      <c r="T151" s="5">
        <v>833</v>
      </c>
      <c r="U151" s="5">
        <v>853</v>
      </c>
      <c r="V151" s="5">
        <v>777</v>
      </c>
      <c r="W151" s="5">
        <v>794</v>
      </c>
      <c r="X151" s="5">
        <v>854</v>
      </c>
      <c r="Y151" s="5">
        <v>774</v>
      </c>
      <c r="Z151" s="5">
        <v>830</v>
      </c>
      <c r="AA151" s="5">
        <v>767</v>
      </c>
      <c r="AB151" s="5">
        <v>732</v>
      </c>
      <c r="AC151" s="5">
        <v>839</v>
      </c>
      <c r="AD151" s="5">
        <v>814</v>
      </c>
      <c r="AE151" s="5">
        <v>719</v>
      </c>
      <c r="AF151" s="5">
        <v>807</v>
      </c>
      <c r="AG151" s="5">
        <v>824</v>
      </c>
      <c r="AH151" s="5">
        <v>777</v>
      </c>
      <c r="AI151" s="5">
        <v>753</v>
      </c>
      <c r="AJ151" s="5">
        <v>804</v>
      </c>
      <c r="AK151" s="5">
        <v>758</v>
      </c>
      <c r="AL151" s="5">
        <v>803</v>
      </c>
      <c r="AM151" s="5">
        <v>763</v>
      </c>
      <c r="AN151" s="5">
        <v>804</v>
      </c>
      <c r="AO151" s="5">
        <v>757</v>
      </c>
      <c r="AP151" s="5">
        <v>775</v>
      </c>
      <c r="AQ151" s="5">
        <v>776</v>
      </c>
      <c r="AR151" s="5">
        <v>836</v>
      </c>
      <c r="AS151" s="5">
        <v>820</v>
      </c>
      <c r="AT151" s="5">
        <v>818</v>
      </c>
      <c r="AU151" s="5">
        <v>838</v>
      </c>
      <c r="AV151" s="5">
        <v>831</v>
      </c>
      <c r="AW151" s="5">
        <v>804</v>
      </c>
      <c r="AX151" s="5">
        <v>803</v>
      </c>
      <c r="AY151" s="5">
        <v>730</v>
      </c>
      <c r="AZ151" s="5">
        <v>895</v>
      </c>
      <c r="BA151" s="5">
        <v>837</v>
      </c>
      <c r="BB151" s="5">
        <v>826</v>
      </c>
      <c r="BC151" s="5">
        <v>811</v>
      </c>
      <c r="BD151" s="5">
        <v>751</v>
      </c>
      <c r="BE151" s="5">
        <v>882</v>
      </c>
      <c r="BF151" s="5">
        <v>796</v>
      </c>
      <c r="BG151" s="5">
        <v>776</v>
      </c>
      <c r="BH151" s="5">
        <v>817</v>
      </c>
      <c r="BI151" s="5">
        <v>731</v>
      </c>
      <c r="BJ151" s="5">
        <v>815</v>
      </c>
      <c r="BK151" s="5">
        <v>770</v>
      </c>
      <c r="BL151" s="5">
        <v>839</v>
      </c>
      <c r="BM151" s="5">
        <v>807</v>
      </c>
      <c r="BN151" s="5">
        <v>855</v>
      </c>
      <c r="BO151" s="5">
        <v>785</v>
      </c>
      <c r="BP151" s="5">
        <v>803</v>
      </c>
      <c r="BQ151" s="5">
        <v>854</v>
      </c>
      <c r="BR151" s="5">
        <v>823</v>
      </c>
      <c r="BS151" s="5">
        <v>812</v>
      </c>
      <c r="BT151" s="5">
        <v>870</v>
      </c>
      <c r="BU151" s="5">
        <v>813</v>
      </c>
      <c r="BV151" s="5">
        <v>818</v>
      </c>
      <c r="BW151" s="5">
        <v>875</v>
      </c>
      <c r="BX151" s="5">
        <v>805</v>
      </c>
      <c r="BY151" s="5">
        <v>819</v>
      </c>
      <c r="BZ151" s="5">
        <v>733</v>
      </c>
      <c r="CA151" s="5">
        <v>854</v>
      </c>
      <c r="CB151" s="5">
        <v>776</v>
      </c>
      <c r="CC151" s="5">
        <v>749</v>
      </c>
      <c r="CD151" s="5">
        <v>828</v>
      </c>
      <c r="CE151" s="5">
        <v>776</v>
      </c>
      <c r="CF151" s="5">
        <v>767</v>
      </c>
      <c r="CG151" s="5">
        <v>783</v>
      </c>
      <c r="CH151" s="5">
        <v>769</v>
      </c>
      <c r="CI151" s="5">
        <v>773</v>
      </c>
      <c r="CJ151" s="5">
        <v>825</v>
      </c>
      <c r="CK151" s="5">
        <v>815</v>
      </c>
      <c r="CL151" s="5">
        <v>784</v>
      </c>
      <c r="CM151" s="5">
        <v>886</v>
      </c>
      <c r="CN151" s="5">
        <v>791</v>
      </c>
      <c r="CO151" s="5">
        <v>910</v>
      </c>
      <c r="CP151" s="5">
        <v>802</v>
      </c>
      <c r="CQ151" s="5">
        <v>768</v>
      </c>
      <c r="CR151" s="5">
        <v>811</v>
      </c>
      <c r="CS151" s="5">
        <v>791</v>
      </c>
      <c r="CT151" s="5">
        <v>817</v>
      </c>
      <c r="CU151" s="5">
        <v>799</v>
      </c>
      <c r="CV151" s="5">
        <v>854</v>
      </c>
      <c r="CW151" s="5">
        <v>840</v>
      </c>
      <c r="CX151" s="5">
        <v>784</v>
      </c>
      <c r="CY151" s="5">
        <v>809</v>
      </c>
      <c r="CZ151" s="5">
        <v>818</v>
      </c>
      <c r="DA151" s="5">
        <v>892</v>
      </c>
      <c r="DB151" s="5">
        <v>873</v>
      </c>
    </row>
    <row r="152" spans="1:106" x14ac:dyDescent="0.25">
      <c r="A152" s="2" t="s">
        <v>25</v>
      </c>
      <c r="B152" s="9">
        <f t="shared" si="56"/>
        <v>724.52</v>
      </c>
      <c r="C152" s="9">
        <f t="shared" si="57"/>
        <v>724.5</v>
      </c>
      <c r="D152" s="13">
        <f t="shared" si="58"/>
        <v>808</v>
      </c>
      <c r="E152" s="13">
        <f t="shared" si="59"/>
        <v>615</v>
      </c>
      <c r="F152" s="9">
        <f t="shared" si="60"/>
        <v>43.16528721324601</v>
      </c>
      <c r="G152" s="5">
        <v>757</v>
      </c>
      <c r="H152" s="5">
        <v>756</v>
      </c>
      <c r="I152" s="5">
        <v>741</v>
      </c>
      <c r="J152" s="5">
        <v>715</v>
      </c>
      <c r="K152" s="5">
        <v>786</v>
      </c>
      <c r="L152" s="5">
        <v>700</v>
      </c>
      <c r="M152" s="5">
        <v>752</v>
      </c>
      <c r="N152" s="5">
        <v>711</v>
      </c>
      <c r="O152" s="5">
        <v>784</v>
      </c>
      <c r="P152" s="5">
        <v>752</v>
      </c>
      <c r="Q152" s="5">
        <v>727</v>
      </c>
      <c r="R152" s="5">
        <v>780</v>
      </c>
      <c r="S152" s="5">
        <v>755</v>
      </c>
      <c r="T152" s="5">
        <v>724</v>
      </c>
      <c r="U152" s="5">
        <v>655</v>
      </c>
      <c r="V152" s="5">
        <v>668</v>
      </c>
      <c r="W152" s="5">
        <v>679</v>
      </c>
      <c r="X152" s="5">
        <v>664</v>
      </c>
      <c r="Y152" s="5">
        <v>689</v>
      </c>
      <c r="Z152" s="5">
        <v>709</v>
      </c>
      <c r="AA152" s="5">
        <v>779</v>
      </c>
      <c r="AB152" s="5">
        <v>718</v>
      </c>
      <c r="AC152" s="5">
        <v>757</v>
      </c>
      <c r="AD152" s="5">
        <v>705</v>
      </c>
      <c r="AE152" s="5">
        <v>721</v>
      </c>
      <c r="AF152" s="5">
        <v>717</v>
      </c>
      <c r="AG152" s="5">
        <v>731</v>
      </c>
      <c r="AH152" s="5">
        <v>776</v>
      </c>
      <c r="AI152" s="5">
        <v>803</v>
      </c>
      <c r="AJ152" s="5">
        <v>661</v>
      </c>
      <c r="AK152" s="5">
        <v>720</v>
      </c>
      <c r="AL152" s="5">
        <v>706</v>
      </c>
      <c r="AM152" s="5">
        <v>721</v>
      </c>
      <c r="AN152" s="5">
        <v>689</v>
      </c>
      <c r="AO152" s="5">
        <v>698</v>
      </c>
      <c r="AP152" s="5">
        <v>761</v>
      </c>
      <c r="AQ152" s="5">
        <v>786</v>
      </c>
      <c r="AR152" s="5">
        <v>662</v>
      </c>
      <c r="AS152" s="5">
        <v>707</v>
      </c>
      <c r="AT152" s="5">
        <v>763</v>
      </c>
      <c r="AU152" s="5">
        <v>742</v>
      </c>
      <c r="AV152" s="5">
        <v>808</v>
      </c>
      <c r="AW152" s="5">
        <v>718</v>
      </c>
      <c r="AX152" s="5">
        <v>730</v>
      </c>
      <c r="AY152" s="5">
        <v>707</v>
      </c>
      <c r="AZ152" s="5">
        <v>710</v>
      </c>
      <c r="BA152" s="5">
        <v>676</v>
      </c>
      <c r="BB152" s="5">
        <v>715</v>
      </c>
      <c r="BC152" s="5">
        <v>742</v>
      </c>
      <c r="BD152" s="5">
        <v>720</v>
      </c>
      <c r="BE152" s="5">
        <v>691</v>
      </c>
      <c r="BF152" s="5">
        <v>777</v>
      </c>
      <c r="BG152" s="5">
        <v>726</v>
      </c>
      <c r="BH152" s="5">
        <v>710</v>
      </c>
      <c r="BI152" s="5">
        <v>688</v>
      </c>
      <c r="BJ152" s="5">
        <v>742</v>
      </c>
      <c r="BK152" s="5">
        <v>765</v>
      </c>
      <c r="BL152" s="5">
        <v>778</v>
      </c>
      <c r="BM152" s="5">
        <v>729</v>
      </c>
      <c r="BN152" s="5">
        <v>665</v>
      </c>
      <c r="BO152" s="5">
        <v>699</v>
      </c>
      <c r="BP152" s="5">
        <v>772</v>
      </c>
      <c r="BQ152" s="5">
        <v>740</v>
      </c>
      <c r="BR152" s="5">
        <v>635</v>
      </c>
      <c r="BS152" s="5">
        <v>733</v>
      </c>
      <c r="BT152" s="5">
        <v>650</v>
      </c>
      <c r="BU152" s="5">
        <v>701</v>
      </c>
      <c r="BV152" s="5">
        <v>763</v>
      </c>
      <c r="BW152" s="5">
        <v>642</v>
      </c>
      <c r="BX152" s="5">
        <v>708</v>
      </c>
      <c r="BY152" s="5">
        <v>800</v>
      </c>
      <c r="BZ152" s="5">
        <v>652</v>
      </c>
      <c r="CA152" s="5">
        <v>784</v>
      </c>
      <c r="CB152" s="5">
        <v>726</v>
      </c>
      <c r="CC152" s="5">
        <v>683</v>
      </c>
      <c r="CD152" s="5">
        <v>716</v>
      </c>
      <c r="CE152" s="5">
        <v>704</v>
      </c>
      <c r="CF152" s="5">
        <v>756</v>
      </c>
      <c r="CG152" s="5">
        <v>725</v>
      </c>
      <c r="CH152" s="5">
        <v>735</v>
      </c>
      <c r="CI152" s="5">
        <v>735</v>
      </c>
      <c r="CJ152" s="5">
        <v>786</v>
      </c>
      <c r="CK152" s="5">
        <v>637</v>
      </c>
      <c r="CL152" s="5">
        <v>706</v>
      </c>
      <c r="CM152" s="5">
        <v>729</v>
      </c>
      <c r="CN152" s="5">
        <v>698</v>
      </c>
      <c r="CO152" s="5">
        <v>615</v>
      </c>
      <c r="CP152" s="5">
        <v>773</v>
      </c>
      <c r="CQ152" s="5">
        <v>774</v>
      </c>
      <c r="CR152" s="5">
        <v>794</v>
      </c>
      <c r="CS152" s="5">
        <v>693</v>
      </c>
      <c r="CT152" s="5">
        <v>642</v>
      </c>
      <c r="CU152" s="5">
        <v>755</v>
      </c>
      <c r="CV152" s="5">
        <v>706</v>
      </c>
      <c r="CW152" s="5">
        <v>775</v>
      </c>
      <c r="CX152" s="5">
        <v>733</v>
      </c>
      <c r="CY152" s="5">
        <v>662</v>
      </c>
      <c r="CZ152" s="5">
        <v>768</v>
      </c>
      <c r="DA152" s="5">
        <v>763</v>
      </c>
      <c r="DB152" s="5">
        <v>760</v>
      </c>
    </row>
    <row r="153" spans="1:106" x14ac:dyDescent="0.25">
      <c r="A153" s="2" t="s">
        <v>28</v>
      </c>
      <c r="B153" s="9">
        <f t="shared" si="56"/>
        <v>1025.92</v>
      </c>
      <c r="C153" s="9">
        <f t="shared" si="57"/>
        <v>1020.5</v>
      </c>
      <c r="D153" s="13">
        <f t="shared" si="58"/>
        <v>1171</v>
      </c>
      <c r="E153" s="13">
        <f t="shared" si="59"/>
        <v>922</v>
      </c>
      <c r="F153" s="9">
        <f t="shared" si="60"/>
        <v>56.881887195390163</v>
      </c>
      <c r="G153" s="5">
        <v>986</v>
      </c>
      <c r="H153" s="5">
        <v>1102</v>
      </c>
      <c r="I153" s="5">
        <v>1136</v>
      </c>
      <c r="J153" s="5">
        <v>986</v>
      </c>
      <c r="K153" s="5">
        <v>1033</v>
      </c>
      <c r="L153" s="5">
        <v>922</v>
      </c>
      <c r="M153" s="5">
        <v>960</v>
      </c>
      <c r="N153" s="5">
        <v>1100</v>
      </c>
      <c r="O153" s="5">
        <v>1017</v>
      </c>
      <c r="P153" s="5">
        <v>986</v>
      </c>
      <c r="Q153" s="5">
        <v>1074</v>
      </c>
      <c r="R153" s="5">
        <v>1091</v>
      </c>
      <c r="S153" s="5">
        <v>1043</v>
      </c>
      <c r="T153" s="5">
        <v>981</v>
      </c>
      <c r="U153" s="5">
        <v>1067</v>
      </c>
      <c r="V153" s="5">
        <v>1008</v>
      </c>
      <c r="W153" s="5">
        <v>1038</v>
      </c>
      <c r="X153" s="5">
        <v>1039</v>
      </c>
      <c r="Y153" s="5">
        <v>1028</v>
      </c>
      <c r="Z153" s="5">
        <v>959</v>
      </c>
      <c r="AA153" s="5">
        <v>1079</v>
      </c>
      <c r="AB153" s="5">
        <v>994</v>
      </c>
      <c r="AC153" s="5">
        <v>1009</v>
      </c>
      <c r="AD153" s="5">
        <v>937</v>
      </c>
      <c r="AE153" s="5">
        <v>1100</v>
      </c>
      <c r="AF153" s="5">
        <v>1017</v>
      </c>
      <c r="AG153" s="5">
        <v>1051</v>
      </c>
      <c r="AH153" s="5">
        <v>1071</v>
      </c>
      <c r="AI153" s="5">
        <v>1042</v>
      </c>
      <c r="AJ153" s="5">
        <v>1001</v>
      </c>
      <c r="AK153" s="5">
        <v>1047</v>
      </c>
      <c r="AL153" s="5">
        <v>1139</v>
      </c>
      <c r="AM153" s="5">
        <v>1079</v>
      </c>
      <c r="AN153" s="5">
        <v>1078</v>
      </c>
      <c r="AO153" s="5">
        <v>930</v>
      </c>
      <c r="AP153" s="5">
        <v>1077</v>
      </c>
      <c r="AQ153" s="5">
        <v>925</v>
      </c>
      <c r="AR153" s="5">
        <v>1068</v>
      </c>
      <c r="AS153" s="5">
        <v>1021</v>
      </c>
      <c r="AT153" s="5">
        <v>1073</v>
      </c>
      <c r="AU153" s="5">
        <v>1027</v>
      </c>
      <c r="AV153" s="5">
        <v>1102</v>
      </c>
      <c r="AW153" s="5">
        <v>1007</v>
      </c>
      <c r="AX153" s="5">
        <v>1064</v>
      </c>
      <c r="AY153" s="5">
        <v>954</v>
      </c>
      <c r="AZ153" s="5">
        <v>1050</v>
      </c>
      <c r="BA153" s="5">
        <v>1087</v>
      </c>
      <c r="BB153" s="5">
        <v>989</v>
      </c>
      <c r="BC153" s="5">
        <v>1137</v>
      </c>
      <c r="BD153" s="5">
        <v>1071</v>
      </c>
      <c r="BE153" s="5">
        <v>1129</v>
      </c>
      <c r="BF153" s="5">
        <v>1120</v>
      </c>
      <c r="BG153" s="5">
        <v>1008</v>
      </c>
      <c r="BH153" s="5">
        <v>947</v>
      </c>
      <c r="BI153" s="5">
        <v>1074</v>
      </c>
      <c r="BJ153" s="5">
        <v>997</v>
      </c>
      <c r="BK153" s="5">
        <v>1002</v>
      </c>
      <c r="BL153" s="5">
        <v>981</v>
      </c>
      <c r="BM153" s="5">
        <v>936</v>
      </c>
      <c r="BN153" s="5">
        <v>1063</v>
      </c>
      <c r="BO153" s="5">
        <v>1009</v>
      </c>
      <c r="BP153" s="5">
        <v>1031</v>
      </c>
      <c r="BQ153" s="5">
        <v>932</v>
      </c>
      <c r="BR153" s="5">
        <v>992</v>
      </c>
      <c r="BS153" s="5">
        <v>986</v>
      </c>
      <c r="BT153" s="5">
        <v>1003</v>
      </c>
      <c r="BU153" s="5">
        <v>1149</v>
      </c>
      <c r="BV153" s="5">
        <v>1011</v>
      </c>
      <c r="BW153" s="5">
        <v>1092</v>
      </c>
      <c r="BX153" s="5">
        <v>1014</v>
      </c>
      <c r="BY153" s="5">
        <v>1032</v>
      </c>
      <c r="BZ153" s="5">
        <v>1017</v>
      </c>
      <c r="CA153" s="5">
        <v>963</v>
      </c>
      <c r="CB153" s="5">
        <v>954</v>
      </c>
      <c r="CC153" s="5">
        <v>939</v>
      </c>
      <c r="CD153" s="5">
        <v>999</v>
      </c>
      <c r="CE153" s="5">
        <v>1004</v>
      </c>
      <c r="CF153" s="5">
        <v>1020</v>
      </c>
      <c r="CG153" s="5">
        <v>1016</v>
      </c>
      <c r="CH153" s="5">
        <v>1015</v>
      </c>
      <c r="CI153" s="5">
        <v>1046</v>
      </c>
      <c r="CJ153" s="5">
        <v>970</v>
      </c>
      <c r="CK153" s="5">
        <v>927</v>
      </c>
      <c r="CL153" s="5">
        <v>1035</v>
      </c>
      <c r="CM153" s="5">
        <v>971</v>
      </c>
      <c r="CN153" s="5">
        <v>976</v>
      </c>
      <c r="CO153" s="5">
        <v>926</v>
      </c>
      <c r="CP153" s="5">
        <v>1081</v>
      </c>
      <c r="CQ153" s="5">
        <v>1029</v>
      </c>
      <c r="CR153" s="5">
        <v>1171</v>
      </c>
      <c r="CS153" s="5">
        <v>1072</v>
      </c>
      <c r="CT153" s="5">
        <v>985</v>
      </c>
      <c r="CU153" s="5">
        <v>1068</v>
      </c>
      <c r="CV153" s="5">
        <v>1027</v>
      </c>
      <c r="CW153" s="5">
        <v>1008</v>
      </c>
      <c r="CX153" s="5">
        <v>1072</v>
      </c>
      <c r="CY153" s="5">
        <v>1042</v>
      </c>
      <c r="CZ153" s="5">
        <v>930</v>
      </c>
      <c r="DA153" s="5">
        <v>1010</v>
      </c>
      <c r="DB153" s="5">
        <v>1029</v>
      </c>
    </row>
    <row r="154" spans="1:106" x14ac:dyDescent="0.25">
      <c r="A154" s="2" t="s">
        <v>27</v>
      </c>
      <c r="B154" s="9">
        <f t="shared" si="56"/>
        <v>887.96</v>
      </c>
      <c r="C154" s="9">
        <f t="shared" si="57"/>
        <v>883.5</v>
      </c>
      <c r="D154" s="13">
        <f t="shared" si="58"/>
        <v>982</v>
      </c>
      <c r="E154" s="13">
        <f t="shared" si="59"/>
        <v>769</v>
      </c>
      <c r="F154" s="9">
        <f t="shared" si="60"/>
        <v>45.940435744163736</v>
      </c>
      <c r="G154" s="5">
        <v>867</v>
      </c>
      <c r="H154" s="5">
        <v>945</v>
      </c>
      <c r="I154" s="5">
        <v>943</v>
      </c>
      <c r="J154" s="5">
        <v>884</v>
      </c>
      <c r="K154" s="5">
        <v>967</v>
      </c>
      <c r="L154" s="5">
        <v>904</v>
      </c>
      <c r="M154" s="5">
        <v>808</v>
      </c>
      <c r="N154" s="5">
        <v>870</v>
      </c>
      <c r="O154" s="5">
        <v>903</v>
      </c>
      <c r="P154" s="5">
        <v>928</v>
      </c>
      <c r="Q154" s="5">
        <v>834</v>
      </c>
      <c r="R154" s="5">
        <v>873</v>
      </c>
      <c r="S154" s="5">
        <v>908</v>
      </c>
      <c r="T154" s="5">
        <v>906</v>
      </c>
      <c r="U154" s="5">
        <v>915</v>
      </c>
      <c r="V154" s="5">
        <v>786</v>
      </c>
      <c r="W154" s="5">
        <v>779</v>
      </c>
      <c r="X154" s="5">
        <v>896</v>
      </c>
      <c r="Y154" s="5">
        <v>873</v>
      </c>
      <c r="Z154" s="5">
        <v>847</v>
      </c>
      <c r="AA154" s="5">
        <v>857</v>
      </c>
      <c r="AB154" s="5">
        <v>860</v>
      </c>
      <c r="AC154" s="5">
        <v>877</v>
      </c>
      <c r="AD154" s="5">
        <v>857</v>
      </c>
      <c r="AE154" s="5">
        <v>915</v>
      </c>
      <c r="AF154" s="5">
        <v>933</v>
      </c>
      <c r="AG154" s="5">
        <v>834</v>
      </c>
      <c r="AH154" s="5">
        <v>880</v>
      </c>
      <c r="AI154" s="5">
        <v>890</v>
      </c>
      <c r="AJ154" s="5">
        <v>769</v>
      </c>
      <c r="AK154" s="5">
        <v>861</v>
      </c>
      <c r="AL154" s="5">
        <v>841</v>
      </c>
      <c r="AM154" s="5">
        <v>787</v>
      </c>
      <c r="AN154" s="5">
        <v>832</v>
      </c>
      <c r="AO154" s="5">
        <v>861</v>
      </c>
      <c r="AP154" s="5">
        <v>913</v>
      </c>
      <c r="AQ154" s="5">
        <v>926</v>
      </c>
      <c r="AR154" s="5">
        <v>829</v>
      </c>
      <c r="AS154" s="5">
        <v>982</v>
      </c>
      <c r="AT154" s="5">
        <v>886</v>
      </c>
      <c r="AU154" s="5">
        <v>932</v>
      </c>
      <c r="AV154" s="5">
        <v>874</v>
      </c>
      <c r="AW154" s="5">
        <v>823</v>
      </c>
      <c r="AX154" s="5">
        <v>832</v>
      </c>
      <c r="AY154" s="5">
        <v>924</v>
      </c>
      <c r="AZ154" s="5">
        <v>879</v>
      </c>
      <c r="BA154" s="5">
        <v>927</v>
      </c>
      <c r="BB154" s="5">
        <v>826</v>
      </c>
      <c r="BC154" s="5">
        <v>867</v>
      </c>
      <c r="BD154" s="5">
        <v>817</v>
      </c>
      <c r="BE154" s="5">
        <v>883</v>
      </c>
      <c r="BF154" s="5">
        <v>917</v>
      </c>
      <c r="BG154" s="5">
        <v>868</v>
      </c>
      <c r="BH154" s="5">
        <v>957</v>
      </c>
      <c r="BI154" s="5">
        <v>934</v>
      </c>
      <c r="BJ154" s="5">
        <v>833</v>
      </c>
      <c r="BK154" s="5">
        <v>879</v>
      </c>
      <c r="BL154" s="5">
        <v>920</v>
      </c>
      <c r="BM154" s="5">
        <v>961</v>
      </c>
      <c r="BN154" s="5">
        <v>867</v>
      </c>
      <c r="BO154" s="5">
        <v>944</v>
      </c>
      <c r="BP154" s="5">
        <v>886</v>
      </c>
      <c r="BQ154" s="5">
        <v>861</v>
      </c>
      <c r="BR154" s="5">
        <v>926</v>
      </c>
      <c r="BS154" s="5">
        <v>909</v>
      </c>
      <c r="BT154" s="5">
        <v>918</v>
      </c>
      <c r="BU154" s="5">
        <v>915</v>
      </c>
      <c r="BV154" s="5">
        <v>953</v>
      </c>
      <c r="BW154" s="5">
        <v>924</v>
      </c>
      <c r="BX154" s="5">
        <v>942</v>
      </c>
      <c r="BY154" s="5">
        <v>913</v>
      </c>
      <c r="BZ154" s="5">
        <v>880</v>
      </c>
      <c r="CA154" s="5">
        <v>968</v>
      </c>
      <c r="CB154" s="5">
        <v>928</v>
      </c>
      <c r="CC154" s="5">
        <v>881</v>
      </c>
      <c r="CD154" s="5">
        <v>880</v>
      </c>
      <c r="CE154" s="5">
        <v>930</v>
      </c>
      <c r="CF154" s="5">
        <v>893</v>
      </c>
      <c r="CG154" s="5">
        <v>912</v>
      </c>
      <c r="CH154" s="5">
        <v>850</v>
      </c>
      <c r="CI154" s="5">
        <v>834</v>
      </c>
      <c r="CJ154" s="5">
        <v>981</v>
      </c>
      <c r="CK154" s="5">
        <v>886</v>
      </c>
      <c r="CL154" s="5">
        <v>859</v>
      </c>
      <c r="CM154" s="5">
        <v>969</v>
      </c>
      <c r="CN154" s="5">
        <v>904</v>
      </c>
      <c r="CO154" s="5">
        <v>874</v>
      </c>
      <c r="CP154" s="5">
        <v>895</v>
      </c>
      <c r="CQ154" s="5">
        <v>882</v>
      </c>
      <c r="CR154" s="5">
        <v>978</v>
      </c>
      <c r="CS154" s="5">
        <v>930</v>
      </c>
      <c r="CT154" s="5">
        <v>861</v>
      </c>
      <c r="CU154" s="5">
        <v>853</v>
      </c>
      <c r="CV154" s="5">
        <v>910</v>
      </c>
      <c r="CW154" s="5">
        <v>876</v>
      </c>
      <c r="CX154" s="5">
        <v>840</v>
      </c>
      <c r="CY154" s="5">
        <v>904</v>
      </c>
      <c r="CZ154" s="5">
        <v>857</v>
      </c>
      <c r="DA154" s="5">
        <v>875</v>
      </c>
      <c r="DB154" s="5">
        <v>869</v>
      </c>
    </row>
    <row r="155" spans="1:106" x14ac:dyDescent="0.25">
      <c r="A155" s="3" t="s">
        <v>30</v>
      </c>
      <c r="B155" s="8"/>
      <c r="C155" s="8"/>
      <c r="D155" s="12"/>
      <c r="E155" s="12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</row>
    <row r="156" spans="1:106" x14ac:dyDescent="0.25">
      <c r="A156" s="2" t="s">
        <v>8</v>
      </c>
      <c r="B156" s="9">
        <f>AVERAGE($G156:$DB156)</f>
        <v>687.53</v>
      </c>
      <c r="C156" s="9">
        <f>MEDIAN($G156:$DB156)</f>
        <v>689.5</v>
      </c>
      <c r="D156" s="13">
        <f>MAX($G156:$DB156)</f>
        <v>766</v>
      </c>
      <c r="E156" s="13">
        <f>MIN($G156:$DB156)</f>
        <v>597</v>
      </c>
      <c r="F156" s="9">
        <f>STDEV($G156:$DB156)</f>
        <v>32.356740980338039</v>
      </c>
      <c r="G156" s="5">
        <v>651</v>
      </c>
      <c r="H156" s="5">
        <v>685</v>
      </c>
      <c r="I156" s="5">
        <v>633</v>
      </c>
      <c r="J156" s="5">
        <v>709</v>
      </c>
      <c r="K156" s="5">
        <v>698</v>
      </c>
      <c r="L156" s="5">
        <v>724</v>
      </c>
      <c r="M156" s="5">
        <v>649</v>
      </c>
      <c r="N156" s="5">
        <v>597</v>
      </c>
      <c r="O156" s="5">
        <v>681</v>
      </c>
      <c r="P156" s="5">
        <v>645</v>
      </c>
      <c r="Q156" s="5">
        <v>732</v>
      </c>
      <c r="R156" s="5">
        <v>682</v>
      </c>
      <c r="S156" s="5">
        <v>720</v>
      </c>
      <c r="T156" s="5">
        <v>723</v>
      </c>
      <c r="U156" s="5">
        <v>666</v>
      </c>
      <c r="V156" s="5">
        <v>739</v>
      </c>
      <c r="W156" s="5">
        <v>647</v>
      </c>
      <c r="X156" s="5">
        <v>680</v>
      </c>
      <c r="Y156" s="5">
        <v>689</v>
      </c>
      <c r="Z156" s="5">
        <v>656</v>
      </c>
      <c r="AA156" s="5">
        <v>707</v>
      </c>
      <c r="AB156" s="5">
        <v>738</v>
      </c>
      <c r="AC156" s="5">
        <v>666</v>
      </c>
      <c r="AD156" s="5">
        <v>673</v>
      </c>
      <c r="AE156" s="5">
        <v>656</v>
      </c>
      <c r="AF156" s="5">
        <v>649</v>
      </c>
      <c r="AG156" s="5">
        <v>725</v>
      </c>
      <c r="AH156" s="5">
        <v>710</v>
      </c>
      <c r="AI156" s="5">
        <v>626</v>
      </c>
      <c r="AJ156" s="5">
        <v>706</v>
      </c>
      <c r="AK156" s="5">
        <v>692</v>
      </c>
      <c r="AL156" s="5">
        <v>723</v>
      </c>
      <c r="AM156" s="5">
        <v>707</v>
      </c>
      <c r="AN156" s="5">
        <v>766</v>
      </c>
      <c r="AO156" s="5">
        <v>687</v>
      </c>
      <c r="AP156" s="5">
        <v>706</v>
      </c>
      <c r="AQ156" s="5">
        <v>695</v>
      </c>
      <c r="AR156" s="5">
        <v>711</v>
      </c>
      <c r="AS156" s="5">
        <v>717</v>
      </c>
      <c r="AT156" s="5">
        <v>713</v>
      </c>
      <c r="AU156" s="5">
        <v>623</v>
      </c>
      <c r="AV156" s="5">
        <v>690</v>
      </c>
      <c r="AW156" s="5">
        <v>675</v>
      </c>
      <c r="AX156" s="5">
        <v>698</v>
      </c>
      <c r="AY156" s="5">
        <v>686</v>
      </c>
      <c r="AZ156" s="5">
        <v>715</v>
      </c>
      <c r="BA156" s="5">
        <v>631</v>
      </c>
      <c r="BB156" s="5">
        <v>702</v>
      </c>
      <c r="BC156" s="5">
        <v>728</v>
      </c>
      <c r="BD156" s="5">
        <v>669</v>
      </c>
      <c r="BE156" s="5">
        <v>711</v>
      </c>
      <c r="BF156" s="5">
        <v>711</v>
      </c>
      <c r="BG156" s="5">
        <v>725</v>
      </c>
      <c r="BH156" s="5">
        <v>673</v>
      </c>
      <c r="BI156" s="5">
        <v>682</v>
      </c>
      <c r="BJ156" s="5">
        <v>698</v>
      </c>
      <c r="BK156" s="5">
        <v>670</v>
      </c>
      <c r="BL156" s="5">
        <v>653</v>
      </c>
      <c r="BM156" s="5">
        <v>664</v>
      </c>
      <c r="BN156" s="5">
        <v>687</v>
      </c>
      <c r="BO156" s="5">
        <v>694</v>
      </c>
      <c r="BP156" s="5">
        <v>735</v>
      </c>
      <c r="BQ156" s="5">
        <v>739</v>
      </c>
      <c r="BR156" s="5">
        <v>713</v>
      </c>
      <c r="BS156" s="5">
        <v>654</v>
      </c>
      <c r="BT156" s="5">
        <v>708</v>
      </c>
      <c r="BU156" s="5">
        <v>674</v>
      </c>
      <c r="BV156" s="5">
        <v>703</v>
      </c>
      <c r="BW156" s="5">
        <v>683</v>
      </c>
      <c r="BX156" s="5">
        <v>696</v>
      </c>
      <c r="BY156" s="5">
        <v>707</v>
      </c>
      <c r="BZ156" s="5">
        <v>697</v>
      </c>
      <c r="CA156" s="5">
        <v>627</v>
      </c>
      <c r="CB156" s="5">
        <v>682</v>
      </c>
      <c r="CC156" s="5">
        <v>703</v>
      </c>
      <c r="CD156" s="5">
        <v>690</v>
      </c>
      <c r="CE156" s="5">
        <v>683</v>
      </c>
      <c r="CF156" s="5">
        <v>682</v>
      </c>
      <c r="CG156" s="5">
        <v>679</v>
      </c>
      <c r="CH156" s="5">
        <v>747</v>
      </c>
      <c r="CI156" s="5">
        <v>670</v>
      </c>
      <c r="CJ156" s="5">
        <v>662</v>
      </c>
      <c r="CK156" s="5">
        <v>692</v>
      </c>
      <c r="CL156" s="5">
        <v>618</v>
      </c>
      <c r="CM156" s="5">
        <v>688</v>
      </c>
      <c r="CN156" s="5">
        <v>627</v>
      </c>
      <c r="CO156" s="5">
        <v>669</v>
      </c>
      <c r="CP156" s="5">
        <v>685</v>
      </c>
      <c r="CQ156" s="5">
        <v>704</v>
      </c>
      <c r="CR156" s="5">
        <v>682</v>
      </c>
      <c r="CS156" s="5">
        <v>641</v>
      </c>
      <c r="CT156" s="5">
        <v>692</v>
      </c>
      <c r="CU156" s="5">
        <v>713</v>
      </c>
      <c r="CV156" s="5">
        <v>741</v>
      </c>
      <c r="CW156" s="5">
        <v>665</v>
      </c>
      <c r="CX156" s="5">
        <v>660</v>
      </c>
      <c r="CY156" s="5">
        <v>718</v>
      </c>
      <c r="CZ156" s="5">
        <v>721</v>
      </c>
      <c r="DA156" s="5">
        <v>704</v>
      </c>
      <c r="DB156" s="5">
        <v>635</v>
      </c>
    </row>
    <row r="157" spans="1:106" x14ac:dyDescent="0.25">
      <c r="A157" s="2" t="s">
        <v>13</v>
      </c>
      <c r="B157" s="9">
        <f t="shared" ref="B157:B160" si="61">AVERAGE($G157:$DB157)</f>
        <v>867.17</v>
      </c>
      <c r="C157" s="9">
        <f t="shared" ref="C157:C160" si="62">MEDIAN($G157:$DB157)</f>
        <v>871</v>
      </c>
      <c r="D157" s="13">
        <f t="shared" ref="D157:D160" si="63">MAX($G157:$DB157)</f>
        <v>959</v>
      </c>
      <c r="E157" s="13">
        <f t="shared" ref="E157:E160" si="64">MIN($G157:$DB157)</f>
        <v>785</v>
      </c>
      <c r="F157" s="9">
        <f t="shared" ref="F157:F160" si="65">STDEV($G157:$DB157)</f>
        <v>40.770373230243216</v>
      </c>
      <c r="G157" s="5">
        <v>909</v>
      </c>
      <c r="H157" s="5">
        <v>902</v>
      </c>
      <c r="I157" s="5">
        <v>790</v>
      </c>
      <c r="J157" s="5">
        <v>845</v>
      </c>
      <c r="K157" s="5">
        <v>875</v>
      </c>
      <c r="L157" s="5">
        <v>851</v>
      </c>
      <c r="M157" s="5">
        <v>827</v>
      </c>
      <c r="N157" s="5">
        <v>886</v>
      </c>
      <c r="O157" s="5">
        <v>899</v>
      </c>
      <c r="P157" s="5">
        <v>907</v>
      </c>
      <c r="Q157" s="5">
        <v>800</v>
      </c>
      <c r="R157" s="5">
        <v>907</v>
      </c>
      <c r="S157" s="5">
        <v>827</v>
      </c>
      <c r="T157" s="5">
        <v>900</v>
      </c>
      <c r="U157" s="5">
        <v>831</v>
      </c>
      <c r="V157" s="5">
        <v>824</v>
      </c>
      <c r="W157" s="5">
        <v>825</v>
      </c>
      <c r="X157" s="5">
        <v>880</v>
      </c>
      <c r="Y157" s="5">
        <v>852</v>
      </c>
      <c r="Z157" s="5">
        <v>851</v>
      </c>
      <c r="AA157" s="5">
        <v>871</v>
      </c>
      <c r="AB157" s="5">
        <v>800</v>
      </c>
      <c r="AC157" s="5">
        <v>846</v>
      </c>
      <c r="AD157" s="5">
        <v>931</v>
      </c>
      <c r="AE157" s="5">
        <v>847</v>
      </c>
      <c r="AF157" s="5">
        <v>899</v>
      </c>
      <c r="AG157" s="5">
        <v>878</v>
      </c>
      <c r="AH157" s="5">
        <v>835</v>
      </c>
      <c r="AI157" s="5">
        <v>872</v>
      </c>
      <c r="AJ157" s="5">
        <v>897</v>
      </c>
      <c r="AK157" s="5">
        <v>836</v>
      </c>
      <c r="AL157" s="5">
        <v>804</v>
      </c>
      <c r="AM157" s="5">
        <v>848</v>
      </c>
      <c r="AN157" s="5">
        <v>932</v>
      </c>
      <c r="AO157" s="5">
        <v>849</v>
      </c>
      <c r="AP157" s="5">
        <v>891</v>
      </c>
      <c r="AQ157" s="5">
        <v>878</v>
      </c>
      <c r="AR157" s="5">
        <v>849</v>
      </c>
      <c r="AS157" s="5">
        <v>882</v>
      </c>
      <c r="AT157" s="5">
        <v>861</v>
      </c>
      <c r="AU157" s="5">
        <v>906</v>
      </c>
      <c r="AV157" s="5">
        <v>864</v>
      </c>
      <c r="AW157" s="5">
        <v>791</v>
      </c>
      <c r="AX157" s="5">
        <v>935</v>
      </c>
      <c r="AY157" s="5">
        <v>807</v>
      </c>
      <c r="AZ157" s="5">
        <v>841</v>
      </c>
      <c r="BA157" s="5">
        <v>950</v>
      </c>
      <c r="BB157" s="5">
        <v>880</v>
      </c>
      <c r="BC157" s="5">
        <v>908</v>
      </c>
      <c r="BD157" s="5">
        <v>911</v>
      </c>
      <c r="BE157" s="5">
        <v>953</v>
      </c>
      <c r="BF157" s="5">
        <v>830</v>
      </c>
      <c r="BG157" s="5">
        <v>804</v>
      </c>
      <c r="BH157" s="5">
        <v>892</v>
      </c>
      <c r="BI157" s="5">
        <v>882</v>
      </c>
      <c r="BJ157" s="5">
        <v>923</v>
      </c>
      <c r="BK157" s="5">
        <v>856</v>
      </c>
      <c r="BL157" s="5">
        <v>888</v>
      </c>
      <c r="BM157" s="5">
        <v>859</v>
      </c>
      <c r="BN157" s="5">
        <v>859</v>
      </c>
      <c r="BO157" s="5">
        <v>785</v>
      </c>
      <c r="BP157" s="5">
        <v>899</v>
      </c>
      <c r="BQ157" s="5">
        <v>959</v>
      </c>
      <c r="BR157" s="5">
        <v>888</v>
      </c>
      <c r="BS157" s="5">
        <v>852</v>
      </c>
      <c r="BT157" s="5">
        <v>832</v>
      </c>
      <c r="BU157" s="5">
        <v>864</v>
      </c>
      <c r="BV157" s="5">
        <v>908</v>
      </c>
      <c r="BW157" s="5">
        <v>855</v>
      </c>
      <c r="BX157" s="5">
        <v>896</v>
      </c>
      <c r="BY157" s="5">
        <v>880</v>
      </c>
      <c r="BZ157" s="5">
        <v>832</v>
      </c>
      <c r="CA157" s="5">
        <v>916</v>
      </c>
      <c r="CB157" s="5">
        <v>908</v>
      </c>
      <c r="CC157" s="5">
        <v>823</v>
      </c>
      <c r="CD157" s="5">
        <v>807</v>
      </c>
      <c r="CE157" s="5">
        <v>831</v>
      </c>
      <c r="CF157" s="5">
        <v>911</v>
      </c>
      <c r="CG157" s="5">
        <v>789</v>
      </c>
      <c r="CH157" s="5">
        <v>836</v>
      </c>
      <c r="CI157" s="5">
        <v>910</v>
      </c>
      <c r="CJ157" s="5">
        <v>818</v>
      </c>
      <c r="CK157" s="5">
        <v>896</v>
      </c>
      <c r="CL157" s="5">
        <v>871</v>
      </c>
      <c r="CM157" s="5">
        <v>899</v>
      </c>
      <c r="CN157" s="5">
        <v>918</v>
      </c>
      <c r="CO157" s="5">
        <v>855</v>
      </c>
      <c r="CP157" s="5">
        <v>858</v>
      </c>
      <c r="CQ157" s="5">
        <v>816</v>
      </c>
      <c r="CR157" s="5">
        <v>870</v>
      </c>
      <c r="CS157" s="5">
        <v>795</v>
      </c>
      <c r="CT157" s="5">
        <v>886</v>
      </c>
      <c r="CU157" s="5">
        <v>931</v>
      </c>
      <c r="CV157" s="5">
        <v>876</v>
      </c>
      <c r="CW157" s="5">
        <v>888</v>
      </c>
      <c r="CX157" s="5">
        <v>884</v>
      </c>
      <c r="CY157" s="5">
        <v>845</v>
      </c>
      <c r="CZ157" s="5">
        <v>897</v>
      </c>
      <c r="DA157" s="5">
        <v>819</v>
      </c>
      <c r="DB157" s="5">
        <v>881</v>
      </c>
    </row>
    <row r="158" spans="1:106" x14ac:dyDescent="0.25">
      <c r="A158" s="2" t="s">
        <v>10</v>
      </c>
      <c r="B158" s="9">
        <f t="shared" si="61"/>
        <v>845.15</v>
      </c>
      <c r="C158" s="9">
        <f t="shared" si="62"/>
        <v>848.5</v>
      </c>
      <c r="D158" s="13">
        <f t="shared" si="63"/>
        <v>934</v>
      </c>
      <c r="E158" s="13">
        <f t="shared" si="64"/>
        <v>690</v>
      </c>
      <c r="F158" s="9">
        <f t="shared" si="65"/>
        <v>43.081875305027971</v>
      </c>
      <c r="G158" s="5">
        <v>815</v>
      </c>
      <c r="H158" s="5">
        <v>776</v>
      </c>
      <c r="I158" s="5">
        <v>856</v>
      </c>
      <c r="J158" s="5">
        <v>851</v>
      </c>
      <c r="K158" s="5">
        <v>871</v>
      </c>
      <c r="L158" s="5">
        <v>767</v>
      </c>
      <c r="M158" s="5">
        <v>846</v>
      </c>
      <c r="N158" s="5">
        <v>910</v>
      </c>
      <c r="O158" s="5">
        <v>842</v>
      </c>
      <c r="P158" s="5">
        <v>840</v>
      </c>
      <c r="Q158" s="5">
        <v>843</v>
      </c>
      <c r="R158" s="5">
        <v>790</v>
      </c>
      <c r="S158" s="5">
        <v>841</v>
      </c>
      <c r="T158" s="5">
        <v>874</v>
      </c>
      <c r="U158" s="5">
        <v>825</v>
      </c>
      <c r="V158" s="5">
        <v>859</v>
      </c>
      <c r="W158" s="5">
        <v>834</v>
      </c>
      <c r="X158" s="5">
        <v>815</v>
      </c>
      <c r="Y158" s="5">
        <v>813</v>
      </c>
      <c r="Z158" s="5">
        <v>879</v>
      </c>
      <c r="AA158" s="5">
        <v>776</v>
      </c>
      <c r="AB158" s="5">
        <v>799</v>
      </c>
      <c r="AC158" s="5">
        <v>927</v>
      </c>
      <c r="AD158" s="5">
        <v>801</v>
      </c>
      <c r="AE158" s="5">
        <v>849</v>
      </c>
      <c r="AF158" s="5">
        <v>831</v>
      </c>
      <c r="AG158" s="5">
        <v>841</v>
      </c>
      <c r="AH158" s="5">
        <v>798</v>
      </c>
      <c r="AI158" s="5">
        <v>690</v>
      </c>
      <c r="AJ158" s="5">
        <v>818</v>
      </c>
      <c r="AK158" s="5">
        <v>813</v>
      </c>
      <c r="AL158" s="5">
        <v>909</v>
      </c>
      <c r="AM158" s="5">
        <v>799</v>
      </c>
      <c r="AN158" s="5">
        <v>802</v>
      </c>
      <c r="AO158" s="5">
        <v>866</v>
      </c>
      <c r="AP158" s="5">
        <v>921</v>
      </c>
      <c r="AQ158" s="5">
        <v>844</v>
      </c>
      <c r="AR158" s="5">
        <v>852</v>
      </c>
      <c r="AS158" s="5">
        <v>824</v>
      </c>
      <c r="AT158" s="5">
        <v>867</v>
      </c>
      <c r="AU158" s="5">
        <v>821</v>
      </c>
      <c r="AV158" s="5">
        <v>780</v>
      </c>
      <c r="AW158" s="5">
        <v>804</v>
      </c>
      <c r="AX158" s="5">
        <v>774</v>
      </c>
      <c r="AY158" s="5">
        <v>862</v>
      </c>
      <c r="AZ158" s="5">
        <v>860</v>
      </c>
      <c r="BA158" s="5">
        <v>816</v>
      </c>
      <c r="BB158" s="5">
        <v>882</v>
      </c>
      <c r="BC158" s="5">
        <v>861</v>
      </c>
      <c r="BD158" s="5">
        <v>839</v>
      </c>
      <c r="BE158" s="5">
        <v>891</v>
      </c>
      <c r="BF158" s="5">
        <v>849</v>
      </c>
      <c r="BG158" s="5">
        <v>852</v>
      </c>
      <c r="BH158" s="5">
        <v>934</v>
      </c>
      <c r="BI158" s="5">
        <v>848</v>
      </c>
      <c r="BJ158" s="5">
        <v>920</v>
      </c>
      <c r="BK158" s="5">
        <v>893</v>
      </c>
      <c r="BL158" s="5">
        <v>917</v>
      </c>
      <c r="BM158" s="5">
        <v>870</v>
      </c>
      <c r="BN158" s="5">
        <v>867</v>
      </c>
      <c r="BO158" s="5">
        <v>821</v>
      </c>
      <c r="BP158" s="5">
        <v>861</v>
      </c>
      <c r="BQ158" s="5">
        <v>834</v>
      </c>
      <c r="BR158" s="5">
        <v>827</v>
      </c>
      <c r="BS158" s="5">
        <v>774</v>
      </c>
      <c r="BT158" s="5">
        <v>865</v>
      </c>
      <c r="BU158" s="5">
        <v>882</v>
      </c>
      <c r="BV158" s="5">
        <v>852</v>
      </c>
      <c r="BW158" s="5">
        <v>876</v>
      </c>
      <c r="BX158" s="5">
        <v>881</v>
      </c>
      <c r="BY158" s="5">
        <v>830</v>
      </c>
      <c r="BZ158" s="5">
        <v>807</v>
      </c>
      <c r="CA158" s="5">
        <v>877</v>
      </c>
      <c r="CB158" s="5">
        <v>887</v>
      </c>
      <c r="CC158" s="5">
        <v>868</v>
      </c>
      <c r="CD158" s="5">
        <v>814</v>
      </c>
      <c r="CE158" s="5">
        <v>888</v>
      </c>
      <c r="CF158" s="5">
        <v>903</v>
      </c>
      <c r="CG158" s="5">
        <v>845</v>
      </c>
      <c r="CH158" s="5">
        <v>782</v>
      </c>
      <c r="CI158" s="5">
        <v>849</v>
      </c>
      <c r="CJ158" s="5">
        <v>850</v>
      </c>
      <c r="CK158" s="5">
        <v>923</v>
      </c>
      <c r="CL158" s="5">
        <v>861</v>
      </c>
      <c r="CM158" s="5">
        <v>828</v>
      </c>
      <c r="CN158" s="5">
        <v>880</v>
      </c>
      <c r="CO158" s="5">
        <v>861</v>
      </c>
      <c r="CP158" s="5">
        <v>876</v>
      </c>
      <c r="CQ158" s="5">
        <v>815</v>
      </c>
      <c r="CR158" s="5">
        <v>817</v>
      </c>
      <c r="CS158" s="5">
        <v>773</v>
      </c>
      <c r="CT158" s="5">
        <v>912</v>
      </c>
      <c r="CU158" s="5">
        <v>905</v>
      </c>
      <c r="CV158" s="5">
        <v>846</v>
      </c>
      <c r="CW158" s="5">
        <v>911</v>
      </c>
      <c r="CX158" s="5">
        <v>811</v>
      </c>
      <c r="CY158" s="5">
        <v>850</v>
      </c>
      <c r="CZ158" s="5">
        <v>797</v>
      </c>
      <c r="DA158" s="5">
        <v>873</v>
      </c>
      <c r="DB158" s="5">
        <v>789</v>
      </c>
    </row>
    <row r="159" spans="1:106" x14ac:dyDescent="0.25">
      <c r="A159" s="2" t="s">
        <v>11</v>
      </c>
      <c r="B159" s="9">
        <f t="shared" si="61"/>
        <v>792.71</v>
      </c>
      <c r="C159" s="9">
        <f t="shared" si="62"/>
        <v>787.5</v>
      </c>
      <c r="D159" s="13">
        <f t="shared" si="63"/>
        <v>882</v>
      </c>
      <c r="E159" s="13">
        <f t="shared" si="64"/>
        <v>713</v>
      </c>
      <c r="F159" s="9">
        <f t="shared" si="65"/>
        <v>34.901678637526459</v>
      </c>
      <c r="G159" s="5">
        <v>784</v>
      </c>
      <c r="H159" s="5">
        <v>747</v>
      </c>
      <c r="I159" s="5">
        <v>770</v>
      </c>
      <c r="J159" s="5">
        <v>736</v>
      </c>
      <c r="K159" s="5">
        <v>799</v>
      </c>
      <c r="L159" s="5">
        <v>805</v>
      </c>
      <c r="M159" s="5">
        <v>830</v>
      </c>
      <c r="N159" s="5">
        <v>812</v>
      </c>
      <c r="O159" s="5">
        <v>772</v>
      </c>
      <c r="P159" s="5">
        <v>813</v>
      </c>
      <c r="Q159" s="5">
        <v>852</v>
      </c>
      <c r="R159" s="5">
        <v>784</v>
      </c>
      <c r="S159" s="5">
        <v>824</v>
      </c>
      <c r="T159" s="5">
        <v>768</v>
      </c>
      <c r="U159" s="5">
        <v>777</v>
      </c>
      <c r="V159" s="5">
        <v>826</v>
      </c>
      <c r="W159" s="5">
        <v>858</v>
      </c>
      <c r="X159" s="5">
        <v>789</v>
      </c>
      <c r="Y159" s="5">
        <v>758</v>
      </c>
      <c r="Z159" s="5">
        <v>786</v>
      </c>
      <c r="AA159" s="5">
        <v>765</v>
      </c>
      <c r="AB159" s="5">
        <v>820</v>
      </c>
      <c r="AC159" s="5">
        <v>766</v>
      </c>
      <c r="AD159" s="5">
        <v>754</v>
      </c>
      <c r="AE159" s="5">
        <v>803</v>
      </c>
      <c r="AF159" s="5">
        <v>802</v>
      </c>
      <c r="AG159" s="5">
        <v>859</v>
      </c>
      <c r="AH159" s="5">
        <v>857</v>
      </c>
      <c r="AI159" s="5">
        <v>786</v>
      </c>
      <c r="AJ159" s="5">
        <v>816</v>
      </c>
      <c r="AK159" s="5">
        <v>882</v>
      </c>
      <c r="AL159" s="5">
        <v>781</v>
      </c>
      <c r="AM159" s="5">
        <v>795</v>
      </c>
      <c r="AN159" s="5">
        <v>810</v>
      </c>
      <c r="AO159" s="5">
        <v>788</v>
      </c>
      <c r="AP159" s="5">
        <v>747</v>
      </c>
      <c r="AQ159" s="5">
        <v>860</v>
      </c>
      <c r="AR159" s="5">
        <v>774</v>
      </c>
      <c r="AS159" s="5">
        <v>776</v>
      </c>
      <c r="AT159" s="5">
        <v>789</v>
      </c>
      <c r="AU159" s="5">
        <v>795</v>
      </c>
      <c r="AV159" s="5">
        <v>768</v>
      </c>
      <c r="AW159" s="5">
        <v>770</v>
      </c>
      <c r="AX159" s="5">
        <v>810</v>
      </c>
      <c r="AY159" s="5">
        <v>807</v>
      </c>
      <c r="AZ159" s="5">
        <v>772</v>
      </c>
      <c r="BA159" s="5">
        <v>771</v>
      </c>
      <c r="BB159" s="5">
        <v>772</v>
      </c>
      <c r="BC159" s="5">
        <v>750</v>
      </c>
      <c r="BD159" s="5">
        <v>829</v>
      </c>
      <c r="BE159" s="5">
        <v>772</v>
      </c>
      <c r="BF159" s="5">
        <v>795</v>
      </c>
      <c r="BG159" s="5">
        <v>816</v>
      </c>
      <c r="BH159" s="5">
        <v>775</v>
      </c>
      <c r="BI159" s="5">
        <v>771</v>
      </c>
      <c r="BJ159" s="5">
        <v>754</v>
      </c>
      <c r="BK159" s="5">
        <v>811</v>
      </c>
      <c r="BL159" s="5">
        <v>767</v>
      </c>
      <c r="BM159" s="5">
        <v>802</v>
      </c>
      <c r="BN159" s="5">
        <v>815</v>
      </c>
      <c r="BO159" s="5">
        <v>824</v>
      </c>
      <c r="BP159" s="5">
        <v>713</v>
      </c>
      <c r="BQ159" s="5">
        <v>854</v>
      </c>
      <c r="BR159" s="5">
        <v>757</v>
      </c>
      <c r="BS159" s="5">
        <v>768</v>
      </c>
      <c r="BT159" s="5">
        <v>809</v>
      </c>
      <c r="BU159" s="5">
        <v>772</v>
      </c>
      <c r="BV159" s="5">
        <v>765</v>
      </c>
      <c r="BW159" s="5">
        <v>825</v>
      </c>
      <c r="BX159" s="5">
        <v>729</v>
      </c>
      <c r="BY159" s="5">
        <v>740</v>
      </c>
      <c r="BZ159" s="5">
        <v>748</v>
      </c>
      <c r="CA159" s="5">
        <v>830</v>
      </c>
      <c r="CB159" s="5">
        <v>767</v>
      </c>
      <c r="CC159" s="5">
        <v>835</v>
      </c>
      <c r="CD159" s="5">
        <v>787</v>
      </c>
      <c r="CE159" s="5">
        <v>738</v>
      </c>
      <c r="CF159" s="5">
        <v>739</v>
      </c>
      <c r="CG159" s="5">
        <v>808</v>
      </c>
      <c r="CH159" s="5">
        <v>830</v>
      </c>
      <c r="CI159" s="5">
        <v>859</v>
      </c>
      <c r="CJ159" s="5">
        <v>859</v>
      </c>
      <c r="CK159" s="5">
        <v>796</v>
      </c>
      <c r="CL159" s="5">
        <v>780</v>
      </c>
      <c r="CM159" s="5">
        <v>804</v>
      </c>
      <c r="CN159" s="5">
        <v>827</v>
      </c>
      <c r="CO159" s="5">
        <v>772</v>
      </c>
      <c r="CP159" s="5">
        <v>804</v>
      </c>
      <c r="CQ159" s="5">
        <v>792</v>
      </c>
      <c r="CR159" s="5">
        <v>827</v>
      </c>
      <c r="CS159" s="5">
        <v>818</v>
      </c>
      <c r="CT159" s="5">
        <v>761</v>
      </c>
      <c r="CU159" s="5">
        <v>869</v>
      </c>
      <c r="CV159" s="5">
        <v>783</v>
      </c>
      <c r="CW159" s="5">
        <v>756</v>
      </c>
      <c r="CX159" s="5">
        <v>766</v>
      </c>
      <c r="CY159" s="5">
        <v>817</v>
      </c>
      <c r="CZ159" s="5">
        <v>767</v>
      </c>
      <c r="DA159" s="5">
        <v>755</v>
      </c>
      <c r="DB159" s="5">
        <v>779</v>
      </c>
    </row>
    <row r="160" spans="1:106" x14ac:dyDescent="0.25">
      <c r="A160" s="2" t="s">
        <v>12</v>
      </c>
      <c r="B160" s="9">
        <f t="shared" si="61"/>
        <v>850.2</v>
      </c>
      <c r="C160" s="9">
        <f t="shared" si="62"/>
        <v>850</v>
      </c>
      <c r="D160" s="13">
        <f t="shared" si="63"/>
        <v>946</v>
      </c>
      <c r="E160" s="13">
        <f t="shared" si="64"/>
        <v>777</v>
      </c>
      <c r="F160" s="9">
        <f t="shared" si="65"/>
        <v>37.541626727856865</v>
      </c>
      <c r="G160" s="5">
        <v>842</v>
      </c>
      <c r="H160" s="5">
        <v>790</v>
      </c>
      <c r="I160" s="5">
        <v>841</v>
      </c>
      <c r="J160" s="5">
        <v>901</v>
      </c>
      <c r="K160" s="5">
        <v>795</v>
      </c>
      <c r="L160" s="5">
        <v>838</v>
      </c>
      <c r="M160" s="5">
        <v>886</v>
      </c>
      <c r="N160" s="5">
        <v>789</v>
      </c>
      <c r="O160" s="5">
        <v>845</v>
      </c>
      <c r="P160" s="5">
        <v>838</v>
      </c>
      <c r="Q160" s="5">
        <v>907</v>
      </c>
      <c r="R160" s="5">
        <v>850</v>
      </c>
      <c r="S160" s="5">
        <v>891</v>
      </c>
      <c r="T160" s="5">
        <v>877</v>
      </c>
      <c r="U160" s="5">
        <v>874</v>
      </c>
      <c r="V160" s="5">
        <v>843</v>
      </c>
      <c r="W160" s="5">
        <v>871</v>
      </c>
      <c r="X160" s="5">
        <v>843</v>
      </c>
      <c r="Y160" s="5">
        <v>866</v>
      </c>
      <c r="Z160" s="5">
        <v>856</v>
      </c>
      <c r="AA160" s="5">
        <v>853</v>
      </c>
      <c r="AB160" s="5">
        <v>810</v>
      </c>
      <c r="AC160" s="5">
        <v>811</v>
      </c>
      <c r="AD160" s="5">
        <v>785</v>
      </c>
      <c r="AE160" s="5">
        <v>873</v>
      </c>
      <c r="AF160" s="5">
        <v>796</v>
      </c>
      <c r="AG160" s="5">
        <v>856</v>
      </c>
      <c r="AH160" s="5">
        <v>872</v>
      </c>
      <c r="AI160" s="5">
        <v>789</v>
      </c>
      <c r="AJ160" s="5">
        <v>857</v>
      </c>
      <c r="AK160" s="5">
        <v>890</v>
      </c>
      <c r="AL160" s="5">
        <v>783</v>
      </c>
      <c r="AM160" s="5">
        <v>823</v>
      </c>
      <c r="AN160" s="5">
        <v>846</v>
      </c>
      <c r="AO160" s="5">
        <v>843</v>
      </c>
      <c r="AP160" s="5">
        <v>826</v>
      </c>
      <c r="AQ160" s="5">
        <v>875</v>
      </c>
      <c r="AR160" s="5">
        <v>873</v>
      </c>
      <c r="AS160" s="5">
        <v>854</v>
      </c>
      <c r="AT160" s="5">
        <v>861</v>
      </c>
      <c r="AU160" s="5">
        <v>822</v>
      </c>
      <c r="AV160" s="5">
        <v>801</v>
      </c>
      <c r="AW160" s="5">
        <v>880</v>
      </c>
      <c r="AX160" s="5">
        <v>858</v>
      </c>
      <c r="AY160" s="5">
        <v>801</v>
      </c>
      <c r="AZ160" s="5">
        <v>946</v>
      </c>
      <c r="BA160" s="5">
        <v>845</v>
      </c>
      <c r="BB160" s="5">
        <v>931</v>
      </c>
      <c r="BC160" s="5">
        <v>822</v>
      </c>
      <c r="BD160" s="5">
        <v>897</v>
      </c>
      <c r="BE160" s="5">
        <v>946</v>
      </c>
      <c r="BF160" s="5">
        <v>801</v>
      </c>
      <c r="BG160" s="5">
        <v>777</v>
      </c>
      <c r="BH160" s="5">
        <v>784</v>
      </c>
      <c r="BI160" s="5">
        <v>887</v>
      </c>
      <c r="BJ160" s="5">
        <v>871</v>
      </c>
      <c r="BK160" s="5">
        <v>872</v>
      </c>
      <c r="BL160" s="5">
        <v>917</v>
      </c>
      <c r="BM160" s="5">
        <v>849</v>
      </c>
      <c r="BN160" s="5">
        <v>804</v>
      </c>
      <c r="BO160" s="5">
        <v>867</v>
      </c>
      <c r="BP160" s="5">
        <v>854</v>
      </c>
      <c r="BQ160" s="5">
        <v>862</v>
      </c>
      <c r="BR160" s="5">
        <v>857</v>
      </c>
      <c r="BS160" s="5">
        <v>844</v>
      </c>
      <c r="BT160" s="5">
        <v>892</v>
      </c>
      <c r="BU160" s="5">
        <v>850</v>
      </c>
      <c r="BV160" s="5">
        <v>888</v>
      </c>
      <c r="BW160" s="5">
        <v>813</v>
      </c>
      <c r="BX160" s="5">
        <v>821</v>
      </c>
      <c r="BY160" s="5">
        <v>811</v>
      </c>
      <c r="BZ160" s="5">
        <v>856</v>
      </c>
      <c r="CA160" s="5">
        <v>827</v>
      </c>
      <c r="CB160" s="5">
        <v>839</v>
      </c>
      <c r="CC160" s="5">
        <v>907</v>
      </c>
      <c r="CD160" s="5">
        <v>855</v>
      </c>
      <c r="CE160" s="5">
        <v>876</v>
      </c>
      <c r="CF160" s="5">
        <v>852</v>
      </c>
      <c r="CG160" s="5">
        <v>834</v>
      </c>
      <c r="CH160" s="5">
        <v>913</v>
      </c>
      <c r="CI160" s="5">
        <v>826</v>
      </c>
      <c r="CJ160" s="5">
        <v>830</v>
      </c>
      <c r="CK160" s="5">
        <v>881</v>
      </c>
      <c r="CL160" s="5">
        <v>897</v>
      </c>
      <c r="CM160" s="5">
        <v>839</v>
      </c>
      <c r="CN160" s="5">
        <v>868</v>
      </c>
      <c r="CO160" s="5">
        <v>920</v>
      </c>
      <c r="CP160" s="5">
        <v>835</v>
      </c>
      <c r="CQ160" s="5">
        <v>832</v>
      </c>
      <c r="CR160" s="5">
        <v>830</v>
      </c>
      <c r="CS160" s="5">
        <v>874</v>
      </c>
      <c r="CT160" s="5">
        <v>800</v>
      </c>
      <c r="CU160" s="5">
        <v>842</v>
      </c>
      <c r="CV160" s="5">
        <v>840</v>
      </c>
      <c r="CW160" s="5">
        <v>833</v>
      </c>
      <c r="CX160" s="5">
        <v>891</v>
      </c>
      <c r="CY160" s="5">
        <v>789</v>
      </c>
      <c r="CZ160" s="5">
        <v>807</v>
      </c>
      <c r="DA160" s="5">
        <v>876</v>
      </c>
      <c r="DB160" s="5">
        <v>862</v>
      </c>
    </row>
  </sheetData>
  <conditionalFormatting sqref="G3:DB7">
    <cfRule type="expression" dxfId="5" priority="5">
      <formula>G3=MAX(G$3:G$7)</formula>
    </cfRule>
  </conditionalFormatting>
  <conditionalFormatting sqref="G9:DB13">
    <cfRule type="expression" dxfId="4" priority="4">
      <formula>G9=MAX(G$9:G$13)</formula>
    </cfRule>
  </conditionalFormatting>
  <conditionalFormatting sqref="G15:DB19">
    <cfRule type="expression" dxfId="3" priority="3">
      <formula>G15=MAX(G$15:G$19)</formula>
    </cfRule>
  </conditionalFormatting>
  <conditionalFormatting sqref="G21:DB25">
    <cfRule type="expression" dxfId="2" priority="2">
      <formula>G21=MAX(G$21:G$25)</formula>
    </cfRule>
  </conditionalFormatting>
  <conditionalFormatting sqref="G3:DB25">
    <cfRule type="cellIs" dxfId="1" priority="1" operator="greaterThanOrEqual">
      <formula>LARGE(G$3:G$25,2)</formula>
    </cfRule>
    <cfRule type="cellIs" dxfId="0" priority="6" operator="greaterThanOrEqual">
      <formula>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 Standings</vt:lpstr>
      <vt:lpstr>Raw</vt:lpstr>
      <vt:lpstr>Post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2010-01-26T17:23:48Z</dcterms:created>
  <dcterms:modified xsi:type="dcterms:W3CDTF">2010-01-26T21:32:44Z</dcterms:modified>
</cp:coreProperties>
</file>