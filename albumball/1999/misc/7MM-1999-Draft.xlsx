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114"/>
  <workbookPr codeName="ThisWorkbook"/>
  <bookViews>
    <workbookView xWindow="2025" yWindow="810" windowWidth="6195" windowHeight="7680" activeTab="1"/>
  </bookViews>
  <sheets>
    <sheet name="1999 Draft" sheetId="1" r:id="rId1"/>
    <sheet name="1999 Trades" sheetId="6" r:id="rId2"/>
    <sheet name="1999 PreDraft Trades" sheetId="4" r:id="rId3"/>
    <sheet name="Teams" sheetId="5" r:id="rId4"/>
  </sheets>
  <definedNames>
    <definedName name="_xlnm._FilterDatabase" localSheetId="0" hidden="1">'1999 Draft'!$A$2:$H$324</definedName>
    <definedName name="_xlnm.Print_Area" localSheetId="0">'1999 Draft'!$A$3:$G$216</definedName>
    <definedName name="_xlnm.Print_Titles" localSheetId="0">'1999 Draft'!$1:$2</definedName>
  </definedNames>
  <calcPr calcId="144315"/>
</workbook>
</file>

<file path=xl/calcChain.xml><?xml version="1.0" encoding="utf-8"?>
<calcChain xmlns="http://schemas.openxmlformats.org/spreadsheetml/2006/main">
  <c r="G36" i="6" l="1"/>
  <c r="B2" i="5" l="1"/>
  <c r="C2" i="5" s="1"/>
  <c r="H2" i="5"/>
  <c r="B3" i="5"/>
  <c r="C3" i="5"/>
  <c r="H3" i="5"/>
  <c r="B4" i="5"/>
  <c r="C4" i="5" s="1"/>
  <c r="H4" i="5"/>
  <c r="B5" i="5"/>
  <c r="C5" i="5" s="1"/>
  <c r="H5" i="5"/>
  <c r="B6" i="5"/>
  <c r="C6" i="5" s="1"/>
  <c r="H6" i="5"/>
  <c r="B7" i="5"/>
  <c r="C7" i="5" s="1"/>
  <c r="H7" i="5"/>
  <c r="B8" i="5"/>
  <c r="C8" i="5" s="1"/>
  <c r="H8" i="5"/>
  <c r="B9" i="5"/>
  <c r="C9" i="5" s="1"/>
  <c r="H9" i="5"/>
  <c r="B10" i="5"/>
  <c r="C10" i="5"/>
  <c r="H10" i="5"/>
  <c r="B11" i="5"/>
  <c r="C11" i="5" s="1"/>
  <c r="H11" i="5"/>
  <c r="B12" i="5"/>
  <c r="C12" i="5" s="1"/>
  <c r="H12" i="5"/>
  <c r="B13" i="5"/>
  <c r="C13" i="5" s="1"/>
  <c r="H13" i="5"/>
  <c r="B14" i="5"/>
  <c r="C14" i="5" s="1"/>
  <c r="H14" i="5"/>
  <c r="B15" i="5"/>
  <c r="C15" i="5" s="1"/>
  <c r="H15" i="5"/>
  <c r="B16" i="5"/>
  <c r="C16" i="5" s="1"/>
  <c r="H16" i="5"/>
  <c r="B17" i="5"/>
  <c r="C17" i="5" s="1"/>
  <c r="H17" i="5"/>
  <c r="B18" i="5"/>
  <c r="C18" i="5"/>
  <c r="H18" i="5"/>
  <c r="B19" i="5"/>
  <c r="C19" i="5" s="1"/>
  <c r="H19" i="5"/>
  <c r="B20" i="5"/>
  <c r="C20" i="5" s="1"/>
  <c r="H20" i="5"/>
  <c r="B21" i="5"/>
  <c r="C21" i="5" s="1"/>
  <c r="H21" i="5"/>
  <c r="Q22" i="4"/>
  <c r="Q45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R22" i="6"/>
  <c r="R46" i="6"/>
  <c r="I49" i="6"/>
  <c r="I50" i="6"/>
  <c r="I51" i="6"/>
  <c r="I52" i="6"/>
  <c r="I53" i="6"/>
  <c r="I54" i="6"/>
  <c r="I55" i="6"/>
  <c r="I56" i="6"/>
  <c r="I57" i="6"/>
  <c r="I58" i="6"/>
  <c r="I59" i="6"/>
  <c r="I61" i="6"/>
  <c r="I62" i="6"/>
  <c r="I63" i="6"/>
  <c r="I65" i="6"/>
  <c r="I66" i="6"/>
  <c r="I67" i="6"/>
  <c r="I68" i="6"/>
  <c r="I60" i="6"/>
  <c r="I64" i="6"/>
  <c r="I69" i="6"/>
  <c r="C1" i="5" l="1"/>
  <c r="H3" i="1" l="1"/>
  <c r="H5" i="1"/>
  <c r="H7" i="1"/>
  <c r="H9" i="1"/>
  <c r="H11" i="1"/>
  <c r="H13" i="1"/>
  <c r="H15" i="1"/>
  <c r="H17" i="1"/>
  <c r="H19" i="1"/>
  <c r="H21" i="1"/>
  <c r="H23" i="1"/>
  <c r="H25" i="1"/>
  <c r="H27" i="1"/>
  <c r="H29" i="1"/>
  <c r="H31" i="1"/>
  <c r="H33" i="1"/>
  <c r="H35" i="1"/>
  <c r="H37" i="1"/>
  <c r="H39" i="1"/>
  <c r="H41" i="1"/>
  <c r="H43" i="1"/>
  <c r="H45" i="1"/>
  <c r="H47" i="1"/>
  <c r="H49" i="1"/>
  <c r="H51" i="1"/>
  <c r="H53" i="1"/>
  <c r="H55" i="1"/>
  <c r="H57" i="1"/>
  <c r="H59" i="1"/>
  <c r="H61" i="1"/>
  <c r="H63" i="1"/>
  <c r="H65" i="1"/>
  <c r="H67" i="1"/>
  <c r="H69" i="1"/>
  <c r="H71" i="1"/>
  <c r="H73" i="1"/>
  <c r="H75" i="1"/>
  <c r="H77" i="1"/>
  <c r="H79" i="1"/>
  <c r="H81" i="1"/>
  <c r="H83" i="1"/>
  <c r="H85" i="1"/>
  <c r="H87" i="1"/>
  <c r="H89" i="1"/>
  <c r="H91" i="1"/>
  <c r="H93" i="1"/>
  <c r="H95" i="1"/>
  <c r="H97" i="1"/>
  <c r="H99" i="1"/>
  <c r="H101" i="1"/>
  <c r="H103" i="1"/>
  <c r="H105" i="1"/>
  <c r="H107" i="1"/>
  <c r="H109" i="1"/>
  <c r="H111" i="1"/>
  <c r="H113" i="1"/>
  <c r="H115" i="1"/>
  <c r="H117" i="1"/>
  <c r="H119" i="1"/>
  <c r="H121" i="1"/>
  <c r="H123" i="1"/>
  <c r="H125" i="1"/>
  <c r="H127" i="1"/>
  <c r="H129" i="1"/>
  <c r="H131" i="1"/>
  <c r="H133" i="1"/>
  <c r="H135" i="1"/>
  <c r="H137" i="1"/>
  <c r="H139" i="1"/>
  <c r="H141" i="1"/>
  <c r="H143" i="1"/>
  <c r="H145" i="1"/>
  <c r="H147" i="1"/>
  <c r="H149" i="1"/>
  <c r="H151" i="1"/>
  <c r="H153" i="1"/>
  <c r="H4" i="1"/>
  <c r="H8" i="1"/>
  <c r="H12" i="1"/>
  <c r="H16" i="1"/>
  <c r="H20" i="1"/>
  <c r="H24" i="1"/>
  <c r="H28" i="1"/>
  <c r="H32" i="1"/>
  <c r="H36" i="1"/>
  <c r="H40" i="1"/>
  <c r="H44" i="1"/>
  <c r="H48" i="1"/>
  <c r="H52" i="1"/>
  <c r="H56" i="1"/>
  <c r="H60" i="1"/>
  <c r="H64" i="1"/>
  <c r="H68" i="1"/>
  <c r="H72" i="1"/>
  <c r="H76" i="1"/>
  <c r="H80" i="1"/>
  <c r="H84" i="1"/>
  <c r="H88" i="1"/>
  <c r="H92" i="1"/>
  <c r="H96" i="1"/>
  <c r="H100" i="1"/>
  <c r="H104" i="1"/>
  <c r="H108" i="1"/>
  <c r="H112" i="1"/>
  <c r="H116" i="1"/>
  <c r="H120" i="1"/>
  <c r="H124" i="1"/>
  <c r="H128" i="1"/>
  <c r="H132" i="1"/>
  <c r="H136" i="1"/>
  <c r="H140" i="1"/>
  <c r="H144" i="1"/>
  <c r="H148" i="1"/>
  <c r="H152" i="1"/>
  <c r="H155" i="1"/>
  <c r="H157" i="1"/>
  <c r="H159" i="1"/>
  <c r="H161" i="1"/>
  <c r="H163" i="1"/>
  <c r="H165" i="1"/>
  <c r="H167" i="1"/>
  <c r="H169" i="1"/>
  <c r="H171" i="1"/>
  <c r="H173" i="1"/>
  <c r="H175" i="1"/>
  <c r="H177" i="1"/>
  <c r="H179" i="1"/>
  <c r="H181" i="1"/>
  <c r="H183" i="1"/>
  <c r="H185" i="1"/>
  <c r="H187" i="1"/>
  <c r="H189" i="1"/>
  <c r="H191" i="1"/>
  <c r="H193" i="1"/>
  <c r="H195" i="1"/>
  <c r="H197" i="1"/>
  <c r="H199" i="1"/>
  <c r="H201" i="1"/>
  <c r="H203" i="1"/>
  <c r="H205" i="1"/>
  <c r="H207" i="1"/>
  <c r="H209" i="1"/>
  <c r="H211" i="1"/>
  <c r="H213" i="1"/>
  <c r="H215" i="1"/>
  <c r="H217" i="1"/>
  <c r="H219" i="1"/>
  <c r="H221" i="1"/>
  <c r="H223" i="1"/>
  <c r="H225" i="1"/>
  <c r="H227" i="1"/>
  <c r="H229" i="1"/>
  <c r="H231" i="1"/>
  <c r="H233" i="1"/>
  <c r="H235" i="1"/>
  <c r="H237" i="1"/>
  <c r="H239" i="1"/>
  <c r="H241" i="1"/>
  <c r="H243" i="1"/>
  <c r="H245" i="1"/>
  <c r="H6" i="1"/>
  <c r="H14" i="1"/>
  <c r="H22" i="1"/>
  <c r="H30" i="1"/>
  <c r="H38" i="1"/>
  <c r="H46" i="1"/>
  <c r="H54" i="1"/>
  <c r="H62" i="1"/>
  <c r="H70" i="1"/>
  <c r="H78" i="1"/>
  <c r="H86" i="1"/>
  <c r="H94" i="1"/>
  <c r="H102" i="1"/>
  <c r="H110" i="1"/>
  <c r="H118" i="1"/>
  <c r="H126" i="1"/>
  <c r="H134" i="1"/>
  <c r="H142" i="1"/>
  <c r="H150" i="1"/>
  <c r="H156" i="1"/>
  <c r="H160" i="1"/>
  <c r="H164" i="1"/>
  <c r="H168" i="1"/>
  <c r="H172" i="1"/>
  <c r="H176" i="1"/>
  <c r="H180" i="1"/>
  <c r="H184" i="1"/>
  <c r="H188" i="1"/>
  <c r="H192" i="1"/>
  <c r="H196" i="1"/>
  <c r="H200" i="1"/>
  <c r="H204" i="1"/>
  <c r="H208" i="1"/>
  <c r="H212" i="1"/>
  <c r="H216" i="1"/>
  <c r="H220" i="1"/>
  <c r="H224" i="1"/>
  <c r="H228" i="1"/>
  <c r="H232" i="1"/>
  <c r="H236" i="1"/>
  <c r="H240" i="1"/>
  <c r="H244" i="1"/>
  <c r="H247" i="1"/>
  <c r="H249" i="1"/>
  <c r="H251" i="1"/>
  <c r="H253" i="1"/>
  <c r="H255" i="1"/>
  <c r="H257" i="1"/>
  <c r="H259" i="1"/>
  <c r="H261" i="1"/>
  <c r="H263" i="1"/>
  <c r="H265" i="1"/>
  <c r="H267" i="1"/>
  <c r="H269" i="1"/>
  <c r="H271" i="1"/>
  <c r="H273" i="1"/>
  <c r="H275" i="1"/>
  <c r="H277" i="1"/>
  <c r="H279" i="1"/>
  <c r="H281" i="1"/>
  <c r="H283" i="1"/>
  <c r="H285" i="1"/>
  <c r="H287" i="1"/>
  <c r="H289" i="1"/>
  <c r="H291" i="1"/>
  <c r="H293" i="1"/>
  <c r="H295" i="1"/>
  <c r="H297" i="1"/>
  <c r="H299" i="1"/>
  <c r="H301" i="1"/>
  <c r="H303" i="1"/>
  <c r="H305" i="1"/>
  <c r="H307" i="1"/>
  <c r="H309" i="1"/>
  <c r="H311" i="1"/>
  <c r="H313" i="1"/>
  <c r="H315" i="1"/>
  <c r="H317" i="1"/>
  <c r="H319" i="1"/>
  <c r="H321" i="1"/>
  <c r="H323" i="1"/>
  <c r="H206" i="1"/>
  <c r="H214" i="1"/>
  <c r="H222" i="1"/>
  <c r="H230" i="1"/>
  <c r="H238" i="1"/>
  <c r="H246" i="1"/>
  <c r="H250" i="1"/>
  <c r="H254" i="1"/>
  <c r="H258" i="1"/>
  <c r="H262" i="1"/>
  <c r="H268" i="1"/>
  <c r="H272" i="1"/>
  <c r="H274" i="1"/>
  <c r="H278" i="1"/>
  <c r="H282" i="1"/>
  <c r="H286" i="1"/>
  <c r="H290" i="1"/>
  <c r="H294" i="1"/>
  <c r="H298" i="1"/>
  <c r="H302" i="1"/>
  <c r="H306" i="1"/>
  <c r="H310" i="1"/>
  <c r="H314" i="1"/>
  <c r="H318" i="1"/>
  <c r="H324" i="1"/>
  <c r="H10" i="1"/>
  <c r="H18" i="1"/>
  <c r="H26" i="1"/>
  <c r="H34" i="1"/>
  <c r="H42" i="1"/>
  <c r="H50" i="1"/>
  <c r="H58" i="1"/>
  <c r="H66" i="1"/>
  <c r="H74" i="1"/>
  <c r="H82" i="1"/>
  <c r="H90" i="1"/>
  <c r="H98" i="1"/>
  <c r="H106" i="1"/>
  <c r="H114" i="1"/>
  <c r="H122" i="1"/>
  <c r="H130" i="1"/>
  <c r="H138" i="1"/>
  <c r="H146" i="1"/>
  <c r="H154" i="1"/>
  <c r="H158" i="1"/>
  <c r="H162" i="1"/>
  <c r="H166" i="1"/>
  <c r="H170" i="1"/>
  <c r="H174" i="1"/>
  <c r="H178" i="1"/>
  <c r="H182" i="1"/>
  <c r="H186" i="1"/>
  <c r="H190" i="1"/>
  <c r="H194" i="1"/>
  <c r="H198" i="1"/>
  <c r="H202" i="1"/>
  <c r="H210" i="1"/>
  <c r="H218" i="1"/>
  <c r="H226" i="1"/>
  <c r="H234" i="1"/>
  <c r="H242" i="1"/>
  <c r="H248" i="1"/>
  <c r="H252" i="1"/>
  <c r="H256" i="1"/>
  <c r="H260" i="1"/>
  <c r="H264" i="1"/>
  <c r="H266" i="1"/>
  <c r="H270" i="1"/>
  <c r="H276" i="1"/>
  <c r="H280" i="1"/>
  <c r="H284" i="1"/>
  <c r="H288" i="1"/>
  <c r="H292" i="1"/>
  <c r="H296" i="1"/>
  <c r="H300" i="1"/>
  <c r="H304" i="1"/>
  <c r="H308" i="1"/>
  <c r="H312" i="1"/>
  <c r="H316" i="1"/>
  <c r="H320" i="1"/>
  <c r="H322" i="1"/>
</calcChain>
</file>

<file path=xl/sharedStrings.xml><?xml version="1.0" encoding="utf-8"?>
<sst xmlns="http://schemas.openxmlformats.org/spreadsheetml/2006/main" count="1970" uniqueCount="920">
  <si>
    <t>DLM</t>
  </si>
  <si>
    <t>ZZY</t>
  </si>
  <si>
    <t>FER</t>
  </si>
  <si>
    <t>GAR</t>
  </si>
  <si>
    <t>BBG</t>
  </si>
  <si>
    <t>RMO</t>
  </si>
  <si>
    <t>FHK</t>
  </si>
  <si>
    <t>MCL</t>
  </si>
  <si>
    <t>CEN</t>
  </si>
  <si>
    <t>NEP</t>
  </si>
  <si>
    <t>FFR</t>
  </si>
  <si>
    <t>EVN</t>
  </si>
  <si>
    <t>OKO</t>
  </si>
  <si>
    <t>CTW</t>
  </si>
  <si>
    <t>FDH</t>
  </si>
  <si>
    <t>WIN</t>
  </si>
  <si>
    <t>TAR</t>
  </si>
  <si>
    <t>BAR</t>
  </si>
  <si>
    <t>CIN</t>
  </si>
  <si>
    <t>TEW</t>
  </si>
  <si>
    <t>Team</t>
  </si>
  <si>
    <t>Pick</t>
  </si>
  <si>
    <t>Player Selected</t>
  </si>
  <si>
    <t>Comment</t>
  </si>
  <si>
    <t>For pasting into email</t>
  </si>
  <si>
    <t>Potter</t>
  </si>
  <si>
    <t>Bernstein</t>
  </si>
  <si>
    <t>Manuel</t>
  </si>
  <si>
    <t>Sasman</t>
  </si>
  <si>
    <t>Olkin</t>
  </si>
  <si>
    <t>Poole</t>
  </si>
  <si>
    <t>Smith</t>
  </si>
  <si>
    <t>Henninger</t>
  </si>
  <si>
    <t>Scott</t>
  </si>
  <si>
    <t>English</t>
  </si>
  <si>
    <t>Lingo</t>
  </si>
  <si>
    <t>Chernow</t>
  </si>
  <si>
    <t>RMiller</t>
  </si>
  <si>
    <t>CMiller</t>
  </si>
  <si>
    <t>Marshall</t>
  </si>
  <si>
    <t>Stearns</t>
  </si>
  <si>
    <t>Bailey</t>
  </si>
  <si>
    <t>Canter</t>
  </si>
  <si>
    <t>Tewksbury</t>
  </si>
  <si>
    <t>Baraboo</t>
  </si>
  <si>
    <t>Ferlin</t>
  </si>
  <si>
    <t>Felldownhead</t>
  </si>
  <si>
    <t>Rocky Mountain</t>
  </si>
  <si>
    <t>Evanston</t>
  </si>
  <si>
    <t>Tarboro</t>
  </si>
  <si>
    <t>McCullers</t>
  </si>
  <si>
    <t>Barcelona</t>
  </si>
  <si>
    <t>Cincinnati</t>
  </si>
  <si>
    <t>Chinatrust</t>
  </si>
  <si>
    <t>Ferdinand</t>
  </si>
  <si>
    <t>Zzyzx</t>
  </si>
  <si>
    <t>Dún Laoghaire</t>
  </si>
  <si>
    <t>Newfoundland</t>
  </si>
  <si>
    <t>Fallkirk</t>
  </si>
  <si>
    <t>Okoboji</t>
  </si>
  <si>
    <t>Century</t>
  </si>
  <si>
    <t>Bobs</t>
  </si>
  <si>
    <t>Garmisch-Partenkirchen</t>
  </si>
  <si>
    <t>Shebazzle!</t>
  </si>
  <si>
    <t>Goitermen</t>
  </si>
  <si>
    <t>Huskies</t>
  </si>
  <si>
    <t>Firsts</t>
  </si>
  <si>
    <t>Oysters</t>
  </si>
  <si>
    <t>Endorphins</t>
  </si>
  <si>
    <t>Goobers</t>
  </si>
  <si>
    <t>Lancers</t>
  </si>
  <si>
    <t>Brewers</t>
  </si>
  <si>
    <t>Reds</t>
  </si>
  <si>
    <t>Whales</t>
  </si>
  <si>
    <t>Magellans</t>
  </si>
  <si>
    <t>Loadies</t>
  </si>
  <si>
    <t>Messiahs</t>
  </si>
  <si>
    <t>Perfectos</t>
  </si>
  <si>
    <t>Frightened Rabbit</t>
  </si>
  <si>
    <t>Farmers</t>
  </si>
  <si>
    <t>Atoms</t>
  </si>
  <si>
    <t>Rnd</t>
  </si>
  <si>
    <t>in Rnd</t>
  </si>
  <si>
    <t>Prev</t>
  </si>
  <si>
    <t>Curr</t>
  </si>
  <si>
    <t>Date</t>
  </si>
  <si>
    <t>Team1</t>
  </si>
  <si>
    <t>Trades away</t>
  </si>
  <si>
    <t>Tm</t>
  </si>
  <si>
    <t>Shawn Estes</t>
  </si>
  <si>
    <t>Scott Service</t>
  </si>
  <si>
    <t>Kevin Appier</t>
  </si>
  <si>
    <t>Woody Williams</t>
  </si>
  <si>
    <t>Jesse Orosco</t>
  </si>
  <si>
    <t>F/A</t>
  </si>
  <si>
    <t>Jason Johnson, 7.03, 8.14</t>
  </si>
  <si>
    <t>Haverty/Mojo</t>
  </si>
  <si>
    <t>Carroll/Kleine</t>
  </si>
  <si>
    <t>Yard</t>
  </si>
  <si>
    <t>West Coast</t>
  </si>
  <si>
    <t>Midwest</t>
  </si>
  <si>
    <t>Potsy</t>
  </si>
  <si>
    <t>Snorkles</t>
  </si>
  <si>
    <t>Trogdor</t>
  </si>
  <si>
    <t>Manny</t>
  </si>
  <si>
    <t>Shecky</t>
  </si>
  <si>
    <t>Engrish</t>
  </si>
  <si>
    <t>DrewBFrog</t>
  </si>
  <si>
    <t>Foxy</t>
  </si>
  <si>
    <t>Forfeited Round 5 pick, moved to end of draft</t>
  </si>
  <si>
    <t>Forfeited Round 8 pick, moved to end of draft</t>
  </si>
  <si>
    <t>Matt Beech</t>
  </si>
  <si>
    <t>RMO9905</t>
  </si>
  <si>
    <t>Kevin Polcovich</t>
  </si>
  <si>
    <t>TAR9908</t>
  </si>
  <si>
    <t>John Smoltz, CIN9902</t>
  </si>
  <si>
    <t>BAR9901, Magglio Ordonez</t>
  </si>
  <si>
    <t>Derek Bell, Todd Zeile</t>
  </si>
  <si>
    <t>CEN9906, BAR9907, Frascatore</t>
  </si>
  <si>
    <t>Chris Peters, ZZY9906, ZZY9907</t>
  </si>
  <si>
    <t>BAR9904</t>
  </si>
  <si>
    <t>Yorkis Perez, Benj Sampson, CIN9912</t>
  </si>
  <si>
    <t>BAR9905</t>
  </si>
  <si>
    <t>Mariano Rivera, Shane Reynolds</t>
  </si>
  <si>
    <t>John Smoltz, EVN9904</t>
  </si>
  <si>
    <t>David Wells, Bob Howry</t>
  </si>
  <si>
    <t>CEN9901, Ismael Valdes, Jeff Nelson</t>
  </si>
  <si>
    <t>Albert Belle, Rolando Arrojo</t>
  </si>
  <si>
    <t>Adrian Beltre</t>
  </si>
  <si>
    <t>CTW9903</t>
  </si>
  <si>
    <t>Dave Burba</t>
  </si>
  <si>
    <t>Marvin Benard</t>
  </si>
  <si>
    <t>Wilson, Magee, Williams, Febles, CTW9918</t>
  </si>
  <si>
    <t>Doug Jones</t>
  </si>
  <si>
    <t>Ricky Bones</t>
  </si>
  <si>
    <t>Brian Boehringer</t>
  </si>
  <si>
    <t>EVN9909</t>
  </si>
  <si>
    <t>CEN9903, Mark DeRosa</t>
  </si>
  <si>
    <t>Andres Galarraga</t>
  </si>
  <si>
    <t>TEW9903</t>
  </si>
  <si>
    <t>Kerry Ligtenberg</t>
  </si>
  <si>
    <t>GAR9906</t>
  </si>
  <si>
    <t>Brad Clontz, DLM9907</t>
  </si>
  <si>
    <t>Rob Ducey</t>
  </si>
  <si>
    <t>Stan Javier</t>
  </si>
  <si>
    <t>Matt Anderson</t>
  </si>
  <si>
    <t>Blauser, Hayes, BM Jones</t>
  </si>
  <si>
    <t>BAR9907, BAR9908, Mlicki, Wehner</t>
  </si>
  <si>
    <t>TEW9906</t>
  </si>
  <si>
    <t>Marty Cordova</t>
  </si>
  <si>
    <t>BAR9910</t>
  </si>
  <si>
    <t>EVN9904, Bip Roberts</t>
  </si>
  <si>
    <t>Damion Easley</t>
  </si>
  <si>
    <t>Matt Walbeck</t>
  </si>
  <si>
    <t>Mike DiFelice</t>
  </si>
  <si>
    <t>DLM9906</t>
  </si>
  <si>
    <t>Roberto Petagine, Ruben Rivera</t>
  </si>
  <si>
    <t>Mike Stanley</t>
  </si>
  <si>
    <t>CEN9906</t>
  </si>
  <si>
    <t>TAR9906, Greisinger, Woodall</t>
  </si>
  <si>
    <t>Dan Miceli, Bill Simas</t>
  </si>
  <si>
    <t>Miller,Tre, Reyes,A, Plesac</t>
  </si>
  <si>
    <t>Braden Looper, Ryan Dempter</t>
  </si>
  <si>
    <t>Wetteland, Benjamin, Myers</t>
  </si>
  <si>
    <t>9902, Aguilera, Elster, Machado, Osik</t>
  </si>
  <si>
    <t>Ruben Rivera</t>
  </si>
  <si>
    <t>Chili Davis, Hector Ortiz, CTW9912</t>
  </si>
  <si>
    <t>Eric Karros</t>
  </si>
  <si>
    <t>TEW9904</t>
  </si>
  <si>
    <t>Doug Henry</t>
  </si>
  <si>
    <t>Rick Wilkins</t>
  </si>
  <si>
    <t>BAR9922</t>
  </si>
  <si>
    <t>Gary Bennett</t>
  </si>
  <si>
    <t>BAR9917</t>
  </si>
  <si>
    <t>John Johnstone</t>
  </si>
  <si>
    <t>DLM9905</t>
  </si>
  <si>
    <t>Mike Fyhrie</t>
  </si>
  <si>
    <t>Donovan Osborne</t>
  </si>
  <si>
    <t>Shane Halter</t>
  </si>
  <si>
    <t>Kurt Abbott</t>
  </si>
  <si>
    <t>16.02, RMO9906</t>
  </si>
  <si>
    <t>Joey Hamilton</t>
  </si>
  <si>
    <t>12.08, 13.08, 14.06</t>
  </si>
  <si>
    <t>CIN9908</t>
  </si>
  <si>
    <t>11.09, 11.13, 12.01, 12.06 and 12.09.</t>
  </si>
  <si>
    <t>CTW9908</t>
  </si>
  <si>
    <t>10.08, 10.16, 14.13</t>
  </si>
  <si>
    <t>Mike Fyhrie, CTW9910</t>
  </si>
  <si>
    <t>10.06</t>
  </si>
  <si>
    <t>Matt Karchner</t>
  </si>
  <si>
    <t>FDH9910</t>
  </si>
  <si>
    <t>10.08, 14.13</t>
  </si>
  <si>
    <t>9.14</t>
  </si>
  <si>
    <t>12.15, 14.01, 16.01</t>
  </si>
  <si>
    <t>12.07, 13.07, 18.07</t>
  </si>
  <si>
    <t>10.14</t>
  </si>
  <si>
    <t>S Lowe, Walbeck, 10.08, 14.13</t>
  </si>
  <si>
    <t>Mike Redmond, FDH9910</t>
  </si>
  <si>
    <t>Jamey Wright, RMO9908</t>
  </si>
  <si>
    <t>Sean Lowe</t>
  </si>
  <si>
    <t>Aguilera, 8, 11, 13-17</t>
  </si>
  <si>
    <t>Kelly Stinnett</t>
  </si>
  <si>
    <t>TAR9905</t>
  </si>
  <si>
    <t>Aaron Ledesma</t>
  </si>
  <si>
    <t>8.06, 9.05, 10.05</t>
  </si>
  <si>
    <t>BAR9906</t>
  </si>
  <si>
    <t>FFR9902, 8.14</t>
  </si>
  <si>
    <t>Joe Table, Dan Serafini</t>
  </si>
  <si>
    <t>FFR9906</t>
  </si>
  <si>
    <t>Randy Myers, Bill Spiers</t>
  </si>
  <si>
    <t>Damion Easley, 6.02</t>
  </si>
  <si>
    <t>CTW9904, CTW9906, Bonilla</t>
  </si>
  <si>
    <t>Bob Wells</t>
  </si>
  <si>
    <t>Todd Jones</t>
  </si>
  <si>
    <t>6.08, 12.06</t>
  </si>
  <si>
    <t>5.18</t>
  </si>
  <si>
    <t>Jason Christiansen</t>
  </si>
  <si>
    <t>OKO9904, Paniagua, 10.06</t>
  </si>
  <si>
    <t>Steve Sparks</t>
  </si>
  <si>
    <t>CIN9904, CIN9909</t>
  </si>
  <si>
    <t>Scott Erickson</t>
  </si>
  <si>
    <t>5.13</t>
  </si>
  <si>
    <t>10.01, 12.01, 18.01</t>
  </si>
  <si>
    <t>Ballots</t>
  </si>
  <si>
    <t>Keepers</t>
  </si>
  <si>
    <t>Congrats</t>
  </si>
  <si>
    <t>Trades Made</t>
  </si>
  <si>
    <t>ZZY9905</t>
  </si>
  <si>
    <t>Tim Belcher</t>
  </si>
  <si>
    <t>RMO9907</t>
  </si>
  <si>
    <t>Jeff Montgomery</t>
  </si>
  <si>
    <t>5.13, 7.12</t>
  </si>
  <si>
    <t>Will Clark</t>
  </si>
  <si>
    <t>OKO9905</t>
  </si>
  <si>
    <t>Geremi Gonzalez</t>
  </si>
  <si>
    <t>ZZY9907</t>
  </si>
  <si>
    <t>ZZY9906</t>
  </si>
  <si>
    <t>5.11, 11.13</t>
  </si>
  <si>
    <t>John Valentin</t>
  </si>
  <si>
    <t>6.03, 7.16</t>
  </si>
  <si>
    <t>FFR9903, DLM9905</t>
  </si>
  <si>
    <t>Mike Jackson</t>
  </si>
  <si>
    <t>TAR9906</t>
  </si>
  <si>
    <t>TAR9904</t>
  </si>
  <si>
    <t>Mike Simms</t>
  </si>
  <si>
    <t>DLM9903</t>
  </si>
  <si>
    <t>RMO9908</t>
  </si>
  <si>
    <t>RMO9906</t>
  </si>
  <si>
    <t>RMO9902</t>
  </si>
  <si>
    <t>RMO9901</t>
  </si>
  <si>
    <t>4.03, Dante Bichette</t>
  </si>
  <si>
    <t>John Wetteland</t>
  </si>
  <si>
    <t>OKO9904</t>
  </si>
  <si>
    <t>7.16, 10.08</t>
  </si>
  <si>
    <t>Alan Levine, Armando Reynoso</t>
  </si>
  <si>
    <t>Jose Rosado</t>
  </si>
  <si>
    <t>Justin Thompson, BBG9903, BBG9905</t>
  </si>
  <si>
    <t>3.11</t>
  </si>
  <si>
    <t>3.10, 7.09</t>
  </si>
  <si>
    <t>3.16, 4.03</t>
  </si>
  <si>
    <t>David Segui</t>
  </si>
  <si>
    <t>Russ Davis, Orlando Merced</t>
  </si>
  <si>
    <t>FFR9903</t>
  </si>
  <si>
    <t>FFR9902</t>
  </si>
  <si>
    <t>2.19</t>
  </si>
  <si>
    <t>3.08, Devon White</t>
  </si>
  <si>
    <t>Matt Williams, 4.11, 7.10</t>
  </si>
  <si>
    <t>2.18, 5.18</t>
  </si>
  <si>
    <t>FDH9902</t>
  </si>
  <si>
    <t>Ron Villone</t>
  </si>
  <si>
    <t>3.20</t>
  </si>
  <si>
    <t>EVN9904</t>
  </si>
  <si>
    <t>EVN9901</t>
  </si>
  <si>
    <t>DLM9907</t>
  </si>
  <si>
    <t>DLM9904</t>
  </si>
  <si>
    <t>DLM9902</t>
  </si>
  <si>
    <t>DLM9901</t>
  </si>
  <si>
    <t>Willie Greene</t>
  </si>
  <si>
    <t>3.15, 8.17</t>
  </si>
  <si>
    <t>CTW9918</t>
  </si>
  <si>
    <t>CTW9912</t>
  </si>
  <si>
    <t>CTW9910</t>
  </si>
  <si>
    <t>CTW9906</t>
  </si>
  <si>
    <t>CTW9904</t>
  </si>
  <si>
    <t>CTW9901</t>
  </si>
  <si>
    <t>Brett Tomko</t>
  </si>
  <si>
    <t>CIN9912</t>
  </si>
  <si>
    <t>CIN9909</t>
  </si>
  <si>
    <t>CIN9904</t>
  </si>
  <si>
    <t>CIN9902</t>
  </si>
  <si>
    <t>2.11</t>
  </si>
  <si>
    <t>Brian Bohanon</t>
  </si>
  <si>
    <t>CEN9903</t>
  </si>
  <si>
    <t>CEN9902</t>
  </si>
  <si>
    <t>CEN9901</t>
  </si>
  <si>
    <t>Eli Marrero</t>
  </si>
  <si>
    <t>6.11</t>
  </si>
  <si>
    <t>BBG9905</t>
  </si>
  <si>
    <t>BBG9903</t>
  </si>
  <si>
    <t>Omar Daal, RMO9902</t>
  </si>
  <si>
    <t>EVN9901, Tyler Green</t>
  </si>
  <si>
    <t>BAR9916</t>
  </si>
  <si>
    <t>BAR9915</t>
  </si>
  <si>
    <t>BAR9908</t>
  </si>
  <si>
    <t>BAR9907</t>
  </si>
  <si>
    <t>BAR9901</t>
  </si>
  <si>
    <t>4.12</t>
  </si>
  <si>
    <t>1999 PICKS TRADED</t>
  </si>
  <si>
    <t>Chuck McElroy</t>
  </si>
  <si>
    <t>Chris Hammond</t>
  </si>
  <si>
    <t>98-1.14, TAR9904, G Anderson</t>
  </si>
  <si>
    <t>Juan Gonzalez, Steinbach, 98-2.11</t>
  </si>
  <si>
    <t>1.15</t>
  </si>
  <si>
    <t>FDH9902, Mark Kotsay, DLM9904</t>
  </si>
  <si>
    <t>Mark McGwire, 1.12, 3.01</t>
  </si>
  <si>
    <t>Jason Giambi, Will Clark</t>
  </si>
  <si>
    <t>98-1.11</t>
  </si>
  <si>
    <t>RMO9901, RMO98-5.03</t>
  </si>
  <si>
    <t>Mike Bordick, Pokey Reese</t>
  </si>
  <si>
    <t>Chuck Knoblauch</t>
  </si>
  <si>
    <t>END99XX</t>
  </si>
  <si>
    <t>Jeff D'Amico, Sean Lowe</t>
  </si>
  <si>
    <t>Shannon Stewart</t>
  </si>
  <si>
    <t>Tony Batista, 11.09</t>
  </si>
  <si>
    <t>Ricky Gutierrez, Tim Worrell</t>
  </si>
  <si>
    <t>Danny Bautista, R Rincon</t>
  </si>
  <si>
    <t>Chris Stynes, David Weathers</t>
  </si>
  <si>
    <t>John Smoltz</t>
  </si>
  <si>
    <t>Andy Pettitte, CTW9901</t>
  </si>
  <si>
    <t>2.08</t>
  </si>
  <si>
    <t>4.08</t>
  </si>
  <si>
    <t>Bobby Estalella</t>
  </si>
  <si>
    <t>Craig Counsell, Mark Kotsay</t>
  </si>
  <si>
    <t>Javier, Mike Maddux, Radinsky</t>
  </si>
  <si>
    <t>11.17, Reggie Sanders</t>
  </si>
  <si>
    <t>Mickey Morandini, Roberto Kelly</t>
  </si>
  <si>
    <t>Torii Hunter, RMO9902, 2.03</t>
  </si>
  <si>
    <t>Roger Clemens</t>
  </si>
  <si>
    <t>Jose Lima, S Montgomery</t>
  </si>
  <si>
    <t>Jose Hernandez</t>
  </si>
  <si>
    <t>Jose Panigua, John Vander Wal</t>
  </si>
  <si>
    <t>DLM9902, Paul Shuey</t>
  </si>
  <si>
    <t>Shigetoshi Hasegawa, Paul O'Neill</t>
  </si>
  <si>
    <t>Pete Harnisch, Eddie Perez</t>
  </si>
  <si>
    <t>Kevin Millwood</t>
  </si>
  <si>
    <t>Jeff Reed</t>
  </si>
  <si>
    <t>Greg Maddux, FFR9903</t>
  </si>
  <si>
    <t>1.04, 3.01, DLM9901, Vanderwal</t>
  </si>
  <si>
    <t>Andy Ashby</t>
  </si>
  <si>
    <t>2.01</t>
  </si>
  <si>
    <t>Mike Sweeney</t>
  </si>
  <si>
    <t>Hampton, DeShields, Telemaco</t>
  </si>
  <si>
    <t>1999 PICKS RECEIVED</t>
  </si>
  <si>
    <t>1999 Picks</t>
  </si>
  <si>
    <t>Team2</t>
  </si>
  <si>
    <t>Code</t>
  </si>
  <si>
    <t># of Picks</t>
  </si>
  <si>
    <t>FLL</t>
  </si>
  <si>
    <t>French Lick</t>
  </si>
  <si>
    <t>Linguists</t>
  </si>
  <si>
    <t>Lance Berkman, lf</t>
  </si>
  <si>
    <t>Tim Hudson, rsp</t>
  </si>
  <si>
    <t>from MCL for Mike Mussina, Mike Redmond, RMO99-11</t>
  </si>
  <si>
    <t>2000 PICKS RECEIVED</t>
  </si>
  <si>
    <t>2000 PICKS TRADED</t>
  </si>
  <si>
    <t>2000 Picks</t>
  </si>
  <si>
    <t>RMO11.08, Mike Mussina, Mike Redmond</t>
  </si>
  <si>
    <t>MCL1.09, MCL9.08, Chris Carpenter, Aaron Sele, Mark Loretta</t>
  </si>
  <si>
    <t>&lt;-- Enter team code to highlight that team's picks!</t>
  </si>
  <si>
    <t>die kleinen Carroll</t>
  </si>
  <si>
    <t>Marcia ^3</t>
  </si>
  <si>
    <t>Alfonso Soriano, ss</t>
  </si>
  <si>
    <t>for 1.09, RMO00-02</t>
  </si>
  <si>
    <t>MCL,RMO</t>
  </si>
  <si>
    <t>from MCL for Mike Mussina, Mike Redmond, RMO99-11, from RMO for 1.04 FFR00-03</t>
  </si>
  <si>
    <t>FFR1.04, FFR00-03</t>
  </si>
  <si>
    <t>MCL1.09, RMO00-02</t>
  </si>
  <si>
    <t>RMO-02</t>
  </si>
  <si>
    <t>FFR-03</t>
  </si>
  <si>
    <t>Freddy Garcia, rsp</t>
  </si>
  <si>
    <t>A.J. Burnett, rsp</t>
  </si>
  <si>
    <t>Joe Mays, rmr</t>
  </si>
  <si>
    <t>Joe Nathan, rsp</t>
  </si>
  <si>
    <t>Lingoba</t>
  </si>
  <si>
    <t>Steve Finley, cf</t>
  </si>
  <si>
    <t>Ted Lilly, lsp</t>
  </si>
  <si>
    <t>Carlos Lee, lf</t>
  </si>
  <si>
    <t>Vernon Wells, cf</t>
  </si>
  <si>
    <t>CEN,CIN</t>
  </si>
  <si>
    <t>Randy Wolf, lsp</t>
  </si>
  <si>
    <t>CIN1.15</t>
  </si>
  <si>
    <t>Russ Ortiz</t>
  </si>
  <si>
    <t>Francisco Cordero, rmr</t>
  </si>
  <si>
    <t>Eric Gagne, rsp</t>
  </si>
  <si>
    <t>Melvin Mora, 3b</t>
  </si>
  <si>
    <t>Ramon Hernandez, c</t>
  </si>
  <si>
    <t>Mike DeJean</t>
  </si>
  <si>
    <t>Shawon Dunston</t>
  </si>
  <si>
    <t>RMO00-01</t>
  </si>
  <si>
    <t>TEW1.18</t>
  </si>
  <si>
    <t>RMO-01</t>
  </si>
  <si>
    <t>from TEW for RMO00-01</t>
  </si>
  <si>
    <t>FDH2.04, OKO2.05, OKO9.07</t>
  </si>
  <si>
    <t>1.17, 4.01, FFR00-02</t>
  </si>
  <si>
    <t>FFR-02</t>
  </si>
  <si>
    <t>EVN,FFR</t>
  </si>
  <si>
    <t>FDH,OKO</t>
  </si>
  <si>
    <t>w/2.05,9.07 for 1.17, FFR00-02</t>
  </si>
  <si>
    <t>with FFR00-02 for 2.04, 2.05, 9.07</t>
  </si>
  <si>
    <t>w/2.04,9.07 for 1.17, FFR00-02</t>
  </si>
  <si>
    <t>w/2.04,2.05 for 1.17, FFR00-02</t>
  </si>
  <si>
    <t>from BBG w/BBG00-05 for Ray Lankford</t>
  </si>
  <si>
    <t>BBG2.03, BBG00-05</t>
  </si>
  <si>
    <t>Ray Lankford</t>
  </si>
  <si>
    <t>BBG-05</t>
  </si>
  <si>
    <t>Billy Koch, rmr</t>
  </si>
  <si>
    <t>Byung-Hyun Kim, rmr</t>
  </si>
  <si>
    <t>FFR2.01, CTW00-04</t>
  </si>
  <si>
    <t>DLM1.19</t>
  </si>
  <si>
    <t>CTW-04</t>
  </si>
  <si>
    <t>DLM,FFR</t>
  </si>
  <si>
    <t>from FFR for FFR2.01 and CTW00-04</t>
  </si>
  <si>
    <t>FFR,CTW</t>
  </si>
  <si>
    <t>from CTW w/CTW00-04 for DLM1.19</t>
  </si>
  <si>
    <t>Esteban Loaiza, rsp</t>
  </si>
  <si>
    <t>RMO-05</t>
  </si>
  <si>
    <t>NEP1.20</t>
  </si>
  <si>
    <t>RMO 3.09, FFR 00-3, RMO 00-5</t>
  </si>
  <si>
    <t>for NEP 1.20</t>
  </si>
  <si>
    <t>from NEP for RMO 3.09, FFR 00-3, RMO 00-5</t>
  </si>
  <si>
    <t>Scott Williamson, rcl</t>
  </si>
  <si>
    <t>Wade Miller, rmr</t>
  </si>
  <si>
    <t>for Kevin Young</t>
  </si>
  <si>
    <t>Kevin Young</t>
  </si>
  <si>
    <t>TAR 3.16</t>
  </si>
  <si>
    <t>B.J. Ryan, lmr</t>
  </si>
  <si>
    <t>Kyle Farnsworth, rsp</t>
  </si>
  <si>
    <t>Adam Kennedy, 2b</t>
  </si>
  <si>
    <t>Kris Benson, rsp</t>
  </si>
  <si>
    <t>Brian Anderson, lsp</t>
  </si>
  <si>
    <t>Jeff Zimmerman, rmr</t>
  </si>
  <si>
    <t>Kent Bottenfield, rsp</t>
  </si>
  <si>
    <t>John Flaherty, c</t>
  </si>
  <si>
    <t>Rick Ankiel, lsp</t>
  </si>
  <si>
    <t>Jason LaRue, c</t>
  </si>
  <si>
    <t>GAR 00-3</t>
  </si>
  <si>
    <t>Steve Parris</t>
  </si>
  <si>
    <t>GAR-03</t>
  </si>
  <si>
    <t>Ray King, lmr</t>
  </si>
  <si>
    <t>Mike Williams, DLM00-08</t>
  </si>
  <si>
    <t>Rick Aguilera, FLL5.12</t>
  </si>
  <si>
    <t>DLM-08</t>
  </si>
  <si>
    <t>w/Rick Aguilera for Mike Williams and DLM00-08</t>
  </si>
  <si>
    <t>Jacque Jones, cf</t>
  </si>
  <si>
    <t>Kyle Farnsworth</t>
  </si>
  <si>
    <t>FDH 3.04, DLM 4.19, FDH 5.04</t>
  </si>
  <si>
    <t>from FDH w/ DLM 4.19 and FDH 5.04 for Kyle Farnsworth</t>
  </si>
  <si>
    <t>from FDH w/ FDH 3.04 and FDH 5.04 for Kyle Farnsworth</t>
  </si>
  <si>
    <t>DLM/FDH</t>
  </si>
  <si>
    <t>Todd Zeile, 3b</t>
  </si>
  <si>
    <t>Octavio Dotel, rsp</t>
  </si>
  <si>
    <t>Damaso Marte, lmr</t>
  </si>
  <si>
    <t>Royce Clayton, ss</t>
  </si>
  <si>
    <t>Joe Randa, 3b</t>
  </si>
  <si>
    <t>Erubiel Durazo, 1b</t>
  </si>
  <si>
    <t>Jeff Conine, 1b</t>
  </si>
  <si>
    <t>Chris Widger, c</t>
  </si>
  <si>
    <t>Eric Karros, 1b</t>
  </si>
  <si>
    <t>Mark Quinn, lf</t>
  </si>
  <si>
    <t>J.C. Romero, lmr</t>
  </si>
  <si>
    <t>Vicente Padilla, rmr</t>
  </si>
  <si>
    <t>Gil Meche, rsp</t>
  </si>
  <si>
    <t>Matt Herges, rmr</t>
  </si>
  <si>
    <t>Chris Singleton, cf</t>
  </si>
  <si>
    <t>Tony Armas Jr., rsp</t>
  </si>
  <si>
    <t>BAR00-06</t>
  </si>
  <si>
    <t>Graeme Lloyd</t>
  </si>
  <si>
    <t>BAR-06</t>
  </si>
  <si>
    <t>CEN 5.14</t>
  </si>
  <si>
    <t>Brian Moehler</t>
  </si>
  <si>
    <t>Doug Davis, lmr</t>
  </si>
  <si>
    <t>Jeff Weaver, rsp</t>
  </si>
  <si>
    <t>Terry Adams, rmr</t>
  </si>
  <si>
    <t>Ryan Franklin, rmr</t>
  </si>
  <si>
    <t>from BAR w/14.09 for pick 5.01, 5.04 and Bobby Ayala</t>
  </si>
  <si>
    <t>Tomo Ohka, rmr</t>
  </si>
  <si>
    <t>Wilson Alvarez, lsp</t>
  </si>
  <si>
    <t>Ron Gant, lf</t>
  </si>
  <si>
    <t>Doug Glanville, cf</t>
  </si>
  <si>
    <t>Ryan Rupe, rsp</t>
  </si>
  <si>
    <t>Jamey Wright, rsp</t>
  </si>
  <si>
    <t>Luis Alicea, 2b</t>
  </si>
  <si>
    <t>from FFR w/1.17 and FFR 00-02 for FDH2.04, OKO2.05, OKO9.07</t>
  </si>
  <si>
    <t>David Riske, rmr</t>
  </si>
  <si>
    <t>CTW00-03</t>
  </si>
  <si>
    <t>GAR4.02</t>
  </si>
  <si>
    <t>from GAR for CTW00-03</t>
  </si>
  <si>
    <t>FP Santangelo, cf</t>
  </si>
  <si>
    <t>3.14, 14.09</t>
  </si>
  <si>
    <t>5.01, 5.04, Bobby Ayala</t>
  </si>
  <si>
    <t>Scott Sullivan</t>
  </si>
  <si>
    <t>Vicente Padilla</t>
  </si>
  <si>
    <t>BBG 4.03</t>
  </si>
  <si>
    <t>FFR00-05, Roger Cedeno</t>
  </si>
  <si>
    <t>FFR-05</t>
  </si>
  <si>
    <t>from BBG for FFR00-05, Roger Cedeno</t>
  </si>
  <si>
    <t>Rolando Arrojo, rsp</t>
  </si>
  <si>
    <t>Darren Holmes, rmr</t>
  </si>
  <si>
    <t>Ben Petrick, c</t>
  </si>
  <si>
    <t>Blake Stein, rsp</t>
  </si>
  <si>
    <t>Bill Spiers, 3b</t>
  </si>
  <si>
    <t>Alan Embree, lmr</t>
  </si>
  <si>
    <t>Scott Strickland, rmr</t>
  </si>
  <si>
    <t>Scott Sauerbeck, lmr</t>
  </si>
  <si>
    <t>Mike Benjamin, ss</t>
  </si>
  <si>
    <t>D'Angelo Jimenez, 3b</t>
  </si>
  <si>
    <t>Rey Sanchez, ss</t>
  </si>
  <si>
    <t>Kevin McGlinchy, rmr</t>
  </si>
  <si>
    <t>David Bell, 2b</t>
  </si>
  <si>
    <t>CEN 4.16, Chad Kreuter</t>
  </si>
  <si>
    <t>Tony Eusebio, Darren Oliver</t>
  </si>
  <si>
    <t>from CEN w/Kreuter for Darren Oliver, Tony Eusebio</t>
  </si>
  <si>
    <t>Wiki Gonzalez, c</t>
  </si>
  <si>
    <t>Guillermo Mota, rmr</t>
  </si>
  <si>
    <t>Mike DiFelice, c</t>
  </si>
  <si>
    <t>Luis Vizcaino, rmr</t>
  </si>
  <si>
    <t>from FFR w/5.04 and Ayala for 3.14 and 14.09</t>
  </si>
  <si>
    <t>FDH/FFR</t>
  </si>
  <si>
    <t>from FDH w/ DLM 4.19 and FDH 5.04 for Kyle Farnsworth, from FFR w/5.01 and Ayala for 3.14 and 14.09</t>
  </si>
  <si>
    <t>Ramon Ortiz, rsp</t>
  </si>
  <si>
    <t>Terry Steinbach, c</t>
  </si>
  <si>
    <t>Lou Pote, rmr</t>
  </si>
  <si>
    <t>Sandy Alomar, c</t>
  </si>
  <si>
    <t>Jason Grimsley, rmr</t>
  </si>
  <si>
    <t>Mike Venafro, lmr</t>
  </si>
  <si>
    <t>Kip Wells, rsp</t>
  </si>
  <si>
    <t>BAR00-07</t>
  </si>
  <si>
    <t>from FLL for BAR00-07</t>
  </si>
  <si>
    <t>BAR,FLL</t>
  </si>
  <si>
    <t>15.06, 15.07, 16.05, 17.05, 18.05, 19.03</t>
  </si>
  <si>
    <t>BAR-07</t>
  </si>
  <si>
    <t>David Lee, rmr</t>
  </si>
  <si>
    <t>Steve Schrenk, rmr</t>
  </si>
  <si>
    <t>Allen Watson, lmr</t>
  </si>
  <si>
    <t>Darryl Hamilton, cf</t>
  </si>
  <si>
    <t>Steve Decker, c</t>
  </si>
  <si>
    <t>Armando Reynoso</t>
  </si>
  <si>
    <t>ZZY8.10</t>
  </si>
  <si>
    <t>Damian Jackson</t>
  </si>
  <si>
    <t>CIN00-05</t>
  </si>
  <si>
    <t>CIN-05</t>
  </si>
  <si>
    <t>Dante Bichette, lf</t>
  </si>
  <si>
    <t>Ricky Bottalico, rcl</t>
  </si>
  <si>
    <t>Geoff Blum, ss</t>
  </si>
  <si>
    <t>Ed Sprague, 3b</t>
  </si>
  <si>
    <t>7.15, 8.15, 9.15, 10.15</t>
  </si>
  <si>
    <t>DLM00-06, DLM00-07, DLM00-12</t>
  </si>
  <si>
    <t>DLM-06</t>
  </si>
  <si>
    <t>DLM-07</t>
  </si>
  <si>
    <t>DLM-12</t>
  </si>
  <si>
    <t>from CEN for DLM00-06, DLM00-07, DLM00-12</t>
  </si>
  <si>
    <t>List 1/9 11:33 pm</t>
  </si>
  <si>
    <t>Pat Mahomes, rmr</t>
  </si>
  <si>
    <t>BAR-01</t>
  </si>
  <si>
    <t>BAR00-01</t>
  </si>
  <si>
    <t>Tim Wakefield, ZZY00-03</t>
  </si>
  <si>
    <t>CTW,FFR</t>
  </si>
  <si>
    <t>from FFR for 8.13, 11.12</t>
  </si>
  <si>
    <t>from FLL for 8.12, 12.01</t>
  </si>
  <si>
    <t>Frank Menechino, 2b</t>
  </si>
  <si>
    <t>Michael Tucker, rf</t>
  </si>
  <si>
    <t>Casey Blake, 3b</t>
  </si>
  <si>
    <t>Dave Mlicki, rsp</t>
  </si>
  <si>
    <t>Dave Martinez, rf</t>
  </si>
  <si>
    <t>Doug Jones, rmr</t>
  </si>
  <si>
    <t>Albie Lopez, rmr</t>
  </si>
  <si>
    <t>Joe Oliver, c</t>
  </si>
  <si>
    <t>Dan Wilson, c</t>
  </si>
  <si>
    <t>Sal Fasano, c</t>
  </si>
  <si>
    <t>Jerry Hairston, 2b</t>
  </si>
  <si>
    <t>Tim Crabtree, rmr</t>
  </si>
  <si>
    <t>Dan Wheeler, rsp</t>
  </si>
  <si>
    <t>Mike Magnante, lmr</t>
  </si>
  <si>
    <t>Jorge Fabregas, c</t>
  </si>
  <si>
    <t>Warren Morris, 2b</t>
  </si>
  <si>
    <t>Alberto Castillo, c</t>
  </si>
  <si>
    <t>Antonio Osuna, rmr</t>
  </si>
  <si>
    <t>Steve Avery, lsp</t>
  </si>
  <si>
    <t>Darrin Jackson, cf</t>
  </si>
  <si>
    <t>Tim Spehr, c</t>
  </si>
  <si>
    <t>Pat Hentgen, rsp</t>
  </si>
  <si>
    <t>Marty Cordova, dh</t>
  </si>
  <si>
    <t>Andy Benes, rsp</t>
  </si>
  <si>
    <t>Mark Redman, lmr</t>
  </si>
  <si>
    <t>J.T. Snow, 1b</t>
  </si>
  <si>
    <t>Jeff Reboulet, 2b</t>
  </si>
  <si>
    <t>Jeff Blauser, 2b</t>
  </si>
  <si>
    <t>Scott Schoeneweis, lmr</t>
  </si>
  <si>
    <t>Danny Kolb, rmr</t>
  </si>
  <si>
    <t>Andy Fox, ss</t>
  </si>
  <si>
    <t>NEP12.17, NEP13.15, NEP14.14</t>
  </si>
  <si>
    <t>CIN00-08</t>
  </si>
  <si>
    <t>CIN-08</t>
  </si>
  <si>
    <t>from NEP for CIN00-08</t>
  </si>
  <si>
    <t>Ismael Valdes, CIN10.10</t>
  </si>
  <si>
    <t>DLM00-05</t>
  </si>
  <si>
    <t>DLM-05</t>
  </si>
  <si>
    <t>Brian R. Hunter, 1b</t>
  </si>
  <si>
    <t>Troy O'Leary, lf</t>
  </si>
  <si>
    <t>Kelly Stinnett, c</t>
  </si>
  <si>
    <t>Mike Trombley, rcl</t>
  </si>
  <si>
    <t>Derek Bell, rf</t>
  </si>
  <si>
    <t>Chad Curtis, lf</t>
  </si>
  <si>
    <t>Heathcliff Slocumb, rmr</t>
  </si>
  <si>
    <t>Terrence Long, lf</t>
  </si>
  <si>
    <t>Tom Glavine</t>
  </si>
  <si>
    <t>Larry Walker</t>
  </si>
  <si>
    <t>Ben Grieve, Damian Jackson</t>
  </si>
  <si>
    <t>TAR9.16, TAR00-03, TAR00-12</t>
  </si>
  <si>
    <t>TAR-03</t>
  </si>
  <si>
    <t>TAR-12</t>
  </si>
  <si>
    <t>Mark L. Johnson, c</t>
  </si>
  <si>
    <t>James Baldwin, rsp</t>
  </si>
  <si>
    <t>from ZZY for Armando Reynoso</t>
  </si>
  <si>
    <t>Armando Almanza, lmr</t>
  </si>
  <si>
    <t>Mark Gardner, rsp</t>
  </si>
  <si>
    <t>Dan Smith, rsp</t>
  </si>
  <si>
    <t>from CEN for Brian Moehler</t>
  </si>
  <si>
    <t>Rey Ordonez, ss</t>
  </si>
  <si>
    <t>Tony Clark, 1b</t>
  </si>
  <si>
    <t>Bobby Witt, rsp</t>
  </si>
  <si>
    <t>Chris Woodward, ss</t>
  </si>
  <si>
    <t>list 1/11 11:42 am CT</t>
  </si>
  <si>
    <t>Rich Becker, cf</t>
  </si>
  <si>
    <t>Tim Bogar, ss</t>
  </si>
  <si>
    <t>Jose Silva, rmr</t>
  </si>
  <si>
    <t>BBG8.03</t>
  </si>
  <si>
    <t>FHK8.07, FHK00-15</t>
  </si>
  <si>
    <t>FHK-15</t>
  </si>
  <si>
    <t>Tino Martinez, 1b</t>
  </si>
  <si>
    <t>Neifi Perez, ss</t>
  </si>
  <si>
    <t>Mike Lincoln, rsp</t>
  </si>
  <si>
    <t>Nelson Cruz, rmr</t>
  </si>
  <si>
    <t>Matt Franco, 3b</t>
  </si>
  <si>
    <t>DLM00-04, DLM00-05</t>
  </si>
  <si>
    <t>GAR00-05, Rey Ordonez</t>
  </si>
  <si>
    <t>DLM-04</t>
  </si>
  <si>
    <t>DLM-14</t>
  </si>
  <si>
    <t>GAR-05</t>
  </si>
  <si>
    <t>Alex S. Gonzalez, ss</t>
  </si>
  <si>
    <t>Carlos Reyes, rmr</t>
  </si>
  <si>
    <t>Mike Macfarlane, c</t>
  </si>
  <si>
    <t>Mike Maddux, rmr</t>
  </si>
  <si>
    <t>Hideki Irabu, rsp</t>
  </si>
  <si>
    <t>Jeff Liefer, 1b</t>
  </si>
  <si>
    <t>from TAR with TAR00-03, TAR00-12 for Ben Grieve, Damian Jackson</t>
  </si>
  <si>
    <t>Lenny Harris, 3b</t>
  </si>
  <si>
    <t>Alex Gonzalez, ss (the FLO one)</t>
  </si>
  <si>
    <t>Justin Thompson, lsp</t>
  </si>
  <si>
    <t>Mike Matheny, FDH</t>
  </si>
  <si>
    <t>Steve Cox, 1b</t>
  </si>
  <si>
    <t>Gary Glover, rmr</t>
  </si>
  <si>
    <t>John Valentin, 3b</t>
  </si>
  <si>
    <t>Carlos Febles, 2b</t>
  </si>
  <si>
    <t>Ramon Castro, c</t>
  </si>
  <si>
    <t>John Frascatore, rmr</t>
  </si>
  <si>
    <t>Matt Walbeck, c</t>
  </si>
  <si>
    <t>Gary Matthews Jr, rf</t>
  </si>
  <si>
    <t>Rico Brogna, 1b</t>
  </si>
  <si>
    <t>Ramon Martinez, rsp</t>
  </si>
  <si>
    <t>Kevin Jordan, 3b</t>
  </si>
  <si>
    <t>Miguel Cairo, 2b</t>
  </si>
  <si>
    <t>Matt Anderson, rmr</t>
  </si>
  <si>
    <t>Kevin Stocker, ss</t>
  </si>
  <si>
    <t>Brent Gates, 3b</t>
  </si>
  <si>
    <t>Deivi Cruz, ss</t>
  </si>
  <si>
    <t>Valerio de los Santos, lmr</t>
  </si>
  <si>
    <t>Carlton Loewer, rsp</t>
  </si>
  <si>
    <t>Ken Hill, rsp</t>
  </si>
  <si>
    <t>Mike Caruso, ss</t>
  </si>
  <si>
    <t>Lou Merloni, ss</t>
  </si>
  <si>
    <t>Juan Encarnacion, lf</t>
  </si>
  <si>
    <t>Todd Greene, dh</t>
  </si>
  <si>
    <t>Aaron Ledesma, ss</t>
  </si>
  <si>
    <t>Alan Mills, rmr</t>
  </si>
  <si>
    <t>Kirt Manwaring, c</t>
  </si>
  <si>
    <t>Jose Vizcaino, ss</t>
  </si>
  <si>
    <t>Julio Franco, 1b</t>
  </si>
  <si>
    <t>Abraham Nunez, ss</t>
  </si>
  <si>
    <t>from CIN w/Ismael Valdes for DLM00-05</t>
  </si>
  <si>
    <t>A.J. Hinch, c</t>
  </si>
  <si>
    <t>Pat Borders, dh</t>
  </si>
  <si>
    <t>Mike Mohler, lmr</t>
  </si>
  <si>
    <t>Charles Nagy, rsp</t>
  </si>
  <si>
    <t>Angel Pena, c</t>
  </si>
  <si>
    <t>Joey Hamilton, rsp</t>
  </si>
  <si>
    <t>Carlos Almanzar, rmr</t>
  </si>
  <si>
    <t>Jeff DaVanon, lf</t>
  </si>
  <si>
    <t>Joe Slusarski, rmr</t>
  </si>
  <si>
    <t>Hector Carrasco, rmr</t>
  </si>
  <si>
    <t>Wil Cordero, lf</t>
  </si>
  <si>
    <t>Cristian Guzman, ss</t>
  </si>
  <si>
    <t>Kyle Peterson, rsp</t>
  </si>
  <si>
    <t>Hector Ramirez, rmr</t>
  </si>
  <si>
    <t>Emil Brown, lf</t>
  </si>
  <si>
    <t>Manny Alexander, ss</t>
  </si>
  <si>
    <t>Mark Thompson, rsp</t>
  </si>
  <si>
    <t>Jimmy Anderson, lmr</t>
  </si>
  <si>
    <t>Stan Javier, rf</t>
  </si>
  <si>
    <t>Scott Kamieniecki, rmr</t>
  </si>
  <si>
    <t>Marquis Grissom, cf</t>
  </si>
  <si>
    <t>Dennis Stark, rmr</t>
  </si>
  <si>
    <t>Josh Paul, c</t>
  </si>
  <si>
    <t>Jose Molina, c</t>
  </si>
  <si>
    <t>Darren Bragg, cf</t>
  </si>
  <si>
    <t>Dennis Springer, rsp</t>
  </si>
  <si>
    <t>Eric Hiljus, rmr</t>
  </si>
  <si>
    <t>Bobby Hughes, c</t>
  </si>
  <si>
    <t>Jose Macias, 2b</t>
  </si>
  <si>
    <t>Jeff Brantley, rcl</t>
  </si>
  <si>
    <t>Scott Karl, lsp</t>
  </si>
  <si>
    <t>Jeff Wallace, lmr</t>
  </si>
  <si>
    <t>Creighton Gubanich, c</t>
  </si>
  <si>
    <t>Manny Aybar, rmr</t>
  </si>
  <si>
    <t>Al Martin</t>
  </si>
  <si>
    <t>TAR-11</t>
  </si>
  <si>
    <t>TAR00-11</t>
  </si>
  <si>
    <t>TAR00-11, Donnels, Larkin, Ojala</t>
  </si>
  <si>
    <t>FLL14.08</t>
  </si>
  <si>
    <t>David Roberts, cf</t>
  </si>
  <si>
    <t>Reid Cornelius, rsp</t>
  </si>
  <si>
    <t>Chris Holt, rsp</t>
  </si>
  <si>
    <t>Rich Amaral, cf</t>
  </si>
  <si>
    <t>Donnie Sadler, ss</t>
  </si>
  <si>
    <t>Ruben Rivera, cf</t>
  </si>
  <si>
    <t>Rigo Beltran, lmr</t>
  </si>
  <si>
    <t>Jim Parque, lsp</t>
  </si>
  <si>
    <t>Juan Pena, rsp</t>
  </si>
  <si>
    <t>Dan Reichert, rsp</t>
  </si>
  <si>
    <t>Chad Ogea, rsp</t>
  </si>
  <si>
    <t>Matt Whisenant, lmr</t>
  </si>
  <si>
    <t>Jose Guillen, rf</t>
  </si>
  <si>
    <t>Glen Barker, cf</t>
  </si>
  <si>
    <t>Matt Perisho, lmr</t>
  </si>
  <si>
    <t>from RMO pick for 1.09, Chris Carpenter, Aaron Sele, Mark Loretta and MCL99-09</t>
  </si>
  <si>
    <t>from BAR w/3.14 for pick 5.01, 5.04 and Bobby Ayala</t>
  </si>
  <si>
    <t>Robert Ramsay, lsp</t>
  </si>
  <si>
    <t>Dan Naulty, rmr</t>
  </si>
  <si>
    <t>Chris Peters, lsp</t>
  </si>
  <si>
    <t>See email from 1/14 3:41AM CT</t>
  </si>
  <si>
    <t>Calvin Pickering, 1b</t>
  </si>
  <si>
    <t>Lance Johnson, cf</t>
  </si>
  <si>
    <t>Devon White, cf</t>
  </si>
  <si>
    <t>Kent Mercker, lsp</t>
  </si>
  <si>
    <t>Keith Osik, c</t>
  </si>
  <si>
    <t>Jim Brower, rmr</t>
  </si>
  <si>
    <t>chili, mateo</t>
  </si>
  <si>
    <t>Greg Norton, 3b</t>
  </si>
  <si>
    <t>Roosevelt Brown, lf</t>
  </si>
  <si>
    <t>Mike Figga, c</t>
  </si>
  <si>
    <t>Thomas Howard, rf</t>
  </si>
  <si>
    <t>Brian Meadows, rsp</t>
  </si>
  <si>
    <t>Jimmy Haynes, rsp</t>
  </si>
  <si>
    <t>Brian Rose, rsp</t>
  </si>
  <si>
    <t>Wade Boggs, eb</t>
  </si>
  <si>
    <t>Scott Spiezio, 2b</t>
  </si>
  <si>
    <t>Rafael Bournigal, ss</t>
  </si>
  <si>
    <t>Brian Williams, rmr</t>
  </si>
  <si>
    <t>CIN-12</t>
  </si>
  <si>
    <t>CIN00-12</t>
  </si>
  <si>
    <t>15.03, 16.02, 17.02, 18.02</t>
  </si>
  <si>
    <t>Jeff Barry, cf</t>
  </si>
  <si>
    <t>most PA with OF rating</t>
  </si>
  <si>
    <t>Jaret Wright, rsp</t>
  </si>
  <si>
    <t>Wilton Guerrero, 2b</t>
  </si>
  <si>
    <t>David Newhan, 2b</t>
  </si>
  <si>
    <t>Ruben Mateo, cf</t>
  </si>
  <si>
    <t>Marcus Jensen, c</t>
  </si>
  <si>
    <t>Sean DePaula, rmr</t>
  </si>
  <si>
    <t>Pat Meares, ss</t>
  </si>
  <si>
    <t>Jeff Williams, lsp</t>
  </si>
  <si>
    <t>Charlie O'Brien, c</t>
  </si>
  <si>
    <t>Domingo Cedeno, ss</t>
  </si>
  <si>
    <t>from MCL for CIN00-12</t>
  </si>
  <si>
    <t>Lou Collier, ss</t>
  </si>
  <si>
    <t>Michael Garcia, rmr</t>
  </si>
  <si>
    <t>Chili Davis, dh</t>
  </si>
  <si>
    <t>Kevin Orie, 3b</t>
  </si>
  <si>
    <t>Mark Leiter, rmr</t>
  </si>
  <si>
    <t>Brian L. Hunter, cf</t>
  </si>
  <si>
    <t>from MCL for CIN00-12; Tom Goodwin cf, Otis Nixon lf, Manny Martinez  cf, Travis Lee 1b, Darren Lewis cf, Chad Allen lf,  Jeff Huson 2b</t>
  </si>
  <si>
    <t xml:space="preserve">from MCL for CIN00-12; Mark Guthrie lmr, Jerry Spradlin, rmr, Heath Murray lmr, Eric Plunk rmr </t>
  </si>
  <si>
    <t>mike darr</t>
  </si>
  <si>
    <t>Lenny Webster, c</t>
  </si>
  <si>
    <t>Mike Darr, rf</t>
  </si>
  <si>
    <t>Onan Masaoka, lmr</t>
  </si>
  <si>
    <t>tom prince</t>
  </si>
  <si>
    <t>Tom Goodwin, cf</t>
  </si>
  <si>
    <t>Dwight Gooden, rsp</t>
  </si>
  <si>
    <t>Gene Kingsale, cf</t>
  </si>
  <si>
    <t>andy sheets, ozzie guillen - list for this pick only</t>
  </si>
  <si>
    <t>Matt Luke, rf</t>
  </si>
  <si>
    <t>Pat Daneker, rsp</t>
  </si>
  <si>
    <t>Andy Sheets, ss</t>
  </si>
  <si>
    <t>Tom Prince, c</t>
  </si>
  <si>
    <t>Tom Davey, rmr</t>
  </si>
  <si>
    <t>Vance Wilson, c</t>
  </si>
  <si>
    <t>butch henry</t>
  </si>
  <si>
    <t>Mark Guthrie, lmr</t>
  </si>
  <si>
    <t>Charlie Greene, c</t>
  </si>
  <si>
    <t>Scott Aldred, lmr</t>
  </si>
  <si>
    <t>Tim Harikkala, rmr</t>
  </si>
  <si>
    <t>Scott Sanders, rmr</t>
  </si>
  <si>
    <t>Butch Henry, lsp</t>
  </si>
  <si>
    <t>Jerry Spradlin, rmr</t>
  </si>
  <si>
    <t>Chuck McElroy, lmr</t>
  </si>
  <si>
    <t>Scott Pose, dh</t>
  </si>
  <si>
    <t>Chris Brock, rsp</t>
  </si>
  <si>
    <t>Ray Holbert, ss</t>
  </si>
  <si>
    <t>Reggie Harris, rmr</t>
  </si>
  <si>
    <t>Masao Kida, rmr</t>
  </si>
  <si>
    <t>Howard Battle, 3b</t>
  </si>
  <si>
    <t>Ed Yarnall, lsp</t>
  </si>
  <si>
    <t>J.D. Smart, rmr</t>
  </si>
  <si>
    <t>Jay Canizaro, 2b</t>
  </si>
  <si>
    <t>Reggie Jefferson, dh</t>
  </si>
  <si>
    <t>Paul Sorrento, lf</t>
  </si>
  <si>
    <t>Wally Joyner, 1b</t>
  </si>
  <si>
    <t>Jeremy Powell, rsp</t>
  </si>
  <si>
    <t>Chad Allen, lf</t>
  </si>
  <si>
    <t>Alex Ramirez, dh</t>
  </si>
  <si>
    <t>Robinson Cancel, c</t>
  </si>
  <si>
    <t>Karim Garcia, rf</t>
  </si>
  <si>
    <t>Pete Schourek, lsp</t>
  </si>
  <si>
    <t>Bobby M. Jones, lsp</t>
  </si>
  <si>
    <t>Paul Spoljaric, lmr</t>
  </si>
  <si>
    <t>Enrique Wilson, 3b</t>
  </si>
  <si>
    <t>Forfeited the pick</t>
  </si>
  <si>
    <t>Mike Oquist, rsp</t>
  </si>
  <si>
    <t>Eric Plunk, rmr</t>
  </si>
  <si>
    <t>Chris Gomez</t>
  </si>
  <si>
    <t>ZZY00-06</t>
  </si>
  <si>
    <t>NNN-03</t>
  </si>
  <si>
    <t>NNN-06</t>
  </si>
  <si>
    <t>NNN</t>
  </si>
  <si>
    <t>BJ Surhoff, EVN00-08</t>
  </si>
  <si>
    <t>Matt Lawton</t>
  </si>
  <si>
    <t>EVN-08</t>
  </si>
  <si>
    <t>CEN-02</t>
  </si>
  <si>
    <t>Daal, Elarton, Hernandez, Mahomes</t>
  </si>
  <si>
    <t>David Wells, CEN00-02</t>
  </si>
  <si>
    <t>Angel Pena, Pete Schourek, JD Smart</t>
  </si>
  <si>
    <t>Robinson Cancel, Doug Glanville</t>
  </si>
  <si>
    <t>BAR00-05, BAR00-08, Scott Pose</t>
  </si>
  <si>
    <t>Al Reyes, Dennys Reyes</t>
  </si>
  <si>
    <t>BAR-05</t>
  </si>
  <si>
    <t>BAR-08</t>
  </si>
  <si>
    <t>CTW00-06</t>
  </si>
  <si>
    <t>David Dellucci, FLL00-08</t>
  </si>
  <si>
    <t>CTW-06</t>
  </si>
  <si>
    <t>FLL-08</t>
  </si>
  <si>
    <t>FLL00-07, Rey Sanchez</t>
  </si>
  <si>
    <t>TEW00-05</t>
  </si>
  <si>
    <t>TEW-05</t>
  </si>
  <si>
    <t>FLL-07</t>
  </si>
  <si>
    <t>Dustin Hermanson</t>
  </si>
  <si>
    <t>James Baidwin, Eric Owens</t>
  </si>
  <si>
    <t>DLM-10</t>
  </si>
  <si>
    <t>Cone, Brocail, DLM00-10</t>
  </si>
  <si>
    <t>TEW-01</t>
  </si>
  <si>
    <t>Wade Miller, Jose Molina</t>
  </si>
  <si>
    <t>CIN-02</t>
  </si>
  <si>
    <t>Jason Schmidt</t>
  </si>
  <si>
    <t>TEW00-01</t>
  </si>
  <si>
    <t>CIN00-02, Magglio Ordonez, Ken Caminiti</t>
  </si>
  <si>
    <t>TEW00-05, CTW00-06, Carlos Lee, Francisco Cordero</t>
  </si>
  <si>
    <t>Rick White</t>
  </si>
  <si>
    <t>Royce Clayton</t>
  </si>
  <si>
    <t>CTW-09</t>
  </si>
  <si>
    <t>Mike Bordick, Tom Martin, CTW00-09</t>
  </si>
  <si>
    <t>Rey Ordonez, Mike Maddux, Reggie Harris, Darryl Strawberry</t>
  </si>
  <si>
    <t>Pete Harnisch</t>
  </si>
  <si>
    <t>Ramiro Mendoza</t>
  </si>
  <si>
    <t>Paul Konerko, MCL00-05</t>
  </si>
  <si>
    <t>Kevin Young, Jeff Shaw</t>
  </si>
  <si>
    <t>MCL-05</t>
  </si>
  <si>
    <t>Placido Polanco</t>
  </si>
  <si>
    <t>Mike Hampton</t>
  </si>
  <si>
    <t>CTW00-02</t>
  </si>
  <si>
    <t>Jamey Wright, CTW00-03</t>
  </si>
  <si>
    <t>Steve Reed, CEN00-07</t>
  </si>
  <si>
    <t>CEN-07</t>
  </si>
  <si>
    <t>CTW-02</t>
  </si>
  <si>
    <t>FLL-13</t>
  </si>
  <si>
    <t>OKO-08</t>
  </si>
  <si>
    <t>Vinny Castilla, Kirt Ojala, FLL00-13</t>
  </si>
  <si>
    <t>OKO00-08</t>
  </si>
  <si>
    <t>Paul Quantrill, Mike Kinkade, Masao Kida</t>
  </si>
  <si>
    <t>Mike Remlinger</t>
  </si>
  <si>
    <t>CTW00-03, Mike Maddux</t>
  </si>
  <si>
    <t>Jay Bell</t>
  </si>
  <si>
    <t>CTW-03</t>
  </si>
  <si>
    <t>Jason Grimsley</t>
  </si>
  <si>
    <t>Ben Grieve, Stan Javier</t>
  </si>
  <si>
    <t>RMO-08</t>
  </si>
  <si>
    <t>RMO00-08</t>
  </si>
  <si>
    <t>N/A</t>
  </si>
  <si>
    <t>FORFEITED PICK for Randy Knorr</t>
  </si>
  <si>
    <t>TAR-08</t>
  </si>
  <si>
    <t>TAR00-08</t>
  </si>
  <si>
    <t>FORFEITED PICK for Darren Lewis</t>
  </si>
  <si>
    <t>CEN-08</t>
  </si>
  <si>
    <t>NNN-08</t>
  </si>
  <si>
    <t>NNN-07</t>
  </si>
  <si>
    <t>CEN00-08</t>
  </si>
  <si>
    <t>FORFEITED PICK for Brian McRae</t>
  </si>
  <si>
    <t>NNN00-08</t>
  </si>
  <si>
    <t>FORFEITED PICK for Mike Morgan</t>
  </si>
  <si>
    <t>FORFEITED PICK for John Snyder</t>
  </si>
  <si>
    <t>NNN00-07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</si>
</sst>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/d/yy\ h:mm\ AM/PM;@"/>
  </numFmts>
  <fonts count="17" x14ac:knownFonts="1">
    <font>
      <sz val="10"/>
      <name val="Arial"/>
    </font>
    <font>
      <sz val="8"/>
      <name val="Arial"/>
      <family val="2"/>
    </font>
    <font>
      <sz val="8"/>
      <name val="Verdana"/>
      <family val="2"/>
    </font>
    <font>
      <sz val="10"/>
      <name val="Arial"/>
      <family val="2"/>
    </font>
    <font>
      <sz val="12"/>
      <name val="Arial"/>
      <family val="2"/>
    </font>
    <font>
      <sz val="11"/>
      <name val="Courier New"/>
      <family val="3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6"/>
      <name val="Calibri"/>
      <family val="2"/>
      <scheme val="minor"/>
    </font>
    <font>
      <sz val="11"/>
      <color theme="6"/>
      <name val="Calibri"/>
      <family val="2"/>
    </font>
    <font>
      <b/>
      <sz val="11"/>
      <color theme="6"/>
      <name val="Calibri"/>
      <family val="2"/>
    </font>
    <font>
      <b/>
      <sz val="10"/>
      <color theme="6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51">
    <xf numFmtId="0" fontId="0" fillId="0" borderId="0" xfId="0"/>
    <xf numFmtId="0" fontId="6" fillId="0" borderId="0" xfId="0" applyFont="1" applyFill="1"/>
    <xf numFmtId="0" fontId="6" fillId="0" borderId="0" xfId="1" applyFont="1"/>
    <xf numFmtId="16" fontId="6" fillId="0" borderId="0" xfId="1" applyNumberFormat="1" applyFont="1"/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0" fontId="7" fillId="0" borderId="0" xfId="1" applyFont="1"/>
    <xf numFmtId="16" fontId="6" fillId="0" borderId="1" xfId="1" applyNumberFormat="1" applyFont="1" applyBorder="1"/>
    <xf numFmtId="0" fontId="6" fillId="0" borderId="1" xfId="1" applyFont="1" applyBorder="1" applyAlignment="1">
      <alignment horizontal="center"/>
    </xf>
    <xf numFmtId="0" fontId="6" fillId="0" borderId="1" xfId="1" applyFont="1" applyBorder="1" applyAlignment="1">
      <alignment horizontal="left"/>
    </xf>
    <xf numFmtId="0" fontId="6" fillId="0" borderId="0" xfId="0" applyFont="1"/>
    <xf numFmtId="0" fontId="6" fillId="0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11" fillId="3" borderId="0" xfId="1" applyFont="1" applyFill="1" applyAlignment="1">
      <alignment horizontal="center" wrapText="1"/>
    </xf>
    <xf numFmtId="0" fontId="11" fillId="3" borderId="2" xfId="1" applyFont="1" applyFill="1" applyBorder="1"/>
    <xf numFmtId="0" fontId="7" fillId="4" borderId="0" xfId="1" applyFont="1" applyFill="1" applyAlignment="1">
      <alignment horizontal="center"/>
    </xf>
    <xf numFmtId="0" fontId="12" fillId="5" borderId="3" xfId="1" applyFont="1" applyFill="1" applyBorder="1"/>
    <xf numFmtId="0" fontId="12" fillId="5" borderId="4" xfId="1" applyFont="1" applyFill="1" applyBorder="1"/>
    <xf numFmtId="16" fontId="6" fillId="6" borderId="0" xfId="1" applyNumberFormat="1" applyFont="1" applyFill="1"/>
    <xf numFmtId="0" fontId="6" fillId="6" borderId="0" xfId="1" applyFont="1" applyFill="1" applyAlignment="1">
      <alignment horizontal="center"/>
    </xf>
    <xf numFmtId="0" fontId="6" fillId="6" borderId="0" xfId="1" applyFont="1" applyFill="1" applyAlignment="1">
      <alignment horizontal="left"/>
    </xf>
    <xf numFmtId="0" fontId="6" fillId="6" borderId="5" xfId="1" applyFont="1" applyFill="1" applyBorder="1"/>
    <xf numFmtId="0" fontId="6" fillId="6" borderId="6" xfId="1" applyFont="1" applyFill="1" applyBorder="1"/>
    <xf numFmtId="0" fontId="6" fillId="6" borderId="7" xfId="1" applyFont="1" applyFill="1" applyBorder="1"/>
    <xf numFmtId="0" fontId="6" fillId="6" borderId="8" xfId="1" applyFont="1" applyFill="1" applyBorder="1"/>
    <xf numFmtId="0" fontId="6" fillId="6" borderId="0" xfId="1" applyFont="1" applyFill="1" applyBorder="1"/>
    <xf numFmtId="0" fontId="6" fillId="6" borderId="9" xfId="1" applyFont="1" applyFill="1" applyBorder="1"/>
    <xf numFmtId="0" fontId="6" fillId="6" borderId="10" xfId="1" applyFont="1" applyFill="1" applyBorder="1"/>
    <xf numFmtId="0" fontId="6" fillId="6" borderId="1" xfId="1" applyFont="1" applyFill="1" applyBorder="1"/>
    <xf numFmtId="0" fontId="6" fillId="6" borderId="11" xfId="1" applyFont="1" applyFill="1" applyBorder="1"/>
    <xf numFmtId="0" fontId="14" fillId="6" borderId="0" xfId="0" applyFont="1" applyFill="1" applyAlignment="1">
      <alignment horizontal="center"/>
    </xf>
    <xf numFmtId="0" fontId="6" fillId="6" borderId="0" xfId="1" quotePrefix="1" applyFont="1" applyFill="1" applyAlignment="1">
      <alignment horizontal="left"/>
    </xf>
    <xf numFmtId="0" fontId="15" fillId="7" borderId="0" xfId="0" applyFont="1" applyFill="1" applyAlignment="1">
      <alignment horizontal="center"/>
    </xf>
    <xf numFmtId="0" fontId="13" fillId="4" borderId="0" xfId="0" applyFont="1" applyFill="1" applyAlignment="1">
      <alignment horizontal="left"/>
    </xf>
    <xf numFmtId="164" fontId="9" fillId="2" borderId="0" xfId="0" applyNumberFormat="1" applyFont="1" applyFill="1" applyAlignment="1"/>
    <xf numFmtId="0" fontId="2" fillId="0" borderId="0" xfId="0" applyFont="1" applyFill="1" applyAlignment="1"/>
    <xf numFmtId="0" fontId="8" fillId="2" borderId="0" xfId="0" applyFont="1" applyFill="1" applyAlignment="1">
      <alignment horizontal="left"/>
    </xf>
    <xf numFmtId="164" fontId="10" fillId="2" borderId="0" xfId="0" applyNumberFormat="1" applyFont="1" applyFill="1" applyAlignment="1"/>
    <xf numFmtId="0" fontId="14" fillId="6" borderId="0" xfId="0" applyFont="1" applyFill="1" applyAlignment="1">
      <alignment horizontal="left"/>
    </xf>
    <xf numFmtId="164" fontId="5" fillId="6" borderId="0" xfId="0" applyNumberFormat="1" applyFont="1" applyFill="1" applyAlignment="1"/>
    <xf numFmtId="0" fontId="6" fillId="0" borderId="0" xfId="0" applyFont="1" applyFill="1" applyAlignment="1"/>
    <xf numFmtId="164" fontId="4" fillId="0" borderId="0" xfId="0" applyNumberFormat="1" applyFont="1" applyFill="1" applyAlignment="1"/>
    <xf numFmtId="0" fontId="1" fillId="0" borderId="0" xfId="0" applyFont="1" applyFill="1" applyAlignment="1"/>
    <xf numFmtId="0" fontId="12" fillId="8" borderId="0" xfId="1" applyFont="1" applyFill="1" applyAlignment="1">
      <alignment horizontal="center"/>
    </xf>
    <xf numFmtId="0" fontId="16" fillId="3" borderId="12" xfId="1" applyFont="1" applyFill="1" applyBorder="1" applyAlignment="1">
      <alignment horizontal="center"/>
    </xf>
    <xf numFmtId="0" fontId="16" fillId="3" borderId="13" xfId="1" applyFont="1" applyFill="1" applyBorder="1" applyAlignment="1">
      <alignment horizontal="center"/>
    </xf>
    <xf numFmtId="0" fontId="16" fillId="3" borderId="14" xfId="1" applyFont="1" applyFill="1" applyBorder="1" applyAlignment="1">
      <alignment horizontal="center"/>
    </xf>
    <xf numFmtId="0" fontId="7" fillId="0" borderId="0" xfId="1" applyFont="1" applyAlignment="1">
      <alignment horizontal="center"/>
    </xf>
    <xf numFmtId="0" fontId="11" fillId="3" borderId="12" xfId="1" applyFont="1" applyFill="1" applyBorder="1" applyAlignment="1">
      <alignment horizontal="center"/>
    </xf>
    <xf numFmtId="0" fontId="11" fillId="3" borderId="13" xfId="1" applyFont="1" applyFill="1" applyBorder="1" applyAlignment="1">
      <alignment horizontal="center"/>
    </xf>
    <xf numFmtId="0" fontId="11" fillId="3" borderId="14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26"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ont>
        <b/>
        <i val="0"/>
        <strike val="0"/>
        <color auto="1"/>
      </font>
      <fill>
        <patternFill>
          <bgColor theme="6"/>
        </patternFill>
      </fill>
    </dxf>
    <dxf>
      <font>
        <b/>
        <i val="0"/>
        <strike val="0"/>
        <color auto="1"/>
      </font>
      <fill>
        <patternFill>
          <bgColor theme="6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ont>
        <strike val="0"/>
      </font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999900"/>
      <rgbColor rgb="00FF00FF"/>
      <rgbColor rgb="0000FFFF"/>
      <rgbColor rgb="00BB6622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443311"/>
      <rgbColor rgb="00993366"/>
      <rgbColor rgb="00333399"/>
      <rgbColor rgb="00333333"/>
    </indexed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Seven More Minutes">
      <a:dk1>
        <a:srgbClr xmlns:mc="http://schemas.openxmlformats.org/markup-compatibility/2006" xmlns:a14="http://schemas.microsoft.com/office/drawing/2010/main" val="012110" mc:Ignorable=""/>
      </a:dk1>
      <a:lt1>
        <a:srgbClr xmlns:mc="http://schemas.openxmlformats.org/markup-compatibility/2006" xmlns:a14="http://schemas.microsoft.com/office/drawing/2010/main" val="E1FFDD" mc:Ignorable=""/>
      </a:lt1>
      <a:dk2>
        <a:srgbClr xmlns:mc="http://schemas.openxmlformats.org/markup-compatibility/2006" xmlns:a14="http://schemas.microsoft.com/office/drawing/2010/main" val="0E1A13" mc:Ignorable=""/>
      </a:dk2>
      <a:lt2>
        <a:srgbClr xmlns:mc="http://schemas.openxmlformats.org/markup-compatibility/2006" xmlns:a14="http://schemas.microsoft.com/office/drawing/2010/main" val="C7DBC6" mc:Ignorable=""/>
      </a:lt2>
      <a:accent1>
        <a:srgbClr xmlns:mc="http://schemas.openxmlformats.org/markup-compatibility/2006" xmlns:a14="http://schemas.microsoft.com/office/drawing/2010/main" val="247935" mc:Ignorable=""/>
      </a:accent1>
      <a:accent2>
        <a:srgbClr xmlns:mc="http://schemas.openxmlformats.org/markup-compatibility/2006" xmlns:a14="http://schemas.microsoft.com/office/drawing/2010/main" val="55B43A" mc:Ignorable=""/>
      </a:accent2>
      <a:accent3>
        <a:srgbClr xmlns:mc="http://schemas.openxmlformats.org/markup-compatibility/2006" xmlns:a14="http://schemas.microsoft.com/office/drawing/2010/main" val="95CD43" mc:Ignorable=""/>
      </a:accent3>
      <a:accent4>
        <a:srgbClr xmlns:mc="http://schemas.openxmlformats.org/markup-compatibility/2006" xmlns:a14="http://schemas.microsoft.com/office/drawing/2010/main" val="3F6045" mc:Ignorable=""/>
      </a:accent4>
      <a:accent5>
        <a:srgbClr xmlns:mc="http://schemas.openxmlformats.org/markup-compatibility/2006" xmlns:a14="http://schemas.microsoft.com/office/drawing/2010/main" val="6A905F" mc:Ignorable=""/>
      </a:accent5>
      <a:accent6>
        <a:srgbClr xmlns:mc="http://schemas.openxmlformats.org/markup-compatibility/2006" xmlns:a14="http://schemas.microsoft.com/office/drawing/2010/main" val="8EA46D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/>
    <pageSetUpPr fitToPage="1"/>
  </sheetPr>
  <dimension ref="A1:H324"/>
  <sheetViews>
    <sheetView zoomScaleNormal="100" workbookViewId="0">
      <pane ySplit="2" topLeftCell="A280" activePane="bottomLeft" state="frozen"/>
      <selection pane="bottomLeft" activeCell="F297" sqref="F297"/>
    </sheetView>
  </sheetViews>
  <sheetFormatPr defaultRowHeight="15" x14ac:dyDescent="0.2"/>
  <cols>
    <col min="1" max="1" width="4.5703125" style="40" bestFit="1" customWidth="1"/>
    <col min="2" max="2" width="4.42578125" style="40" bestFit="1" customWidth="1"/>
    <col min="3" max="3" width="6.5703125" style="40" bestFit="1" customWidth="1"/>
    <col min="4" max="4" width="9.7109375" style="40" customWidth="1"/>
    <col min="5" max="5" width="5.28515625" style="40" bestFit="1" customWidth="1"/>
    <col min="6" max="6" width="24" style="11" customWidth="1"/>
    <col min="7" max="7" width="50.85546875" style="11" hidden="1" customWidth="1"/>
    <col min="8" max="8" width="96.85546875" style="41" hidden="1" customWidth="1"/>
    <col min="9" max="16384" width="9.140625" style="42"/>
  </cols>
  <sheetData>
    <row r="1" spans="1:8" s="35" customFormat="1" x14ac:dyDescent="0.25">
      <c r="A1" s="12"/>
      <c r="B1" s="12"/>
      <c r="C1" s="12" t="s">
        <v>21</v>
      </c>
      <c r="D1" s="12" t="s">
        <v>20</v>
      </c>
      <c r="E1" s="32"/>
      <c r="F1" s="33" t="s">
        <v>368</v>
      </c>
      <c r="G1" s="33"/>
      <c r="H1" s="34"/>
    </row>
    <row r="2" spans="1:8" s="35" customFormat="1" x14ac:dyDescent="0.25">
      <c r="A2" s="12" t="s">
        <v>21</v>
      </c>
      <c r="B2" s="12" t="s">
        <v>81</v>
      </c>
      <c r="C2" s="12" t="s">
        <v>82</v>
      </c>
      <c r="D2" s="12" t="s">
        <v>83</v>
      </c>
      <c r="E2" s="12" t="s">
        <v>84</v>
      </c>
      <c r="F2" s="36" t="s">
        <v>22</v>
      </c>
      <c r="G2" s="36" t="s">
        <v>23</v>
      </c>
      <c r="H2" s="37" t="s">
        <v>24</v>
      </c>
    </row>
    <row r="3" spans="1:8" s="35" customFormat="1" x14ac:dyDescent="0.25">
      <c r="A3" s="30">
        <v>1</v>
      </c>
      <c r="B3" s="30">
        <v>1</v>
      </c>
      <c r="C3" s="30">
        <v>1</v>
      </c>
      <c r="D3" s="30"/>
      <c r="E3" s="30" t="s">
        <v>12</v>
      </c>
      <c r="F3" s="38" t="s">
        <v>360</v>
      </c>
      <c r="G3" s="38"/>
      <c r="H3" s="39" t="str">
        <f>IF(B3&lt;10," ","")&amp;B3&amp;"."&amp;IF(C3&lt;10,"0","")&amp;C3&amp;" "&amp;E3&amp;" "&amp;VLOOKUP(E3,Teams!$A$2:$C$21,2,0)&amp;REPT(" ",Teams!C$1+1-VLOOKUP(E3,Teams!$A$2:$C$21,3,0))&amp;"- "&amp;F3&amp;IF(ISBLANK(D3),""," (from "&amp;D3&amp;")")</f>
        <v xml:space="preserve"> 1.01 OKO Smith          - Lance Berkman, lf</v>
      </c>
    </row>
    <row r="4" spans="1:8" s="35" customFormat="1" x14ac:dyDescent="0.25">
      <c r="A4" s="30">
        <v>2</v>
      </c>
      <c r="B4" s="30">
        <v>1</v>
      </c>
      <c r="C4" s="30">
        <v>2</v>
      </c>
      <c r="D4" s="30"/>
      <c r="E4" s="30" t="s">
        <v>4</v>
      </c>
      <c r="F4" s="38" t="s">
        <v>361</v>
      </c>
      <c r="G4" s="38"/>
      <c r="H4" s="39" t="str">
        <f>IF(B4&lt;10," ","")&amp;B4&amp;"."&amp;IF(C4&lt;10,"0","")&amp;C4&amp;" "&amp;E4&amp;" "&amp;VLOOKUP(E4,Teams!$A$2:$C$21,2,0)&amp;REPT(" ",Teams!C$1+1-VLOOKUP(E4,Teams!$A$2:$C$21,3,0))&amp;"- "&amp;F4&amp;IF(ISBLANK(D4),""," (from "&amp;D4&amp;")")</f>
        <v xml:space="preserve"> 1.02 BBG Canter         - Tim Hudson, rsp</v>
      </c>
    </row>
    <row r="5" spans="1:8" s="35" customFormat="1" x14ac:dyDescent="0.25">
      <c r="A5" s="30">
        <v>3</v>
      </c>
      <c r="B5" s="30">
        <v>1</v>
      </c>
      <c r="C5" s="30">
        <v>3</v>
      </c>
      <c r="D5" s="30"/>
      <c r="E5" s="30" t="s">
        <v>1</v>
      </c>
      <c r="F5" s="38" t="s">
        <v>371</v>
      </c>
      <c r="G5" s="38"/>
      <c r="H5" s="39" t="str">
        <f>IF(B5&lt;10," ","")&amp;B5&amp;"."&amp;IF(C5&lt;10,"0","")&amp;C5&amp;" "&amp;E5&amp;" "&amp;VLOOKUP(E5,Teams!$A$2:$C$21,2,0)&amp;REPT(" ",Teams!C$1+1-VLOOKUP(E5,Teams!$A$2:$C$21,3,0))&amp;"- "&amp;F5&amp;IF(ISBLANK(D5),""," (from "&amp;D5&amp;")")</f>
        <v xml:space="preserve"> 1.03 ZZY Poole          - Alfonso Soriano, ss</v>
      </c>
    </row>
    <row r="6" spans="1:8" s="35" customFormat="1" x14ac:dyDescent="0.25">
      <c r="A6" s="30">
        <v>4</v>
      </c>
      <c r="B6" s="30">
        <v>1</v>
      </c>
      <c r="C6" s="30">
        <v>4</v>
      </c>
      <c r="D6" s="30" t="s">
        <v>10</v>
      </c>
      <c r="E6" s="30" t="s">
        <v>5</v>
      </c>
      <c r="F6" s="38" t="s">
        <v>379</v>
      </c>
      <c r="G6" s="38" t="s">
        <v>372</v>
      </c>
      <c r="H6" s="39" t="str">
        <f>IF(B6&lt;10," ","")&amp;B6&amp;"."&amp;IF(C6&lt;10,"0","")&amp;C6&amp;" "&amp;E6&amp;" "&amp;VLOOKUP(E6,Teams!$A$2:$C$21,2,0)&amp;REPT(" ",Teams!C$1+1-VLOOKUP(E6,Teams!$A$2:$C$21,3,0))&amp;"- "&amp;F6&amp;IF(ISBLANK(D6),""," (from "&amp;D6&amp;")")</f>
        <v xml:space="preserve"> 1.04 RMO Haverty/Mojo   - Freddy Garcia, rsp (from FFR)</v>
      </c>
    </row>
    <row r="7" spans="1:8" s="35" customFormat="1" x14ac:dyDescent="0.25">
      <c r="A7" s="30">
        <v>5</v>
      </c>
      <c r="B7" s="30">
        <v>1</v>
      </c>
      <c r="C7" s="30">
        <v>5</v>
      </c>
      <c r="D7" s="30"/>
      <c r="E7" s="30" t="s">
        <v>3</v>
      </c>
      <c r="F7" s="38" t="s">
        <v>380</v>
      </c>
      <c r="G7" s="38"/>
      <c r="H7" s="39" t="str">
        <f>IF(B7&lt;10," ","")&amp;B7&amp;"."&amp;IF(C7&lt;10,"0","")&amp;C7&amp;" "&amp;E7&amp;" "&amp;VLOOKUP(E7,Teams!$A$2:$C$21,2,0)&amp;REPT(" ",Teams!C$1+1-VLOOKUP(E7,Teams!$A$2:$C$21,3,0))&amp;"- "&amp;F7&amp;IF(ISBLANK(D7),""," (from "&amp;D7&amp;")")</f>
        <v xml:space="preserve"> 1.05 GAR Bernstein      - A.J. Burnett, rsp</v>
      </c>
    </row>
    <row r="8" spans="1:8" s="35" customFormat="1" x14ac:dyDescent="0.25">
      <c r="A8" s="30">
        <v>6</v>
      </c>
      <c r="B8" s="30">
        <v>1</v>
      </c>
      <c r="C8" s="30">
        <v>6</v>
      </c>
      <c r="D8" s="30"/>
      <c r="E8" s="30" t="s">
        <v>14</v>
      </c>
      <c r="F8" s="38" t="s">
        <v>381</v>
      </c>
      <c r="G8" s="38"/>
      <c r="H8" s="39" t="str">
        <f>IF(B8&lt;10," ","")&amp;B8&amp;"."&amp;IF(C8&lt;10,"0","")&amp;C8&amp;" "&amp;E8&amp;" "&amp;VLOOKUP(E8,Teams!$A$2:$C$21,2,0)&amp;REPT(" ",Teams!C$1+1-VLOOKUP(E8,Teams!$A$2:$C$21,3,0))&amp;"- "&amp;F8&amp;IF(ISBLANK(D8),""," (from "&amp;D8&amp;")")</f>
        <v xml:space="preserve"> 1.06 FDH English        - Joe Mays, rmr</v>
      </c>
    </row>
    <row r="9" spans="1:8" s="35" customFormat="1" x14ac:dyDescent="0.25">
      <c r="A9" s="30">
        <v>7</v>
      </c>
      <c r="B9" s="30">
        <v>1</v>
      </c>
      <c r="C9" s="30">
        <v>7</v>
      </c>
      <c r="D9" s="30"/>
      <c r="E9" s="30" t="s">
        <v>6</v>
      </c>
      <c r="F9" s="38" t="s">
        <v>382</v>
      </c>
      <c r="G9" s="38"/>
      <c r="H9" s="39" t="str">
        <f>IF(B9&lt;10," ","")&amp;B9&amp;"."&amp;IF(C9&lt;10,"0","")&amp;C9&amp;" "&amp;E9&amp;" "&amp;VLOOKUP(E9,Teams!$A$2:$C$21,2,0)&amp;REPT(" ",Teams!C$1+1-VLOOKUP(E9,Teams!$A$2:$C$21,3,0))&amp;"- "&amp;F9&amp;IF(ISBLANK(D9),""," (from "&amp;D9&amp;")")</f>
        <v xml:space="preserve"> 1.07 FHK Chernow        - Joe Nathan, rsp</v>
      </c>
    </row>
    <row r="10" spans="1:8" s="35" customFormat="1" x14ac:dyDescent="0.25">
      <c r="A10" s="30">
        <v>8</v>
      </c>
      <c r="B10" s="30">
        <v>1</v>
      </c>
      <c r="C10" s="30">
        <v>8</v>
      </c>
      <c r="D10" s="30"/>
      <c r="E10" s="30" t="s">
        <v>2</v>
      </c>
      <c r="F10" s="38" t="s">
        <v>384</v>
      </c>
      <c r="G10" s="38"/>
      <c r="H10" s="39" t="str">
        <f>IF(B10&lt;10," ","")&amp;B10&amp;"."&amp;IF(C10&lt;10,"0","")&amp;C10&amp;" "&amp;E10&amp;" "&amp;VLOOKUP(E10,Teams!$A$2:$C$21,2,0)&amp;REPT(" ",Teams!C$1+1-VLOOKUP(E10,Teams!$A$2:$C$21,3,0))&amp;"- "&amp;F10&amp;IF(ISBLANK(D10),""," (from "&amp;D10&amp;")")</f>
        <v xml:space="preserve"> 1.08 FER Olkin          - Steve Finley, cf</v>
      </c>
    </row>
    <row r="11" spans="1:8" s="35" customFormat="1" x14ac:dyDescent="0.25">
      <c r="A11" s="30">
        <v>9</v>
      </c>
      <c r="B11" s="30">
        <v>1</v>
      </c>
      <c r="C11" s="30">
        <v>9</v>
      </c>
      <c r="D11" s="30" t="s">
        <v>373</v>
      </c>
      <c r="E11" s="30" t="s">
        <v>10</v>
      </c>
      <c r="F11" s="38" t="s">
        <v>385</v>
      </c>
      <c r="G11" s="38" t="s">
        <v>374</v>
      </c>
      <c r="H11" s="39" t="str">
        <f>IF(B11&lt;10," ","")&amp;B11&amp;"."&amp;IF(C11&lt;10,"0","")&amp;C11&amp;" "&amp;E11&amp;" "&amp;VLOOKUP(E11,Teams!$A$2:$C$21,2,0)&amp;REPT(" ",Teams!C$1+1-VLOOKUP(E11,Teams!$A$2:$C$21,3,0))&amp;"- "&amp;F11&amp;IF(ISBLANK(D11),""," (from "&amp;D11&amp;")")</f>
        <v xml:space="preserve"> 1.09 FFR Scott          - Ted Lilly, lsp (from MCL,RMO)</v>
      </c>
    </row>
    <row r="12" spans="1:8" s="35" customFormat="1" x14ac:dyDescent="0.25">
      <c r="A12" s="30">
        <v>10</v>
      </c>
      <c r="B12" s="30">
        <v>1</v>
      </c>
      <c r="C12" s="30">
        <v>10</v>
      </c>
      <c r="D12" s="30" t="s">
        <v>5</v>
      </c>
      <c r="E12" s="30" t="s">
        <v>357</v>
      </c>
      <c r="F12" s="38" t="s">
        <v>386</v>
      </c>
      <c r="G12" s="38"/>
      <c r="H12" s="39" t="str">
        <f>IF(B12&lt;10," ","")&amp;B12&amp;"."&amp;IF(C12&lt;10,"0","")&amp;C12&amp;" "&amp;E12&amp;" "&amp;VLOOKUP(E12,Teams!$A$2:$C$21,2,0)&amp;REPT(" ",Teams!C$1+1-VLOOKUP(E12,Teams!$A$2:$C$21,3,0))&amp;"- "&amp;F12&amp;IF(ISBLANK(D12),""," (from "&amp;D12&amp;")")</f>
        <v xml:space="preserve"> 1.10 FLL Carroll/Kleine - Carlos Lee, lf (from RMO)</v>
      </c>
    </row>
    <row r="13" spans="1:8" s="35" customFormat="1" x14ac:dyDescent="0.25">
      <c r="A13" s="30">
        <v>11</v>
      </c>
      <c r="B13" s="30">
        <v>1</v>
      </c>
      <c r="C13" s="30">
        <v>11</v>
      </c>
      <c r="D13" s="30"/>
      <c r="E13" s="30" t="s">
        <v>18</v>
      </c>
      <c r="F13" s="38" t="s">
        <v>387</v>
      </c>
      <c r="G13" s="38"/>
      <c r="H13" s="39" t="str">
        <f>IF(B13&lt;10," ","")&amp;B13&amp;"."&amp;IF(C13&lt;10,"0","")&amp;C13&amp;" "&amp;E13&amp;" "&amp;VLOOKUP(E13,Teams!$A$2:$C$21,2,0)&amp;REPT(" ",Teams!C$1+1-VLOOKUP(E13,Teams!$A$2:$C$21,3,0))&amp;"- "&amp;F13&amp;IF(ISBLANK(D13),""," (from "&amp;D13&amp;")")</f>
        <v xml:space="preserve"> 1.11 CIN CMiller        - Vernon Wells, cf</v>
      </c>
    </row>
    <row r="14" spans="1:8" s="35" customFormat="1" x14ac:dyDescent="0.25">
      <c r="A14" s="30">
        <v>12</v>
      </c>
      <c r="B14" s="30">
        <v>1</v>
      </c>
      <c r="C14" s="30">
        <v>12</v>
      </c>
      <c r="D14" s="30" t="s">
        <v>13</v>
      </c>
      <c r="E14" s="30" t="s">
        <v>10</v>
      </c>
      <c r="F14" s="38" t="s">
        <v>389</v>
      </c>
      <c r="G14" s="38"/>
      <c r="H14" s="39" t="str">
        <f>IF(B14&lt;10," ","")&amp;B14&amp;"."&amp;IF(C14&lt;10,"0","")&amp;C14&amp;" "&amp;E14&amp;" "&amp;VLOOKUP(E14,Teams!$A$2:$C$21,2,0)&amp;REPT(" ",Teams!C$1+1-VLOOKUP(E14,Teams!$A$2:$C$21,3,0))&amp;"- "&amp;F14&amp;IF(ISBLANK(D14),""," (from "&amp;D14&amp;")")</f>
        <v xml:space="preserve"> 1.12 FFR Scott          - Randy Wolf, lsp (from CTW)</v>
      </c>
    </row>
    <row r="15" spans="1:8" s="35" customFormat="1" x14ac:dyDescent="0.25">
      <c r="A15" s="30">
        <v>13</v>
      </c>
      <c r="B15" s="30">
        <v>1</v>
      </c>
      <c r="C15" s="30">
        <v>13</v>
      </c>
      <c r="D15" s="30"/>
      <c r="E15" s="30" t="s">
        <v>357</v>
      </c>
      <c r="F15" s="38" t="s">
        <v>392</v>
      </c>
      <c r="G15" s="38"/>
      <c r="H15" s="39" t="str">
        <f>IF(B15&lt;10," ","")&amp;B15&amp;"."&amp;IF(C15&lt;10,"0","")&amp;C15&amp;" "&amp;E15&amp;" "&amp;VLOOKUP(E15,Teams!$A$2:$C$21,2,0)&amp;REPT(" ",Teams!C$1+1-VLOOKUP(E15,Teams!$A$2:$C$21,3,0))&amp;"- "&amp;F15&amp;IF(ISBLANK(D15),""," (from "&amp;D15&amp;")")</f>
        <v xml:space="preserve"> 1.13 FLL Carroll/Kleine - Francisco Cordero, rmr</v>
      </c>
    </row>
    <row r="16" spans="1:8" s="35" customFormat="1" x14ac:dyDescent="0.25">
      <c r="A16" s="30">
        <v>14</v>
      </c>
      <c r="B16" s="30">
        <v>1</v>
      </c>
      <c r="C16" s="30">
        <v>14</v>
      </c>
      <c r="D16" s="30" t="s">
        <v>17</v>
      </c>
      <c r="E16" s="30" t="s">
        <v>18</v>
      </c>
      <c r="F16" s="38" t="s">
        <v>393</v>
      </c>
      <c r="G16" s="38"/>
      <c r="H16" s="39" t="str">
        <f>IF(B16&lt;10," ","")&amp;B16&amp;"."&amp;IF(C16&lt;10,"0","")&amp;C16&amp;" "&amp;E16&amp;" "&amp;VLOOKUP(E16,Teams!$A$2:$C$21,2,0)&amp;REPT(" ",Teams!C$1+1-VLOOKUP(E16,Teams!$A$2:$C$21,3,0))&amp;"- "&amp;F16&amp;IF(ISBLANK(D16),""," (from "&amp;D16&amp;")")</f>
        <v xml:space="preserve"> 1.14 CIN CMiller        - Eric Gagne, rsp (from BAR)</v>
      </c>
    </row>
    <row r="17" spans="1:8" s="35" customFormat="1" x14ac:dyDescent="0.25">
      <c r="A17" s="30">
        <v>15</v>
      </c>
      <c r="B17" s="30">
        <v>1</v>
      </c>
      <c r="C17" s="30">
        <v>15</v>
      </c>
      <c r="D17" s="30" t="s">
        <v>388</v>
      </c>
      <c r="E17" s="30" t="s">
        <v>12</v>
      </c>
      <c r="F17" s="38" t="s">
        <v>394</v>
      </c>
      <c r="G17" s="38"/>
      <c r="H17" s="39" t="str">
        <f>IF(B17&lt;10," ","")&amp;B17&amp;"."&amp;IF(C17&lt;10,"0","")&amp;C17&amp;" "&amp;E17&amp;" "&amp;VLOOKUP(E17,Teams!$A$2:$C$21,2,0)&amp;REPT(" ",Teams!C$1+1-VLOOKUP(E17,Teams!$A$2:$C$21,3,0))&amp;"- "&amp;F17&amp;IF(ISBLANK(D17),""," (from "&amp;D17&amp;")")</f>
        <v xml:space="preserve"> 1.15 OKO Smith          - Melvin Mora, 3b (from CEN,CIN)</v>
      </c>
    </row>
    <row r="18" spans="1:8" s="35" customFormat="1" x14ac:dyDescent="0.25">
      <c r="A18" s="30">
        <v>16</v>
      </c>
      <c r="B18" s="30">
        <v>1</v>
      </c>
      <c r="C18" s="30">
        <v>16</v>
      </c>
      <c r="D18" s="30"/>
      <c r="E18" s="30" t="s">
        <v>16</v>
      </c>
      <c r="F18" s="38" t="s">
        <v>395</v>
      </c>
      <c r="G18" s="38"/>
      <c r="H18" s="39" t="str">
        <f>IF(B18&lt;10," ","")&amp;B18&amp;"."&amp;IF(C18&lt;10,"0","")&amp;C18&amp;" "&amp;E18&amp;" "&amp;VLOOKUP(E18,Teams!$A$2:$C$21,2,0)&amp;REPT(" ",Teams!C$1+1-VLOOKUP(E18,Teams!$A$2:$C$21,3,0))&amp;"- "&amp;F18&amp;IF(ISBLANK(D18),""," (from "&amp;D18&amp;")")</f>
        <v xml:space="preserve"> 1.16 TAR Lingo          - Ramon Hernandez, c</v>
      </c>
    </row>
    <row r="19" spans="1:8" s="35" customFormat="1" x14ac:dyDescent="0.25">
      <c r="A19" s="30">
        <v>17</v>
      </c>
      <c r="B19" s="30">
        <v>1</v>
      </c>
      <c r="C19" s="30">
        <v>17</v>
      </c>
      <c r="D19" s="30" t="s">
        <v>405</v>
      </c>
      <c r="E19" s="30" t="s">
        <v>12</v>
      </c>
      <c r="F19" s="38" t="s">
        <v>416</v>
      </c>
      <c r="G19" s="38" t="s">
        <v>408</v>
      </c>
      <c r="H19" s="39" t="str">
        <f>IF(B19&lt;10," ","")&amp;B19&amp;"."&amp;IF(C19&lt;10,"0","")&amp;C19&amp;" "&amp;E19&amp;" "&amp;VLOOKUP(E19,Teams!$A$2:$C$21,2,0)&amp;REPT(" ",Teams!C$1+1-VLOOKUP(E19,Teams!$A$2:$C$21,3,0))&amp;"- "&amp;F19&amp;IF(ISBLANK(D19),""," (from "&amp;D19&amp;")")</f>
        <v xml:space="preserve"> 1.17 OKO Smith          - Byung-Hyun Kim, rmr (from EVN,FFR)</v>
      </c>
    </row>
    <row r="20" spans="1:8" s="35" customFormat="1" x14ac:dyDescent="0.25">
      <c r="A20" s="30">
        <v>18</v>
      </c>
      <c r="B20" s="30">
        <v>1</v>
      </c>
      <c r="C20" s="30">
        <v>18</v>
      </c>
      <c r="D20" s="30" t="s">
        <v>19</v>
      </c>
      <c r="E20" s="30" t="s">
        <v>5</v>
      </c>
      <c r="F20" s="38" t="s">
        <v>415</v>
      </c>
      <c r="G20" s="38" t="s">
        <v>401</v>
      </c>
      <c r="H20" s="39" t="str">
        <f>IF(B20&lt;10," ","")&amp;B20&amp;"."&amp;IF(C20&lt;10,"0","")&amp;C20&amp;" "&amp;E20&amp;" "&amp;VLOOKUP(E20,Teams!$A$2:$C$21,2,0)&amp;REPT(" ",Teams!C$1+1-VLOOKUP(E20,Teams!$A$2:$C$21,3,0))&amp;"- "&amp;F20&amp;IF(ISBLANK(D20),""," (from "&amp;D20&amp;")")</f>
        <v xml:space="preserve"> 1.18 RMO Haverty/Mojo   - Billy Koch, rmr (from TEW)</v>
      </c>
    </row>
    <row r="21" spans="1:8" s="35" customFormat="1" x14ac:dyDescent="0.25">
      <c r="A21" s="30">
        <v>19</v>
      </c>
      <c r="B21" s="30">
        <v>1</v>
      </c>
      <c r="C21" s="30">
        <v>19</v>
      </c>
      <c r="D21" s="30" t="s">
        <v>420</v>
      </c>
      <c r="E21" s="30" t="s">
        <v>13</v>
      </c>
      <c r="F21" s="38" t="s">
        <v>424</v>
      </c>
      <c r="G21" s="38" t="s">
        <v>421</v>
      </c>
      <c r="H21" s="39" t="str">
        <f>IF(B21&lt;10," ","")&amp;B21&amp;"."&amp;IF(C21&lt;10,"0","")&amp;C21&amp;" "&amp;E21&amp;" "&amp;VLOOKUP(E21,Teams!$A$2:$C$21,2,0)&amp;REPT(" ",Teams!C$1+1-VLOOKUP(E21,Teams!$A$2:$C$21,3,0))&amp;"- "&amp;F21&amp;IF(ISBLANK(D21),""," (from "&amp;D21&amp;")")</f>
        <v xml:space="preserve"> 1.19 CTW RMiller        - Esteban Loaiza, rsp (from DLM,FFR)</v>
      </c>
    </row>
    <row r="22" spans="1:8" s="35" customFormat="1" x14ac:dyDescent="0.25">
      <c r="A22" s="30">
        <v>20</v>
      </c>
      <c r="B22" s="30">
        <v>1</v>
      </c>
      <c r="C22" s="30">
        <v>20</v>
      </c>
      <c r="D22" s="30" t="s">
        <v>9</v>
      </c>
      <c r="E22" s="30" t="s">
        <v>5</v>
      </c>
      <c r="F22" s="38" t="s">
        <v>430</v>
      </c>
      <c r="G22" s="38" t="s">
        <v>429</v>
      </c>
      <c r="H22" s="39" t="str">
        <f>IF(B22&lt;10," ","")&amp;B22&amp;"."&amp;IF(C22&lt;10,"0","")&amp;C22&amp;" "&amp;E22&amp;" "&amp;VLOOKUP(E22,Teams!$A$2:$C$21,2,0)&amp;REPT(" ",Teams!C$1+1-VLOOKUP(E22,Teams!$A$2:$C$21,3,0))&amp;"- "&amp;F22&amp;IF(ISBLANK(D22),""," (from "&amp;D22&amp;")")</f>
        <v xml:space="preserve"> 1.20 RMO Haverty/Mojo   - Scott Williamson, rcl (from NEP)</v>
      </c>
    </row>
    <row r="23" spans="1:8" s="35" customFormat="1" x14ac:dyDescent="0.25">
      <c r="A23" s="30">
        <v>21</v>
      </c>
      <c r="B23" s="30">
        <v>2</v>
      </c>
      <c r="C23" s="30">
        <v>1</v>
      </c>
      <c r="D23" s="30" t="s">
        <v>422</v>
      </c>
      <c r="E23" s="30" t="s">
        <v>10</v>
      </c>
      <c r="F23" s="38" t="s">
        <v>460</v>
      </c>
      <c r="G23" s="38" t="s">
        <v>423</v>
      </c>
      <c r="H23" s="39" t="str">
        <f>IF(B23&lt;10," ","")&amp;B23&amp;"."&amp;IF(C23&lt;10,"0","")&amp;C23&amp;" "&amp;E23&amp;" "&amp;VLOOKUP(E23,Teams!$A$2:$C$21,2,0)&amp;REPT(" ",Teams!C$1+1-VLOOKUP(E23,Teams!$A$2:$C$21,3,0))&amp;"- "&amp;F23&amp;IF(ISBLANK(D23),""," (from "&amp;D23&amp;")")</f>
        <v xml:space="preserve"> 2.01 FFR Scott          - Octavio Dotel, rsp (from FFR,CTW)</v>
      </c>
    </row>
    <row r="24" spans="1:8" s="35" customFormat="1" x14ac:dyDescent="0.25">
      <c r="A24" s="30">
        <v>22</v>
      </c>
      <c r="B24" s="30">
        <v>2</v>
      </c>
      <c r="C24" s="30">
        <v>2</v>
      </c>
      <c r="D24" s="30"/>
      <c r="E24" s="30" t="s">
        <v>3</v>
      </c>
      <c r="F24" s="38" t="s">
        <v>431</v>
      </c>
      <c r="G24" s="38"/>
      <c r="H24" s="39" t="str">
        <f>IF(B24&lt;10," ","")&amp;B24&amp;"."&amp;IF(C24&lt;10,"0","")&amp;C24&amp;" "&amp;E24&amp;" "&amp;VLOOKUP(E24,Teams!$A$2:$C$21,2,0)&amp;REPT(" ",Teams!C$1+1-VLOOKUP(E24,Teams!$A$2:$C$21,3,0))&amp;"- "&amp;F24&amp;IF(ISBLANK(D24),""," (from "&amp;D24&amp;")")</f>
        <v xml:space="preserve"> 2.02 GAR Bernstein      - Wade Miller, rmr</v>
      </c>
    </row>
    <row r="25" spans="1:8" s="35" customFormat="1" x14ac:dyDescent="0.25">
      <c r="A25" s="30">
        <v>23</v>
      </c>
      <c r="B25" s="30">
        <v>2</v>
      </c>
      <c r="C25" s="30">
        <v>3</v>
      </c>
      <c r="D25" s="30" t="s">
        <v>4</v>
      </c>
      <c r="E25" s="30" t="s">
        <v>18</v>
      </c>
      <c r="F25" s="38" t="s">
        <v>435</v>
      </c>
      <c r="G25" s="38" t="s">
        <v>411</v>
      </c>
      <c r="H25" s="39" t="str">
        <f>IF(B25&lt;10," ","")&amp;B25&amp;"."&amp;IF(C25&lt;10,"0","")&amp;C25&amp;" "&amp;E25&amp;" "&amp;VLOOKUP(E25,Teams!$A$2:$C$21,2,0)&amp;REPT(" ",Teams!C$1+1-VLOOKUP(E25,Teams!$A$2:$C$21,3,0))&amp;"- "&amp;F25&amp;IF(ISBLANK(D25),""," (from "&amp;D25&amp;")")</f>
        <v xml:space="preserve"> 2.03 CIN CMiller        - B.J. Ryan, lmr (from BBG)</v>
      </c>
    </row>
    <row r="26" spans="1:8" s="35" customFormat="1" x14ac:dyDescent="0.25">
      <c r="A26" s="30">
        <v>24</v>
      </c>
      <c r="B26" s="30">
        <v>2</v>
      </c>
      <c r="C26" s="30">
        <v>4</v>
      </c>
      <c r="D26" s="30" t="s">
        <v>406</v>
      </c>
      <c r="E26" s="30" t="s">
        <v>10</v>
      </c>
      <c r="F26" s="38" t="s">
        <v>437</v>
      </c>
      <c r="G26" s="38" t="s">
        <v>407</v>
      </c>
      <c r="H26" s="39" t="str">
        <f>IF(B26&lt;10," ","")&amp;B26&amp;"."&amp;IF(C26&lt;10,"0","")&amp;C26&amp;" "&amp;E26&amp;" "&amp;VLOOKUP(E26,Teams!$A$2:$C$21,2,0)&amp;REPT(" ",Teams!C$1+1-VLOOKUP(E26,Teams!$A$2:$C$21,3,0))&amp;"- "&amp;F26&amp;IF(ISBLANK(D26),""," (from "&amp;D26&amp;")")</f>
        <v xml:space="preserve"> 2.04 FFR Scott          - Adam Kennedy, 2b (from FDH,OKO)</v>
      </c>
    </row>
    <row r="27" spans="1:8" s="35" customFormat="1" x14ac:dyDescent="0.25">
      <c r="A27" s="30">
        <v>25</v>
      </c>
      <c r="B27" s="30">
        <v>2</v>
      </c>
      <c r="C27" s="30">
        <v>5</v>
      </c>
      <c r="D27" s="30" t="s">
        <v>12</v>
      </c>
      <c r="E27" s="30" t="s">
        <v>10</v>
      </c>
      <c r="F27" s="38" t="s">
        <v>436</v>
      </c>
      <c r="G27" s="38" t="s">
        <v>409</v>
      </c>
      <c r="H27" s="39" t="str">
        <f>IF(B27&lt;10," ","")&amp;B27&amp;"."&amp;IF(C27&lt;10,"0","")&amp;C27&amp;" "&amp;E27&amp;" "&amp;VLOOKUP(E27,Teams!$A$2:$C$21,2,0)&amp;REPT(" ",Teams!C$1+1-VLOOKUP(E27,Teams!$A$2:$C$21,3,0))&amp;"- "&amp;F27&amp;IF(ISBLANK(D27),""," (from "&amp;D27&amp;")")</f>
        <v xml:space="preserve"> 2.05 FFR Scott          - Kyle Farnsworth, rsp (from OKO)</v>
      </c>
    </row>
    <row r="28" spans="1:8" s="35" customFormat="1" x14ac:dyDescent="0.25">
      <c r="A28" s="30">
        <v>26</v>
      </c>
      <c r="B28" s="30">
        <v>2</v>
      </c>
      <c r="C28" s="30">
        <v>6</v>
      </c>
      <c r="D28" s="30"/>
      <c r="E28" s="30" t="s">
        <v>2</v>
      </c>
      <c r="F28" s="38" t="s">
        <v>438</v>
      </c>
      <c r="G28" s="38"/>
      <c r="H28" s="39" t="str">
        <f>IF(B28&lt;10," ","")&amp;B28&amp;"."&amp;IF(C28&lt;10,"0","")&amp;C28&amp;" "&amp;E28&amp;" "&amp;VLOOKUP(E28,Teams!$A$2:$C$21,2,0)&amp;REPT(" ",Teams!C$1+1-VLOOKUP(E28,Teams!$A$2:$C$21,3,0))&amp;"- "&amp;F28&amp;IF(ISBLANK(D28),""," (from "&amp;D28&amp;")")</f>
        <v xml:space="preserve"> 2.06 FER Olkin          - Kris Benson, rsp</v>
      </c>
    </row>
    <row r="29" spans="1:8" s="35" customFormat="1" x14ac:dyDescent="0.25">
      <c r="A29" s="30">
        <v>27</v>
      </c>
      <c r="B29" s="30">
        <v>2</v>
      </c>
      <c r="C29" s="30">
        <v>7</v>
      </c>
      <c r="D29" s="30"/>
      <c r="E29" s="30" t="s">
        <v>6</v>
      </c>
      <c r="F29" s="38" t="s">
        <v>439</v>
      </c>
      <c r="G29" s="38"/>
      <c r="H29" s="39" t="str">
        <f>IF(B29&lt;10," ","")&amp;B29&amp;"."&amp;IF(C29&lt;10,"0","")&amp;C29&amp;" "&amp;E29&amp;" "&amp;VLOOKUP(E29,Teams!$A$2:$C$21,2,0)&amp;REPT(" ",Teams!C$1+1-VLOOKUP(E29,Teams!$A$2:$C$21,3,0))&amp;"- "&amp;F29&amp;IF(ISBLANK(D29),""," (from "&amp;D29&amp;")")</f>
        <v xml:space="preserve"> 2.07 FHK Chernow        - Brian Anderson, lsp</v>
      </c>
    </row>
    <row r="30" spans="1:8" s="35" customFormat="1" x14ac:dyDescent="0.25">
      <c r="A30" s="30">
        <v>28</v>
      </c>
      <c r="B30" s="30">
        <v>2</v>
      </c>
      <c r="C30" s="30">
        <v>8</v>
      </c>
      <c r="D30" s="30"/>
      <c r="E30" s="30" t="s">
        <v>7</v>
      </c>
      <c r="F30" s="38" t="s">
        <v>440</v>
      </c>
      <c r="G30" s="38"/>
      <c r="H30" s="39" t="str">
        <f>IF(B30&lt;10," ","")&amp;B30&amp;"."&amp;IF(C30&lt;10,"0","")&amp;C30&amp;" "&amp;E30&amp;" "&amp;VLOOKUP(E30,Teams!$A$2:$C$21,2,0)&amp;REPT(" ",Teams!C$1+1-VLOOKUP(E30,Teams!$A$2:$C$21,3,0))&amp;"- "&amp;F30&amp;IF(ISBLANK(D30),""," (from "&amp;D30&amp;")")</f>
        <v xml:space="preserve"> 2.08 MCL Manuel         - Jeff Zimmerman, rmr</v>
      </c>
    </row>
    <row r="31" spans="1:8" s="35" customFormat="1" x14ac:dyDescent="0.25">
      <c r="A31" s="30">
        <v>29</v>
      </c>
      <c r="B31" s="30">
        <v>2</v>
      </c>
      <c r="C31" s="30">
        <v>9</v>
      </c>
      <c r="D31" s="30" t="s">
        <v>5</v>
      </c>
      <c r="E31" s="30" t="s">
        <v>11</v>
      </c>
      <c r="F31" s="38" t="s">
        <v>441</v>
      </c>
      <c r="G31" s="38"/>
      <c r="H31" s="39" t="str">
        <f>IF(B31&lt;10," ","")&amp;B31&amp;"."&amp;IF(C31&lt;10,"0","")&amp;C31&amp;" "&amp;E31&amp;" "&amp;VLOOKUP(E31,Teams!$A$2:$C$21,2,0)&amp;REPT(" ",Teams!C$1+1-VLOOKUP(E31,Teams!$A$2:$C$21,3,0))&amp;"- "&amp;F31&amp;IF(ISBLANK(D31),""," (from "&amp;D31&amp;")")</f>
        <v xml:space="preserve"> 2.09 EVN Henninger      - Kent Bottenfield, rsp (from RMO)</v>
      </c>
    </row>
    <row r="32" spans="1:8" s="35" customFormat="1" x14ac:dyDescent="0.25">
      <c r="A32" s="30">
        <v>30</v>
      </c>
      <c r="B32" s="30">
        <v>2</v>
      </c>
      <c r="C32" s="30">
        <v>10</v>
      </c>
      <c r="D32" s="30"/>
      <c r="E32" s="30" t="s">
        <v>1</v>
      </c>
      <c r="F32" s="38" t="s">
        <v>442</v>
      </c>
      <c r="G32" s="38"/>
      <c r="H32" s="39" t="str">
        <f>IF(B32&lt;10," ","")&amp;B32&amp;"."&amp;IF(C32&lt;10,"0","")&amp;C32&amp;" "&amp;E32&amp;" "&amp;VLOOKUP(E32,Teams!$A$2:$C$21,2,0)&amp;REPT(" ",Teams!C$1+1-VLOOKUP(E32,Teams!$A$2:$C$21,3,0))&amp;"- "&amp;F32&amp;IF(ISBLANK(D32),""," (from "&amp;D32&amp;")")</f>
        <v xml:space="preserve"> 2.10 ZZY Poole          - John Flaherty, c</v>
      </c>
    </row>
    <row r="33" spans="1:8" s="35" customFormat="1" x14ac:dyDescent="0.25">
      <c r="A33" s="30">
        <v>31</v>
      </c>
      <c r="B33" s="30">
        <v>2</v>
      </c>
      <c r="C33" s="30">
        <v>11</v>
      </c>
      <c r="D33" s="30" t="s">
        <v>18</v>
      </c>
      <c r="E33" s="30" t="s">
        <v>17</v>
      </c>
      <c r="F33" s="38" t="s">
        <v>443</v>
      </c>
      <c r="G33" s="38"/>
      <c r="H33" s="39" t="str">
        <f>IF(B33&lt;10," ","")&amp;B33&amp;"."&amp;IF(C33&lt;10,"0","")&amp;C33&amp;" "&amp;E33&amp;" "&amp;VLOOKUP(E33,Teams!$A$2:$C$21,2,0)&amp;REPT(" ",Teams!C$1+1-VLOOKUP(E33,Teams!$A$2:$C$21,3,0))&amp;"- "&amp;F33&amp;IF(ISBLANK(D33),""," (from "&amp;D33&amp;")")</f>
        <v xml:space="preserve"> 2.11 BAR Marshall       - Rick Ankiel, lsp (from CIN)</v>
      </c>
    </row>
    <row r="34" spans="1:8" s="35" customFormat="1" x14ac:dyDescent="0.25">
      <c r="A34" s="30">
        <v>32</v>
      </c>
      <c r="B34" s="30">
        <v>2</v>
      </c>
      <c r="C34" s="30">
        <v>12</v>
      </c>
      <c r="D34" s="30"/>
      <c r="E34" s="30" t="s">
        <v>13</v>
      </c>
      <c r="F34" s="38" t="s">
        <v>444</v>
      </c>
      <c r="G34" s="38"/>
      <c r="H34" s="39" t="str">
        <f>IF(B34&lt;10," ","")&amp;B34&amp;"."&amp;IF(C34&lt;10,"0","")&amp;C34&amp;" "&amp;E34&amp;" "&amp;VLOOKUP(E34,Teams!$A$2:$C$21,2,0)&amp;REPT(" ",Teams!C$1+1-VLOOKUP(E34,Teams!$A$2:$C$21,3,0))&amp;"- "&amp;F34&amp;IF(ISBLANK(D34),""," (from "&amp;D34&amp;")")</f>
        <v xml:space="preserve"> 2.12 CTW RMiller        - Jason LaRue, c</v>
      </c>
    </row>
    <row r="35" spans="1:8" s="35" customFormat="1" x14ac:dyDescent="0.25">
      <c r="A35" s="30">
        <v>33</v>
      </c>
      <c r="B35" s="30">
        <v>2</v>
      </c>
      <c r="C35" s="30">
        <v>13</v>
      </c>
      <c r="D35" s="30"/>
      <c r="E35" s="30" t="s">
        <v>357</v>
      </c>
      <c r="F35" s="38" t="s">
        <v>448</v>
      </c>
      <c r="G35" s="38"/>
      <c r="H35" s="39" t="str">
        <f>IF(B35&lt;10," ","")&amp;B35&amp;"."&amp;IF(C35&lt;10,"0","")&amp;C35&amp;" "&amp;E35&amp;" "&amp;VLOOKUP(E35,Teams!$A$2:$C$21,2,0)&amp;REPT(" ",Teams!C$1+1-VLOOKUP(E35,Teams!$A$2:$C$21,3,0))&amp;"- "&amp;F35&amp;IF(ISBLANK(D35),""," (from "&amp;D35&amp;")")</f>
        <v xml:space="preserve"> 2.13 FLL Carroll/Kleine - Ray King, lmr</v>
      </c>
    </row>
    <row r="36" spans="1:8" s="35" customFormat="1" x14ac:dyDescent="0.25">
      <c r="A36" s="30">
        <v>34</v>
      </c>
      <c r="B36" s="30">
        <v>2</v>
      </c>
      <c r="C36" s="30">
        <v>14</v>
      </c>
      <c r="D36" s="30"/>
      <c r="E36" s="30" t="s">
        <v>17</v>
      </c>
      <c r="F36" s="38" t="s">
        <v>453</v>
      </c>
      <c r="G36" s="38"/>
      <c r="H36" s="39" t="str">
        <f>IF(B36&lt;10," ","")&amp;B36&amp;"."&amp;IF(C36&lt;10,"0","")&amp;C36&amp;" "&amp;E36&amp;" "&amp;VLOOKUP(E36,Teams!$A$2:$C$21,2,0)&amp;REPT(" ",Teams!C$1+1-VLOOKUP(E36,Teams!$A$2:$C$21,3,0))&amp;"- "&amp;F36&amp;IF(ISBLANK(D36),""," (from "&amp;D36&amp;")")</f>
        <v xml:space="preserve"> 2.14 BAR Marshall       - Jacque Jones, cf</v>
      </c>
    </row>
    <row r="37" spans="1:8" s="35" customFormat="1" x14ac:dyDescent="0.25">
      <c r="A37" s="30">
        <v>35</v>
      </c>
      <c r="B37" s="30">
        <v>2</v>
      </c>
      <c r="C37" s="30">
        <v>15</v>
      </c>
      <c r="D37" s="30"/>
      <c r="E37" s="30" t="s">
        <v>16</v>
      </c>
      <c r="F37" s="38" t="s">
        <v>459</v>
      </c>
      <c r="G37" s="38"/>
      <c r="H37" s="39" t="str">
        <f>IF(B37&lt;10," ","")&amp;B37&amp;"."&amp;IF(C37&lt;10,"0","")&amp;C37&amp;" "&amp;E37&amp;" "&amp;VLOOKUP(E37,Teams!$A$2:$C$21,2,0)&amp;REPT(" ",Teams!C$1+1-VLOOKUP(E37,Teams!$A$2:$C$21,3,0))&amp;"- "&amp;F37&amp;IF(ISBLANK(D37),""," (from "&amp;D37&amp;")")</f>
        <v xml:space="preserve"> 2.15 TAR Lingo          - Todd Zeile, 3b</v>
      </c>
    </row>
    <row r="38" spans="1:8" s="35" customFormat="1" x14ac:dyDescent="0.25">
      <c r="A38" s="30">
        <v>36</v>
      </c>
      <c r="B38" s="30">
        <v>2</v>
      </c>
      <c r="C38" s="30">
        <v>16</v>
      </c>
      <c r="D38" s="30" t="s">
        <v>8</v>
      </c>
      <c r="E38" s="30" t="s">
        <v>357</v>
      </c>
      <c r="F38" s="38" t="s">
        <v>461</v>
      </c>
      <c r="G38" s="38"/>
      <c r="H38" s="39" t="str">
        <f>IF(B38&lt;10," ","")&amp;B38&amp;"."&amp;IF(C38&lt;10,"0","")&amp;C38&amp;" "&amp;E38&amp;" "&amp;VLOOKUP(E38,Teams!$A$2:$C$21,2,0)&amp;REPT(" ",Teams!C$1+1-VLOOKUP(E38,Teams!$A$2:$C$21,3,0))&amp;"- "&amp;F38&amp;IF(ISBLANK(D38),""," (from "&amp;D38&amp;")")</f>
        <v xml:space="preserve"> 2.16 FLL Carroll/Kleine - Damaso Marte, lmr (from CEN)</v>
      </c>
    </row>
    <row r="39" spans="1:8" s="35" customFormat="1" x14ac:dyDescent="0.25">
      <c r="A39" s="30">
        <v>37</v>
      </c>
      <c r="B39" s="30">
        <v>2</v>
      </c>
      <c r="C39" s="30">
        <v>17</v>
      </c>
      <c r="D39" s="30"/>
      <c r="E39" s="30" t="s">
        <v>11</v>
      </c>
      <c r="F39" s="38" t="s">
        <v>462</v>
      </c>
      <c r="G39" s="38"/>
      <c r="H39" s="39" t="str">
        <f>IF(B39&lt;10," ","")&amp;B39&amp;"."&amp;IF(C39&lt;10,"0","")&amp;C39&amp;" "&amp;E39&amp;" "&amp;VLOOKUP(E39,Teams!$A$2:$C$21,2,0)&amp;REPT(" ",Teams!C$1+1-VLOOKUP(E39,Teams!$A$2:$C$21,3,0))&amp;"- "&amp;F39&amp;IF(ISBLANK(D39),""," (from "&amp;D39&amp;")")</f>
        <v xml:space="preserve"> 2.17 EVN Henninger      - Royce Clayton, ss</v>
      </c>
    </row>
    <row r="40" spans="1:8" s="35" customFormat="1" x14ac:dyDescent="0.25">
      <c r="A40" s="30">
        <v>38</v>
      </c>
      <c r="B40" s="30">
        <v>2</v>
      </c>
      <c r="C40" s="30">
        <v>18</v>
      </c>
      <c r="D40" s="30"/>
      <c r="E40" s="30" t="s">
        <v>19</v>
      </c>
      <c r="F40" s="38" t="s">
        <v>463</v>
      </c>
      <c r="G40" s="38"/>
      <c r="H40" s="39" t="str">
        <f>IF(B40&lt;10," ","")&amp;B40&amp;"."&amp;IF(C40&lt;10,"0","")&amp;C40&amp;" "&amp;E40&amp;" "&amp;VLOOKUP(E40,Teams!$A$2:$C$21,2,0)&amp;REPT(" ",Teams!C$1+1-VLOOKUP(E40,Teams!$A$2:$C$21,3,0))&amp;"- "&amp;F40&amp;IF(ISBLANK(D40),""," (from "&amp;D40&amp;")")</f>
        <v xml:space="preserve"> 2.18 TEW Bailey         - Joe Randa, 3b</v>
      </c>
    </row>
    <row r="41" spans="1:8" s="35" customFormat="1" x14ac:dyDescent="0.25">
      <c r="A41" s="30">
        <v>39</v>
      </c>
      <c r="B41" s="30">
        <v>2</v>
      </c>
      <c r="C41" s="30">
        <v>19</v>
      </c>
      <c r="D41" s="30" t="s">
        <v>0</v>
      </c>
      <c r="E41" s="30" t="s">
        <v>13</v>
      </c>
      <c r="F41" s="38" t="s">
        <v>464</v>
      </c>
      <c r="G41" s="38"/>
      <c r="H41" s="39" t="str">
        <f>IF(B41&lt;10," ","")&amp;B41&amp;"."&amp;IF(C41&lt;10,"0","")&amp;C41&amp;" "&amp;E41&amp;" "&amp;VLOOKUP(E41,Teams!$A$2:$C$21,2,0)&amp;REPT(" ",Teams!C$1+1-VLOOKUP(E41,Teams!$A$2:$C$21,3,0))&amp;"- "&amp;F41&amp;IF(ISBLANK(D41),""," (from "&amp;D41&amp;")")</f>
        <v xml:space="preserve"> 2.19 CTW RMiller        - Erubiel Durazo, 1b (from DLM)</v>
      </c>
    </row>
    <row r="42" spans="1:8" s="35" customFormat="1" x14ac:dyDescent="0.25">
      <c r="A42" s="30">
        <v>40</v>
      </c>
      <c r="B42" s="30">
        <v>2</v>
      </c>
      <c r="C42" s="30">
        <v>20</v>
      </c>
      <c r="D42" s="30"/>
      <c r="E42" s="30" t="s">
        <v>9</v>
      </c>
      <c r="F42" s="38" t="s">
        <v>465</v>
      </c>
      <c r="G42" s="38"/>
      <c r="H42" s="39" t="str">
        <f>IF(B42&lt;10," ","")&amp;B42&amp;"."&amp;IF(C42&lt;10,"0","")&amp;C42&amp;" "&amp;E42&amp;" "&amp;VLOOKUP(E42,Teams!$A$2:$C$21,2,0)&amp;REPT(" ",Teams!C$1+1-VLOOKUP(E42,Teams!$A$2:$C$21,3,0))&amp;"- "&amp;F42&amp;IF(ISBLANK(D42),""," (from "&amp;D42&amp;")")</f>
        <v xml:space="preserve"> 2.20 NEP Sasman         - Jeff Conine, 1b</v>
      </c>
    </row>
    <row r="43" spans="1:8" s="35" customFormat="1" x14ac:dyDescent="0.25">
      <c r="A43" s="30">
        <v>41</v>
      </c>
      <c r="B43" s="30">
        <v>3</v>
      </c>
      <c r="C43" s="30">
        <v>1</v>
      </c>
      <c r="D43" s="30" t="s">
        <v>10</v>
      </c>
      <c r="E43" s="30" t="s">
        <v>4</v>
      </c>
      <c r="F43" s="38" t="s">
        <v>466</v>
      </c>
      <c r="G43" s="38"/>
      <c r="H43" s="39" t="str">
        <f>IF(B43&lt;10," ","")&amp;B43&amp;"."&amp;IF(C43&lt;10,"0","")&amp;C43&amp;" "&amp;E43&amp;" "&amp;VLOOKUP(E43,Teams!$A$2:$C$21,2,0)&amp;REPT(" ",Teams!C$1+1-VLOOKUP(E43,Teams!$A$2:$C$21,3,0))&amp;"- "&amp;F43&amp;IF(ISBLANK(D43),""," (from "&amp;D43&amp;")")</f>
        <v xml:space="preserve"> 3.01 BBG Canter         - Chris Widger, c (from FFR)</v>
      </c>
    </row>
    <row r="44" spans="1:8" s="35" customFormat="1" x14ac:dyDescent="0.25">
      <c r="A44" s="30">
        <v>42</v>
      </c>
      <c r="B44" s="30">
        <v>3</v>
      </c>
      <c r="C44" s="30">
        <v>2</v>
      </c>
      <c r="D44" s="30"/>
      <c r="E44" s="30" t="s">
        <v>3</v>
      </c>
      <c r="F44" s="38" t="s">
        <v>467</v>
      </c>
      <c r="G44" s="38"/>
      <c r="H44" s="39" t="str">
        <f>IF(B44&lt;10," ","")&amp;B44&amp;"."&amp;IF(C44&lt;10,"0","")&amp;C44&amp;" "&amp;E44&amp;" "&amp;VLOOKUP(E44,Teams!$A$2:$C$21,2,0)&amp;REPT(" ",Teams!C$1+1-VLOOKUP(E44,Teams!$A$2:$C$21,3,0))&amp;"- "&amp;F44&amp;IF(ISBLANK(D44),""," (from "&amp;D44&amp;")")</f>
        <v xml:space="preserve"> 3.02 GAR Bernstein      - Eric Karros, 1b</v>
      </c>
    </row>
    <row r="45" spans="1:8" s="35" customFormat="1" x14ac:dyDescent="0.25">
      <c r="A45" s="30">
        <v>43</v>
      </c>
      <c r="B45" s="30">
        <v>3</v>
      </c>
      <c r="C45" s="30">
        <v>3</v>
      </c>
      <c r="D45" s="30" t="s">
        <v>4</v>
      </c>
      <c r="E45" s="30" t="s">
        <v>9</v>
      </c>
      <c r="F45" s="38" t="s">
        <v>468</v>
      </c>
      <c r="G45" s="38"/>
      <c r="H45" s="39" t="str">
        <f>IF(B45&lt;10," ","")&amp;B45&amp;"."&amp;IF(C45&lt;10,"0","")&amp;C45&amp;" "&amp;E45&amp;" "&amp;VLOOKUP(E45,Teams!$A$2:$C$21,2,0)&amp;REPT(" ",Teams!C$1+1-VLOOKUP(E45,Teams!$A$2:$C$21,3,0))&amp;"- "&amp;F45&amp;IF(ISBLANK(D45),""," (from "&amp;D45&amp;")")</f>
        <v xml:space="preserve"> 3.03 NEP Sasman         - Mark Quinn, lf (from BBG)</v>
      </c>
    </row>
    <row r="46" spans="1:8" s="35" customFormat="1" x14ac:dyDescent="0.25">
      <c r="A46" s="30">
        <v>44</v>
      </c>
      <c r="B46" s="30">
        <v>3</v>
      </c>
      <c r="C46" s="30">
        <v>4</v>
      </c>
      <c r="D46" s="30" t="s">
        <v>14</v>
      </c>
      <c r="E46" s="30" t="s">
        <v>10</v>
      </c>
      <c r="F46" s="38" t="s">
        <v>469</v>
      </c>
      <c r="G46" s="38" t="s">
        <v>456</v>
      </c>
      <c r="H46" s="39" t="str">
        <f>IF(B46&lt;10," ","")&amp;B46&amp;"."&amp;IF(C46&lt;10,"0","")&amp;C46&amp;" "&amp;E46&amp;" "&amp;VLOOKUP(E46,Teams!$A$2:$C$21,2,0)&amp;REPT(" ",Teams!C$1+1-VLOOKUP(E46,Teams!$A$2:$C$21,3,0))&amp;"- "&amp;F46&amp;IF(ISBLANK(D46),""," (from "&amp;D46&amp;")")</f>
        <v xml:space="preserve"> 3.04 FFR Scott          - J.C. Romero, lmr (from FDH)</v>
      </c>
    </row>
    <row r="47" spans="1:8" s="35" customFormat="1" x14ac:dyDescent="0.25">
      <c r="A47" s="30">
        <v>45</v>
      </c>
      <c r="B47" s="30">
        <v>3</v>
      </c>
      <c r="C47" s="30">
        <v>5</v>
      </c>
      <c r="D47" s="30"/>
      <c r="E47" s="30" t="s">
        <v>6</v>
      </c>
      <c r="F47" s="38" t="s">
        <v>470</v>
      </c>
      <c r="G47" s="38"/>
      <c r="H47" s="39" t="str">
        <f>IF(B47&lt;10," ","")&amp;B47&amp;"."&amp;IF(C47&lt;10,"0","")&amp;C47&amp;" "&amp;E47&amp;" "&amp;VLOOKUP(E47,Teams!$A$2:$C$21,2,0)&amp;REPT(" ",Teams!C$1+1-VLOOKUP(E47,Teams!$A$2:$C$21,3,0))&amp;"- "&amp;F47&amp;IF(ISBLANK(D47),""," (from "&amp;D47&amp;")")</f>
        <v xml:space="preserve"> 3.05 FHK Chernow        - Vicente Padilla, rmr</v>
      </c>
    </row>
    <row r="48" spans="1:8" s="35" customFormat="1" x14ac:dyDescent="0.25">
      <c r="A48" s="30">
        <v>46</v>
      </c>
      <c r="B48" s="30">
        <v>3</v>
      </c>
      <c r="C48" s="30">
        <v>6</v>
      </c>
      <c r="D48" s="30"/>
      <c r="E48" s="30" t="s">
        <v>2</v>
      </c>
      <c r="F48" s="38" t="s">
        <v>471</v>
      </c>
      <c r="G48" s="38"/>
      <c r="H48" s="39" t="str">
        <f>IF(B48&lt;10," ","")&amp;B48&amp;"."&amp;IF(C48&lt;10,"0","")&amp;C48&amp;" "&amp;E48&amp;" "&amp;VLOOKUP(E48,Teams!$A$2:$C$21,2,0)&amp;REPT(" ",Teams!C$1+1-VLOOKUP(E48,Teams!$A$2:$C$21,3,0))&amp;"- "&amp;F48&amp;IF(ISBLANK(D48),""," (from "&amp;D48&amp;")")</f>
        <v xml:space="preserve"> 3.06 FER Olkin          - Gil Meche, rsp</v>
      </c>
    </row>
    <row r="49" spans="1:8" s="35" customFormat="1" x14ac:dyDescent="0.25">
      <c r="A49" s="30">
        <v>47</v>
      </c>
      <c r="B49" s="30">
        <v>3</v>
      </c>
      <c r="C49" s="30">
        <v>7</v>
      </c>
      <c r="D49" s="30"/>
      <c r="E49" s="30" t="s">
        <v>12</v>
      </c>
      <c r="F49" s="38" t="s">
        <v>472</v>
      </c>
      <c r="G49" s="38"/>
      <c r="H49" s="39" t="str">
        <f>IF(B49&lt;10," ","")&amp;B49&amp;"."&amp;IF(C49&lt;10,"0","")&amp;C49&amp;" "&amp;E49&amp;" "&amp;VLOOKUP(E49,Teams!$A$2:$C$21,2,0)&amp;REPT(" ",Teams!C$1+1-VLOOKUP(E49,Teams!$A$2:$C$21,3,0))&amp;"- "&amp;F49&amp;IF(ISBLANK(D49),""," (from "&amp;D49&amp;")")</f>
        <v xml:space="preserve"> 3.07 OKO Smith          - Matt Herges, rmr</v>
      </c>
    </row>
    <row r="50" spans="1:8" s="35" customFormat="1" x14ac:dyDescent="0.25">
      <c r="A50" s="30">
        <v>48</v>
      </c>
      <c r="B50" s="30">
        <v>3</v>
      </c>
      <c r="C50" s="30">
        <v>8</v>
      </c>
      <c r="D50" s="30"/>
      <c r="E50" s="30" t="s">
        <v>7</v>
      </c>
      <c r="F50" s="38" t="s">
        <v>473</v>
      </c>
      <c r="G50" s="38"/>
      <c r="H50" s="39" t="str">
        <f>IF(B50&lt;10," ","")&amp;B50&amp;"."&amp;IF(C50&lt;10,"0","")&amp;C50&amp;" "&amp;E50&amp;" "&amp;VLOOKUP(E50,Teams!$A$2:$C$21,2,0)&amp;REPT(" ",Teams!C$1+1-VLOOKUP(E50,Teams!$A$2:$C$21,3,0))&amp;"- "&amp;F50&amp;IF(ISBLANK(D50),""," (from "&amp;D50&amp;")")</f>
        <v xml:space="preserve"> 3.08 MCL Manuel         - Chris Singleton, cf</v>
      </c>
    </row>
    <row r="51" spans="1:8" s="35" customFormat="1" x14ac:dyDescent="0.25">
      <c r="A51" s="30">
        <v>49</v>
      </c>
      <c r="B51" s="30">
        <v>3</v>
      </c>
      <c r="C51" s="30">
        <v>9</v>
      </c>
      <c r="D51" s="30" t="s">
        <v>5</v>
      </c>
      <c r="E51" s="30" t="s">
        <v>9</v>
      </c>
      <c r="F51" s="38" t="s">
        <v>474</v>
      </c>
      <c r="G51" s="38" t="s">
        <v>428</v>
      </c>
      <c r="H51" s="39" t="str">
        <f>IF(B51&lt;10," ","")&amp;B51&amp;"."&amp;IF(C51&lt;10,"0","")&amp;C51&amp;" "&amp;E51&amp;" "&amp;VLOOKUP(E51,Teams!$A$2:$C$21,2,0)&amp;REPT(" ",Teams!C$1+1-VLOOKUP(E51,Teams!$A$2:$C$21,3,0))&amp;"- "&amp;F51&amp;IF(ISBLANK(D51),""," (from "&amp;D51&amp;")")</f>
        <v xml:space="preserve"> 3.09 NEP Sasman         - Tony Armas Jr., rsp (from RMO)</v>
      </c>
    </row>
    <row r="52" spans="1:8" s="35" customFormat="1" x14ac:dyDescent="0.25">
      <c r="A52" s="30">
        <v>50</v>
      </c>
      <c r="B52" s="30">
        <v>3</v>
      </c>
      <c r="C52" s="30">
        <v>10</v>
      </c>
      <c r="D52" s="30"/>
      <c r="E52" s="30" t="s">
        <v>1</v>
      </c>
      <c r="F52" s="38" t="s">
        <v>480</v>
      </c>
      <c r="G52" s="38"/>
      <c r="H52" s="39" t="str">
        <f>IF(B52&lt;10," ","")&amp;B52&amp;"."&amp;IF(C52&lt;10,"0","")&amp;C52&amp;" "&amp;E52&amp;" "&amp;VLOOKUP(E52,Teams!$A$2:$C$21,2,0)&amp;REPT(" ",Teams!C$1+1-VLOOKUP(E52,Teams!$A$2:$C$21,3,0))&amp;"- "&amp;F52&amp;IF(ISBLANK(D52),""," (from "&amp;D52&amp;")")</f>
        <v xml:space="preserve"> 3.10 ZZY Poole          - Doug Davis, lmr</v>
      </c>
    </row>
    <row r="53" spans="1:8" s="35" customFormat="1" x14ac:dyDescent="0.25">
      <c r="A53" s="30">
        <v>51</v>
      </c>
      <c r="B53" s="30">
        <v>3</v>
      </c>
      <c r="C53" s="30">
        <v>11</v>
      </c>
      <c r="D53" s="30"/>
      <c r="E53" s="30" t="s">
        <v>18</v>
      </c>
      <c r="F53" s="38" t="s">
        <v>481</v>
      </c>
      <c r="G53" s="38"/>
      <c r="H53" s="39" t="str">
        <f>IF(B53&lt;10," ","")&amp;B53&amp;"."&amp;IF(C53&lt;10,"0","")&amp;C53&amp;" "&amp;E53&amp;" "&amp;VLOOKUP(E53,Teams!$A$2:$C$21,2,0)&amp;REPT(" ",Teams!C$1+1-VLOOKUP(E53,Teams!$A$2:$C$21,3,0))&amp;"- "&amp;F53&amp;IF(ISBLANK(D53),""," (from "&amp;D53&amp;")")</f>
        <v xml:space="preserve"> 3.11 CIN CMiller        - Jeff Weaver, rsp</v>
      </c>
    </row>
    <row r="54" spans="1:8" s="35" customFormat="1" x14ac:dyDescent="0.25">
      <c r="A54" s="30">
        <v>52</v>
      </c>
      <c r="B54" s="30">
        <v>3</v>
      </c>
      <c r="C54" s="30">
        <v>12</v>
      </c>
      <c r="D54" s="30" t="s">
        <v>13</v>
      </c>
      <c r="E54" s="30" t="s">
        <v>17</v>
      </c>
      <c r="F54" s="38" t="s">
        <v>482</v>
      </c>
      <c r="G54" s="38"/>
      <c r="H54" s="39" t="str">
        <f>IF(B54&lt;10," ","")&amp;B54&amp;"."&amp;IF(C54&lt;10,"0","")&amp;C54&amp;" "&amp;E54&amp;" "&amp;VLOOKUP(E54,Teams!$A$2:$C$21,2,0)&amp;REPT(" ",Teams!C$1+1-VLOOKUP(E54,Teams!$A$2:$C$21,3,0))&amp;"- "&amp;F54&amp;IF(ISBLANK(D54),""," (from "&amp;D54&amp;")")</f>
        <v xml:space="preserve"> 3.12 BAR Marshall       - Terry Adams, rmr (from CTW)</v>
      </c>
    </row>
    <row r="55" spans="1:8" s="35" customFormat="1" x14ac:dyDescent="0.25">
      <c r="A55" s="30">
        <v>53</v>
      </c>
      <c r="B55" s="30">
        <v>3</v>
      </c>
      <c r="C55" s="30">
        <v>13</v>
      </c>
      <c r="D55" s="30"/>
      <c r="E55" s="30" t="s">
        <v>357</v>
      </c>
      <c r="F55" s="38" t="s">
        <v>483</v>
      </c>
      <c r="G55" s="38"/>
      <c r="H55" s="39" t="str">
        <f>IF(B55&lt;10," ","")&amp;B55&amp;"."&amp;IF(C55&lt;10,"0","")&amp;C55&amp;" "&amp;E55&amp;" "&amp;VLOOKUP(E55,Teams!$A$2:$C$21,2,0)&amp;REPT(" ",Teams!C$1+1-VLOOKUP(E55,Teams!$A$2:$C$21,3,0))&amp;"- "&amp;F55&amp;IF(ISBLANK(D55),""," (from "&amp;D55&amp;")")</f>
        <v xml:space="preserve"> 3.13 FLL Carroll/Kleine - Ryan Franklin, rmr</v>
      </c>
    </row>
    <row r="56" spans="1:8" s="35" customFormat="1" x14ac:dyDescent="0.25">
      <c r="A56" s="30">
        <v>54</v>
      </c>
      <c r="B56" s="30">
        <v>3</v>
      </c>
      <c r="C56" s="30">
        <v>14</v>
      </c>
      <c r="D56" s="30" t="s">
        <v>17</v>
      </c>
      <c r="E56" s="30" t="s">
        <v>10</v>
      </c>
      <c r="F56" s="38" t="s">
        <v>485</v>
      </c>
      <c r="G56" s="38" t="s">
        <v>484</v>
      </c>
      <c r="H56" s="39" t="str">
        <f>IF(B56&lt;10," ","")&amp;B56&amp;"."&amp;IF(C56&lt;10,"0","")&amp;C56&amp;" "&amp;E56&amp;" "&amp;VLOOKUP(E56,Teams!$A$2:$C$21,2,0)&amp;REPT(" ",Teams!C$1+1-VLOOKUP(E56,Teams!$A$2:$C$21,3,0))&amp;"- "&amp;F56&amp;IF(ISBLANK(D56),""," (from "&amp;D56&amp;")")</f>
        <v xml:space="preserve"> 3.14 FFR Scott          - Tomo Ohka, rmr (from BAR)</v>
      </c>
    </row>
    <row r="57" spans="1:8" s="35" customFormat="1" x14ac:dyDescent="0.25">
      <c r="A57" s="30">
        <v>55</v>
      </c>
      <c r="B57" s="30">
        <v>3</v>
      </c>
      <c r="C57" s="30">
        <v>15</v>
      </c>
      <c r="D57" s="30" t="s">
        <v>8</v>
      </c>
      <c r="E57" s="30" t="s">
        <v>2</v>
      </c>
      <c r="F57" s="38" t="s">
        <v>486</v>
      </c>
      <c r="G57" s="38"/>
      <c r="H57" s="39" t="str">
        <f>IF(B57&lt;10," ","")&amp;B57&amp;"."&amp;IF(C57&lt;10,"0","")&amp;C57&amp;" "&amp;E57&amp;" "&amp;VLOOKUP(E57,Teams!$A$2:$C$21,2,0)&amp;REPT(" ",Teams!C$1+1-VLOOKUP(E57,Teams!$A$2:$C$21,3,0))&amp;"- "&amp;F57&amp;IF(ISBLANK(D57),""," (from "&amp;D57&amp;")")</f>
        <v xml:space="preserve"> 3.15 FER Olkin          - Wilson Alvarez, lsp (from CEN)</v>
      </c>
    </row>
    <row r="58" spans="1:8" s="35" customFormat="1" x14ac:dyDescent="0.25">
      <c r="A58" s="30">
        <v>56</v>
      </c>
      <c r="B58" s="30">
        <v>3</v>
      </c>
      <c r="C58" s="30">
        <v>16</v>
      </c>
      <c r="D58" s="30" t="s">
        <v>16</v>
      </c>
      <c r="E58" s="30" t="s">
        <v>12</v>
      </c>
      <c r="F58" s="38" t="s">
        <v>487</v>
      </c>
      <c r="G58" s="38" t="s">
        <v>432</v>
      </c>
      <c r="H58" s="39" t="str">
        <f>IF(B58&lt;10," ","")&amp;B58&amp;"."&amp;IF(C58&lt;10,"0","")&amp;C58&amp;" "&amp;E58&amp;" "&amp;VLOOKUP(E58,Teams!$A$2:$C$21,2,0)&amp;REPT(" ",Teams!C$1+1-VLOOKUP(E58,Teams!$A$2:$C$21,3,0))&amp;"- "&amp;F58&amp;IF(ISBLANK(D58),""," (from "&amp;D58&amp;")")</f>
        <v xml:space="preserve"> 3.16 OKO Smith          - Ron Gant, lf (from TAR)</v>
      </c>
    </row>
    <row r="59" spans="1:8" s="35" customFormat="1" x14ac:dyDescent="0.25">
      <c r="A59" s="30">
        <v>57</v>
      </c>
      <c r="B59" s="30">
        <v>3</v>
      </c>
      <c r="C59" s="30">
        <v>17</v>
      </c>
      <c r="D59" s="30"/>
      <c r="E59" s="30" t="s">
        <v>11</v>
      </c>
      <c r="F59" s="38" t="s">
        <v>488</v>
      </c>
      <c r="G59" s="38"/>
      <c r="H59" s="39" t="str">
        <f>IF(B59&lt;10," ","")&amp;B59&amp;"."&amp;IF(C59&lt;10,"0","")&amp;C59&amp;" "&amp;E59&amp;" "&amp;VLOOKUP(E59,Teams!$A$2:$C$21,2,0)&amp;REPT(" ",Teams!C$1+1-VLOOKUP(E59,Teams!$A$2:$C$21,3,0))&amp;"- "&amp;F59&amp;IF(ISBLANK(D59),""," (from "&amp;D59&amp;")")</f>
        <v xml:space="preserve"> 3.17 EVN Henninger      - Doug Glanville, cf</v>
      </c>
    </row>
    <row r="60" spans="1:8" s="35" customFormat="1" x14ac:dyDescent="0.25">
      <c r="A60" s="30">
        <v>58</v>
      </c>
      <c r="B60" s="30">
        <v>3</v>
      </c>
      <c r="C60" s="30">
        <v>18</v>
      </c>
      <c r="D60" s="30" t="s">
        <v>19</v>
      </c>
      <c r="E60" s="30" t="s">
        <v>2</v>
      </c>
      <c r="F60" s="38" t="s">
        <v>489</v>
      </c>
      <c r="G60" s="38"/>
      <c r="H60" s="39" t="str">
        <f>IF(B60&lt;10," ","")&amp;B60&amp;"."&amp;IF(C60&lt;10,"0","")&amp;C60&amp;" "&amp;E60&amp;" "&amp;VLOOKUP(E60,Teams!$A$2:$C$21,2,0)&amp;REPT(" ",Teams!C$1+1-VLOOKUP(E60,Teams!$A$2:$C$21,3,0))&amp;"- "&amp;F60&amp;IF(ISBLANK(D60),""," (from "&amp;D60&amp;")")</f>
        <v xml:space="preserve"> 3.18 FER Olkin          - Ryan Rupe, rsp (from TEW)</v>
      </c>
    </row>
    <row r="61" spans="1:8" s="35" customFormat="1" x14ac:dyDescent="0.25">
      <c r="A61" s="30">
        <v>59</v>
      </c>
      <c r="B61" s="30">
        <v>3</v>
      </c>
      <c r="C61" s="30">
        <v>19</v>
      </c>
      <c r="D61" s="30" t="s">
        <v>0</v>
      </c>
      <c r="E61" s="30" t="s">
        <v>3</v>
      </c>
      <c r="F61" s="38" t="s">
        <v>490</v>
      </c>
      <c r="G61" s="38"/>
      <c r="H61" s="39" t="str">
        <f>IF(B61&lt;10," ","")&amp;B61&amp;"."&amp;IF(C61&lt;10,"0","")&amp;C61&amp;" "&amp;E61&amp;" "&amp;VLOOKUP(E61,Teams!$A$2:$C$21,2,0)&amp;REPT(" ",Teams!C$1+1-VLOOKUP(E61,Teams!$A$2:$C$21,3,0))&amp;"- "&amp;F61&amp;IF(ISBLANK(D61),""," (from "&amp;D61&amp;")")</f>
        <v xml:space="preserve"> 3.19 GAR Bernstein      - Jamey Wright, rsp (from DLM)</v>
      </c>
    </row>
    <row r="62" spans="1:8" s="35" customFormat="1" x14ac:dyDescent="0.25">
      <c r="A62" s="30">
        <v>60</v>
      </c>
      <c r="B62" s="30">
        <v>3</v>
      </c>
      <c r="C62" s="30">
        <v>20</v>
      </c>
      <c r="D62" s="30"/>
      <c r="E62" s="30" t="s">
        <v>9</v>
      </c>
      <c r="F62" s="38" t="s">
        <v>491</v>
      </c>
      <c r="G62" s="38"/>
      <c r="H62" s="39" t="str">
        <f>IF(B62&lt;10," ","")&amp;B62&amp;"."&amp;IF(C62&lt;10,"0","")&amp;C62&amp;" "&amp;E62&amp;" "&amp;VLOOKUP(E62,Teams!$A$2:$C$21,2,0)&amp;REPT(" ",Teams!C$1+1-VLOOKUP(E62,Teams!$A$2:$C$21,3,0))&amp;"- "&amp;F62&amp;IF(ISBLANK(D62),""," (from "&amp;D62&amp;")")</f>
        <v xml:space="preserve"> 3.20 NEP Sasman         - Luis Alicea, 2b</v>
      </c>
    </row>
    <row r="63" spans="1:8" s="35" customFormat="1" x14ac:dyDescent="0.25">
      <c r="A63" s="30">
        <v>61</v>
      </c>
      <c r="B63" s="30">
        <v>4</v>
      </c>
      <c r="C63" s="30">
        <v>1</v>
      </c>
      <c r="D63" s="30" t="s">
        <v>10</v>
      </c>
      <c r="E63" s="30" t="s">
        <v>12</v>
      </c>
      <c r="F63" s="38" t="s">
        <v>493</v>
      </c>
      <c r="G63" s="38" t="s">
        <v>492</v>
      </c>
      <c r="H63" s="39" t="str">
        <f>IF(B63&lt;10," ","")&amp;B63&amp;"."&amp;IF(C63&lt;10,"0","")&amp;C63&amp;" "&amp;E63&amp;" "&amp;VLOOKUP(E63,Teams!$A$2:$C$21,2,0)&amp;REPT(" ",Teams!C$1+1-VLOOKUP(E63,Teams!$A$2:$C$21,3,0))&amp;"- "&amp;F63&amp;IF(ISBLANK(D63),""," (from "&amp;D63&amp;")")</f>
        <v xml:space="preserve"> 4.01 OKO Smith          - David Riske, rmr (from FFR)</v>
      </c>
    </row>
    <row r="64" spans="1:8" s="35" customFormat="1" x14ac:dyDescent="0.25">
      <c r="A64" s="30">
        <v>62</v>
      </c>
      <c r="B64" s="30">
        <v>4</v>
      </c>
      <c r="C64" s="30">
        <v>2</v>
      </c>
      <c r="D64" s="30" t="s">
        <v>3</v>
      </c>
      <c r="E64" s="30" t="s">
        <v>13</v>
      </c>
      <c r="F64" s="38" t="s">
        <v>497</v>
      </c>
      <c r="G64" s="38" t="s">
        <v>496</v>
      </c>
      <c r="H64" s="39" t="str">
        <f>IF(B64&lt;10," ","")&amp;B64&amp;"."&amp;IF(C64&lt;10,"0","")&amp;C64&amp;" "&amp;E64&amp;" "&amp;VLOOKUP(E64,Teams!$A$2:$C$21,2,0)&amp;REPT(" ",Teams!C$1+1-VLOOKUP(E64,Teams!$A$2:$C$21,3,0))&amp;"- "&amp;F64&amp;IF(ISBLANK(D64),""," (from "&amp;D64&amp;")")</f>
        <v xml:space="preserve"> 4.02 CTW RMiller        - FP Santangelo, cf (from GAR)</v>
      </c>
    </row>
    <row r="65" spans="1:8" s="35" customFormat="1" x14ac:dyDescent="0.25">
      <c r="A65" s="30">
        <v>63</v>
      </c>
      <c r="B65" s="30">
        <v>4</v>
      </c>
      <c r="C65" s="30">
        <v>3</v>
      </c>
      <c r="D65" s="30" t="s">
        <v>4</v>
      </c>
      <c r="E65" s="30" t="s">
        <v>10</v>
      </c>
      <c r="F65" s="38" t="s">
        <v>507</v>
      </c>
      <c r="G65" s="38" t="s">
        <v>505</v>
      </c>
      <c r="H65" s="39" t="str">
        <f>IF(B65&lt;10," ","")&amp;B65&amp;"."&amp;IF(C65&lt;10,"0","")&amp;C65&amp;" "&amp;E65&amp;" "&amp;VLOOKUP(E65,Teams!$A$2:$C$21,2,0)&amp;REPT(" ",Teams!C$1+1-VLOOKUP(E65,Teams!$A$2:$C$21,3,0))&amp;"- "&amp;F65&amp;IF(ISBLANK(D65),""," (from "&amp;D65&amp;")")</f>
        <v xml:space="preserve"> 4.03 FFR Scott          - Darren Holmes, rmr (from BBG)</v>
      </c>
    </row>
    <row r="66" spans="1:8" s="35" customFormat="1" x14ac:dyDescent="0.25">
      <c r="A66" s="30">
        <v>64</v>
      </c>
      <c r="B66" s="30">
        <v>4</v>
      </c>
      <c r="C66" s="30">
        <v>4</v>
      </c>
      <c r="D66" s="30"/>
      <c r="E66" s="30" t="s">
        <v>14</v>
      </c>
      <c r="F66" s="38" t="s">
        <v>506</v>
      </c>
      <c r="G66" s="38"/>
      <c r="H66" s="39" t="str">
        <f>IF(B66&lt;10," ","")&amp;B66&amp;"."&amp;IF(C66&lt;10,"0","")&amp;C66&amp;" "&amp;E66&amp;" "&amp;VLOOKUP(E66,Teams!$A$2:$C$21,2,0)&amp;REPT(" ",Teams!C$1+1-VLOOKUP(E66,Teams!$A$2:$C$21,3,0))&amp;"- "&amp;F66&amp;IF(ISBLANK(D66),""," (from "&amp;D66&amp;")")</f>
        <v xml:space="preserve"> 4.04 FDH English        - Rolando Arrojo, rsp</v>
      </c>
    </row>
    <row r="67" spans="1:8" s="35" customFormat="1" x14ac:dyDescent="0.25">
      <c r="A67" s="30">
        <v>65</v>
      </c>
      <c r="B67" s="30">
        <v>4</v>
      </c>
      <c r="C67" s="30">
        <v>5</v>
      </c>
      <c r="D67" s="30" t="s">
        <v>12</v>
      </c>
      <c r="E67" s="30" t="s">
        <v>3</v>
      </c>
      <c r="F67" s="38" t="s">
        <v>508</v>
      </c>
      <c r="G67" s="38"/>
      <c r="H67" s="39" t="str">
        <f>IF(B67&lt;10," ","")&amp;B67&amp;"."&amp;IF(C67&lt;10,"0","")&amp;C67&amp;" "&amp;E67&amp;" "&amp;VLOOKUP(E67,Teams!$A$2:$C$21,2,0)&amp;REPT(" ",Teams!C$1+1-VLOOKUP(E67,Teams!$A$2:$C$21,3,0))&amp;"- "&amp;F67&amp;IF(ISBLANK(D67),""," (from "&amp;D67&amp;")")</f>
        <v xml:space="preserve"> 4.05 GAR Bernstein      - Ben Petrick, c (from OKO)</v>
      </c>
    </row>
    <row r="68" spans="1:8" s="35" customFormat="1" x14ac:dyDescent="0.25">
      <c r="A68" s="30">
        <v>66</v>
      </c>
      <c r="B68" s="30">
        <v>4</v>
      </c>
      <c r="C68" s="30">
        <v>6</v>
      </c>
      <c r="D68" s="30"/>
      <c r="E68" s="30" t="s">
        <v>2</v>
      </c>
      <c r="F68" s="38" t="s">
        <v>509</v>
      </c>
      <c r="G68" s="38"/>
      <c r="H68" s="39" t="str">
        <f>IF(B68&lt;10," ","")&amp;B68&amp;"."&amp;IF(C68&lt;10,"0","")&amp;C68&amp;" "&amp;E68&amp;" "&amp;VLOOKUP(E68,Teams!$A$2:$C$21,2,0)&amp;REPT(" ",Teams!C$1+1-VLOOKUP(E68,Teams!$A$2:$C$21,3,0))&amp;"- "&amp;F68&amp;IF(ISBLANK(D68),""," (from "&amp;D68&amp;")")</f>
        <v xml:space="preserve"> 4.06 FER Olkin          - Blake Stein, rsp</v>
      </c>
    </row>
    <row r="69" spans="1:8" s="35" customFormat="1" x14ac:dyDescent="0.25">
      <c r="A69" s="30">
        <v>67</v>
      </c>
      <c r="B69" s="30">
        <v>4</v>
      </c>
      <c r="C69" s="30">
        <v>7</v>
      </c>
      <c r="D69" s="30"/>
      <c r="E69" s="30" t="s">
        <v>6</v>
      </c>
      <c r="F69" s="38" t="s">
        <v>510</v>
      </c>
      <c r="G69" s="38"/>
      <c r="H69" s="39" t="str">
        <f>IF(B69&lt;10," ","")&amp;B69&amp;"."&amp;IF(C69&lt;10,"0","")&amp;C69&amp;" "&amp;E69&amp;" "&amp;VLOOKUP(E69,Teams!$A$2:$C$21,2,0)&amp;REPT(" ",Teams!C$1+1-VLOOKUP(E69,Teams!$A$2:$C$21,3,0))&amp;"- "&amp;F69&amp;IF(ISBLANK(D69),""," (from "&amp;D69&amp;")")</f>
        <v xml:space="preserve"> 4.07 FHK Chernow        - Bill Spiers, 3b</v>
      </c>
    </row>
    <row r="70" spans="1:8" s="35" customFormat="1" x14ac:dyDescent="0.25">
      <c r="A70" s="30">
        <v>68</v>
      </c>
      <c r="B70" s="30">
        <v>4</v>
      </c>
      <c r="C70" s="30">
        <v>8</v>
      </c>
      <c r="D70" s="30"/>
      <c r="E70" s="30" t="s">
        <v>7</v>
      </c>
      <c r="F70" s="38" t="s">
        <v>511</v>
      </c>
      <c r="G70" s="38"/>
      <c r="H70" s="39" t="str">
        <f>IF(B70&lt;10," ","")&amp;B70&amp;"."&amp;IF(C70&lt;10,"0","")&amp;C70&amp;" "&amp;E70&amp;" "&amp;VLOOKUP(E70,Teams!$A$2:$C$21,2,0)&amp;REPT(" ",Teams!C$1+1-VLOOKUP(E70,Teams!$A$2:$C$21,3,0))&amp;"- "&amp;F70&amp;IF(ISBLANK(D70),""," (from "&amp;D70&amp;")")</f>
        <v xml:space="preserve"> 4.08 MCL Manuel         - Alan Embree, lmr</v>
      </c>
    </row>
    <row r="71" spans="1:8" s="35" customFormat="1" x14ac:dyDescent="0.25">
      <c r="A71" s="30">
        <v>69</v>
      </c>
      <c r="B71" s="30">
        <v>4</v>
      </c>
      <c r="C71" s="30">
        <v>9</v>
      </c>
      <c r="D71" s="30"/>
      <c r="E71" s="30" t="s">
        <v>5</v>
      </c>
      <c r="F71" s="38" t="s">
        <v>512</v>
      </c>
      <c r="G71" s="38"/>
      <c r="H71" s="39" t="str">
        <f>IF(B71&lt;10," ","")&amp;B71&amp;"."&amp;IF(C71&lt;10,"0","")&amp;C71&amp;" "&amp;E71&amp;" "&amp;VLOOKUP(E71,Teams!$A$2:$C$21,2,0)&amp;REPT(" ",Teams!C$1+1-VLOOKUP(E71,Teams!$A$2:$C$21,3,0))&amp;"- "&amp;F71&amp;IF(ISBLANK(D71),""," (from "&amp;D71&amp;")")</f>
        <v xml:space="preserve"> 4.09 RMO Haverty/Mojo   - Scott Strickland, rmr</v>
      </c>
    </row>
    <row r="72" spans="1:8" s="35" customFormat="1" x14ac:dyDescent="0.25">
      <c r="A72" s="30">
        <v>70</v>
      </c>
      <c r="B72" s="30">
        <v>4</v>
      </c>
      <c r="C72" s="30">
        <v>10</v>
      </c>
      <c r="D72" s="30"/>
      <c r="E72" s="30" t="s">
        <v>1</v>
      </c>
      <c r="F72" s="38" t="s">
        <v>513</v>
      </c>
      <c r="G72" s="38"/>
      <c r="H72" s="39" t="str">
        <f>IF(B72&lt;10," ","")&amp;B72&amp;"."&amp;IF(C72&lt;10,"0","")&amp;C72&amp;" "&amp;E72&amp;" "&amp;VLOOKUP(E72,Teams!$A$2:$C$21,2,0)&amp;REPT(" ",Teams!C$1+1-VLOOKUP(E72,Teams!$A$2:$C$21,3,0))&amp;"- "&amp;F72&amp;IF(ISBLANK(D72),""," (from "&amp;D72&amp;")")</f>
        <v xml:space="preserve"> 4.10 ZZY Poole          - Scott Sauerbeck, lmr</v>
      </c>
    </row>
    <row r="73" spans="1:8" s="35" customFormat="1" x14ac:dyDescent="0.25">
      <c r="A73" s="30">
        <v>71</v>
      </c>
      <c r="B73" s="30">
        <v>4</v>
      </c>
      <c r="C73" s="30">
        <v>11</v>
      </c>
      <c r="D73" s="30" t="s">
        <v>18</v>
      </c>
      <c r="E73" s="30" t="s">
        <v>4</v>
      </c>
      <c r="F73" s="38" t="s">
        <v>514</v>
      </c>
      <c r="G73" s="38"/>
      <c r="H73" s="39" t="str">
        <f>IF(B73&lt;10," ","")&amp;B73&amp;"."&amp;IF(C73&lt;10,"0","")&amp;C73&amp;" "&amp;E73&amp;" "&amp;VLOOKUP(E73,Teams!$A$2:$C$21,2,0)&amp;REPT(" ",Teams!C$1+1-VLOOKUP(E73,Teams!$A$2:$C$21,3,0))&amp;"- "&amp;F73&amp;IF(ISBLANK(D73),""," (from "&amp;D73&amp;")")</f>
        <v xml:space="preserve"> 4.11 BBG Canter         - Mike Benjamin, ss (from CIN)</v>
      </c>
    </row>
    <row r="74" spans="1:8" s="35" customFormat="1" x14ac:dyDescent="0.25">
      <c r="A74" s="30">
        <v>72</v>
      </c>
      <c r="B74" s="30">
        <v>4</v>
      </c>
      <c r="C74" s="30">
        <v>12</v>
      </c>
      <c r="D74" s="30" t="s">
        <v>13</v>
      </c>
      <c r="E74" s="30" t="s">
        <v>3</v>
      </c>
      <c r="F74" s="38" t="s">
        <v>515</v>
      </c>
      <c r="G74" s="38"/>
      <c r="H74" s="39" t="str">
        <f>IF(B74&lt;10," ","")&amp;B74&amp;"."&amp;IF(C74&lt;10,"0","")&amp;C74&amp;" "&amp;E74&amp;" "&amp;VLOOKUP(E74,Teams!$A$2:$C$21,2,0)&amp;REPT(" ",Teams!C$1+1-VLOOKUP(E74,Teams!$A$2:$C$21,3,0))&amp;"- "&amp;F74&amp;IF(ISBLANK(D74),""," (from "&amp;D74&amp;")")</f>
        <v xml:space="preserve"> 4.12 GAR Bernstein      - D'Angelo Jimenez, 3b (from CTW)</v>
      </c>
    </row>
    <row r="75" spans="1:8" s="35" customFormat="1" x14ac:dyDescent="0.25">
      <c r="A75" s="30">
        <v>73</v>
      </c>
      <c r="B75" s="30">
        <v>4</v>
      </c>
      <c r="C75" s="30">
        <v>13</v>
      </c>
      <c r="D75" s="30"/>
      <c r="E75" s="30" t="s">
        <v>357</v>
      </c>
      <c r="F75" s="38" t="s">
        <v>516</v>
      </c>
      <c r="G75" s="38"/>
      <c r="H75" s="39" t="str">
        <f>IF(B75&lt;10," ","")&amp;B75&amp;"."&amp;IF(C75&lt;10,"0","")&amp;C75&amp;" "&amp;E75&amp;" "&amp;VLOOKUP(E75,Teams!$A$2:$C$21,2,0)&amp;REPT(" ",Teams!C$1+1-VLOOKUP(E75,Teams!$A$2:$C$21,3,0))&amp;"- "&amp;F75&amp;IF(ISBLANK(D75),""," (from "&amp;D75&amp;")")</f>
        <v xml:space="preserve"> 4.13 FLL Carroll/Kleine - Rey Sanchez, ss</v>
      </c>
    </row>
    <row r="76" spans="1:8" s="35" customFormat="1" x14ac:dyDescent="0.25">
      <c r="A76" s="30">
        <v>74</v>
      </c>
      <c r="B76" s="30">
        <v>4</v>
      </c>
      <c r="C76" s="30">
        <v>14</v>
      </c>
      <c r="D76" s="30" t="s">
        <v>17</v>
      </c>
      <c r="E76" s="30" t="s">
        <v>1</v>
      </c>
      <c r="F76" s="38" t="s">
        <v>517</v>
      </c>
      <c r="G76" s="38"/>
      <c r="H76" s="39" t="str">
        <f>IF(B76&lt;10," ","")&amp;B76&amp;"."&amp;IF(C76&lt;10,"0","")&amp;C76&amp;" "&amp;E76&amp;" "&amp;VLOOKUP(E76,Teams!$A$2:$C$21,2,0)&amp;REPT(" ",Teams!C$1+1-VLOOKUP(E76,Teams!$A$2:$C$21,3,0))&amp;"- "&amp;F76&amp;IF(ISBLANK(D76),""," (from "&amp;D76&amp;")")</f>
        <v xml:space="preserve"> 4.14 ZZY Poole          - Kevin McGlinchy, rmr (from BAR)</v>
      </c>
    </row>
    <row r="77" spans="1:8" s="35" customFormat="1" x14ac:dyDescent="0.25">
      <c r="A77" s="30">
        <v>75</v>
      </c>
      <c r="B77" s="30">
        <v>4</v>
      </c>
      <c r="C77" s="30">
        <v>15</v>
      </c>
      <c r="D77" s="30" t="s">
        <v>16</v>
      </c>
      <c r="E77" s="30" t="s">
        <v>10</v>
      </c>
      <c r="F77" s="38" t="s">
        <v>518</v>
      </c>
      <c r="G77" s="38"/>
      <c r="H77" s="39" t="str">
        <f>IF(B77&lt;10," ","")&amp;B77&amp;"."&amp;IF(C77&lt;10,"0","")&amp;C77&amp;" "&amp;E77&amp;" "&amp;VLOOKUP(E77,Teams!$A$2:$C$21,2,0)&amp;REPT(" ",Teams!C$1+1-VLOOKUP(E77,Teams!$A$2:$C$21,3,0))&amp;"- "&amp;F77&amp;IF(ISBLANK(D77),""," (from "&amp;D77&amp;")")</f>
        <v xml:space="preserve"> 4.15 FFR Scott          - David Bell, 2b (from TAR)</v>
      </c>
    </row>
    <row r="78" spans="1:8" s="35" customFormat="1" x14ac:dyDescent="0.25">
      <c r="A78" s="30">
        <v>76</v>
      </c>
      <c r="B78" s="30">
        <v>4</v>
      </c>
      <c r="C78" s="30">
        <v>16</v>
      </c>
      <c r="D78" s="30" t="s">
        <v>8</v>
      </c>
      <c r="E78" s="30" t="s">
        <v>14</v>
      </c>
      <c r="F78" s="38" t="s">
        <v>522</v>
      </c>
      <c r="G78" s="38" t="s">
        <v>521</v>
      </c>
      <c r="H78" s="39" t="str">
        <f>IF(B78&lt;10," ","")&amp;B78&amp;"."&amp;IF(C78&lt;10,"0","")&amp;C78&amp;" "&amp;E78&amp;" "&amp;VLOOKUP(E78,Teams!$A$2:$C$21,2,0)&amp;REPT(" ",Teams!C$1+1-VLOOKUP(E78,Teams!$A$2:$C$21,3,0))&amp;"- "&amp;F78&amp;IF(ISBLANK(D78),""," (from "&amp;D78&amp;")")</f>
        <v xml:space="preserve"> 4.16 FDH English        - Wiki Gonzalez, c (from CEN)</v>
      </c>
    </row>
    <row r="79" spans="1:8" s="35" customFormat="1" x14ac:dyDescent="0.25">
      <c r="A79" s="30">
        <v>77</v>
      </c>
      <c r="B79" s="30">
        <v>4</v>
      </c>
      <c r="C79" s="30">
        <v>17</v>
      </c>
      <c r="D79" s="30" t="s">
        <v>11</v>
      </c>
      <c r="E79" s="30" t="s">
        <v>18</v>
      </c>
      <c r="F79" s="38" t="s">
        <v>523</v>
      </c>
      <c r="G79" s="38"/>
      <c r="H79" s="39" t="str">
        <f>IF(B79&lt;10," ","")&amp;B79&amp;"."&amp;IF(C79&lt;10,"0","")&amp;C79&amp;" "&amp;E79&amp;" "&amp;VLOOKUP(E79,Teams!$A$2:$C$21,2,0)&amp;REPT(" ",Teams!C$1+1-VLOOKUP(E79,Teams!$A$2:$C$21,3,0))&amp;"- "&amp;F79&amp;IF(ISBLANK(D79),""," (from "&amp;D79&amp;")")</f>
        <v xml:space="preserve"> 4.17 CIN CMiller        - Guillermo Mota, rmr (from EVN)</v>
      </c>
    </row>
    <row r="80" spans="1:8" s="35" customFormat="1" x14ac:dyDescent="0.25">
      <c r="A80" s="30">
        <v>78</v>
      </c>
      <c r="B80" s="30">
        <v>4</v>
      </c>
      <c r="C80" s="30">
        <v>18</v>
      </c>
      <c r="D80" s="30" t="s">
        <v>19</v>
      </c>
      <c r="E80" s="30" t="s">
        <v>3</v>
      </c>
      <c r="F80" s="38" t="s">
        <v>524</v>
      </c>
      <c r="G80" s="38"/>
      <c r="H80" s="39" t="str">
        <f>IF(B80&lt;10," ","")&amp;B80&amp;"."&amp;IF(C80&lt;10,"0","")&amp;C80&amp;" "&amp;E80&amp;" "&amp;VLOOKUP(E80,Teams!$A$2:$C$21,2,0)&amp;REPT(" ",Teams!C$1+1-VLOOKUP(E80,Teams!$A$2:$C$21,3,0))&amp;"- "&amp;F80&amp;IF(ISBLANK(D80),""," (from "&amp;D80&amp;")")</f>
        <v xml:space="preserve"> 4.18 GAR Bernstein      - Mike DiFelice, c (from TEW)</v>
      </c>
    </row>
    <row r="81" spans="1:8" s="35" customFormat="1" x14ac:dyDescent="0.25">
      <c r="A81" s="30">
        <v>79</v>
      </c>
      <c r="B81" s="30">
        <v>4</v>
      </c>
      <c r="C81" s="30">
        <v>19</v>
      </c>
      <c r="D81" s="30" t="s">
        <v>458</v>
      </c>
      <c r="E81" s="30" t="s">
        <v>10</v>
      </c>
      <c r="F81" s="38" t="s">
        <v>525</v>
      </c>
      <c r="G81" s="38" t="s">
        <v>457</v>
      </c>
      <c r="H81" s="39" t="str">
        <f>IF(B81&lt;10," ","")&amp;B81&amp;"."&amp;IF(C81&lt;10,"0","")&amp;C81&amp;" "&amp;E81&amp;" "&amp;VLOOKUP(E81,Teams!$A$2:$C$21,2,0)&amp;REPT(" ",Teams!C$1+1-VLOOKUP(E81,Teams!$A$2:$C$21,3,0))&amp;"- "&amp;F81&amp;IF(ISBLANK(D81),""," (from "&amp;D81&amp;")")</f>
        <v xml:space="preserve"> 4.19 FFR Scott          - Luis Vizcaino, rmr (from DLM/FDH)</v>
      </c>
    </row>
    <row r="82" spans="1:8" s="35" customFormat="1" x14ac:dyDescent="0.25">
      <c r="A82" s="30">
        <v>80</v>
      </c>
      <c r="B82" s="30">
        <v>4</v>
      </c>
      <c r="C82" s="30">
        <v>20</v>
      </c>
      <c r="D82" s="30"/>
      <c r="E82" s="30" t="s">
        <v>9</v>
      </c>
      <c r="F82" s="38" t="s">
        <v>529</v>
      </c>
      <c r="G82" s="38"/>
      <c r="H82" s="39" t="str">
        <f>IF(B82&lt;10," ","")&amp;B82&amp;"."&amp;IF(C82&lt;10,"0","")&amp;C82&amp;" "&amp;E82&amp;" "&amp;VLOOKUP(E82,Teams!$A$2:$C$21,2,0)&amp;REPT(" ",Teams!C$1+1-VLOOKUP(E82,Teams!$A$2:$C$21,3,0))&amp;"- "&amp;F82&amp;IF(ISBLANK(D82),""," (from "&amp;D82&amp;")")</f>
        <v xml:space="preserve"> 4.20 NEP Sasman         - Ramon Ortiz, rsp</v>
      </c>
    </row>
    <row r="83" spans="1:8" s="35" customFormat="1" x14ac:dyDescent="0.25">
      <c r="A83" s="30">
        <v>81</v>
      </c>
      <c r="B83" s="30">
        <v>5</v>
      </c>
      <c r="C83" s="30">
        <v>1</v>
      </c>
      <c r="D83" s="30" t="s">
        <v>10</v>
      </c>
      <c r="E83" s="30" t="s">
        <v>17</v>
      </c>
      <c r="F83" s="38" t="s">
        <v>530</v>
      </c>
      <c r="G83" s="38" t="s">
        <v>526</v>
      </c>
      <c r="H83" s="39" t="str">
        <f>IF(B83&lt;10," ","")&amp;B83&amp;"."&amp;IF(C83&lt;10,"0","")&amp;C83&amp;" "&amp;E83&amp;" "&amp;VLOOKUP(E83,Teams!$A$2:$C$21,2,0)&amp;REPT(" ",Teams!C$1+1-VLOOKUP(E83,Teams!$A$2:$C$21,3,0))&amp;"- "&amp;F83&amp;IF(ISBLANK(D83),""," (from "&amp;D83&amp;")")</f>
        <v xml:space="preserve"> 5.01 BAR Marshall       - Terry Steinbach, c (from FFR)</v>
      </c>
    </row>
    <row r="84" spans="1:8" s="35" customFormat="1" x14ac:dyDescent="0.25">
      <c r="A84" s="30">
        <v>82</v>
      </c>
      <c r="B84" s="30">
        <v>5</v>
      </c>
      <c r="C84" s="30">
        <v>2</v>
      </c>
      <c r="D84" s="30"/>
      <c r="E84" s="30" t="s">
        <v>3</v>
      </c>
      <c r="F84" s="38" t="s">
        <v>531</v>
      </c>
      <c r="G84" s="38"/>
      <c r="H84" s="39" t="str">
        <f>IF(B84&lt;10," ","")&amp;B84&amp;"."&amp;IF(C84&lt;10,"0","")&amp;C84&amp;" "&amp;E84&amp;" "&amp;VLOOKUP(E84,Teams!$A$2:$C$21,2,0)&amp;REPT(" ",Teams!C$1+1-VLOOKUP(E84,Teams!$A$2:$C$21,3,0))&amp;"- "&amp;F84&amp;IF(ISBLANK(D84),""," (from "&amp;D84&amp;")")</f>
        <v xml:space="preserve"> 5.02 GAR Bernstein      - Lou Pote, rmr</v>
      </c>
    </row>
    <row r="85" spans="1:8" s="35" customFormat="1" x14ac:dyDescent="0.25">
      <c r="A85" s="30">
        <v>83</v>
      </c>
      <c r="B85" s="30">
        <v>5</v>
      </c>
      <c r="C85" s="30">
        <v>3</v>
      </c>
      <c r="D85" s="30" t="s">
        <v>4</v>
      </c>
      <c r="E85" s="30" t="s">
        <v>9</v>
      </c>
      <c r="F85" s="38" t="s">
        <v>532</v>
      </c>
      <c r="G85" s="38"/>
      <c r="H85" s="39" t="str">
        <f>IF(B85&lt;10," ","")&amp;B85&amp;"."&amp;IF(C85&lt;10,"0","")&amp;C85&amp;" "&amp;E85&amp;" "&amp;VLOOKUP(E85,Teams!$A$2:$C$21,2,0)&amp;REPT(" ",Teams!C$1+1-VLOOKUP(E85,Teams!$A$2:$C$21,3,0))&amp;"- "&amp;F85&amp;IF(ISBLANK(D85),""," (from "&amp;D85&amp;")")</f>
        <v xml:space="preserve"> 5.03 NEP Sasman         - Sandy Alomar, c (from BBG)</v>
      </c>
    </row>
    <row r="86" spans="1:8" s="35" customFormat="1" x14ac:dyDescent="0.25">
      <c r="A86" s="30">
        <v>84</v>
      </c>
      <c r="B86" s="30">
        <v>5</v>
      </c>
      <c r="C86" s="30">
        <v>4</v>
      </c>
      <c r="D86" s="30" t="s">
        <v>527</v>
      </c>
      <c r="E86" s="30" t="s">
        <v>17</v>
      </c>
      <c r="F86" s="38" t="s">
        <v>533</v>
      </c>
      <c r="G86" s="38" t="s">
        <v>528</v>
      </c>
      <c r="H86" s="39" t="str">
        <f>IF(B86&lt;10," ","")&amp;B86&amp;"."&amp;IF(C86&lt;10,"0","")&amp;C86&amp;" "&amp;E86&amp;" "&amp;VLOOKUP(E86,Teams!$A$2:$C$21,2,0)&amp;REPT(" ",Teams!C$1+1-VLOOKUP(E86,Teams!$A$2:$C$21,3,0))&amp;"- "&amp;F86&amp;IF(ISBLANK(D86),""," (from "&amp;D86&amp;")")</f>
        <v xml:space="preserve"> 5.04 BAR Marshall       - Jason Grimsley, rmr (from FDH/FFR)</v>
      </c>
    </row>
    <row r="87" spans="1:8" s="35" customFormat="1" x14ac:dyDescent="0.25">
      <c r="A87" s="30">
        <v>85</v>
      </c>
      <c r="B87" s="30">
        <v>5</v>
      </c>
      <c r="C87" s="30">
        <v>5</v>
      </c>
      <c r="D87" s="30"/>
      <c r="E87" s="30" t="s">
        <v>6</v>
      </c>
      <c r="F87" s="38" t="s">
        <v>534</v>
      </c>
      <c r="G87" s="38"/>
      <c r="H87" s="39" t="str">
        <f>IF(B87&lt;10," ","")&amp;B87&amp;"."&amp;IF(C87&lt;10,"0","")&amp;C87&amp;" "&amp;E87&amp;" "&amp;VLOOKUP(E87,Teams!$A$2:$C$21,2,0)&amp;REPT(" ",Teams!C$1+1-VLOOKUP(E87,Teams!$A$2:$C$21,3,0))&amp;"- "&amp;F87&amp;IF(ISBLANK(D87),""," (from "&amp;D87&amp;")")</f>
        <v xml:space="preserve"> 5.05 FHK Chernow        - Mike Venafro, lmr</v>
      </c>
    </row>
    <row r="88" spans="1:8" s="35" customFormat="1" x14ac:dyDescent="0.25">
      <c r="A88" s="30">
        <v>86</v>
      </c>
      <c r="B88" s="30">
        <v>5</v>
      </c>
      <c r="C88" s="30">
        <v>6</v>
      </c>
      <c r="D88" s="30"/>
      <c r="E88" s="30" t="s">
        <v>2</v>
      </c>
      <c r="F88" s="38" t="s">
        <v>535</v>
      </c>
      <c r="G88" s="38"/>
      <c r="H88" s="39" t="str">
        <f>IF(B88&lt;10," ","")&amp;B88&amp;"."&amp;IF(C88&lt;10,"0","")&amp;C88&amp;" "&amp;E88&amp;" "&amp;VLOOKUP(E88,Teams!$A$2:$C$21,2,0)&amp;REPT(" ",Teams!C$1+1-VLOOKUP(E88,Teams!$A$2:$C$21,3,0))&amp;"- "&amp;F88&amp;IF(ISBLANK(D88),""," (from "&amp;D88&amp;")")</f>
        <v xml:space="preserve"> 5.06 FER Olkin          - Kip Wells, rsp</v>
      </c>
    </row>
    <row r="89" spans="1:8" s="35" customFormat="1" x14ac:dyDescent="0.25">
      <c r="A89" s="30">
        <v>87</v>
      </c>
      <c r="B89" s="30">
        <v>5</v>
      </c>
      <c r="C89" s="30">
        <v>7</v>
      </c>
      <c r="D89" s="30" t="s">
        <v>12</v>
      </c>
      <c r="E89" s="30" t="s">
        <v>4</v>
      </c>
      <c r="F89" s="38" t="s">
        <v>541</v>
      </c>
      <c r="G89" s="38"/>
      <c r="H89" s="39" t="str">
        <f>IF(B89&lt;10," ","")&amp;B89&amp;"."&amp;IF(C89&lt;10,"0","")&amp;C89&amp;" "&amp;E89&amp;" "&amp;VLOOKUP(E89,Teams!$A$2:$C$21,2,0)&amp;REPT(" ",Teams!C$1+1-VLOOKUP(E89,Teams!$A$2:$C$21,3,0))&amp;"- "&amp;F89&amp;IF(ISBLANK(D89),""," (from "&amp;D89&amp;")")</f>
        <v xml:space="preserve"> 5.07 BBG Canter         - David Lee, rmr (from OKO)</v>
      </c>
    </row>
    <row r="90" spans="1:8" s="35" customFormat="1" x14ac:dyDescent="0.25">
      <c r="A90" s="30">
        <v>88</v>
      </c>
      <c r="B90" s="30">
        <v>5</v>
      </c>
      <c r="C90" s="30">
        <v>8</v>
      </c>
      <c r="D90" s="30"/>
      <c r="E90" s="30" t="s">
        <v>7</v>
      </c>
      <c r="F90" s="38" t="s">
        <v>542</v>
      </c>
      <c r="G90" s="38"/>
      <c r="H90" s="39" t="str">
        <f>IF(B90&lt;10," ","")&amp;B90&amp;"."&amp;IF(C90&lt;10,"0","")&amp;C90&amp;" "&amp;E90&amp;" "&amp;VLOOKUP(E90,Teams!$A$2:$C$21,2,0)&amp;REPT(" ",Teams!C$1+1-VLOOKUP(E90,Teams!$A$2:$C$21,3,0))&amp;"- "&amp;F90&amp;IF(ISBLANK(D90),""," (from "&amp;D90&amp;")")</f>
        <v xml:space="preserve"> 5.08 MCL Manuel         - Steve Schrenk, rmr</v>
      </c>
    </row>
    <row r="91" spans="1:8" s="35" customFormat="1" x14ac:dyDescent="0.25">
      <c r="A91" s="30">
        <v>89</v>
      </c>
      <c r="B91" s="30">
        <v>5</v>
      </c>
      <c r="C91" s="30">
        <v>9</v>
      </c>
      <c r="D91" s="30" t="s">
        <v>1</v>
      </c>
      <c r="E91" s="30" t="s">
        <v>7</v>
      </c>
      <c r="F91" s="38" t="s">
        <v>543</v>
      </c>
      <c r="G91" s="38"/>
      <c r="H91" s="39" t="str">
        <f>IF(B91&lt;10," ","")&amp;B91&amp;"."&amp;IF(C91&lt;10,"0","")&amp;C91&amp;" "&amp;E91&amp;" "&amp;VLOOKUP(E91,Teams!$A$2:$C$21,2,0)&amp;REPT(" ",Teams!C$1+1-VLOOKUP(E91,Teams!$A$2:$C$21,3,0))&amp;"- "&amp;F91&amp;IF(ISBLANK(D91),""," (from "&amp;D91&amp;")")</f>
        <v xml:space="preserve"> 5.09 MCL Manuel         - Allen Watson, lmr (from ZZY)</v>
      </c>
    </row>
    <row r="92" spans="1:8" s="35" customFormat="1" x14ac:dyDescent="0.25">
      <c r="A92" s="30">
        <v>90</v>
      </c>
      <c r="B92" s="30">
        <v>5</v>
      </c>
      <c r="C92" s="30">
        <v>10</v>
      </c>
      <c r="D92" s="30"/>
      <c r="E92" s="30" t="s">
        <v>18</v>
      </c>
      <c r="F92" s="38" t="s">
        <v>544</v>
      </c>
      <c r="G92" s="38"/>
      <c r="H92" s="39" t="str">
        <f>IF(B92&lt;10," ","")&amp;B92&amp;"."&amp;IF(C92&lt;10,"0","")&amp;C92&amp;" "&amp;E92&amp;" "&amp;VLOOKUP(E92,Teams!$A$2:$C$21,2,0)&amp;REPT(" ",Teams!C$1+1-VLOOKUP(E92,Teams!$A$2:$C$21,3,0))&amp;"- "&amp;F92&amp;IF(ISBLANK(D92),""," (from "&amp;D92&amp;")")</f>
        <v xml:space="preserve"> 5.10 CIN CMiller        - Darryl Hamilton, cf</v>
      </c>
    </row>
    <row r="93" spans="1:8" s="35" customFormat="1" x14ac:dyDescent="0.25">
      <c r="A93" s="30">
        <v>91</v>
      </c>
      <c r="B93" s="30">
        <v>5</v>
      </c>
      <c r="C93" s="30">
        <v>11</v>
      </c>
      <c r="D93" s="30"/>
      <c r="E93" s="30" t="s">
        <v>13</v>
      </c>
      <c r="F93" s="38" t="s">
        <v>545</v>
      </c>
      <c r="G93" s="38"/>
      <c r="H93" s="39" t="str">
        <f>IF(B93&lt;10," ","")&amp;B93&amp;"."&amp;IF(C93&lt;10,"0","")&amp;C93&amp;" "&amp;E93&amp;" "&amp;VLOOKUP(E93,Teams!$A$2:$C$21,2,0)&amp;REPT(" ",Teams!C$1+1-VLOOKUP(E93,Teams!$A$2:$C$21,3,0))&amp;"- "&amp;F93&amp;IF(ISBLANK(D93),""," (from "&amp;D93&amp;")")</f>
        <v xml:space="preserve"> 5.11 CTW RMiller        - Steve Decker, c</v>
      </c>
    </row>
    <row r="94" spans="1:8" s="35" customFormat="1" x14ac:dyDescent="0.25">
      <c r="A94" s="30">
        <v>92</v>
      </c>
      <c r="B94" s="30">
        <v>5</v>
      </c>
      <c r="C94" s="30">
        <v>12</v>
      </c>
      <c r="D94" s="30" t="s">
        <v>357</v>
      </c>
      <c r="E94" s="30" t="s">
        <v>0</v>
      </c>
      <c r="F94" s="38" t="s">
        <v>551</v>
      </c>
      <c r="G94" s="38" t="s">
        <v>452</v>
      </c>
      <c r="H94" s="39" t="str">
        <f>IF(B94&lt;10," ","")&amp;B94&amp;"."&amp;IF(C94&lt;10,"0","")&amp;C94&amp;" "&amp;E94&amp;" "&amp;VLOOKUP(E94,Teams!$A$2:$C$21,2,0)&amp;REPT(" ",Teams!C$1+1-VLOOKUP(E94,Teams!$A$2:$C$21,3,0))&amp;"- "&amp;F94&amp;IF(ISBLANK(D94),""," (from "&amp;D94&amp;")")</f>
        <v xml:space="preserve"> 5.12 DLM Potter         - Dante Bichette, lf (from FLL)</v>
      </c>
    </row>
    <row r="95" spans="1:8" s="35" customFormat="1" x14ac:dyDescent="0.25">
      <c r="A95" s="30">
        <v>93</v>
      </c>
      <c r="B95" s="30">
        <v>5</v>
      </c>
      <c r="C95" s="30">
        <v>13</v>
      </c>
      <c r="D95" s="30" t="s">
        <v>17</v>
      </c>
      <c r="E95" s="30" t="s">
        <v>18</v>
      </c>
      <c r="F95" s="38" t="s">
        <v>552</v>
      </c>
      <c r="G95" s="38"/>
      <c r="H95" s="39" t="str">
        <f>IF(B95&lt;10," ","")&amp;B95&amp;"."&amp;IF(C95&lt;10,"0","")&amp;C95&amp;" "&amp;E95&amp;" "&amp;VLOOKUP(E95,Teams!$A$2:$C$21,2,0)&amp;REPT(" ",Teams!C$1+1-VLOOKUP(E95,Teams!$A$2:$C$21,3,0))&amp;"- "&amp;F95&amp;IF(ISBLANK(D95),""," (from "&amp;D95&amp;")")</f>
        <v xml:space="preserve"> 5.13 CIN CMiller        - Ricky Bottalico, rcl (from BAR)</v>
      </c>
    </row>
    <row r="96" spans="1:8" s="35" customFormat="1" x14ac:dyDescent="0.25">
      <c r="A96" s="30">
        <v>94</v>
      </c>
      <c r="B96" s="30">
        <v>5</v>
      </c>
      <c r="C96" s="30">
        <v>14</v>
      </c>
      <c r="D96" s="30" t="s">
        <v>8</v>
      </c>
      <c r="E96" s="30" t="s">
        <v>9</v>
      </c>
      <c r="F96" s="38" t="s">
        <v>553</v>
      </c>
      <c r="G96" s="38" t="s">
        <v>627</v>
      </c>
      <c r="H96" s="39" t="str">
        <f>IF(B96&lt;10," ","")&amp;B96&amp;"."&amp;IF(C96&lt;10,"0","")&amp;C96&amp;" "&amp;E96&amp;" "&amp;VLOOKUP(E96,Teams!$A$2:$C$21,2,0)&amp;REPT(" ",Teams!C$1+1-VLOOKUP(E96,Teams!$A$2:$C$21,3,0))&amp;"- "&amp;F96&amp;IF(ISBLANK(D96),""," (from "&amp;D96&amp;")")</f>
        <v xml:space="preserve"> 5.14 NEP Sasman         - Geoff Blum, ss (from CEN)</v>
      </c>
    </row>
    <row r="97" spans="1:8" s="35" customFormat="1" x14ac:dyDescent="0.25">
      <c r="A97" s="30">
        <v>95</v>
      </c>
      <c r="B97" s="30">
        <v>5</v>
      </c>
      <c r="C97" s="30">
        <v>15</v>
      </c>
      <c r="D97" s="30" t="s">
        <v>16</v>
      </c>
      <c r="E97" s="30" t="s">
        <v>4</v>
      </c>
      <c r="F97" s="38" t="s">
        <v>554</v>
      </c>
      <c r="G97" s="38"/>
      <c r="H97" s="39" t="str">
        <f>IF(B97&lt;10," ","")&amp;B97&amp;"."&amp;IF(C97&lt;10,"0","")&amp;C97&amp;" "&amp;E97&amp;" "&amp;VLOOKUP(E97,Teams!$A$2:$C$21,2,0)&amp;REPT(" ",Teams!C$1+1-VLOOKUP(E97,Teams!$A$2:$C$21,3,0))&amp;"- "&amp;F97&amp;IF(ISBLANK(D97),""," (from "&amp;D97&amp;")")</f>
        <v xml:space="preserve"> 5.15 BBG Canter         - Ed Sprague, 3b (from TAR)</v>
      </c>
    </row>
    <row r="98" spans="1:8" s="35" customFormat="1" x14ac:dyDescent="0.25">
      <c r="A98" s="30">
        <v>96</v>
      </c>
      <c r="B98" s="30">
        <v>5</v>
      </c>
      <c r="C98" s="30">
        <v>16</v>
      </c>
      <c r="D98" s="30"/>
      <c r="E98" s="30" t="s">
        <v>11</v>
      </c>
      <c r="F98" s="38" t="s">
        <v>562</v>
      </c>
      <c r="G98" s="38"/>
      <c r="H98" s="39" t="str">
        <f>IF(B98&lt;10," ","")&amp;B98&amp;"."&amp;IF(C98&lt;10,"0","")&amp;C98&amp;" "&amp;E98&amp;" "&amp;VLOOKUP(E98,Teams!$A$2:$C$21,2,0)&amp;REPT(" ",Teams!C$1+1-VLOOKUP(E98,Teams!$A$2:$C$21,3,0))&amp;"- "&amp;F98&amp;IF(ISBLANK(D98),""," (from "&amp;D98&amp;")")</f>
        <v xml:space="preserve"> 5.16 EVN Henninger      - Pat Mahomes, rmr</v>
      </c>
    </row>
    <row r="99" spans="1:8" s="35" customFormat="1" x14ac:dyDescent="0.25">
      <c r="A99" s="30">
        <v>97</v>
      </c>
      <c r="B99" s="30">
        <v>5</v>
      </c>
      <c r="C99" s="30">
        <v>17</v>
      </c>
      <c r="D99" s="30"/>
      <c r="E99" s="30" t="s">
        <v>19</v>
      </c>
      <c r="F99" s="38" t="s">
        <v>571</v>
      </c>
      <c r="G99" s="38"/>
      <c r="H99" s="39" t="str">
        <f>IF(B99&lt;10," ","")&amp;B99&amp;"."&amp;IF(C99&lt;10,"0","")&amp;C99&amp;" "&amp;E99&amp;" "&amp;VLOOKUP(E99,Teams!$A$2:$C$21,2,0)&amp;REPT(" ",Teams!C$1+1-VLOOKUP(E99,Teams!$A$2:$C$21,3,0))&amp;"- "&amp;F99&amp;IF(ISBLANK(D99),""," (from "&amp;D99&amp;")")</f>
        <v xml:space="preserve"> 5.17 TEW Bailey         - Casey Blake, 3b</v>
      </c>
    </row>
    <row r="100" spans="1:8" s="35" customFormat="1" x14ac:dyDescent="0.25">
      <c r="A100" s="30">
        <v>98</v>
      </c>
      <c r="B100" s="30">
        <v>5</v>
      </c>
      <c r="C100" s="30">
        <v>18</v>
      </c>
      <c r="D100" s="30" t="s">
        <v>0</v>
      </c>
      <c r="E100" s="30" t="s">
        <v>9</v>
      </c>
      <c r="F100" s="38" t="s">
        <v>569</v>
      </c>
      <c r="G100" s="38"/>
      <c r="H100" s="39" t="str">
        <f>IF(B100&lt;10," ","")&amp;B100&amp;"."&amp;IF(C100&lt;10,"0","")&amp;C100&amp;" "&amp;E100&amp;" "&amp;VLOOKUP(E100,Teams!$A$2:$C$21,2,0)&amp;REPT(" ",Teams!C$1+1-VLOOKUP(E100,Teams!$A$2:$C$21,3,0))&amp;"- "&amp;F100&amp;IF(ISBLANK(D100),""," (from "&amp;D100&amp;")")</f>
        <v xml:space="preserve"> 5.18 NEP Sasman         - Frank Menechino, 2b (from DLM)</v>
      </c>
    </row>
    <row r="101" spans="1:8" s="35" customFormat="1" x14ac:dyDescent="0.25">
      <c r="A101" s="30">
        <v>99</v>
      </c>
      <c r="B101" s="30">
        <v>5</v>
      </c>
      <c r="C101" s="30">
        <v>19</v>
      </c>
      <c r="D101" s="30"/>
      <c r="E101" s="30" t="s">
        <v>9</v>
      </c>
      <c r="F101" s="38" t="s">
        <v>570</v>
      </c>
      <c r="G101" s="38"/>
      <c r="H101" s="39" t="str">
        <f>IF(B101&lt;10," ","")&amp;B101&amp;"."&amp;IF(C101&lt;10,"0","")&amp;C101&amp;" "&amp;E101&amp;" "&amp;VLOOKUP(E101,Teams!$A$2:$C$21,2,0)&amp;REPT(" ",Teams!C$1+1-VLOOKUP(E101,Teams!$A$2:$C$21,3,0))&amp;"- "&amp;F101&amp;IF(ISBLANK(D101),""," (from "&amp;D101&amp;")")</f>
        <v xml:space="preserve"> 5.19 NEP Sasman         - Michael Tucker, rf</v>
      </c>
    </row>
    <row r="102" spans="1:8" s="35" customFormat="1" x14ac:dyDescent="0.25">
      <c r="A102" s="30">
        <v>100</v>
      </c>
      <c r="B102" s="30">
        <v>6</v>
      </c>
      <c r="C102" s="30">
        <v>1</v>
      </c>
      <c r="D102" s="30" t="s">
        <v>10</v>
      </c>
      <c r="E102" s="30" t="s">
        <v>4</v>
      </c>
      <c r="F102" s="38" t="s">
        <v>572</v>
      </c>
      <c r="G102" s="38"/>
      <c r="H102" s="39" t="str">
        <f>IF(B102&lt;10," ","")&amp;B102&amp;"."&amp;IF(C102&lt;10,"0","")&amp;C102&amp;" "&amp;E102&amp;" "&amp;VLOOKUP(E102,Teams!$A$2:$C$21,2,0)&amp;REPT(" ",Teams!C$1+1-VLOOKUP(E102,Teams!$A$2:$C$21,3,0))&amp;"- "&amp;F102&amp;IF(ISBLANK(D102),""," (from "&amp;D102&amp;")")</f>
        <v xml:space="preserve"> 6.01 BBG Canter         - Dave Mlicki, rsp (from FFR)</v>
      </c>
    </row>
    <row r="103" spans="1:8" s="35" customFormat="1" x14ac:dyDescent="0.25">
      <c r="A103" s="30">
        <v>101</v>
      </c>
      <c r="B103" s="30">
        <v>6</v>
      </c>
      <c r="C103" s="30">
        <v>2</v>
      </c>
      <c r="D103" s="30" t="s">
        <v>3</v>
      </c>
      <c r="E103" s="30" t="s">
        <v>0</v>
      </c>
      <c r="F103" s="38" t="s">
        <v>573</v>
      </c>
      <c r="G103" s="38"/>
      <c r="H103" s="39" t="str">
        <f>IF(B103&lt;10," ","")&amp;B103&amp;"."&amp;IF(C103&lt;10,"0","")&amp;C103&amp;" "&amp;E103&amp;" "&amp;VLOOKUP(E103,Teams!$A$2:$C$21,2,0)&amp;REPT(" ",Teams!C$1+1-VLOOKUP(E103,Teams!$A$2:$C$21,3,0))&amp;"- "&amp;F103&amp;IF(ISBLANK(D103),""," (from "&amp;D103&amp;")")</f>
        <v xml:space="preserve"> 6.02 DLM Potter         - Dave Martinez, rf (from GAR)</v>
      </c>
    </row>
    <row r="104" spans="1:8" s="35" customFormat="1" x14ac:dyDescent="0.25">
      <c r="A104" s="30">
        <v>102</v>
      </c>
      <c r="B104" s="30">
        <v>6</v>
      </c>
      <c r="C104" s="30">
        <v>3</v>
      </c>
      <c r="D104" s="30"/>
      <c r="E104" s="30" t="s">
        <v>4</v>
      </c>
      <c r="F104" s="38" t="s">
        <v>577</v>
      </c>
      <c r="G104" s="38"/>
      <c r="H104" s="39" t="str">
        <f>IF(B104&lt;10," ","")&amp;B104&amp;"."&amp;IF(C104&lt;10,"0","")&amp;C104&amp;" "&amp;E104&amp;" "&amp;VLOOKUP(E104,Teams!$A$2:$C$21,2,0)&amp;REPT(" ",Teams!C$1+1-VLOOKUP(E104,Teams!$A$2:$C$21,3,0))&amp;"- "&amp;F104&amp;IF(ISBLANK(D104),""," (from "&amp;D104&amp;")")</f>
        <v xml:space="preserve"> 6.03 BBG Canter         - Dan Wilson, c</v>
      </c>
    </row>
    <row r="105" spans="1:8" s="35" customFormat="1" x14ac:dyDescent="0.25">
      <c r="A105" s="30">
        <v>103</v>
      </c>
      <c r="B105" s="30">
        <v>6</v>
      </c>
      <c r="C105" s="30">
        <v>4</v>
      </c>
      <c r="D105" s="30"/>
      <c r="E105" s="30" t="s">
        <v>14</v>
      </c>
      <c r="F105" s="38" t="s">
        <v>591</v>
      </c>
      <c r="G105" s="38" t="s">
        <v>561</v>
      </c>
      <c r="H105" s="39" t="str">
        <f>IF(B105&lt;10," ","")&amp;B105&amp;"."&amp;IF(C105&lt;10,"0","")&amp;C105&amp;" "&amp;E105&amp;" "&amp;VLOOKUP(E105,Teams!$A$2:$C$21,2,0)&amp;REPT(" ",Teams!C$1+1-VLOOKUP(E105,Teams!$A$2:$C$21,3,0))&amp;"- "&amp;F105&amp;IF(ISBLANK(D105),""," (from "&amp;D105&amp;")")</f>
        <v xml:space="preserve"> 6.04 FDH English        - Marty Cordova, dh</v>
      </c>
    </row>
    <row r="106" spans="1:8" s="35" customFormat="1" x14ac:dyDescent="0.25">
      <c r="A106" s="30">
        <v>104</v>
      </c>
      <c r="B106" s="30">
        <v>6</v>
      </c>
      <c r="C106" s="30">
        <v>5</v>
      </c>
      <c r="D106" s="30"/>
      <c r="E106" s="30" t="s">
        <v>12</v>
      </c>
      <c r="F106" s="38" t="s">
        <v>576</v>
      </c>
      <c r="G106" s="38"/>
      <c r="H106" s="39" t="str">
        <f>IF(B106&lt;10," ","")&amp;B106&amp;"."&amp;IF(C106&lt;10,"0","")&amp;C106&amp;" "&amp;E106&amp;" "&amp;VLOOKUP(E106,Teams!$A$2:$C$21,2,0)&amp;REPT(" ",Teams!C$1+1-VLOOKUP(E106,Teams!$A$2:$C$21,3,0))&amp;"- "&amp;F106&amp;IF(ISBLANK(D106),""," (from "&amp;D106&amp;")")</f>
        <v xml:space="preserve"> 6.05 OKO Smith          - Joe Oliver, c</v>
      </c>
    </row>
    <row r="107" spans="1:8" s="35" customFormat="1" x14ac:dyDescent="0.25">
      <c r="A107" s="30">
        <v>105</v>
      </c>
      <c r="B107" s="30">
        <v>6</v>
      </c>
      <c r="C107" s="30">
        <v>6</v>
      </c>
      <c r="D107" s="30"/>
      <c r="E107" s="30" t="s">
        <v>2</v>
      </c>
      <c r="F107" s="38" t="s">
        <v>575</v>
      </c>
      <c r="G107" s="38"/>
      <c r="H107" s="39" t="str">
        <f>IF(B107&lt;10," ","")&amp;B107&amp;"."&amp;IF(C107&lt;10,"0","")&amp;C107&amp;" "&amp;E107&amp;" "&amp;VLOOKUP(E107,Teams!$A$2:$C$21,2,0)&amp;REPT(" ",Teams!C$1+1-VLOOKUP(E107,Teams!$A$2:$C$21,3,0))&amp;"- "&amp;F107&amp;IF(ISBLANK(D107),""," (from "&amp;D107&amp;")")</f>
        <v xml:space="preserve"> 6.06 FER Olkin          - Albie Lopez, rmr</v>
      </c>
    </row>
    <row r="108" spans="1:8" s="35" customFormat="1" x14ac:dyDescent="0.25">
      <c r="A108" s="30">
        <v>106</v>
      </c>
      <c r="B108" s="30">
        <v>6</v>
      </c>
      <c r="C108" s="30">
        <v>7</v>
      </c>
      <c r="D108" s="30"/>
      <c r="E108" s="30" t="s">
        <v>6</v>
      </c>
      <c r="F108" s="38" t="s">
        <v>574</v>
      </c>
      <c r="G108" s="38"/>
      <c r="H108" s="39" t="str">
        <f>IF(B108&lt;10," ","")&amp;B108&amp;"."&amp;IF(C108&lt;10,"0","")&amp;C108&amp;" "&amp;E108&amp;" "&amp;VLOOKUP(E108,Teams!$A$2:$C$21,2,0)&amp;REPT(" ",Teams!C$1+1-VLOOKUP(E108,Teams!$A$2:$C$21,3,0))&amp;"- "&amp;F108&amp;IF(ISBLANK(D108),""," (from "&amp;D108&amp;")")</f>
        <v xml:space="preserve"> 6.07 FHK Chernow        - Doug Jones, rmr</v>
      </c>
    </row>
    <row r="109" spans="1:8" s="35" customFormat="1" x14ac:dyDescent="0.25">
      <c r="A109" s="30">
        <v>107</v>
      </c>
      <c r="B109" s="30">
        <v>6</v>
      </c>
      <c r="C109" s="30">
        <v>8</v>
      </c>
      <c r="D109" s="30"/>
      <c r="E109" s="30" t="s">
        <v>7</v>
      </c>
      <c r="F109" s="38" t="s">
        <v>578</v>
      </c>
      <c r="G109" s="38"/>
      <c r="H109" s="39" t="str">
        <f>IF(B109&lt;10," ","")&amp;B109&amp;"."&amp;IF(C109&lt;10,"0","")&amp;C109&amp;" "&amp;E109&amp;" "&amp;VLOOKUP(E109,Teams!$A$2:$C$21,2,0)&amp;REPT(" ",Teams!C$1+1-VLOOKUP(E109,Teams!$A$2:$C$21,3,0))&amp;"- "&amp;F109&amp;IF(ISBLANK(D109),""," (from "&amp;D109&amp;")")</f>
        <v xml:space="preserve"> 6.08 MCL Manuel         - Sal Fasano, c</v>
      </c>
    </row>
    <row r="110" spans="1:8" s="35" customFormat="1" x14ac:dyDescent="0.25">
      <c r="A110" s="30">
        <v>108</v>
      </c>
      <c r="B110" s="30">
        <v>6</v>
      </c>
      <c r="C110" s="30">
        <v>9</v>
      </c>
      <c r="D110" s="30" t="s">
        <v>5</v>
      </c>
      <c r="E110" s="30" t="s">
        <v>18</v>
      </c>
      <c r="F110" s="38" t="s">
        <v>579</v>
      </c>
      <c r="G110" s="38"/>
      <c r="H110" s="39" t="str">
        <f>IF(B110&lt;10," ","")&amp;B110&amp;"."&amp;IF(C110&lt;10,"0","")&amp;C110&amp;" "&amp;E110&amp;" "&amp;VLOOKUP(E110,Teams!$A$2:$C$21,2,0)&amp;REPT(" ",Teams!C$1+1-VLOOKUP(E110,Teams!$A$2:$C$21,3,0))&amp;"- "&amp;F110&amp;IF(ISBLANK(D110),""," (from "&amp;D110&amp;")")</f>
        <v xml:space="preserve"> 6.09 CIN CMiller        - Jerry Hairston, 2b (from RMO)</v>
      </c>
    </row>
    <row r="111" spans="1:8" s="35" customFormat="1" x14ac:dyDescent="0.25">
      <c r="A111" s="30">
        <v>109</v>
      </c>
      <c r="B111" s="30">
        <v>6</v>
      </c>
      <c r="C111" s="30">
        <v>10</v>
      </c>
      <c r="D111" s="30" t="s">
        <v>1</v>
      </c>
      <c r="E111" s="30" t="s">
        <v>17</v>
      </c>
      <c r="F111" s="38" t="s">
        <v>580</v>
      </c>
      <c r="G111" s="38"/>
      <c r="H111" s="39" t="str">
        <f>IF(B111&lt;10," ","")&amp;B111&amp;"."&amp;IF(C111&lt;10,"0","")&amp;C111&amp;" "&amp;E111&amp;" "&amp;VLOOKUP(E111,Teams!$A$2:$C$21,2,0)&amp;REPT(" ",Teams!C$1+1-VLOOKUP(E111,Teams!$A$2:$C$21,3,0))&amp;"- "&amp;F111&amp;IF(ISBLANK(D111),""," (from "&amp;D111&amp;")")</f>
        <v xml:space="preserve"> 6.10 BAR Marshall       - Tim Crabtree, rmr (from ZZY)</v>
      </c>
    </row>
    <row r="112" spans="1:8" s="35" customFormat="1" x14ac:dyDescent="0.25">
      <c r="A112" s="30">
        <v>110</v>
      </c>
      <c r="B112" s="30">
        <v>6</v>
      </c>
      <c r="C112" s="30">
        <v>11</v>
      </c>
      <c r="D112" s="30"/>
      <c r="E112" s="30" t="s">
        <v>18</v>
      </c>
      <c r="F112" s="38" t="s">
        <v>581</v>
      </c>
      <c r="G112" s="38"/>
      <c r="H112" s="39" t="str">
        <f>IF(B112&lt;10," ","")&amp;B112&amp;"."&amp;IF(C112&lt;10,"0","")&amp;C112&amp;" "&amp;E112&amp;" "&amp;VLOOKUP(E112,Teams!$A$2:$C$21,2,0)&amp;REPT(" ",Teams!C$1+1-VLOOKUP(E112,Teams!$A$2:$C$21,3,0))&amp;"- "&amp;F112&amp;IF(ISBLANK(D112),""," (from "&amp;D112&amp;")")</f>
        <v xml:space="preserve"> 6.11 CIN CMiller        - Dan Wheeler, rsp</v>
      </c>
    </row>
    <row r="113" spans="1:8" s="35" customFormat="1" x14ac:dyDescent="0.25">
      <c r="A113" s="30">
        <v>111</v>
      </c>
      <c r="B113" s="30">
        <v>6</v>
      </c>
      <c r="C113" s="30">
        <v>12</v>
      </c>
      <c r="D113" s="30" t="s">
        <v>13</v>
      </c>
      <c r="E113" s="30" t="s">
        <v>3</v>
      </c>
      <c r="F113" s="38" t="s">
        <v>582</v>
      </c>
      <c r="G113" s="38"/>
      <c r="H113" s="39" t="str">
        <f>IF(B113&lt;10," ","")&amp;B113&amp;"."&amp;IF(C113&lt;10,"0","")&amp;C113&amp;" "&amp;E113&amp;" "&amp;VLOOKUP(E113,Teams!$A$2:$C$21,2,0)&amp;REPT(" ",Teams!C$1+1-VLOOKUP(E113,Teams!$A$2:$C$21,3,0))&amp;"- "&amp;F113&amp;IF(ISBLANK(D113),""," (from "&amp;D113&amp;")")</f>
        <v xml:space="preserve"> 6.12 GAR Bernstein      - Mike Magnante, lmr (from CTW)</v>
      </c>
    </row>
    <row r="114" spans="1:8" s="35" customFormat="1" x14ac:dyDescent="0.25">
      <c r="A114" s="30">
        <v>112</v>
      </c>
      <c r="B114" s="30">
        <v>6</v>
      </c>
      <c r="C114" s="30">
        <v>13</v>
      </c>
      <c r="D114" s="30"/>
      <c r="E114" s="30" t="s">
        <v>357</v>
      </c>
      <c r="F114" s="38" t="s">
        <v>583</v>
      </c>
      <c r="G114" s="38"/>
      <c r="H114" s="39" t="str">
        <f>IF(B114&lt;10," ","")&amp;B114&amp;"."&amp;IF(C114&lt;10,"0","")&amp;C114&amp;" "&amp;E114&amp;" "&amp;VLOOKUP(E114,Teams!$A$2:$C$21,2,0)&amp;REPT(" ",Teams!C$1+1-VLOOKUP(E114,Teams!$A$2:$C$21,3,0))&amp;"- "&amp;F114&amp;IF(ISBLANK(D114),""," (from "&amp;D114&amp;")")</f>
        <v xml:space="preserve"> 6.13 FLL Carroll/Kleine - Jorge Fabregas, c</v>
      </c>
    </row>
    <row r="115" spans="1:8" s="35" customFormat="1" x14ac:dyDescent="0.25">
      <c r="A115" s="30">
        <v>113</v>
      </c>
      <c r="B115" s="30">
        <v>6</v>
      </c>
      <c r="C115" s="30">
        <v>14</v>
      </c>
      <c r="D115" s="30" t="s">
        <v>17</v>
      </c>
      <c r="E115" s="30" t="s">
        <v>1</v>
      </c>
      <c r="F115" s="38" t="s">
        <v>584</v>
      </c>
      <c r="G115" s="38"/>
      <c r="H115" s="39" t="str">
        <f>IF(B115&lt;10," ","")&amp;B115&amp;"."&amp;IF(C115&lt;10,"0","")&amp;C115&amp;" "&amp;E115&amp;" "&amp;VLOOKUP(E115,Teams!$A$2:$C$21,2,0)&amp;REPT(" ",Teams!C$1+1-VLOOKUP(E115,Teams!$A$2:$C$21,3,0))&amp;"- "&amp;F115&amp;IF(ISBLANK(D115),""," (from "&amp;D115&amp;")")</f>
        <v xml:space="preserve"> 6.14 ZZY Poole          - Warren Morris, 2b (from BAR)</v>
      </c>
    </row>
    <row r="116" spans="1:8" s="35" customFormat="1" x14ac:dyDescent="0.25">
      <c r="A116" s="30">
        <v>114</v>
      </c>
      <c r="B116" s="30">
        <v>6</v>
      </c>
      <c r="C116" s="30">
        <v>15</v>
      </c>
      <c r="D116" s="30" t="s">
        <v>16</v>
      </c>
      <c r="E116" s="30" t="s">
        <v>13</v>
      </c>
      <c r="F116" s="38" t="s">
        <v>585</v>
      </c>
      <c r="G116" s="38"/>
      <c r="H116" s="39" t="str">
        <f>IF(B116&lt;10," ","")&amp;B116&amp;"."&amp;IF(C116&lt;10,"0","")&amp;C116&amp;" "&amp;E116&amp;" "&amp;VLOOKUP(E116,Teams!$A$2:$C$21,2,0)&amp;REPT(" ",Teams!C$1+1-VLOOKUP(E116,Teams!$A$2:$C$21,3,0))&amp;"- "&amp;F116&amp;IF(ISBLANK(D116),""," (from "&amp;D116&amp;")")</f>
        <v xml:space="preserve"> 6.15 CTW RMiller        - Alberto Castillo, c (from TAR)</v>
      </c>
    </row>
    <row r="117" spans="1:8" s="35" customFormat="1" x14ac:dyDescent="0.25">
      <c r="A117" s="30">
        <v>115</v>
      </c>
      <c r="B117" s="30">
        <v>6</v>
      </c>
      <c r="C117" s="30">
        <v>16</v>
      </c>
      <c r="D117" s="30" t="s">
        <v>8</v>
      </c>
      <c r="E117" s="30" t="s">
        <v>1</v>
      </c>
      <c r="F117" s="38" t="s">
        <v>586</v>
      </c>
      <c r="G117" s="38"/>
      <c r="H117" s="39" t="str">
        <f>IF(B117&lt;10," ","")&amp;B117&amp;"."&amp;IF(C117&lt;10,"0","")&amp;C117&amp;" "&amp;E117&amp;" "&amp;VLOOKUP(E117,Teams!$A$2:$C$21,2,0)&amp;REPT(" ",Teams!C$1+1-VLOOKUP(E117,Teams!$A$2:$C$21,3,0))&amp;"- "&amp;F117&amp;IF(ISBLANK(D117),""," (from "&amp;D117&amp;")")</f>
        <v xml:space="preserve"> 6.16 ZZY Poole          - Antonio Osuna, rmr (from CEN)</v>
      </c>
    </row>
    <row r="118" spans="1:8" s="35" customFormat="1" x14ac:dyDescent="0.25">
      <c r="A118" s="30">
        <v>116</v>
      </c>
      <c r="B118" s="30">
        <v>6</v>
      </c>
      <c r="C118" s="30">
        <v>17</v>
      </c>
      <c r="D118" s="30"/>
      <c r="E118" s="30" t="s">
        <v>11</v>
      </c>
      <c r="F118" s="38" t="s">
        <v>587</v>
      </c>
      <c r="G118" s="38"/>
      <c r="H118" s="39" t="str">
        <f>IF(B118&lt;10," ","")&amp;B118&amp;"."&amp;IF(C118&lt;10,"0","")&amp;C118&amp;" "&amp;E118&amp;" "&amp;VLOOKUP(E118,Teams!$A$2:$C$21,2,0)&amp;REPT(" ",Teams!C$1+1-VLOOKUP(E118,Teams!$A$2:$C$21,3,0))&amp;"- "&amp;F118&amp;IF(ISBLANK(D118),""," (from "&amp;D118&amp;")")</f>
        <v xml:space="preserve"> 6.17 EVN Henninger      - Steve Avery, lsp</v>
      </c>
    </row>
    <row r="119" spans="1:8" s="35" customFormat="1" x14ac:dyDescent="0.25">
      <c r="A119" s="30">
        <v>117</v>
      </c>
      <c r="B119" s="30">
        <v>6</v>
      </c>
      <c r="C119" s="30">
        <v>18</v>
      </c>
      <c r="D119" s="30" t="s">
        <v>19</v>
      </c>
      <c r="E119" s="30" t="s">
        <v>7</v>
      </c>
      <c r="F119" s="38" t="s">
        <v>588</v>
      </c>
      <c r="G119" s="38"/>
      <c r="H119" s="39" t="str">
        <f>IF(B119&lt;10," ","")&amp;B119&amp;"."&amp;IF(C119&lt;10,"0","")&amp;C119&amp;" "&amp;E119&amp;" "&amp;VLOOKUP(E119,Teams!$A$2:$C$21,2,0)&amp;REPT(" ",Teams!C$1+1-VLOOKUP(E119,Teams!$A$2:$C$21,3,0))&amp;"- "&amp;F119&amp;IF(ISBLANK(D119),""," (from "&amp;D119&amp;")")</f>
        <v xml:space="preserve"> 6.18 MCL Manuel         - Darrin Jackson, cf (from TEW)</v>
      </c>
    </row>
    <row r="120" spans="1:8" s="35" customFormat="1" x14ac:dyDescent="0.25">
      <c r="A120" s="30">
        <v>118</v>
      </c>
      <c r="B120" s="30">
        <v>6</v>
      </c>
      <c r="C120" s="30">
        <v>19</v>
      </c>
      <c r="D120" s="30" t="s">
        <v>0</v>
      </c>
      <c r="E120" s="30" t="s">
        <v>13</v>
      </c>
      <c r="F120" s="38" t="s">
        <v>589</v>
      </c>
      <c r="G120" s="38"/>
      <c r="H120" s="39" t="str">
        <f>IF(B120&lt;10," ","")&amp;B120&amp;"."&amp;IF(C120&lt;10,"0","")&amp;C120&amp;" "&amp;E120&amp;" "&amp;VLOOKUP(E120,Teams!$A$2:$C$21,2,0)&amp;REPT(" ",Teams!C$1+1-VLOOKUP(E120,Teams!$A$2:$C$21,3,0))&amp;"- "&amp;F120&amp;IF(ISBLANK(D120),""," (from "&amp;D120&amp;")")</f>
        <v xml:space="preserve"> 6.19 CTW RMiller        - Tim Spehr, c (from DLM)</v>
      </c>
    </row>
    <row r="121" spans="1:8" s="35" customFormat="1" x14ac:dyDescent="0.25">
      <c r="A121" s="30">
        <v>119</v>
      </c>
      <c r="B121" s="30">
        <v>6</v>
      </c>
      <c r="C121" s="30">
        <v>20</v>
      </c>
      <c r="D121" s="30"/>
      <c r="E121" s="30" t="s">
        <v>9</v>
      </c>
      <c r="F121" s="38" t="s">
        <v>590</v>
      </c>
      <c r="G121" s="38"/>
      <c r="H121" s="39" t="str">
        <f>IF(B121&lt;10," ","")&amp;B121&amp;"."&amp;IF(C121&lt;10,"0","")&amp;C121&amp;" "&amp;E121&amp;" "&amp;VLOOKUP(E121,Teams!$A$2:$C$21,2,0)&amp;REPT(" ",Teams!C$1+1-VLOOKUP(E121,Teams!$A$2:$C$21,3,0))&amp;"- "&amp;F121&amp;IF(ISBLANK(D121),""," (from "&amp;D121&amp;")")</f>
        <v xml:space="preserve"> 6.20 NEP Sasman         - Pat Hentgen, rsp</v>
      </c>
    </row>
    <row r="122" spans="1:8" s="35" customFormat="1" x14ac:dyDescent="0.25">
      <c r="A122" s="30">
        <v>120</v>
      </c>
      <c r="B122" s="30">
        <v>7</v>
      </c>
      <c r="C122" s="30">
        <v>1</v>
      </c>
      <c r="D122" s="30"/>
      <c r="E122" s="30" t="s">
        <v>10</v>
      </c>
      <c r="F122" s="38" t="s">
        <v>592</v>
      </c>
      <c r="G122" s="38"/>
      <c r="H122" s="39" t="str">
        <f>IF(B122&lt;10," ","")&amp;B122&amp;"."&amp;IF(C122&lt;10,"0","")&amp;C122&amp;" "&amp;E122&amp;" "&amp;VLOOKUP(E122,Teams!$A$2:$C$21,2,0)&amp;REPT(" ",Teams!C$1+1-VLOOKUP(E122,Teams!$A$2:$C$21,3,0))&amp;"- "&amp;F122&amp;IF(ISBLANK(D122),""," (from "&amp;D122&amp;")")</f>
        <v xml:space="preserve"> 7.01 FFR Scott          - Andy Benes, rsp</v>
      </c>
    </row>
    <row r="123" spans="1:8" s="35" customFormat="1" x14ac:dyDescent="0.25">
      <c r="A123" s="30">
        <v>121</v>
      </c>
      <c r="B123" s="30">
        <v>7</v>
      </c>
      <c r="C123" s="30">
        <v>2</v>
      </c>
      <c r="D123" s="30"/>
      <c r="E123" s="30" t="s">
        <v>3</v>
      </c>
      <c r="F123" s="38" t="s">
        <v>593</v>
      </c>
      <c r="G123" s="38"/>
      <c r="H123" s="39" t="str">
        <f>IF(B123&lt;10," ","")&amp;B123&amp;"."&amp;IF(C123&lt;10,"0","")&amp;C123&amp;" "&amp;E123&amp;" "&amp;VLOOKUP(E123,Teams!$A$2:$C$21,2,0)&amp;REPT(" ",Teams!C$1+1-VLOOKUP(E123,Teams!$A$2:$C$21,3,0))&amp;"- "&amp;F123&amp;IF(ISBLANK(D123),""," (from "&amp;D123&amp;")")</f>
        <v xml:space="preserve"> 7.02 GAR Bernstein      - Mark Redman, lmr</v>
      </c>
    </row>
    <row r="124" spans="1:8" s="35" customFormat="1" x14ac:dyDescent="0.25">
      <c r="A124" s="30">
        <v>122</v>
      </c>
      <c r="B124" s="30">
        <v>7</v>
      </c>
      <c r="C124" s="30">
        <v>3</v>
      </c>
      <c r="D124" s="30"/>
      <c r="E124" s="30" t="s">
        <v>4</v>
      </c>
      <c r="F124" s="38" t="s">
        <v>594</v>
      </c>
      <c r="G124" s="38"/>
      <c r="H124" s="39" t="str">
        <f>IF(B124&lt;10," ","")&amp;B124&amp;"."&amp;IF(C124&lt;10,"0","")&amp;C124&amp;" "&amp;E124&amp;" "&amp;VLOOKUP(E124,Teams!$A$2:$C$21,2,0)&amp;REPT(" ",Teams!C$1+1-VLOOKUP(E124,Teams!$A$2:$C$21,3,0))&amp;"- "&amp;F124&amp;IF(ISBLANK(D124),""," (from "&amp;D124&amp;")")</f>
        <v xml:space="preserve"> 7.03 BBG Canter         - J.T. Snow, 1b</v>
      </c>
    </row>
    <row r="125" spans="1:8" s="35" customFormat="1" x14ac:dyDescent="0.25">
      <c r="A125" s="30">
        <v>123</v>
      </c>
      <c r="B125" s="30">
        <v>7</v>
      </c>
      <c r="C125" s="30">
        <v>4</v>
      </c>
      <c r="D125" s="30"/>
      <c r="E125" s="30" t="s">
        <v>14</v>
      </c>
      <c r="F125" s="38" t="s">
        <v>595</v>
      </c>
      <c r="G125" s="38" t="s">
        <v>561</v>
      </c>
      <c r="H125" s="39" t="str">
        <f>IF(B125&lt;10," ","")&amp;B125&amp;"."&amp;IF(C125&lt;10,"0","")&amp;C125&amp;" "&amp;E125&amp;" "&amp;VLOOKUP(E125,Teams!$A$2:$C$21,2,0)&amp;REPT(" ",Teams!C$1+1-VLOOKUP(E125,Teams!$A$2:$C$21,3,0))&amp;"- "&amp;F125&amp;IF(ISBLANK(D125),""," (from "&amp;D125&amp;")")</f>
        <v xml:space="preserve"> 7.04 FDH English        - Jeff Reboulet, 2b</v>
      </c>
    </row>
    <row r="126" spans="1:8" s="35" customFormat="1" x14ac:dyDescent="0.25">
      <c r="A126" s="30">
        <v>124</v>
      </c>
      <c r="B126" s="30">
        <v>7</v>
      </c>
      <c r="C126" s="30">
        <v>5</v>
      </c>
      <c r="D126" s="30"/>
      <c r="E126" s="30" t="s">
        <v>6</v>
      </c>
      <c r="F126" s="38" t="s">
        <v>596</v>
      </c>
      <c r="G126" s="38"/>
      <c r="H126" s="39" t="str">
        <f>IF(B126&lt;10," ","")&amp;B126&amp;"."&amp;IF(C126&lt;10,"0","")&amp;C126&amp;" "&amp;E126&amp;" "&amp;VLOOKUP(E126,Teams!$A$2:$C$21,2,0)&amp;REPT(" ",Teams!C$1+1-VLOOKUP(E126,Teams!$A$2:$C$21,3,0))&amp;"- "&amp;F126&amp;IF(ISBLANK(D126),""," (from "&amp;D126&amp;")")</f>
        <v xml:space="preserve"> 7.05 FHK Chernow        - Jeff Blauser, 2b</v>
      </c>
    </row>
    <row r="127" spans="1:8" s="35" customFormat="1" x14ac:dyDescent="0.25">
      <c r="A127" s="30">
        <v>125</v>
      </c>
      <c r="B127" s="30">
        <v>7</v>
      </c>
      <c r="C127" s="30">
        <v>6</v>
      </c>
      <c r="D127" s="30"/>
      <c r="E127" s="30" t="s">
        <v>2</v>
      </c>
      <c r="F127" s="38" t="s">
        <v>597</v>
      </c>
      <c r="G127" s="38"/>
      <c r="H127" s="39" t="str">
        <f>IF(B127&lt;10," ","")&amp;B127&amp;"."&amp;IF(C127&lt;10,"0","")&amp;C127&amp;" "&amp;E127&amp;" "&amp;VLOOKUP(E127,Teams!$A$2:$C$21,2,0)&amp;REPT(" ",Teams!C$1+1-VLOOKUP(E127,Teams!$A$2:$C$21,3,0))&amp;"- "&amp;F127&amp;IF(ISBLANK(D127),""," (from "&amp;D127&amp;")")</f>
        <v xml:space="preserve"> 7.06 FER Olkin          - Scott Schoeneweis, lmr</v>
      </c>
    </row>
    <row r="128" spans="1:8" s="35" customFormat="1" x14ac:dyDescent="0.25">
      <c r="A128" s="30">
        <v>126</v>
      </c>
      <c r="B128" s="30">
        <v>7</v>
      </c>
      <c r="C128" s="30">
        <v>7</v>
      </c>
      <c r="D128" s="30"/>
      <c r="E128" s="30" t="s">
        <v>12</v>
      </c>
      <c r="F128" s="38" t="s">
        <v>598</v>
      </c>
      <c r="G128" s="38"/>
      <c r="H128" s="39" t="str">
        <f>IF(B128&lt;10," ","")&amp;B128&amp;"."&amp;IF(C128&lt;10,"0","")&amp;C128&amp;" "&amp;E128&amp;" "&amp;VLOOKUP(E128,Teams!$A$2:$C$21,2,0)&amp;REPT(" ",Teams!C$1+1-VLOOKUP(E128,Teams!$A$2:$C$21,3,0))&amp;"- "&amp;F128&amp;IF(ISBLANK(D128),""," (from "&amp;D128&amp;")")</f>
        <v xml:space="preserve"> 7.07 OKO Smith          - Danny Kolb, rmr</v>
      </c>
    </row>
    <row r="129" spans="1:8" s="35" customFormat="1" x14ac:dyDescent="0.25">
      <c r="A129" s="30">
        <v>127</v>
      </c>
      <c r="B129" s="30">
        <v>7</v>
      </c>
      <c r="C129" s="30">
        <v>8</v>
      </c>
      <c r="D129" s="30"/>
      <c r="E129" s="30" t="s">
        <v>7</v>
      </c>
      <c r="F129" s="38" t="s">
        <v>599</v>
      </c>
      <c r="G129" s="38"/>
      <c r="H129" s="39" t="str">
        <f>IF(B129&lt;10," ","")&amp;B129&amp;"."&amp;IF(C129&lt;10,"0","")&amp;C129&amp;" "&amp;E129&amp;" "&amp;VLOOKUP(E129,Teams!$A$2:$C$21,2,0)&amp;REPT(" ",Teams!C$1+1-VLOOKUP(E129,Teams!$A$2:$C$21,3,0))&amp;"- "&amp;F129&amp;IF(ISBLANK(D129),""," (from "&amp;D129&amp;")")</f>
        <v xml:space="preserve"> 7.08 MCL Manuel         - Andy Fox, ss</v>
      </c>
    </row>
    <row r="130" spans="1:8" s="35" customFormat="1" x14ac:dyDescent="0.25">
      <c r="A130" s="30">
        <v>128</v>
      </c>
      <c r="B130" s="30">
        <v>7</v>
      </c>
      <c r="C130" s="30">
        <v>9</v>
      </c>
      <c r="D130" s="30" t="s">
        <v>5</v>
      </c>
      <c r="E130" s="30" t="s">
        <v>4</v>
      </c>
      <c r="F130" s="38" t="s">
        <v>607</v>
      </c>
      <c r="G130" s="38"/>
      <c r="H130" s="39" t="str">
        <f>IF(B130&lt;10," ","")&amp;B130&amp;"."&amp;IF(C130&lt;10,"0","")&amp;C130&amp;" "&amp;E130&amp;" "&amp;VLOOKUP(E130,Teams!$A$2:$C$21,2,0)&amp;REPT(" ",Teams!C$1+1-VLOOKUP(E130,Teams!$A$2:$C$21,3,0))&amp;"- "&amp;F130&amp;IF(ISBLANK(D130),""," (from "&amp;D130&amp;")")</f>
        <v xml:space="preserve"> 7.09 BBG Canter         - Brian R. Hunter, 1b (from RMO)</v>
      </c>
    </row>
    <row r="131" spans="1:8" s="35" customFormat="1" x14ac:dyDescent="0.25">
      <c r="A131" s="30">
        <v>129</v>
      </c>
      <c r="B131" s="30">
        <v>7</v>
      </c>
      <c r="C131" s="30">
        <v>10</v>
      </c>
      <c r="D131" s="30" t="s">
        <v>1</v>
      </c>
      <c r="E131" s="30" t="s">
        <v>17</v>
      </c>
      <c r="F131" s="38" t="s">
        <v>608</v>
      </c>
      <c r="G131" s="38"/>
      <c r="H131" s="39" t="str">
        <f>IF(B131&lt;10," ","")&amp;B131&amp;"."&amp;IF(C131&lt;10,"0","")&amp;C131&amp;" "&amp;E131&amp;" "&amp;VLOOKUP(E131,Teams!$A$2:$C$21,2,0)&amp;REPT(" ",Teams!C$1+1-VLOOKUP(E131,Teams!$A$2:$C$21,3,0))&amp;"- "&amp;F131&amp;IF(ISBLANK(D131),""," (from "&amp;D131&amp;")")</f>
        <v xml:space="preserve"> 7.10 BAR Marshall       - Troy O'Leary, lf (from ZZY)</v>
      </c>
    </row>
    <row r="132" spans="1:8" s="35" customFormat="1" x14ac:dyDescent="0.25">
      <c r="A132" s="30">
        <v>130</v>
      </c>
      <c r="B132" s="30">
        <v>7</v>
      </c>
      <c r="C132" s="30">
        <v>11</v>
      </c>
      <c r="D132" s="30"/>
      <c r="E132" s="30" t="s">
        <v>18</v>
      </c>
      <c r="F132" s="38" t="s">
        <v>609</v>
      </c>
      <c r="G132" s="38"/>
      <c r="H132" s="39" t="str">
        <f>IF(B132&lt;10," ","")&amp;B132&amp;"."&amp;IF(C132&lt;10,"0","")&amp;C132&amp;" "&amp;E132&amp;" "&amp;VLOOKUP(E132,Teams!$A$2:$C$21,2,0)&amp;REPT(" ",Teams!C$1+1-VLOOKUP(E132,Teams!$A$2:$C$21,3,0))&amp;"- "&amp;F132&amp;IF(ISBLANK(D132),""," (from "&amp;D132&amp;")")</f>
        <v xml:space="preserve"> 7.11 CIN CMiller        - Kelly Stinnett, c</v>
      </c>
    </row>
    <row r="133" spans="1:8" s="35" customFormat="1" x14ac:dyDescent="0.25">
      <c r="A133" s="30">
        <v>131</v>
      </c>
      <c r="B133" s="30">
        <v>7</v>
      </c>
      <c r="C133" s="30">
        <v>12</v>
      </c>
      <c r="D133" s="30"/>
      <c r="E133" s="30" t="s">
        <v>13</v>
      </c>
      <c r="F133" s="38" t="s">
        <v>610</v>
      </c>
      <c r="G133" s="38"/>
      <c r="H133" s="39" t="str">
        <f>IF(B133&lt;10," ","")&amp;B133&amp;"."&amp;IF(C133&lt;10,"0","")&amp;C133&amp;" "&amp;E133&amp;" "&amp;VLOOKUP(E133,Teams!$A$2:$C$21,2,0)&amp;REPT(" ",Teams!C$1+1-VLOOKUP(E133,Teams!$A$2:$C$21,3,0))&amp;"- "&amp;F133&amp;IF(ISBLANK(D133),""," (from "&amp;D133&amp;")")</f>
        <v xml:space="preserve"> 7.12 CTW RMiller        - Mike Trombley, rcl</v>
      </c>
    </row>
    <row r="134" spans="1:8" s="35" customFormat="1" x14ac:dyDescent="0.25">
      <c r="A134" s="30">
        <v>132</v>
      </c>
      <c r="B134" s="30">
        <v>7</v>
      </c>
      <c r="C134" s="30">
        <v>13</v>
      </c>
      <c r="D134" s="30"/>
      <c r="E134" s="30" t="s">
        <v>357</v>
      </c>
      <c r="F134" s="38" t="s">
        <v>614</v>
      </c>
      <c r="G134" s="38"/>
      <c r="H134" s="39" t="str">
        <f>IF(B134&lt;10," ","")&amp;B134&amp;"."&amp;IF(C134&lt;10,"0","")&amp;C134&amp;" "&amp;E134&amp;" "&amp;VLOOKUP(E134,Teams!$A$2:$C$21,2,0)&amp;REPT(" ",Teams!C$1+1-VLOOKUP(E134,Teams!$A$2:$C$21,3,0))&amp;"- "&amp;F134&amp;IF(ISBLANK(D134),""," (from "&amp;D134&amp;")")</f>
        <v xml:space="preserve"> 7.13 FLL Carroll/Kleine - Terrence Long, lf</v>
      </c>
    </row>
    <row r="135" spans="1:8" s="35" customFormat="1" x14ac:dyDescent="0.25">
      <c r="A135" s="30">
        <v>133</v>
      </c>
      <c r="B135" s="30">
        <v>7</v>
      </c>
      <c r="C135" s="30">
        <v>14</v>
      </c>
      <c r="D135" s="30" t="s">
        <v>17</v>
      </c>
      <c r="E135" s="30" t="s">
        <v>1</v>
      </c>
      <c r="F135" s="38" t="s">
        <v>613</v>
      </c>
      <c r="G135" s="38"/>
      <c r="H135" s="39" t="str">
        <f>IF(B135&lt;10," ","")&amp;B135&amp;"."&amp;IF(C135&lt;10,"0","")&amp;C135&amp;" "&amp;E135&amp;" "&amp;VLOOKUP(E135,Teams!$A$2:$C$21,2,0)&amp;REPT(" ",Teams!C$1+1-VLOOKUP(E135,Teams!$A$2:$C$21,3,0))&amp;"- "&amp;F135&amp;IF(ISBLANK(D135),""," (from "&amp;D135&amp;")")</f>
        <v xml:space="preserve"> 7.14 ZZY Poole          - Heathcliff Slocumb, rmr (from BAR)</v>
      </c>
    </row>
    <row r="136" spans="1:8" s="35" customFormat="1" x14ac:dyDescent="0.25">
      <c r="A136" s="30">
        <v>134</v>
      </c>
      <c r="B136" s="30">
        <v>7</v>
      </c>
      <c r="C136" s="30">
        <v>15</v>
      </c>
      <c r="D136" s="30" t="s">
        <v>8</v>
      </c>
      <c r="E136" s="30" t="s">
        <v>0</v>
      </c>
      <c r="F136" s="38" t="s">
        <v>612</v>
      </c>
      <c r="G136" s="38" t="s">
        <v>560</v>
      </c>
      <c r="H136" s="39" t="str">
        <f>IF(B136&lt;10," ","")&amp;B136&amp;"."&amp;IF(C136&lt;10,"0","")&amp;C136&amp;" "&amp;E136&amp;" "&amp;VLOOKUP(E136,Teams!$A$2:$C$21,2,0)&amp;REPT(" ",Teams!C$1+1-VLOOKUP(E136,Teams!$A$2:$C$21,3,0))&amp;"- "&amp;F136&amp;IF(ISBLANK(D136),""," (from "&amp;D136&amp;")")</f>
        <v xml:space="preserve"> 7.15 DLM Potter         - Chad Curtis, lf (from CEN)</v>
      </c>
    </row>
    <row r="137" spans="1:8" s="35" customFormat="1" x14ac:dyDescent="0.25">
      <c r="A137" s="30">
        <v>135</v>
      </c>
      <c r="B137" s="30">
        <v>7</v>
      </c>
      <c r="C137" s="30">
        <v>16</v>
      </c>
      <c r="D137" s="30"/>
      <c r="E137" s="30" t="s">
        <v>16</v>
      </c>
      <c r="F137" s="38" t="s">
        <v>611</v>
      </c>
      <c r="G137" s="38"/>
      <c r="H137" s="39" t="str">
        <f>IF(B137&lt;10," ","")&amp;B137&amp;"."&amp;IF(C137&lt;10,"0","")&amp;C137&amp;" "&amp;E137&amp;" "&amp;VLOOKUP(E137,Teams!$A$2:$C$21,2,0)&amp;REPT(" ",Teams!C$1+1-VLOOKUP(E137,Teams!$A$2:$C$21,3,0))&amp;"- "&amp;F137&amp;IF(ISBLANK(D137),""," (from "&amp;D137&amp;")")</f>
        <v xml:space="preserve"> 7.16 TAR Lingo          - Derek Bell, rf</v>
      </c>
    </row>
    <row r="138" spans="1:8" s="35" customFormat="1" x14ac:dyDescent="0.25">
      <c r="A138" s="30">
        <v>136</v>
      </c>
      <c r="B138" s="30">
        <v>7</v>
      </c>
      <c r="C138" s="30">
        <v>17</v>
      </c>
      <c r="D138" s="30"/>
      <c r="E138" s="30" t="s">
        <v>11</v>
      </c>
      <c r="F138" s="38" t="s">
        <v>621</v>
      </c>
      <c r="G138" s="38"/>
      <c r="H138" s="39" t="str">
        <f>IF(B138&lt;10," ","")&amp;B138&amp;"."&amp;IF(C138&lt;10,"0","")&amp;C138&amp;" "&amp;E138&amp;" "&amp;VLOOKUP(E138,Teams!$A$2:$C$21,2,0)&amp;REPT(" ",Teams!C$1+1-VLOOKUP(E138,Teams!$A$2:$C$21,3,0))&amp;"- "&amp;F138&amp;IF(ISBLANK(D138),""," (from "&amp;D138&amp;")")</f>
        <v xml:space="preserve"> 7.17 EVN Henninger      - Mark L. Johnson, c</v>
      </c>
    </row>
    <row r="139" spans="1:8" s="35" customFormat="1" x14ac:dyDescent="0.25">
      <c r="A139" s="30">
        <v>137</v>
      </c>
      <c r="B139" s="30">
        <v>7</v>
      </c>
      <c r="C139" s="30">
        <v>18</v>
      </c>
      <c r="D139" s="30"/>
      <c r="E139" s="30" t="s">
        <v>19</v>
      </c>
      <c r="F139" s="38" t="s">
        <v>622</v>
      </c>
      <c r="G139" s="38"/>
      <c r="H139" s="39" t="str">
        <f>IF(B139&lt;10," ","")&amp;B139&amp;"."&amp;IF(C139&lt;10,"0","")&amp;C139&amp;" "&amp;E139&amp;" "&amp;VLOOKUP(E139,Teams!$A$2:$C$21,2,0)&amp;REPT(" ",Teams!C$1+1-VLOOKUP(E139,Teams!$A$2:$C$21,3,0))&amp;"- "&amp;F139&amp;IF(ISBLANK(D139),""," (from "&amp;D139&amp;")")</f>
        <v xml:space="preserve"> 7.18 TEW Bailey         - James Baldwin, rsp</v>
      </c>
    </row>
    <row r="140" spans="1:8" s="35" customFormat="1" x14ac:dyDescent="0.25">
      <c r="A140" s="30">
        <v>138</v>
      </c>
      <c r="B140" s="30">
        <v>7</v>
      </c>
      <c r="C140" s="30">
        <v>19</v>
      </c>
      <c r="D140" s="30" t="s">
        <v>0</v>
      </c>
      <c r="E140" s="30" t="s">
        <v>3</v>
      </c>
      <c r="F140" s="38" t="s">
        <v>624</v>
      </c>
      <c r="G140" s="38"/>
      <c r="H140" s="39" t="str">
        <f>IF(B140&lt;10," ","")&amp;B140&amp;"."&amp;IF(C140&lt;10,"0","")&amp;C140&amp;" "&amp;E140&amp;" "&amp;VLOOKUP(E140,Teams!$A$2:$C$21,2,0)&amp;REPT(" ",Teams!C$1+1-VLOOKUP(E140,Teams!$A$2:$C$21,3,0))&amp;"- "&amp;F140&amp;IF(ISBLANK(D140),""," (from "&amp;D140&amp;")")</f>
        <v xml:space="preserve"> 7.19 GAR Bernstein      - Armando Almanza, lmr (from DLM)</v>
      </c>
    </row>
    <row r="141" spans="1:8" s="35" customFormat="1" x14ac:dyDescent="0.25">
      <c r="A141" s="30">
        <v>139</v>
      </c>
      <c r="B141" s="30">
        <v>7</v>
      </c>
      <c r="C141" s="30">
        <v>20</v>
      </c>
      <c r="D141" s="30"/>
      <c r="E141" s="30" t="s">
        <v>9</v>
      </c>
      <c r="F141" s="38" t="s">
        <v>625</v>
      </c>
      <c r="G141" s="38"/>
      <c r="H141" s="39" t="str">
        <f>IF(B141&lt;10," ","")&amp;B141&amp;"."&amp;IF(C141&lt;10,"0","")&amp;C141&amp;" "&amp;E141&amp;" "&amp;VLOOKUP(E141,Teams!$A$2:$C$21,2,0)&amp;REPT(" ",Teams!C$1+1-VLOOKUP(E141,Teams!$A$2:$C$21,3,0))&amp;"- "&amp;F141&amp;IF(ISBLANK(D141),""," (from "&amp;D141&amp;")")</f>
        <v xml:space="preserve"> 7.20 NEP Sasman         - Mark Gardner, rsp</v>
      </c>
    </row>
    <row r="142" spans="1:8" s="35" customFormat="1" x14ac:dyDescent="0.25">
      <c r="A142" s="30">
        <v>140</v>
      </c>
      <c r="B142" s="30">
        <v>8</v>
      </c>
      <c r="C142" s="30">
        <v>1</v>
      </c>
      <c r="D142" s="30"/>
      <c r="E142" s="30" t="s">
        <v>10</v>
      </c>
      <c r="F142" s="38" t="s">
        <v>626</v>
      </c>
      <c r="G142" s="38"/>
      <c r="H142" s="39" t="str">
        <f>IF(B142&lt;10," ","")&amp;B142&amp;"."&amp;IF(C142&lt;10,"0","")&amp;C142&amp;" "&amp;E142&amp;" "&amp;VLOOKUP(E142,Teams!$A$2:$C$21,2,0)&amp;REPT(" ",Teams!C$1+1-VLOOKUP(E142,Teams!$A$2:$C$21,3,0))&amp;"- "&amp;F142&amp;IF(ISBLANK(D142),""," (from "&amp;D142&amp;")")</f>
        <v xml:space="preserve"> 8.01 FFR Scott          - Dan Smith, rsp</v>
      </c>
    </row>
    <row r="143" spans="1:8" s="35" customFormat="1" x14ac:dyDescent="0.25">
      <c r="A143" s="30">
        <v>141</v>
      </c>
      <c r="B143" s="30">
        <v>8</v>
      </c>
      <c r="C143" s="30">
        <v>2</v>
      </c>
      <c r="D143" s="30"/>
      <c r="E143" s="30" t="s">
        <v>3</v>
      </c>
      <c r="F143" s="38" t="s">
        <v>628</v>
      </c>
      <c r="G143" s="38"/>
      <c r="H143" s="39" t="str">
        <f>IF(B143&lt;10," ","")&amp;B143&amp;"."&amp;IF(C143&lt;10,"0","")&amp;C143&amp;" "&amp;E143&amp;" "&amp;VLOOKUP(E143,Teams!$A$2:$C$21,2,0)&amp;REPT(" ",Teams!C$1+1-VLOOKUP(E143,Teams!$A$2:$C$21,3,0))&amp;"- "&amp;F143&amp;IF(ISBLANK(D143),""," (from "&amp;D143&amp;")")</f>
        <v xml:space="preserve"> 8.02 GAR Bernstein      - Rey Ordonez, ss</v>
      </c>
    </row>
    <row r="144" spans="1:8" s="35" customFormat="1" x14ac:dyDescent="0.25">
      <c r="A144" s="30">
        <v>142</v>
      </c>
      <c r="B144" s="30">
        <v>8</v>
      </c>
      <c r="C144" s="30">
        <v>3</v>
      </c>
      <c r="D144" s="30" t="s">
        <v>4</v>
      </c>
      <c r="E144" s="30" t="s">
        <v>6</v>
      </c>
      <c r="F144" s="38" t="s">
        <v>629</v>
      </c>
      <c r="G144" s="38"/>
      <c r="H144" s="39" t="str">
        <f>IF(B144&lt;10," ","")&amp;B144&amp;"."&amp;IF(C144&lt;10,"0","")&amp;C144&amp;" "&amp;E144&amp;" "&amp;VLOOKUP(E144,Teams!$A$2:$C$21,2,0)&amp;REPT(" ",Teams!C$1+1-VLOOKUP(E144,Teams!$A$2:$C$21,3,0))&amp;"- "&amp;F144&amp;IF(ISBLANK(D144),""," (from "&amp;D144&amp;")")</f>
        <v xml:space="preserve"> 8.03 FHK Chernow        - Tony Clark, 1b (from BBG)</v>
      </c>
    </row>
    <row r="145" spans="1:8" s="35" customFormat="1" x14ac:dyDescent="0.25">
      <c r="A145" s="30">
        <v>143</v>
      </c>
      <c r="B145" s="30">
        <v>8</v>
      </c>
      <c r="C145" s="30">
        <v>4</v>
      </c>
      <c r="D145" s="30"/>
      <c r="E145" s="30" t="s">
        <v>14</v>
      </c>
      <c r="F145" s="38" t="s">
        <v>630</v>
      </c>
      <c r="G145" s="38" t="s">
        <v>561</v>
      </c>
      <c r="H145" s="39" t="str">
        <f>IF(B145&lt;10," ","")&amp;B145&amp;"."&amp;IF(C145&lt;10,"0","")&amp;C145&amp;" "&amp;E145&amp;" "&amp;VLOOKUP(E145,Teams!$A$2:$C$21,2,0)&amp;REPT(" ",Teams!C$1+1-VLOOKUP(E145,Teams!$A$2:$C$21,3,0))&amp;"- "&amp;F145&amp;IF(ISBLANK(D145),""," (from "&amp;D145&amp;")")</f>
        <v xml:space="preserve"> 8.04 FDH English        - Bobby Witt, rsp</v>
      </c>
    </row>
    <row r="146" spans="1:8" s="35" customFormat="1" x14ac:dyDescent="0.25">
      <c r="A146" s="30">
        <v>144</v>
      </c>
      <c r="B146" s="30">
        <v>8</v>
      </c>
      <c r="C146" s="30">
        <v>5</v>
      </c>
      <c r="D146" s="30"/>
      <c r="E146" s="30" t="s">
        <v>12</v>
      </c>
      <c r="F146" s="38" t="s">
        <v>631</v>
      </c>
      <c r="G146" s="38"/>
      <c r="H146" s="39" t="str">
        <f>IF(B146&lt;10," ","")&amp;B146&amp;"."&amp;IF(C146&lt;10,"0","")&amp;C146&amp;" "&amp;E146&amp;" "&amp;VLOOKUP(E146,Teams!$A$2:$C$21,2,0)&amp;REPT(" ",Teams!C$1+1-VLOOKUP(E146,Teams!$A$2:$C$21,3,0))&amp;"- "&amp;F146&amp;IF(ISBLANK(D146),""," (from "&amp;D146&amp;")")</f>
        <v xml:space="preserve"> 8.05 OKO Smith          - Chris Woodward, ss</v>
      </c>
    </row>
    <row r="147" spans="1:8" s="35" customFormat="1" x14ac:dyDescent="0.25">
      <c r="A147" s="30">
        <v>145</v>
      </c>
      <c r="B147" s="30">
        <v>8</v>
      </c>
      <c r="C147" s="30">
        <v>6</v>
      </c>
      <c r="D147" s="30"/>
      <c r="E147" s="30" t="s">
        <v>2</v>
      </c>
      <c r="F147" s="38" t="s">
        <v>633</v>
      </c>
      <c r="G147" s="38"/>
      <c r="H147" s="39" t="str">
        <f>IF(B147&lt;10," ","")&amp;B147&amp;"."&amp;IF(C147&lt;10,"0","")&amp;C147&amp;" "&amp;E147&amp;" "&amp;VLOOKUP(E147,Teams!$A$2:$C$21,2,0)&amp;REPT(" ",Teams!C$1+1-VLOOKUP(E147,Teams!$A$2:$C$21,3,0))&amp;"- "&amp;F147&amp;IF(ISBLANK(D147),""," (from "&amp;D147&amp;")")</f>
        <v xml:space="preserve"> 8.06 FER Olkin          - Rich Becker, cf</v>
      </c>
    </row>
    <row r="148" spans="1:8" s="35" customFormat="1" x14ac:dyDescent="0.25">
      <c r="A148" s="30">
        <v>146</v>
      </c>
      <c r="B148" s="30">
        <v>8</v>
      </c>
      <c r="C148" s="30">
        <v>7</v>
      </c>
      <c r="D148" s="30" t="s">
        <v>6</v>
      </c>
      <c r="E148" s="30" t="s">
        <v>4</v>
      </c>
      <c r="F148" s="38" t="s">
        <v>634</v>
      </c>
      <c r="G148" s="38"/>
      <c r="H148" s="39" t="str">
        <f>IF(B148&lt;10," ","")&amp;B148&amp;"."&amp;IF(C148&lt;10,"0","")&amp;C148&amp;" "&amp;E148&amp;" "&amp;VLOOKUP(E148,Teams!$A$2:$C$21,2,0)&amp;REPT(" ",Teams!C$1+1-VLOOKUP(E148,Teams!$A$2:$C$21,3,0))&amp;"- "&amp;F148&amp;IF(ISBLANK(D148),""," (from "&amp;D148&amp;")")</f>
        <v xml:space="preserve"> 8.07 BBG Canter         - Tim Bogar, ss (from FHK)</v>
      </c>
    </row>
    <row r="149" spans="1:8" s="35" customFormat="1" x14ac:dyDescent="0.25">
      <c r="A149" s="30">
        <v>147</v>
      </c>
      <c r="B149" s="30">
        <v>8</v>
      </c>
      <c r="C149" s="30">
        <v>8</v>
      </c>
      <c r="D149" s="30"/>
      <c r="E149" s="30" t="s">
        <v>7</v>
      </c>
      <c r="F149" s="38" t="s">
        <v>635</v>
      </c>
      <c r="G149" s="38" t="s">
        <v>632</v>
      </c>
      <c r="H149" s="39" t="str">
        <f>IF(B149&lt;10," ","")&amp;B149&amp;"."&amp;IF(C149&lt;10,"0","")&amp;C149&amp;" "&amp;E149&amp;" "&amp;VLOOKUP(E149,Teams!$A$2:$C$21,2,0)&amp;REPT(" ",Teams!C$1+1-VLOOKUP(E149,Teams!$A$2:$C$21,3,0))&amp;"- "&amp;F149&amp;IF(ISBLANK(D149),""," (from "&amp;D149&amp;")")</f>
        <v xml:space="preserve"> 8.08 MCL Manuel         - Jose Silva, rmr</v>
      </c>
    </row>
    <row r="150" spans="1:8" s="35" customFormat="1" x14ac:dyDescent="0.25">
      <c r="A150" s="30">
        <v>148</v>
      </c>
      <c r="B150" s="30">
        <v>8</v>
      </c>
      <c r="C150" s="30">
        <v>9</v>
      </c>
      <c r="D150" s="30" t="s">
        <v>5</v>
      </c>
      <c r="E150" s="30" t="s">
        <v>3</v>
      </c>
      <c r="F150" s="38" t="s">
        <v>639</v>
      </c>
      <c r="G150" s="38"/>
      <c r="H150" s="39" t="str">
        <f>IF(B150&lt;10," ","")&amp;B150&amp;"."&amp;IF(C150&lt;10,"0","")&amp;C150&amp;" "&amp;E150&amp;" "&amp;VLOOKUP(E150,Teams!$A$2:$C$21,2,0)&amp;REPT(" ",Teams!C$1+1-VLOOKUP(E150,Teams!$A$2:$C$21,3,0))&amp;"- "&amp;F150&amp;IF(ISBLANK(D150),""," (from "&amp;D150&amp;")")</f>
        <v xml:space="preserve"> 8.09 GAR Bernstein      - Tino Martinez, 1b (from RMO)</v>
      </c>
    </row>
    <row r="151" spans="1:8" s="35" customFormat="1" x14ac:dyDescent="0.25">
      <c r="A151" s="30">
        <v>149</v>
      </c>
      <c r="B151" s="30">
        <v>8</v>
      </c>
      <c r="C151" s="30">
        <v>10</v>
      </c>
      <c r="D151" s="30" t="s">
        <v>1</v>
      </c>
      <c r="E151" s="30" t="s">
        <v>357</v>
      </c>
      <c r="F151" s="38" t="s">
        <v>640</v>
      </c>
      <c r="G151" s="38" t="s">
        <v>623</v>
      </c>
      <c r="H151" s="39" t="str">
        <f>IF(B151&lt;10," ","")&amp;B151&amp;"."&amp;IF(C151&lt;10,"0","")&amp;C151&amp;" "&amp;E151&amp;" "&amp;VLOOKUP(E151,Teams!$A$2:$C$21,2,0)&amp;REPT(" ",Teams!C$1+1-VLOOKUP(E151,Teams!$A$2:$C$21,3,0))&amp;"- "&amp;F151&amp;IF(ISBLANK(D151),""," (from "&amp;D151&amp;")")</f>
        <v xml:space="preserve"> 8.10 FLL Carroll/Kleine - Neifi Perez, ss (from ZZY)</v>
      </c>
    </row>
    <row r="152" spans="1:8" s="35" customFormat="1" x14ac:dyDescent="0.25">
      <c r="A152" s="30">
        <v>150</v>
      </c>
      <c r="B152" s="30">
        <v>8</v>
      </c>
      <c r="C152" s="30">
        <v>11</v>
      </c>
      <c r="D152" s="30" t="s">
        <v>18</v>
      </c>
      <c r="E152" s="30" t="s">
        <v>357</v>
      </c>
      <c r="F152" s="38" t="s">
        <v>641</v>
      </c>
      <c r="G152" s="38"/>
      <c r="H152" s="39" t="str">
        <f>IF(B152&lt;10," ","")&amp;B152&amp;"."&amp;IF(C152&lt;10,"0","")&amp;C152&amp;" "&amp;E152&amp;" "&amp;VLOOKUP(E152,Teams!$A$2:$C$21,2,0)&amp;REPT(" ",Teams!C$1+1-VLOOKUP(E152,Teams!$A$2:$C$21,3,0))&amp;"- "&amp;F152&amp;IF(ISBLANK(D152),""," (from "&amp;D152&amp;")")</f>
        <v xml:space="preserve"> 8.11 FLL Carroll/Kleine - Mike Lincoln, rsp (from CIN)</v>
      </c>
    </row>
    <row r="153" spans="1:8" s="35" customFormat="1" x14ac:dyDescent="0.25">
      <c r="A153" s="30">
        <v>151</v>
      </c>
      <c r="B153" s="30">
        <v>8</v>
      </c>
      <c r="C153" s="30">
        <v>12</v>
      </c>
      <c r="D153" s="30" t="s">
        <v>566</v>
      </c>
      <c r="E153" s="30" t="s">
        <v>357</v>
      </c>
      <c r="F153" s="38" t="s">
        <v>642</v>
      </c>
      <c r="G153" s="38" t="s">
        <v>567</v>
      </c>
      <c r="H153" s="39" t="str">
        <f>IF(B153&lt;10," ","")&amp;B153&amp;"."&amp;IF(C153&lt;10,"0","")&amp;C153&amp;" "&amp;E153&amp;" "&amp;VLOOKUP(E153,Teams!$A$2:$C$21,2,0)&amp;REPT(" ",Teams!C$1+1-VLOOKUP(E153,Teams!$A$2:$C$21,3,0))&amp;"- "&amp;F153&amp;IF(ISBLANK(D153),""," (from "&amp;D153&amp;")")</f>
        <v xml:space="preserve"> 8.12 FLL Carroll/Kleine - Nelson Cruz, rmr (from CTW,FFR)</v>
      </c>
    </row>
    <row r="154" spans="1:8" s="35" customFormat="1" x14ac:dyDescent="0.25">
      <c r="A154" s="30">
        <v>152</v>
      </c>
      <c r="B154" s="30">
        <v>8</v>
      </c>
      <c r="C154" s="30">
        <v>13</v>
      </c>
      <c r="D154" s="30" t="s">
        <v>357</v>
      </c>
      <c r="E154" s="30" t="s">
        <v>10</v>
      </c>
      <c r="F154" s="38" t="s">
        <v>643</v>
      </c>
      <c r="G154" s="38" t="s">
        <v>568</v>
      </c>
      <c r="H154" s="39" t="str">
        <f>IF(B154&lt;10," ","")&amp;B154&amp;"."&amp;IF(C154&lt;10,"0","")&amp;C154&amp;" "&amp;E154&amp;" "&amp;VLOOKUP(E154,Teams!$A$2:$C$21,2,0)&amp;REPT(" ",Teams!C$1+1-VLOOKUP(E154,Teams!$A$2:$C$21,3,0))&amp;"- "&amp;F154&amp;IF(ISBLANK(D154),""," (from "&amp;D154&amp;")")</f>
        <v xml:space="preserve"> 8.13 FFR Scott          - Matt Franco, 3b (from FLL)</v>
      </c>
    </row>
    <row r="155" spans="1:8" s="35" customFormat="1" x14ac:dyDescent="0.25">
      <c r="A155" s="30">
        <v>153</v>
      </c>
      <c r="B155" s="30">
        <v>8</v>
      </c>
      <c r="C155" s="30">
        <v>14</v>
      </c>
      <c r="D155" s="30" t="s">
        <v>17</v>
      </c>
      <c r="E155" s="30" t="s">
        <v>13</v>
      </c>
      <c r="F155" s="38" t="s">
        <v>649</v>
      </c>
      <c r="G155" s="38"/>
      <c r="H155" s="39" t="str">
        <f>IF(B155&lt;10," ","")&amp;B155&amp;"."&amp;IF(C155&lt;10,"0","")&amp;C155&amp;" "&amp;E155&amp;" "&amp;VLOOKUP(E155,Teams!$A$2:$C$21,2,0)&amp;REPT(" ",Teams!C$1+1-VLOOKUP(E155,Teams!$A$2:$C$21,3,0))&amp;"- "&amp;F155&amp;IF(ISBLANK(D155),""," (from "&amp;D155&amp;")")</f>
        <v xml:space="preserve"> 8.14 CTW RMiller        - Alex S. Gonzalez, ss (from BAR)</v>
      </c>
    </row>
    <row r="156" spans="1:8" s="35" customFormat="1" x14ac:dyDescent="0.25">
      <c r="A156" s="30">
        <v>154</v>
      </c>
      <c r="B156" s="30">
        <v>8</v>
      </c>
      <c r="C156" s="30">
        <v>15</v>
      </c>
      <c r="D156" s="30" t="s">
        <v>8</v>
      </c>
      <c r="E156" s="30" t="s">
        <v>0</v>
      </c>
      <c r="F156" s="38" t="s">
        <v>650</v>
      </c>
      <c r="G156" s="38" t="s">
        <v>560</v>
      </c>
      <c r="H156" s="39" t="str">
        <f>IF(B156&lt;10," ","")&amp;B156&amp;"."&amp;IF(C156&lt;10,"0","")&amp;C156&amp;" "&amp;E156&amp;" "&amp;VLOOKUP(E156,Teams!$A$2:$C$21,2,0)&amp;REPT(" ",Teams!C$1+1-VLOOKUP(E156,Teams!$A$2:$C$21,3,0))&amp;"- "&amp;F156&amp;IF(ISBLANK(D156),""," (from "&amp;D156&amp;")")</f>
        <v xml:space="preserve"> 8.15 DLM Potter         - Carlos Reyes, rmr (from CEN)</v>
      </c>
    </row>
    <row r="157" spans="1:8" s="35" customFormat="1" x14ac:dyDescent="0.25">
      <c r="A157" s="30">
        <v>155</v>
      </c>
      <c r="B157" s="30">
        <v>8</v>
      </c>
      <c r="C157" s="30">
        <v>16</v>
      </c>
      <c r="D157" s="30"/>
      <c r="E157" s="30" t="s">
        <v>11</v>
      </c>
      <c r="F157" s="38" t="s">
        <v>651</v>
      </c>
      <c r="G157" s="38"/>
      <c r="H157" s="39" t="str">
        <f>IF(B157&lt;10," ","")&amp;B157&amp;"."&amp;IF(C157&lt;10,"0","")&amp;C157&amp;" "&amp;E157&amp;" "&amp;VLOOKUP(E157,Teams!$A$2:$C$21,2,0)&amp;REPT(" ",Teams!C$1+1-VLOOKUP(E157,Teams!$A$2:$C$21,3,0))&amp;"- "&amp;F157&amp;IF(ISBLANK(D157),""," (from "&amp;D157&amp;")")</f>
        <v xml:space="preserve"> 8.16 EVN Henninger      - Mike Macfarlane, c</v>
      </c>
    </row>
    <row r="158" spans="1:8" s="35" customFormat="1" x14ac:dyDescent="0.25">
      <c r="A158" s="30">
        <v>156</v>
      </c>
      <c r="B158" s="30">
        <v>8</v>
      </c>
      <c r="C158" s="30">
        <v>17</v>
      </c>
      <c r="D158" s="30"/>
      <c r="E158" s="30" t="s">
        <v>19</v>
      </c>
      <c r="F158" s="38" t="s">
        <v>653</v>
      </c>
      <c r="G158" s="38"/>
      <c r="H158" s="39" t="str">
        <f>IF(B158&lt;10," ","")&amp;B158&amp;"."&amp;IF(C158&lt;10,"0","")&amp;C158&amp;" "&amp;E158&amp;" "&amp;VLOOKUP(E158,Teams!$A$2:$C$21,2,0)&amp;REPT(" ",Teams!C$1+1-VLOOKUP(E158,Teams!$A$2:$C$21,3,0))&amp;"- "&amp;F158&amp;IF(ISBLANK(D158),""," (from "&amp;D158&amp;")")</f>
        <v xml:space="preserve"> 8.17 TEW Bailey         - Hideki Irabu, rsp</v>
      </c>
    </row>
    <row r="159" spans="1:8" s="35" customFormat="1" x14ac:dyDescent="0.25">
      <c r="A159" s="30">
        <v>157</v>
      </c>
      <c r="B159" s="30">
        <v>8</v>
      </c>
      <c r="C159" s="30">
        <v>18</v>
      </c>
      <c r="D159" s="30"/>
      <c r="E159" s="30" t="s">
        <v>0</v>
      </c>
      <c r="F159" s="38" t="s">
        <v>652</v>
      </c>
      <c r="G159" s="38"/>
      <c r="H159" s="39" t="str">
        <f>IF(B159&lt;10," ","")&amp;B159&amp;"."&amp;IF(C159&lt;10,"0","")&amp;C159&amp;" "&amp;E159&amp;" "&amp;VLOOKUP(E159,Teams!$A$2:$C$21,2,0)&amp;REPT(" ",Teams!C$1+1-VLOOKUP(E159,Teams!$A$2:$C$21,3,0))&amp;"- "&amp;F159&amp;IF(ISBLANK(D159),""," (from "&amp;D159&amp;")")</f>
        <v xml:space="preserve"> 8.18 DLM Potter         - Mike Maddux, rmr</v>
      </c>
    </row>
    <row r="160" spans="1:8" s="35" customFormat="1" x14ac:dyDescent="0.25">
      <c r="A160" s="30">
        <v>158</v>
      </c>
      <c r="B160" s="30">
        <v>8</v>
      </c>
      <c r="C160" s="30">
        <v>19</v>
      </c>
      <c r="D160" s="30"/>
      <c r="E160" s="30" t="s">
        <v>9</v>
      </c>
      <c r="F160" s="38" t="s">
        <v>654</v>
      </c>
      <c r="G160" s="38"/>
      <c r="H160" s="39" t="str">
        <f>IF(B160&lt;10," ","")&amp;B160&amp;"."&amp;IF(C160&lt;10,"0","")&amp;C160&amp;" "&amp;E160&amp;" "&amp;VLOOKUP(E160,Teams!$A$2:$C$21,2,0)&amp;REPT(" ",Teams!C$1+1-VLOOKUP(E160,Teams!$A$2:$C$21,3,0))&amp;"- "&amp;F160&amp;IF(ISBLANK(D160),""," (from "&amp;D160&amp;")")</f>
        <v xml:space="preserve"> 8.19 NEP Sasman         - Jeff Liefer, 1b</v>
      </c>
    </row>
    <row r="161" spans="1:8" s="35" customFormat="1" x14ac:dyDescent="0.25">
      <c r="A161" s="30">
        <v>159</v>
      </c>
      <c r="B161" s="30">
        <v>9</v>
      </c>
      <c r="C161" s="30">
        <v>1</v>
      </c>
      <c r="D161" s="30"/>
      <c r="E161" s="30" t="s">
        <v>10</v>
      </c>
      <c r="F161" s="38" t="s">
        <v>656</v>
      </c>
      <c r="G161" s="38"/>
      <c r="H161" s="39" t="str">
        <f>IF(B161&lt;10," ","")&amp;B161&amp;"."&amp;IF(C161&lt;10,"0","")&amp;C161&amp;" "&amp;E161&amp;" "&amp;VLOOKUP(E161,Teams!$A$2:$C$21,2,0)&amp;REPT(" ",Teams!C$1+1-VLOOKUP(E161,Teams!$A$2:$C$21,3,0))&amp;"- "&amp;F161&amp;IF(ISBLANK(D161),""," (from "&amp;D161&amp;")")</f>
        <v xml:space="preserve"> 9.01 FFR Scott          - Lenny Harris, 3b</v>
      </c>
    </row>
    <row r="162" spans="1:8" s="35" customFormat="1" x14ac:dyDescent="0.25">
      <c r="A162" s="30">
        <v>160</v>
      </c>
      <c r="B162" s="30">
        <v>9</v>
      </c>
      <c r="C162" s="30">
        <v>2</v>
      </c>
      <c r="D162" s="30"/>
      <c r="E162" s="30" t="s">
        <v>3</v>
      </c>
      <c r="F162" s="38" t="s">
        <v>657</v>
      </c>
      <c r="G162" s="38"/>
      <c r="H162" s="39" t="str">
        <f>IF(B162&lt;10," ","")&amp;B162&amp;"."&amp;IF(C162&lt;10,"0","")&amp;C162&amp;" "&amp;E162&amp;" "&amp;VLOOKUP(E162,Teams!$A$2:$C$21,2,0)&amp;REPT(" ",Teams!C$1+1-VLOOKUP(E162,Teams!$A$2:$C$21,3,0))&amp;"- "&amp;F162&amp;IF(ISBLANK(D162),""," (from "&amp;D162&amp;")")</f>
        <v xml:space="preserve"> 9.02 GAR Bernstein      - Alex Gonzalez, ss (the FLO one)</v>
      </c>
    </row>
    <row r="163" spans="1:8" s="35" customFormat="1" x14ac:dyDescent="0.25">
      <c r="A163" s="30">
        <v>161</v>
      </c>
      <c r="B163" s="30">
        <v>9</v>
      </c>
      <c r="C163" s="30">
        <v>3</v>
      </c>
      <c r="D163" s="30"/>
      <c r="E163" s="30" t="s">
        <v>4</v>
      </c>
      <c r="F163" s="38" t="s">
        <v>658</v>
      </c>
      <c r="G163" s="38"/>
      <c r="H163" s="39" t="str">
        <f>IF(B163&lt;10," ","")&amp;B163&amp;"."&amp;IF(C163&lt;10,"0","")&amp;C163&amp;" "&amp;E163&amp;" "&amp;VLOOKUP(E163,Teams!$A$2:$C$21,2,0)&amp;REPT(" ",Teams!C$1+1-VLOOKUP(E163,Teams!$A$2:$C$21,3,0))&amp;"- "&amp;F163&amp;IF(ISBLANK(D163),""," (from "&amp;D163&amp;")")</f>
        <v xml:space="preserve"> 9.03 BBG Canter         - Justin Thompson, lsp</v>
      </c>
    </row>
    <row r="164" spans="1:8" s="35" customFormat="1" x14ac:dyDescent="0.25">
      <c r="A164" s="30">
        <v>162</v>
      </c>
      <c r="B164" s="30">
        <v>9</v>
      </c>
      <c r="C164" s="30">
        <v>4</v>
      </c>
      <c r="D164" s="30"/>
      <c r="E164" s="30" t="s">
        <v>14</v>
      </c>
      <c r="F164" s="38" t="s">
        <v>659</v>
      </c>
      <c r="G164" s="38"/>
      <c r="H164" s="39" t="str">
        <f>IF(B164&lt;10," ","")&amp;B164&amp;"."&amp;IF(C164&lt;10,"0","")&amp;C164&amp;" "&amp;E164&amp;" "&amp;VLOOKUP(E164,Teams!$A$2:$C$21,2,0)&amp;REPT(" ",Teams!C$1+1-VLOOKUP(E164,Teams!$A$2:$C$21,3,0))&amp;"- "&amp;F164&amp;IF(ISBLANK(D164),""," (from "&amp;D164&amp;")")</f>
        <v xml:space="preserve"> 9.04 FDH English        - Mike Matheny, FDH</v>
      </c>
    </row>
    <row r="165" spans="1:8" s="35" customFormat="1" x14ac:dyDescent="0.25">
      <c r="A165" s="30">
        <v>163</v>
      </c>
      <c r="B165" s="30">
        <v>9</v>
      </c>
      <c r="C165" s="30">
        <v>5</v>
      </c>
      <c r="D165" s="30"/>
      <c r="E165" s="30" t="s">
        <v>6</v>
      </c>
      <c r="F165" s="38" t="s">
        <v>660</v>
      </c>
      <c r="G165" s="38"/>
      <c r="H165" s="39" t="str">
        <f>IF(B165&lt;10," ","")&amp;B165&amp;"."&amp;IF(C165&lt;10,"0","")&amp;C165&amp;" "&amp;E165&amp;" "&amp;VLOOKUP(E165,Teams!$A$2:$C$21,2,0)&amp;REPT(" ",Teams!C$1+1-VLOOKUP(E165,Teams!$A$2:$C$21,3,0))&amp;"- "&amp;F165&amp;IF(ISBLANK(D165),""," (from "&amp;D165&amp;")")</f>
        <v xml:space="preserve"> 9.05 FHK Chernow        - Steve Cox, 1b</v>
      </c>
    </row>
    <row r="166" spans="1:8" s="35" customFormat="1" x14ac:dyDescent="0.25">
      <c r="A166" s="30">
        <v>164</v>
      </c>
      <c r="B166" s="30">
        <v>9</v>
      </c>
      <c r="C166" s="30">
        <v>6</v>
      </c>
      <c r="D166" s="30"/>
      <c r="E166" s="30" t="s">
        <v>2</v>
      </c>
      <c r="F166" s="38" t="s">
        <v>661</v>
      </c>
      <c r="G166" s="38"/>
      <c r="H166" s="39" t="str">
        <f>IF(B166&lt;10," ","")&amp;B166&amp;"."&amp;IF(C166&lt;10,"0","")&amp;C166&amp;" "&amp;E166&amp;" "&amp;VLOOKUP(E166,Teams!$A$2:$C$21,2,0)&amp;REPT(" ",Teams!C$1+1-VLOOKUP(E166,Teams!$A$2:$C$21,3,0))&amp;"- "&amp;F166&amp;IF(ISBLANK(D166),""," (from "&amp;D166&amp;")")</f>
        <v xml:space="preserve"> 9.06 FER Olkin          - Gary Glover, rmr</v>
      </c>
    </row>
    <row r="167" spans="1:8" s="35" customFormat="1" x14ac:dyDescent="0.25">
      <c r="A167" s="30">
        <v>165</v>
      </c>
      <c r="B167" s="30">
        <v>9</v>
      </c>
      <c r="C167" s="30">
        <v>7</v>
      </c>
      <c r="D167" s="30" t="s">
        <v>12</v>
      </c>
      <c r="E167" s="30" t="s">
        <v>10</v>
      </c>
      <c r="F167" s="38" t="s">
        <v>664</v>
      </c>
      <c r="G167" s="38" t="s">
        <v>410</v>
      </c>
      <c r="H167" s="39" t="str">
        <f>IF(B167&lt;10," ","")&amp;B167&amp;"."&amp;IF(C167&lt;10,"0","")&amp;C167&amp;" "&amp;E167&amp;" "&amp;VLOOKUP(E167,Teams!$A$2:$C$21,2,0)&amp;REPT(" ",Teams!C$1+1-VLOOKUP(E167,Teams!$A$2:$C$21,3,0))&amp;"- "&amp;F167&amp;IF(ISBLANK(D167),""," (from "&amp;D167&amp;")")</f>
        <v xml:space="preserve"> 9.07 FFR Scott          - Ramon Castro, c (from OKO)</v>
      </c>
    </row>
    <row r="168" spans="1:8" s="35" customFormat="1" x14ac:dyDescent="0.25">
      <c r="A168" s="30">
        <v>166</v>
      </c>
      <c r="B168" s="30">
        <v>9</v>
      </c>
      <c r="C168" s="30">
        <v>8</v>
      </c>
      <c r="D168" s="30" t="s">
        <v>7</v>
      </c>
      <c r="E168" s="30" t="s">
        <v>5</v>
      </c>
      <c r="F168" s="38" t="s">
        <v>662</v>
      </c>
      <c r="G168" s="38" t="s">
        <v>362</v>
      </c>
      <c r="H168" s="39" t="str">
        <f>IF(B168&lt;10," ","")&amp;B168&amp;"."&amp;IF(C168&lt;10,"0","")&amp;C168&amp;" "&amp;E168&amp;" "&amp;VLOOKUP(E168,Teams!$A$2:$C$21,2,0)&amp;REPT(" ",Teams!C$1+1-VLOOKUP(E168,Teams!$A$2:$C$21,3,0))&amp;"- "&amp;F168&amp;IF(ISBLANK(D168),""," (from "&amp;D168&amp;")")</f>
        <v xml:space="preserve"> 9.08 RMO Haverty/Mojo   - John Valentin, 3b (from MCL)</v>
      </c>
    </row>
    <row r="169" spans="1:8" s="35" customFormat="1" x14ac:dyDescent="0.25">
      <c r="A169" s="30">
        <v>167</v>
      </c>
      <c r="B169" s="30">
        <v>9</v>
      </c>
      <c r="C169" s="30">
        <v>9</v>
      </c>
      <c r="D169" s="30"/>
      <c r="E169" s="30" t="s">
        <v>5</v>
      </c>
      <c r="F169" s="38" t="s">
        <v>663</v>
      </c>
      <c r="G169" s="38"/>
      <c r="H169" s="39" t="str">
        <f>IF(B169&lt;10," ","")&amp;B169&amp;"."&amp;IF(C169&lt;10,"0","")&amp;C169&amp;" "&amp;E169&amp;" "&amp;VLOOKUP(E169,Teams!$A$2:$C$21,2,0)&amp;REPT(" ",Teams!C$1+1-VLOOKUP(E169,Teams!$A$2:$C$21,3,0))&amp;"- "&amp;F169&amp;IF(ISBLANK(D169),""," (from "&amp;D169&amp;")")</f>
        <v xml:space="preserve"> 9.09 RMO Haverty/Mojo   - Carlos Febles, 2b</v>
      </c>
    </row>
    <row r="170" spans="1:8" s="35" customFormat="1" x14ac:dyDescent="0.25">
      <c r="A170" s="30">
        <v>168</v>
      </c>
      <c r="B170" s="30">
        <v>9</v>
      </c>
      <c r="C170" s="30">
        <v>10</v>
      </c>
      <c r="D170" s="30"/>
      <c r="E170" s="30" t="s">
        <v>1</v>
      </c>
      <c r="F170" s="38" t="s">
        <v>665</v>
      </c>
      <c r="G170" s="38"/>
      <c r="H170" s="39" t="str">
        <f>IF(B170&lt;10," ","")&amp;B170&amp;"."&amp;IF(C170&lt;10,"0","")&amp;C170&amp;" "&amp;E170&amp;" "&amp;VLOOKUP(E170,Teams!$A$2:$C$21,2,0)&amp;REPT(" ",Teams!C$1+1-VLOOKUP(E170,Teams!$A$2:$C$21,3,0))&amp;"- "&amp;F170&amp;IF(ISBLANK(D170),""," (from "&amp;D170&amp;")")</f>
        <v xml:space="preserve"> 9.10 ZZY Poole          - John Frascatore, rmr</v>
      </c>
    </row>
    <row r="171" spans="1:8" s="35" customFormat="1" x14ac:dyDescent="0.25">
      <c r="A171" s="30">
        <v>169</v>
      </c>
      <c r="B171" s="30">
        <v>9</v>
      </c>
      <c r="C171" s="30">
        <v>11</v>
      </c>
      <c r="D171" s="30" t="s">
        <v>18</v>
      </c>
      <c r="E171" s="30" t="s">
        <v>4</v>
      </c>
      <c r="F171" s="38" t="s">
        <v>666</v>
      </c>
      <c r="G171" s="38"/>
      <c r="H171" s="39" t="str">
        <f>IF(B171&lt;10," ","")&amp;B171&amp;"."&amp;IF(C171&lt;10,"0","")&amp;C171&amp;" "&amp;E171&amp;" "&amp;VLOOKUP(E171,Teams!$A$2:$C$21,2,0)&amp;REPT(" ",Teams!C$1+1-VLOOKUP(E171,Teams!$A$2:$C$21,3,0))&amp;"- "&amp;F171&amp;IF(ISBLANK(D171),""," (from "&amp;D171&amp;")")</f>
        <v xml:space="preserve"> 9.11 BBG Canter         - Matt Walbeck, c (from CIN)</v>
      </c>
    </row>
    <row r="172" spans="1:8" s="35" customFormat="1" x14ac:dyDescent="0.25">
      <c r="A172" s="30">
        <v>170</v>
      </c>
      <c r="B172" s="30">
        <v>9</v>
      </c>
      <c r="C172" s="30">
        <v>12</v>
      </c>
      <c r="D172" s="30"/>
      <c r="E172" s="30" t="s">
        <v>13</v>
      </c>
      <c r="F172" s="38" t="s">
        <v>667</v>
      </c>
      <c r="G172" s="38"/>
      <c r="H172" s="39" t="str">
        <f>IF(B172&lt;10," ","")&amp;B172&amp;"."&amp;IF(C172&lt;10,"0","")&amp;C172&amp;" "&amp;E172&amp;" "&amp;VLOOKUP(E172,Teams!$A$2:$C$21,2,0)&amp;REPT(" ",Teams!C$1+1-VLOOKUP(E172,Teams!$A$2:$C$21,3,0))&amp;"- "&amp;F172&amp;IF(ISBLANK(D172),""," (from "&amp;D172&amp;")")</f>
        <v xml:space="preserve"> 9.12 CTW RMiller        - Gary Matthews Jr, rf</v>
      </c>
    </row>
    <row r="173" spans="1:8" s="35" customFormat="1" x14ac:dyDescent="0.25">
      <c r="A173" s="30">
        <v>171</v>
      </c>
      <c r="B173" s="30">
        <v>9</v>
      </c>
      <c r="C173" s="30">
        <v>13</v>
      </c>
      <c r="D173" s="30"/>
      <c r="E173" s="30" t="s">
        <v>357</v>
      </c>
      <c r="F173" s="38" t="s">
        <v>668</v>
      </c>
      <c r="G173" s="38"/>
      <c r="H173" s="39" t="str">
        <f>IF(B173&lt;10," ","")&amp;B173&amp;"."&amp;IF(C173&lt;10,"0","")&amp;C173&amp;" "&amp;E173&amp;" "&amp;VLOOKUP(E173,Teams!$A$2:$C$21,2,0)&amp;REPT(" ",Teams!C$1+1-VLOOKUP(E173,Teams!$A$2:$C$21,3,0))&amp;"- "&amp;F173&amp;IF(ISBLANK(D173),""," (from "&amp;D173&amp;")")</f>
        <v xml:space="preserve"> 9.13 FLL Carroll/Kleine - Rico Brogna, 1b</v>
      </c>
    </row>
    <row r="174" spans="1:8" s="35" customFormat="1" x14ac:dyDescent="0.25">
      <c r="A174" s="30">
        <v>172</v>
      </c>
      <c r="B174" s="30">
        <v>9</v>
      </c>
      <c r="C174" s="30">
        <v>14</v>
      </c>
      <c r="D174" s="30"/>
      <c r="E174" s="30" t="s">
        <v>17</v>
      </c>
      <c r="F174" s="38" t="s">
        <v>669</v>
      </c>
      <c r="G174" s="38"/>
      <c r="H174" s="39" t="str">
        <f>IF(B174&lt;10," ","")&amp;B174&amp;"."&amp;IF(C174&lt;10,"0","")&amp;C174&amp;" "&amp;E174&amp;" "&amp;VLOOKUP(E174,Teams!$A$2:$C$21,2,0)&amp;REPT(" ",Teams!C$1+1-VLOOKUP(E174,Teams!$A$2:$C$21,3,0))&amp;"- "&amp;F174&amp;IF(ISBLANK(D174),""," (from "&amp;D174&amp;")")</f>
        <v xml:space="preserve"> 9.14 BAR Marshall       - Ramon Martinez, rsp</v>
      </c>
    </row>
    <row r="175" spans="1:8" s="35" customFormat="1" x14ac:dyDescent="0.25">
      <c r="A175" s="30">
        <v>173</v>
      </c>
      <c r="B175" s="30">
        <v>9</v>
      </c>
      <c r="C175" s="30">
        <v>15</v>
      </c>
      <c r="D175" s="30" t="s">
        <v>8</v>
      </c>
      <c r="E175" s="30" t="s">
        <v>0</v>
      </c>
      <c r="F175" s="38" t="s">
        <v>670</v>
      </c>
      <c r="G175" s="38" t="s">
        <v>560</v>
      </c>
      <c r="H175" s="39" t="str">
        <f>IF(B175&lt;10," ","")&amp;B175&amp;"."&amp;IF(C175&lt;10,"0","")&amp;C175&amp;" "&amp;E175&amp;" "&amp;VLOOKUP(E175,Teams!$A$2:$C$21,2,0)&amp;REPT(" ",Teams!C$1+1-VLOOKUP(E175,Teams!$A$2:$C$21,3,0))&amp;"- "&amp;F175&amp;IF(ISBLANK(D175),""," (from "&amp;D175&amp;")")</f>
        <v xml:space="preserve"> 9.15 DLM Potter         - Kevin Jordan, 3b (from CEN)</v>
      </c>
    </row>
    <row r="176" spans="1:8" s="35" customFormat="1" x14ac:dyDescent="0.25">
      <c r="A176" s="30">
        <v>174</v>
      </c>
      <c r="B176" s="30">
        <v>9</v>
      </c>
      <c r="C176" s="30">
        <v>16</v>
      </c>
      <c r="D176" s="30" t="s">
        <v>16</v>
      </c>
      <c r="E176" s="30" t="s">
        <v>18</v>
      </c>
      <c r="F176" s="38" t="s">
        <v>671</v>
      </c>
      <c r="G176" s="38" t="s">
        <v>655</v>
      </c>
      <c r="H176" s="39" t="str">
        <f>IF(B176&lt;10," ","")&amp;B176&amp;"."&amp;IF(C176&lt;10,"0","")&amp;C176&amp;" "&amp;E176&amp;" "&amp;VLOOKUP(E176,Teams!$A$2:$C$21,2,0)&amp;REPT(" ",Teams!C$1+1-VLOOKUP(E176,Teams!$A$2:$C$21,3,0))&amp;"- "&amp;F176&amp;IF(ISBLANK(D176),""," (from "&amp;D176&amp;")")</f>
        <v xml:space="preserve"> 9.16 CIN CMiller        - Miguel Cairo, 2b (from TAR)</v>
      </c>
    </row>
    <row r="177" spans="1:8" s="35" customFormat="1" x14ac:dyDescent="0.25">
      <c r="A177" s="30">
        <v>175</v>
      </c>
      <c r="B177" s="30">
        <v>9</v>
      </c>
      <c r="C177" s="30">
        <v>17</v>
      </c>
      <c r="D177" s="30" t="s">
        <v>11</v>
      </c>
      <c r="E177" s="30" t="s">
        <v>5</v>
      </c>
      <c r="F177" s="38" t="s">
        <v>672</v>
      </c>
      <c r="G177" s="38"/>
      <c r="H177" s="39" t="str">
        <f>IF(B177&lt;10," ","")&amp;B177&amp;"."&amp;IF(C177&lt;10,"0","")&amp;C177&amp;" "&amp;E177&amp;" "&amp;VLOOKUP(E177,Teams!$A$2:$C$21,2,0)&amp;REPT(" ",Teams!C$1+1-VLOOKUP(E177,Teams!$A$2:$C$21,3,0))&amp;"- "&amp;F177&amp;IF(ISBLANK(D177),""," (from "&amp;D177&amp;")")</f>
        <v xml:space="preserve"> 9.17 RMO Haverty/Mojo   - Matt Anderson, rmr (from EVN)</v>
      </c>
    </row>
    <row r="178" spans="1:8" s="35" customFormat="1" x14ac:dyDescent="0.25">
      <c r="A178" s="30">
        <v>176</v>
      </c>
      <c r="B178" s="30">
        <v>9</v>
      </c>
      <c r="C178" s="30">
        <v>18</v>
      </c>
      <c r="D178" s="30"/>
      <c r="E178" s="30" t="s">
        <v>19</v>
      </c>
      <c r="F178" s="38" t="s">
        <v>673</v>
      </c>
      <c r="G178" s="38"/>
      <c r="H178" s="39" t="str">
        <f>IF(B178&lt;10," ","")&amp;B178&amp;"."&amp;IF(C178&lt;10,"0","")&amp;C178&amp;" "&amp;E178&amp;" "&amp;VLOOKUP(E178,Teams!$A$2:$C$21,2,0)&amp;REPT(" ",Teams!C$1+1-VLOOKUP(E178,Teams!$A$2:$C$21,3,0))&amp;"- "&amp;F178&amp;IF(ISBLANK(D178),""," (from "&amp;D178&amp;")")</f>
        <v xml:space="preserve"> 9.18 TEW Bailey         - Kevin Stocker, ss</v>
      </c>
    </row>
    <row r="179" spans="1:8" s="35" customFormat="1" x14ac:dyDescent="0.25">
      <c r="A179" s="30">
        <v>177</v>
      </c>
      <c r="B179" s="30">
        <v>9</v>
      </c>
      <c r="C179" s="30">
        <v>19</v>
      </c>
      <c r="D179" s="30"/>
      <c r="E179" s="30" t="s">
        <v>0</v>
      </c>
      <c r="F179" s="38" t="s">
        <v>674</v>
      </c>
      <c r="G179" s="38"/>
      <c r="H179" s="39" t="str">
        <f>IF(B179&lt;10," ","")&amp;B179&amp;"."&amp;IF(C179&lt;10,"0","")&amp;C179&amp;" "&amp;E179&amp;" "&amp;VLOOKUP(E179,Teams!$A$2:$C$21,2,0)&amp;REPT(" ",Teams!C$1+1-VLOOKUP(E179,Teams!$A$2:$C$21,3,0))&amp;"- "&amp;F179&amp;IF(ISBLANK(D179),""," (from "&amp;D179&amp;")")</f>
        <v xml:space="preserve"> 9.19 DLM Potter         - Brent Gates, 3b</v>
      </c>
    </row>
    <row r="180" spans="1:8" s="35" customFormat="1" x14ac:dyDescent="0.25">
      <c r="A180" s="30">
        <v>178</v>
      </c>
      <c r="B180" s="30">
        <v>9</v>
      </c>
      <c r="C180" s="30">
        <v>20</v>
      </c>
      <c r="D180" s="30"/>
      <c r="E180" s="30" t="s">
        <v>9</v>
      </c>
      <c r="F180" s="38" t="s">
        <v>675</v>
      </c>
      <c r="G180" s="38"/>
      <c r="H180" s="39" t="str">
        <f>IF(B180&lt;10," ","")&amp;B180&amp;"."&amp;IF(C180&lt;10,"0","")&amp;C180&amp;" "&amp;E180&amp;" "&amp;VLOOKUP(E180,Teams!$A$2:$C$21,2,0)&amp;REPT(" ",Teams!C$1+1-VLOOKUP(E180,Teams!$A$2:$C$21,3,0))&amp;"- "&amp;F180&amp;IF(ISBLANK(D180),""," (from "&amp;D180&amp;")")</f>
        <v xml:space="preserve"> 9.20 NEP Sasman         - Deivi Cruz, ss</v>
      </c>
    </row>
    <row r="181" spans="1:8" s="35" customFormat="1" x14ac:dyDescent="0.25">
      <c r="A181" s="30">
        <v>179</v>
      </c>
      <c r="B181" s="30">
        <v>10</v>
      </c>
      <c r="C181" s="30">
        <v>1</v>
      </c>
      <c r="D181" s="30"/>
      <c r="E181" s="30" t="s">
        <v>10</v>
      </c>
      <c r="F181" s="38" t="s">
        <v>676</v>
      </c>
      <c r="G181" s="38"/>
      <c r="H181" s="39" t="str">
        <f>IF(B181&lt;10," ","")&amp;B181&amp;"."&amp;IF(C181&lt;10,"0","")&amp;C181&amp;" "&amp;E181&amp;" "&amp;VLOOKUP(E181,Teams!$A$2:$C$21,2,0)&amp;REPT(" ",Teams!C$1+1-VLOOKUP(E181,Teams!$A$2:$C$21,3,0))&amp;"- "&amp;F181&amp;IF(ISBLANK(D181),""," (from "&amp;D181&amp;")")</f>
        <v>10.01 FFR Scott          - Valerio de los Santos, lmr</v>
      </c>
    </row>
    <row r="182" spans="1:8" s="35" customFormat="1" x14ac:dyDescent="0.25">
      <c r="A182" s="30">
        <v>180</v>
      </c>
      <c r="B182" s="30">
        <v>10</v>
      </c>
      <c r="C182" s="30">
        <v>2</v>
      </c>
      <c r="D182" s="30"/>
      <c r="E182" s="30" t="s">
        <v>3</v>
      </c>
      <c r="F182" s="38" t="s">
        <v>677</v>
      </c>
      <c r="G182" s="38"/>
      <c r="H182" s="39" t="str">
        <f>IF(B182&lt;10," ","")&amp;B182&amp;"."&amp;IF(C182&lt;10,"0","")&amp;C182&amp;" "&amp;E182&amp;" "&amp;VLOOKUP(E182,Teams!$A$2:$C$21,2,0)&amp;REPT(" ",Teams!C$1+1-VLOOKUP(E182,Teams!$A$2:$C$21,3,0))&amp;"- "&amp;F182&amp;IF(ISBLANK(D182),""," (from "&amp;D182&amp;")")</f>
        <v>10.02 GAR Bernstein      - Carlton Loewer, rsp</v>
      </c>
    </row>
    <row r="183" spans="1:8" s="35" customFormat="1" x14ac:dyDescent="0.25">
      <c r="A183" s="30">
        <v>181</v>
      </c>
      <c r="B183" s="30">
        <v>10</v>
      </c>
      <c r="C183" s="30">
        <v>3</v>
      </c>
      <c r="D183" s="30"/>
      <c r="E183" s="30" t="s">
        <v>4</v>
      </c>
      <c r="F183" s="38" t="s">
        <v>678</v>
      </c>
      <c r="G183" s="38"/>
      <c r="H183" s="39" t="str">
        <f>IF(B183&lt;10," ","")&amp;B183&amp;"."&amp;IF(C183&lt;10,"0","")&amp;C183&amp;" "&amp;E183&amp;" "&amp;VLOOKUP(E183,Teams!$A$2:$C$21,2,0)&amp;REPT(" ",Teams!C$1+1-VLOOKUP(E183,Teams!$A$2:$C$21,3,0))&amp;"- "&amp;F183&amp;IF(ISBLANK(D183),""," (from "&amp;D183&amp;")")</f>
        <v>10.03 BBG Canter         - Ken Hill, rsp</v>
      </c>
    </row>
    <row r="184" spans="1:8" s="35" customFormat="1" x14ac:dyDescent="0.25">
      <c r="A184" s="30">
        <v>182</v>
      </c>
      <c r="B184" s="30">
        <v>10</v>
      </c>
      <c r="C184" s="30">
        <v>4</v>
      </c>
      <c r="D184" s="30"/>
      <c r="E184" s="30" t="s">
        <v>12</v>
      </c>
      <c r="F184" s="38" t="s">
        <v>679</v>
      </c>
      <c r="G184" s="38"/>
      <c r="H184" s="39" t="str">
        <f>IF(B184&lt;10," ","")&amp;B184&amp;"."&amp;IF(C184&lt;10,"0","")&amp;C184&amp;" "&amp;E184&amp;" "&amp;VLOOKUP(E184,Teams!$A$2:$C$21,2,0)&amp;REPT(" ",Teams!C$1+1-VLOOKUP(E184,Teams!$A$2:$C$21,3,0))&amp;"- "&amp;F184&amp;IF(ISBLANK(D184),""," (from "&amp;D184&amp;")")</f>
        <v>10.04 OKO Smith          - Mike Caruso, ss</v>
      </c>
    </row>
    <row r="185" spans="1:8" s="35" customFormat="1" x14ac:dyDescent="0.25">
      <c r="A185" s="30">
        <v>183</v>
      </c>
      <c r="B185" s="30">
        <v>10</v>
      </c>
      <c r="C185" s="30">
        <v>5</v>
      </c>
      <c r="D185" s="30"/>
      <c r="E185" s="30" t="s">
        <v>2</v>
      </c>
      <c r="F185" s="38" t="s">
        <v>680</v>
      </c>
      <c r="G185" s="38"/>
      <c r="H185" s="39" t="str">
        <f>IF(B185&lt;10," ","")&amp;B185&amp;"."&amp;IF(C185&lt;10,"0","")&amp;C185&amp;" "&amp;E185&amp;" "&amp;VLOOKUP(E185,Teams!$A$2:$C$21,2,0)&amp;REPT(" ",Teams!C$1+1-VLOOKUP(E185,Teams!$A$2:$C$21,3,0))&amp;"- "&amp;F185&amp;IF(ISBLANK(D185),""," (from "&amp;D185&amp;")")</f>
        <v>10.05 FER Olkin          - Lou Merloni, ss</v>
      </c>
    </row>
    <row r="186" spans="1:8" s="35" customFormat="1" x14ac:dyDescent="0.25">
      <c r="A186" s="30">
        <v>184</v>
      </c>
      <c r="B186" s="30">
        <v>10</v>
      </c>
      <c r="C186" s="30">
        <v>6</v>
      </c>
      <c r="D186" s="30"/>
      <c r="E186" s="30" t="s">
        <v>6</v>
      </c>
      <c r="F186" s="38" t="s">
        <v>681</v>
      </c>
      <c r="G186" s="38"/>
      <c r="H186" s="39" t="str">
        <f>IF(B186&lt;10," ","")&amp;B186&amp;"."&amp;IF(C186&lt;10,"0","")&amp;C186&amp;" "&amp;E186&amp;" "&amp;VLOOKUP(E186,Teams!$A$2:$C$21,2,0)&amp;REPT(" ",Teams!C$1+1-VLOOKUP(E186,Teams!$A$2:$C$21,3,0))&amp;"- "&amp;F186&amp;IF(ISBLANK(D186),""," (from "&amp;D186&amp;")")</f>
        <v>10.06 FHK Chernow        - Juan Encarnacion, lf</v>
      </c>
    </row>
    <row r="187" spans="1:8" s="35" customFormat="1" x14ac:dyDescent="0.25">
      <c r="A187" s="30">
        <v>185</v>
      </c>
      <c r="B187" s="30">
        <v>10</v>
      </c>
      <c r="C187" s="30">
        <v>7</v>
      </c>
      <c r="D187" s="30"/>
      <c r="E187" s="30" t="s">
        <v>7</v>
      </c>
      <c r="F187" s="38" t="s">
        <v>682</v>
      </c>
      <c r="G187" s="38"/>
      <c r="H187" s="39" t="str">
        <f>IF(B187&lt;10," ","")&amp;B187&amp;"."&amp;IF(C187&lt;10,"0","")&amp;C187&amp;" "&amp;E187&amp;" "&amp;VLOOKUP(E187,Teams!$A$2:$C$21,2,0)&amp;REPT(" ",Teams!C$1+1-VLOOKUP(E187,Teams!$A$2:$C$21,3,0))&amp;"- "&amp;F187&amp;IF(ISBLANK(D187),""," (from "&amp;D187&amp;")")</f>
        <v>10.07 MCL Manuel         - Todd Greene, dh</v>
      </c>
    </row>
    <row r="188" spans="1:8" s="35" customFormat="1" x14ac:dyDescent="0.25">
      <c r="A188" s="30">
        <v>186</v>
      </c>
      <c r="B188" s="30">
        <v>10</v>
      </c>
      <c r="C188" s="30">
        <v>8</v>
      </c>
      <c r="D188" s="30"/>
      <c r="E188" s="30" t="s">
        <v>5</v>
      </c>
      <c r="F188" s="38" t="s">
        <v>683</v>
      </c>
      <c r="G188" s="38"/>
      <c r="H188" s="39" t="str">
        <f>IF(B188&lt;10," ","")&amp;B188&amp;"."&amp;IF(C188&lt;10,"0","")&amp;C188&amp;" "&amp;E188&amp;" "&amp;VLOOKUP(E188,Teams!$A$2:$C$21,2,0)&amp;REPT(" ",Teams!C$1+1-VLOOKUP(E188,Teams!$A$2:$C$21,3,0))&amp;"- "&amp;F188&amp;IF(ISBLANK(D188),""," (from "&amp;D188&amp;")")</f>
        <v>10.08 RMO Haverty/Mojo   - Aaron Ledesma, ss</v>
      </c>
    </row>
    <row r="189" spans="1:8" s="35" customFormat="1" x14ac:dyDescent="0.25">
      <c r="A189" s="30">
        <v>187</v>
      </c>
      <c r="B189" s="30">
        <v>10</v>
      </c>
      <c r="C189" s="30">
        <v>9</v>
      </c>
      <c r="D189" s="30"/>
      <c r="E189" s="30" t="s">
        <v>1</v>
      </c>
      <c r="F189" s="38" t="s">
        <v>684</v>
      </c>
      <c r="G189" s="38"/>
      <c r="H189" s="39" t="str">
        <f>IF(B189&lt;10," ","")&amp;B189&amp;"."&amp;IF(C189&lt;10,"0","")&amp;C189&amp;" "&amp;E189&amp;" "&amp;VLOOKUP(E189,Teams!$A$2:$C$21,2,0)&amp;REPT(" ",Teams!C$1+1-VLOOKUP(E189,Teams!$A$2:$C$21,3,0))&amp;"- "&amp;F189&amp;IF(ISBLANK(D189),""," (from "&amp;D189&amp;")")</f>
        <v>10.09 ZZY Poole          - Alan Mills, rmr</v>
      </c>
    </row>
    <row r="190" spans="1:8" s="35" customFormat="1" x14ac:dyDescent="0.25">
      <c r="A190" s="30">
        <v>188</v>
      </c>
      <c r="B190" s="30">
        <v>10</v>
      </c>
      <c r="C190" s="30">
        <v>10</v>
      </c>
      <c r="D190" s="30" t="s">
        <v>18</v>
      </c>
      <c r="E190" s="30" t="s">
        <v>0</v>
      </c>
      <c r="F190" s="38" t="s">
        <v>685</v>
      </c>
      <c r="G190" s="38" t="s">
        <v>689</v>
      </c>
      <c r="H190" s="39" t="str">
        <f>IF(B190&lt;10," ","")&amp;B190&amp;"."&amp;IF(C190&lt;10,"0","")&amp;C190&amp;" "&amp;E190&amp;" "&amp;VLOOKUP(E190,Teams!$A$2:$C$21,2,0)&amp;REPT(" ",Teams!C$1+1-VLOOKUP(E190,Teams!$A$2:$C$21,3,0))&amp;"- "&amp;F190&amp;IF(ISBLANK(D190),""," (from "&amp;D190&amp;")")</f>
        <v>10.10 DLM Potter         - Kirt Manwaring, c (from CIN)</v>
      </c>
    </row>
    <row r="191" spans="1:8" s="35" customFormat="1" x14ac:dyDescent="0.25">
      <c r="A191" s="30">
        <v>189</v>
      </c>
      <c r="B191" s="30">
        <v>10</v>
      </c>
      <c r="C191" s="30">
        <v>11</v>
      </c>
      <c r="D191" s="30" t="s">
        <v>13</v>
      </c>
      <c r="E191" s="30" t="s">
        <v>5</v>
      </c>
      <c r="F191" s="38" t="s">
        <v>686</v>
      </c>
      <c r="G191" s="38"/>
      <c r="H191" s="39" t="str">
        <f>IF(B191&lt;10," ","")&amp;B191&amp;"."&amp;IF(C191&lt;10,"0","")&amp;C191&amp;" "&amp;E191&amp;" "&amp;VLOOKUP(E191,Teams!$A$2:$C$21,2,0)&amp;REPT(" ",Teams!C$1+1-VLOOKUP(E191,Teams!$A$2:$C$21,3,0))&amp;"- "&amp;F191&amp;IF(ISBLANK(D191),""," (from "&amp;D191&amp;")")</f>
        <v>10.11 RMO Haverty/Mojo   - Jose Vizcaino, ss (from CTW)</v>
      </c>
    </row>
    <row r="192" spans="1:8" s="35" customFormat="1" x14ac:dyDescent="0.25">
      <c r="A192" s="30">
        <v>190</v>
      </c>
      <c r="B192" s="30">
        <v>10</v>
      </c>
      <c r="C192" s="30">
        <v>12</v>
      </c>
      <c r="D192" s="30"/>
      <c r="E192" s="30" t="s">
        <v>357</v>
      </c>
      <c r="F192" s="38" t="s">
        <v>687</v>
      </c>
      <c r="G192" s="38"/>
      <c r="H192" s="39" t="str">
        <f>IF(B192&lt;10," ","")&amp;B192&amp;"."&amp;IF(C192&lt;10,"0","")&amp;C192&amp;" "&amp;E192&amp;" "&amp;VLOOKUP(E192,Teams!$A$2:$C$21,2,0)&amp;REPT(" ",Teams!C$1+1-VLOOKUP(E192,Teams!$A$2:$C$21,3,0))&amp;"- "&amp;F192&amp;IF(ISBLANK(D192),""," (from "&amp;D192&amp;")")</f>
        <v>10.12 FLL Carroll/Kleine - Julio Franco, 1b</v>
      </c>
    </row>
    <row r="193" spans="1:8" s="35" customFormat="1" x14ac:dyDescent="0.25">
      <c r="A193" s="30">
        <v>191</v>
      </c>
      <c r="B193" s="30">
        <v>10</v>
      </c>
      <c r="C193" s="30">
        <v>13</v>
      </c>
      <c r="D193" s="30" t="s">
        <v>17</v>
      </c>
      <c r="E193" s="30" t="s">
        <v>5</v>
      </c>
      <c r="F193" s="38" t="s">
        <v>688</v>
      </c>
      <c r="G193" s="38"/>
      <c r="H193" s="39" t="str">
        <f>IF(B193&lt;10," ","")&amp;B193&amp;"."&amp;IF(C193&lt;10,"0","")&amp;C193&amp;" "&amp;E193&amp;" "&amp;VLOOKUP(E193,Teams!$A$2:$C$21,2,0)&amp;REPT(" ",Teams!C$1+1-VLOOKUP(E193,Teams!$A$2:$C$21,3,0))&amp;"- "&amp;F193&amp;IF(ISBLANK(D193),""," (from "&amp;D193&amp;")")</f>
        <v>10.13 RMO Haverty/Mojo   - Abraham Nunez, ss (from BAR)</v>
      </c>
    </row>
    <row r="194" spans="1:8" s="35" customFormat="1" x14ac:dyDescent="0.25">
      <c r="A194" s="30">
        <v>192</v>
      </c>
      <c r="B194" s="30">
        <v>10</v>
      </c>
      <c r="C194" s="30">
        <v>14</v>
      </c>
      <c r="D194" s="30"/>
      <c r="E194" s="30" t="s">
        <v>16</v>
      </c>
      <c r="F194" s="38" t="s">
        <v>690</v>
      </c>
      <c r="G194" s="38"/>
      <c r="H194" s="39" t="str">
        <f>IF(B194&lt;10," ","")&amp;B194&amp;"."&amp;IF(C194&lt;10,"0","")&amp;C194&amp;" "&amp;E194&amp;" "&amp;VLOOKUP(E194,Teams!$A$2:$C$21,2,0)&amp;REPT(" ",Teams!C$1+1-VLOOKUP(E194,Teams!$A$2:$C$21,3,0))&amp;"- "&amp;F194&amp;IF(ISBLANK(D194),""," (from "&amp;D194&amp;")")</f>
        <v>10.14 TAR Lingo          - A.J. Hinch, c</v>
      </c>
    </row>
    <row r="195" spans="1:8" s="35" customFormat="1" x14ac:dyDescent="0.25">
      <c r="A195" s="30">
        <v>193</v>
      </c>
      <c r="B195" s="30">
        <v>10</v>
      </c>
      <c r="C195" s="30">
        <v>15</v>
      </c>
      <c r="D195" s="30" t="s">
        <v>8</v>
      </c>
      <c r="E195" s="30" t="s">
        <v>0</v>
      </c>
      <c r="F195" s="38" t="s">
        <v>691</v>
      </c>
      <c r="G195" s="38" t="s">
        <v>560</v>
      </c>
      <c r="H195" s="39" t="str">
        <f>IF(B195&lt;10," ","")&amp;B195&amp;"."&amp;IF(C195&lt;10,"0","")&amp;C195&amp;" "&amp;E195&amp;" "&amp;VLOOKUP(E195,Teams!$A$2:$C$21,2,0)&amp;REPT(" ",Teams!C$1+1-VLOOKUP(E195,Teams!$A$2:$C$21,3,0))&amp;"- "&amp;F195&amp;IF(ISBLANK(D195),""," (from "&amp;D195&amp;")")</f>
        <v>10.15 DLM Potter         - Pat Borders, dh (from CEN)</v>
      </c>
    </row>
    <row r="196" spans="1:8" s="35" customFormat="1" x14ac:dyDescent="0.25">
      <c r="A196" s="30">
        <v>194</v>
      </c>
      <c r="B196" s="30">
        <v>10</v>
      </c>
      <c r="C196" s="30">
        <v>16</v>
      </c>
      <c r="D196" s="30"/>
      <c r="E196" s="30" t="s">
        <v>11</v>
      </c>
      <c r="F196" s="38" t="s">
        <v>692</v>
      </c>
      <c r="G196" s="38"/>
      <c r="H196" s="39" t="str">
        <f>IF(B196&lt;10," ","")&amp;B196&amp;"."&amp;IF(C196&lt;10,"0","")&amp;C196&amp;" "&amp;E196&amp;" "&amp;VLOOKUP(E196,Teams!$A$2:$C$21,2,0)&amp;REPT(" ",Teams!C$1+1-VLOOKUP(E196,Teams!$A$2:$C$21,3,0))&amp;"- "&amp;F196&amp;IF(ISBLANK(D196),""," (from "&amp;D196&amp;")")</f>
        <v>10.16 EVN Henninger      - Mike Mohler, lmr</v>
      </c>
    </row>
    <row r="197" spans="1:8" s="35" customFormat="1" x14ac:dyDescent="0.25">
      <c r="A197" s="30">
        <v>195</v>
      </c>
      <c r="B197" s="30">
        <v>10</v>
      </c>
      <c r="C197" s="30">
        <v>17</v>
      </c>
      <c r="D197" s="30"/>
      <c r="E197" s="30" t="s">
        <v>19</v>
      </c>
      <c r="F197" s="38" t="s">
        <v>693</v>
      </c>
      <c r="G197" s="38"/>
      <c r="H197" s="39" t="str">
        <f>IF(B197&lt;10," ","")&amp;B197&amp;"."&amp;IF(C197&lt;10,"0","")&amp;C197&amp;" "&amp;E197&amp;" "&amp;VLOOKUP(E197,Teams!$A$2:$C$21,2,0)&amp;REPT(" ",Teams!C$1+1-VLOOKUP(E197,Teams!$A$2:$C$21,3,0))&amp;"- "&amp;F197&amp;IF(ISBLANK(D197),""," (from "&amp;D197&amp;")")</f>
        <v>10.17 TEW Bailey         - Charles Nagy, rsp</v>
      </c>
    </row>
    <row r="198" spans="1:8" s="35" customFormat="1" x14ac:dyDescent="0.25">
      <c r="A198" s="30">
        <v>196</v>
      </c>
      <c r="B198" s="30">
        <v>10</v>
      </c>
      <c r="C198" s="30">
        <v>18</v>
      </c>
      <c r="D198" s="30"/>
      <c r="E198" s="30" t="s">
        <v>0</v>
      </c>
      <c r="F198" s="38" t="s">
        <v>694</v>
      </c>
      <c r="G198" s="38"/>
      <c r="H198" s="39" t="str">
        <f>IF(B198&lt;10," ","")&amp;B198&amp;"."&amp;IF(C198&lt;10,"0","")&amp;C198&amp;" "&amp;E198&amp;" "&amp;VLOOKUP(E198,Teams!$A$2:$C$21,2,0)&amp;REPT(" ",Teams!C$1+1-VLOOKUP(E198,Teams!$A$2:$C$21,3,0))&amp;"- "&amp;F198&amp;IF(ISBLANK(D198),""," (from "&amp;D198&amp;")")</f>
        <v>10.18 DLM Potter         - Angel Pena, c</v>
      </c>
    </row>
    <row r="199" spans="1:8" s="35" customFormat="1" x14ac:dyDescent="0.25">
      <c r="A199" s="30">
        <v>197</v>
      </c>
      <c r="B199" s="30">
        <v>10</v>
      </c>
      <c r="C199" s="30">
        <v>19</v>
      </c>
      <c r="D199" s="30"/>
      <c r="E199" s="30" t="s">
        <v>9</v>
      </c>
      <c r="F199" s="38" t="s">
        <v>695</v>
      </c>
      <c r="G199" s="38"/>
      <c r="H199" s="39" t="str">
        <f>IF(B199&lt;10," ","")&amp;B199&amp;"."&amp;IF(C199&lt;10,"0","")&amp;C199&amp;" "&amp;E199&amp;" "&amp;VLOOKUP(E199,Teams!$A$2:$C$21,2,0)&amp;REPT(" ",Teams!C$1+1-VLOOKUP(E199,Teams!$A$2:$C$21,3,0))&amp;"- "&amp;F199&amp;IF(ISBLANK(D199),""," (from "&amp;D199&amp;")")</f>
        <v>10.19 NEP Sasman         - Joey Hamilton, rsp</v>
      </c>
    </row>
    <row r="200" spans="1:8" s="35" customFormat="1" x14ac:dyDescent="0.25">
      <c r="A200" s="30">
        <v>198</v>
      </c>
      <c r="B200" s="30">
        <v>11</v>
      </c>
      <c r="C200" s="30">
        <v>1</v>
      </c>
      <c r="D200" s="30"/>
      <c r="E200" s="30" t="s">
        <v>10</v>
      </c>
      <c r="F200" s="38" t="s">
        <v>696</v>
      </c>
      <c r="G200" s="38"/>
      <c r="H200" s="39" t="str">
        <f>IF(B200&lt;10," ","")&amp;B200&amp;"."&amp;IF(C200&lt;10,"0","")&amp;C200&amp;" "&amp;E200&amp;" "&amp;VLOOKUP(E200,Teams!$A$2:$C$21,2,0)&amp;REPT(" ",Teams!C$1+1-VLOOKUP(E200,Teams!$A$2:$C$21,3,0))&amp;"- "&amp;F200&amp;IF(ISBLANK(D200),""," (from "&amp;D200&amp;")")</f>
        <v>11.01 FFR Scott          - Carlos Almanzar, rmr</v>
      </c>
    </row>
    <row r="201" spans="1:8" s="35" customFormat="1" x14ac:dyDescent="0.25">
      <c r="A201" s="30">
        <v>199</v>
      </c>
      <c r="B201" s="30">
        <v>11</v>
      </c>
      <c r="C201" s="30">
        <v>2</v>
      </c>
      <c r="D201" s="30"/>
      <c r="E201" s="30" t="s">
        <v>3</v>
      </c>
      <c r="F201" s="38" t="s">
        <v>697</v>
      </c>
      <c r="G201" s="38"/>
      <c r="H201" s="39" t="str">
        <f>IF(B201&lt;10," ","")&amp;B201&amp;"."&amp;IF(C201&lt;10,"0","")&amp;C201&amp;" "&amp;E201&amp;" "&amp;VLOOKUP(E201,Teams!$A$2:$C$21,2,0)&amp;REPT(" ",Teams!C$1+1-VLOOKUP(E201,Teams!$A$2:$C$21,3,0))&amp;"- "&amp;F201&amp;IF(ISBLANK(D201),""," (from "&amp;D201&amp;")")</f>
        <v>11.02 GAR Bernstein      - Jeff DaVanon, lf</v>
      </c>
    </row>
    <row r="202" spans="1:8" s="35" customFormat="1" x14ac:dyDescent="0.25">
      <c r="A202" s="30">
        <v>200</v>
      </c>
      <c r="B202" s="30">
        <v>11</v>
      </c>
      <c r="C202" s="30">
        <v>3</v>
      </c>
      <c r="D202" s="30"/>
      <c r="E202" s="30" t="s">
        <v>4</v>
      </c>
      <c r="F202" s="38" t="s">
        <v>698</v>
      </c>
      <c r="G202" s="38"/>
      <c r="H202" s="39" t="str">
        <f>IF(B202&lt;10," ","")&amp;B202&amp;"."&amp;IF(C202&lt;10,"0","")&amp;C202&amp;" "&amp;E202&amp;" "&amp;VLOOKUP(E202,Teams!$A$2:$C$21,2,0)&amp;REPT(" ",Teams!C$1+1-VLOOKUP(E202,Teams!$A$2:$C$21,3,0))&amp;"- "&amp;F202&amp;IF(ISBLANK(D202),""," (from "&amp;D202&amp;")")</f>
        <v>11.03 BBG Canter         - Joe Slusarski, rmr</v>
      </c>
    </row>
    <row r="203" spans="1:8" s="35" customFormat="1" x14ac:dyDescent="0.25">
      <c r="A203" s="30">
        <v>201</v>
      </c>
      <c r="B203" s="30">
        <v>11</v>
      </c>
      <c r="C203" s="30">
        <v>4</v>
      </c>
      <c r="D203" s="30"/>
      <c r="E203" s="30" t="s">
        <v>6</v>
      </c>
      <c r="F203" s="38" t="s">
        <v>699</v>
      </c>
      <c r="G203" s="38"/>
      <c r="H203" s="39" t="str">
        <f>IF(B203&lt;10," ","")&amp;B203&amp;"."&amp;IF(C203&lt;10,"0","")&amp;C203&amp;" "&amp;E203&amp;" "&amp;VLOOKUP(E203,Teams!$A$2:$C$21,2,0)&amp;REPT(" ",Teams!C$1+1-VLOOKUP(E203,Teams!$A$2:$C$21,3,0))&amp;"- "&amp;F203&amp;IF(ISBLANK(D203),""," (from "&amp;D203&amp;")")</f>
        <v>11.04 FHK Chernow        - Hector Carrasco, rmr</v>
      </c>
    </row>
    <row r="204" spans="1:8" s="35" customFormat="1" x14ac:dyDescent="0.25">
      <c r="A204" s="30">
        <v>202</v>
      </c>
      <c r="B204" s="30">
        <v>11</v>
      </c>
      <c r="C204" s="30">
        <v>5</v>
      </c>
      <c r="D204" s="30"/>
      <c r="E204" s="30" t="s">
        <v>2</v>
      </c>
      <c r="F204" s="38" t="s">
        <v>700</v>
      </c>
      <c r="G204" s="38"/>
      <c r="H204" s="39" t="str">
        <f>IF(B204&lt;10," ","")&amp;B204&amp;"."&amp;IF(C204&lt;10,"0","")&amp;C204&amp;" "&amp;E204&amp;" "&amp;VLOOKUP(E204,Teams!$A$2:$C$21,2,0)&amp;REPT(" ",Teams!C$1+1-VLOOKUP(E204,Teams!$A$2:$C$21,3,0))&amp;"- "&amp;F204&amp;IF(ISBLANK(D204),""," (from "&amp;D204&amp;")")</f>
        <v>11.05 FER Olkin          - Wil Cordero, lf</v>
      </c>
    </row>
    <row r="205" spans="1:8" s="35" customFormat="1" x14ac:dyDescent="0.25">
      <c r="A205" s="30">
        <v>203</v>
      </c>
      <c r="B205" s="30">
        <v>11</v>
      </c>
      <c r="C205" s="30">
        <v>6</v>
      </c>
      <c r="D205" s="30"/>
      <c r="E205" s="30" t="s">
        <v>12</v>
      </c>
      <c r="F205" s="38" t="s">
        <v>701</v>
      </c>
      <c r="G205" s="38"/>
      <c r="H205" s="39" t="str">
        <f>IF(B205&lt;10," ","")&amp;B205&amp;"."&amp;IF(C205&lt;10,"0","")&amp;C205&amp;" "&amp;E205&amp;" "&amp;VLOOKUP(E205,Teams!$A$2:$C$21,2,0)&amp;REPT(" ",Teams!C$1+1-VLOOKUP(E205,Teams!$A$2:$C$21,3,0))&amp;"- "&amp;F205&amp;IF(ISBLANK(D205),""," (from "&amp;D205&amp;")")</f>
        <v>11.06 OKO Smith          - Cristian Guzman, ss</v>
      </c>
    </row>
    <row r="206" spans="1:8" s="35" customFormat="1" x14ac:dyDescent="0.25">
      <c r="A206" s="30">
        <v>204</v>
      </c>
      <c r="B206" s="30">
        <v>11</v>
      </c>
      <c r="C206" s="30">
        <v>7</v>
      </c>
      <c r="D206" s="30"/>
      <c r="E206" s="30" t="s">
        <v>7</v>
      </c>
      <c r="F206" s="38" t="s">
        <v>702</v>
      </c>
      <c r="G206" s="38"/>
      <c r="H206" s="39" t="str">
        <f>IF(B206&lt;10," ","")&amp;B206&amp;"."&amp;IF(C206&lt;10,"0","")&amp;C206&amp;" "&amp;E206&amp;" "&amp;VLOOKUP(E206,Teams!$A$2:$C$21,2,0)&amp;REPT(" ",Teams!C$1+1-VLOOKUP(E206,Teams!$A$2:$C$21,3,0))&amp;"- "&amp;F206&amp;IF(ISBLANK(D206),""," (from "&amp;D206&amp;")")</f>
        <v>11.07 MCL Manuel         - Kyle Peterson, rsp</v>
      </c>
    </row>
    <row r="207" spans="1:8" s="35" customFormat="1" x14ac:dyDescent="0.25">
      <c r="A207" s="30">
        <v>205</v>
      </c>
      <c r="B207" s="30">
        <v>11</v>
      </c>
      <c r="C207" s="30">
        <v>8</v>
      </c>
      <c r="D207" s="30" t="s">
        <v>5</v>
      </c>
      <c r="E207" s="30" t="s">
        <v>7</v>
      </c>
      <c r="F207" s="38" t="s">
        <v>703</v>
      </c>
      <c r="G207" s="38" t="s">
        <v>744</v>
      </c>
      <c r="H207" s="39" t="str">
        <f>IF(B207&lt;10," ","")&amp;B207&amp;"."&amp;IF(C207&lt;10,"0","")&amp;C207&amp;" "&amp;E207&amp;" "&amp;VLOOKUP(E207,Teams!$A$2:$C$21,2,0)&amp;REPT(" ",Teams!C$1+1-VLOOKUP(E207,Teams!$A$2:$C$21,3,0))&amp;"- "&amp;F207&amp;IF(ISBLANK(D207),""," (from "&amp;D207&amp;")")</f>
        <v>11.08 MCL Manuel         - Hector Ramirez, rmr (from RMO)</v>
      </c>
    </row>
    <row r="208" spans="1:8" s="35" customFormat="1" x14ac:dyDescent="0.25">
      <c r="A208" s="30">
        <v>206</v>
      </c>
      <c r="B208" s="30">
        <v>11</v>
      </c>
      <c r="C208" s="30">
        <v>9</v>
      </c>
      <c r="D208" s="30"/>
      <c r="E208" s="30" t="s">
        <v>1</v>
      </c>
      <c r="F208" s="38" t="s">
        <v>704</v>
      </c>
      <c r="G208" s="38"/>
      <c r="H208" s="39" t="str">
        <f>IF(B208&lt;10," ","")&amp;B208&amp;"."&amp;IF(C208&lt;10,"0","")&amp;C208&amp;" "&amp;E208&amp;" "&amp;VLOOKUP(E208,Teams!$A$2:$C$21,2,0)&amp;REPT(" ",Teams!C$1+1-VLOOKUP(E208,Teams!$A$2:$C$21,3,0))&amp;"- "&amp;F208&amp;IF(ISBLANK(D208),""," (from "&amp;D208&amp;")")</f>
        <v>11.09 ZZY Poole          - Emil Brown, lf</v>
      </c>
    </row>
    <row r="209" spans="1:8" s="35" customFormat="1" x14ac:dyDescent="0.25">
      <c r="A209" s="30">
        <v>207</v>
      </c>
      <c r="B209" s="30">
        <v>11</v>
      </c>
      <c r="C209" s="30">
        <v>10</v>
      </c>
      <c r="D209" s="30"/>
      <c r="E209" s="30" t="s">
        <v>18</v>
      </c>
      <c r="F209" s="38" t="s">
        <v>705</v>
      </c>
      <c r="G209" s="38"/>
      <c r="H209" s="39" t="str">
        <f>IF(B209&lt;10," ","")&amp;B209&amp;"."&amp;IF(C209&lt;10,"0","")&amp;C209&amp;" "&amp;E209&amp;" "&amp;VLOOKUP(E209,Teams!$A$2:$C$21,2,0)&amp;REPT(" ",Teams!C$1+1-VLOOKUP(E209,Teams!$A$2:$C$21,3,0))&amp;"- "&amp;F209&amp;IF(ISBLANK(D209),""," (from "&amp;D209&amp;")")</f>
        <v>11.10 CIN CMiller        - Manny Alexander, ss</v>
      </c>
    </row>
    <row r="210" spans="1:8" s="35" customFormat="1" x14ac:dyDescent="0.25">
      <c r="A210" s="30">
        <v>208</v>
      </c>
      <c r="B210" s="30">
        <v>11</v>
      </c>
      <c r="C210" s="30">
        <v>11</v>
      </c>
      <c r="D210" s="30"/>
      <c r="E210" s="30" t="s">
        <v>13</v>
      </c>
      <c r="F210" s="38" t="s">
        <v>706</v>
      </c>
      <c r="G210" s="38"/>
      <c r="H210" s="39" t="str">
        <f>IF(B210&lt;10," ","")&amp;B210&amp;"."&amp;IF(C210&lt;10,"0","")&amp;C210&amp;" "&amp;E210&amp;" "&amp;VLOOKUP(E210,Teams!$A$2:$C$21,2,0)&amp;REPT(" ",Teams!C$1+1-VLOOKUP(E210,Teams!$A$2:$C$21,3,0))&amp;"- "&amp;F210&amp;IF(ISBLANK(D210),""," (from "&amp;D210&amp;")")</f>
        <v>11.11 CTW RMiller        - Mark Thompson, rsp</v>
      </c>
    </row>
    <row r="211" spans="1:8" s="35" customFormat="1" x14ac:dyDescent="0.25">
      <c r="A211" s="30">
        <v>209</v>
      </c>
      <c r="B211" s="30">
        <v>11</v>
      </c>
      <c r="C211" s="30">
        <v>12</v>
      </c>
      <c r="D211" s="30" t="s">
        <v>357</v>
      </c>
      <c r="E211" s="30" t="s">
        <v>10</v>
      </c>
      <c r="F211" s="38" t="s">
        <v>720</v>
      </c>
      <c r="G211" s="38" t="s">
        <v>568</v>
      </c>
      <c r="H211" s="39" t="str">
        <f>IF(B211&lt;10," ","")&amp;B211&amp;"."&amp;IF(C211&lt;10,"0","")&amp;C211&amp;" "&amp;E211&amp;" "&amp;VLOOKUP(E211,Teams!$A$2:$C$21,2,0)&amp;REPT(" ",Teams!C$1+1-VLOOKUP(E211,Teams!$A$2:$C$21,3,0))&amp;"- "&amp;F211&amp;IF(ISBLANK(D211),""," (from "&amp;D211&amp;")")</f>
        <v>11.12 FFR Scott          - Scott Karl, lsp (from FLL)</v>
      </c>
    </row>
    <row r="212" spans="1:8" s="35" customFormat="1" x14ac:dyDescent="0.25">
      <c r="A212" s="30">
        <v>210</v>
      </c>
      <c r="B212" s="30">
        <v>11</v>
      </c>
      <c r="C212" s="30">
        <v>13</v>
      </c>
      <c r="D212" s="30"/>
      <c r="E212" s="30" t="s">
        <v>17</v>
      </c>
      <c r="F212" s="38" t="s">
        <v>707</v>
      </c>
      <c r="G212" s="38"/>
      <c r="H212" s="39" t="str">
        <f>IF(B212&lt;10," ","")&amp;B212&amp;"."&amp;IF(C212&lt;10,"0","")&amp;C212&amp;" "&amp;E212&amp;" "&amp;VLOOKUP(E212,Teams!$A$2:$C$21,2,0)&amp;REPT(" ",Teams!C$1+1-VLOOKUP(E212,Teams!$A$2:$C$21,3,0))&amp;"- "&amp;F212&amp;IF(ISBLANK(D212),""," (from "&amp;D212&amp;")")</f>
        <v>11.13 BAR Marshall       - Jimmy Anderson, lmr</v>
      </c>
    </row>
    <row r="213" spans="1:8" s="35" customFormat="1" x14ac:dyDescent="0.25">
      <c r="A213" s="30">
        <v>211</v>
      </c>
      <c r="B213" s="30">
        <v>11</v>
      </c>
      <c r="C213" s="30">
        <v>14</v>
      </c>
      <c r="D213" s="30"/>
      <c r="E213" s="30" t="s">
        <v>16</v>
      </c>
      <c r="F213" s="38" t="s">
        <v>708</v>
      </c>
      <c r="G213" s="38"/>
      <c r="H213" s="39" t="str">
        <f>IF(B213&lt;10," ","")&amp;B213&amp;"."&amp;IF(C213&lt;10,"0","")&amp;C213&amp;" "&amp;E213&amp;" "&amp;VLOOKUP(E213,Teams!$A$2:$C$21,2,0)&amp;REPT(" ",Teams!C$1+1-VLOOKUP(E213,Teams!$A$2:$C$21,3,0))&amp;"- "&amp;F213&amp;IF(ISBLANK(D213),""," (from "&amp;D213&amp;")")</f>
        <v>11.14 TAR Lingo          - Stan Javier, rf</v>
      </c>
    </row>
    <row r="214" spans="1:8" s="35" customFormat="1" x14ac:dyDescent="0.25">
      <c r="A214" s="30">
        <v>212</v>
      </c>
      <c r="B214" s="30">
        <v>11</v>
      </c>
      <c r="C214" s="30">
        <v>15</v>
      </c>
      <c r="D214" s="30"/>
      <c r="E214" s="30" t="s">
        <v>11</v>
      </c>
      <c r="F214" s="38" t="s">
        <v>709</v>
      </c>
      <c r="G214" s="38"/>
      <c r="H214" s="39" t="str">
        <f>IF(B214&lt;10," ","")&amp;B214&amp;"."&amp;IF(C214&lt;10,"0","")&amp;C214&amp;" "&amp;E214&amp;" "&amp;VLOOKUP(E214,Teams!$A$2:$C$21,2,0)&amp;REPT(" ",Teams!C$1+1-VLOOKUP(E214,Teams!$A$2:$C$21,3,0))&amp;"- "&amp;F214&amp;IF(ISBLANK(D214),""," (from "&amp;D214&amp;")")</f>
        <v>11.15 EVN Henninger      - Scott Kamieniecki, rmr</v>
      </c>
    </row>
    <row r="215" spans="1:8" s="35" customFormat="1" x14ac:dyDescent="0.25">
      <c r="A215" s="30">
        <v>213</v>
      </c>
      <c r="B215" s="30">
        <v>11</v>
      </c>
      <c r="C215" s="30">
        <v>16</v>
      </c>
      <c r="D215" s="30"/>
      <c r="E215" s="30" t="s">
        <v>19</v>
      </c>
      <c r="F215" s="38" t="s">
        <v>717</v>
      </c>
      <c r="G215" s="38"/>
      <c r="H215" s="39" t="str">
        <f>IF(B215&lt;10," ","")&amp;B215&amp;"."&amp;IF(C215&lt;10,"0","")&amp;C215&amp;" "&amp;E215&amp;" "&amp;VLOOKUP(E215,Teams!$A$2:$C$21,2,0)&amp;REPT(" ",Teams!C$1+1-VLOOKUP(E215,Teams!$A$2:$C$21,3,0))&amp;"- "&amp;F215&amp;IF(ISBLANK(D215),""," (from "&amp;D215&amp;")")</f>
        <v>11.16 TEW Bailey         - Bobby Hughes, c</v>
      </c>
    </row>
    <row r="216" spans="1:8" s="35" customFormat="1" x14ac:dyDescent="0.25">
      <c r="A216" s="30">
        <v>214</v>
      </c>
      <c r="B216" s="30">
        <v>11</v>
      </c>
      <c r="C216" s="30">
        <v>17</v>
      </c>
      <c r="D216" s="30"/>
      <c r="E216" s="30" t="s">
        <v>0</v>
      </c>
      <c r="F216" s="38" t="s">
        <v>710</v>
      </c>
      <c r="G216" s="38"/>
      <c r="H216" s="39" t="str">
        <f>IF(B216&lt;10," ","")&amp;B216&amp;"."&amp;IF(C216&lt;10,"0","")&amp;C216&amp;" "&amp;E216&amp;" "&amp;VLOOKUP(E216,Teams!$A$2:$C$21,2,0)&amp;REPT(" ",Teams!C$1+1-VLOOKUP(E216,Teams!$A$2:$C$21,3,0))&amp;"- "&amp;F216&amp;IF(ISBLANK(D216),""," (from "&amp;D216&amp;")")</f>
        <v>11.17 DLM Potter         - Marquis Grissom, cf</v>
      </c>
    </row>
    <row r="217" spans="1:8" s="35" customFormat="1" x14ac:dyDescent="0.25">
      <c r="A217" s="30">
        <v>215</v>
      </c>
      <c r="B217" s="30">
        <v>11</v>
      </c>
      <c r="C217" s="30">
        <v>18</v>
      </c>
      <c r="D217" s="30"/>
      <c r="E217" s="30" t="s">
        <v>9</v>
      </c>
      <c r="F217" s="38" t="s">
        <v>711</v>
      </c>
      <c r="G217" s="38"/>
      <c r="H217" s="39" t="str">
        <f>IF(B217&lt;10," ","")&amp;B217&amp;"."&amp;IF(C217&lt;10,"0","")&amp;C217&amp;" "&amp;E217&amp;" "&amp;VLOOKUP(E217,Teams!$A$2:$C$21,2,0)&amp;REPT(" ",Teams!C$1+1-VLOOKUP(E217,Teams!$A$2:$C$21,3,0))&amp;"- "&amp;F217&amp;IF(ISBLANK(D217),""," (from "&amp;D217&amp;")")</f>
        <v>11.18 NEP Sasman         - Dennis Stark, rmr</v>
      </c>
    </row>
    <row r="218" spans="1:8" s="35" customFormat="1" x14ac:dyDescent="0.25">
      <c r="A218" s="30">
        <v>216</v>
      </c>
      <c r="B218" s="30">
        <v>12</v>
      </c>
      <c r="C218" s="30">
        <v>1</v>
      </c>
      <c r="D218" s="30" t="s">
        <v>10</v>
      </c>
      <c r="E218" s="30" t="s">
        <v>357</v>
      </c>
      <c r="F218" s="38" t="s">
        <v>712</v>
      </c>
      <c r="G218" s="38" t="s">
        <v>567</v>
      </c>
      <c r="H218" s="39" t="str">
        <f>IF(B218&lt;10," ","")&amp;B218&amp;"."&amp;IF(C218&lt;10,"0","")&amp;C218&amp;" "&amp;E218&amp;" "&amp;VLOOKUP(E218,Teams!$A$2:$C$21,2,0)&amp;REPT(" ",Teams!C$1+1-VLOOKUP(E218,Teams!$A$2:$C$21,3,0))&amp;"- "&amp;F218&amp;IF(ISBLANK(D218),""," (from "&amp;D218&amp;")")</f>
        <v>12.01 FLL Carroll/Kleine - Josh Paul, c (from FFR)</v>
      </c>
    </row>
    <row r="219" spans="1:8" s="35" customFormat="1" x14ac:dyDescent="0.25">
      <c r="A219" s="30">
        <v>217</v>
      </c>
      <c r="B219" s="30">
        <v>12</v>
      </c>
      <c r="C219" s="30">
        <v>2</v>
      </c>
      <c r="D219" s="30"/>
      <c r="E219" s="30" t="s">
        <v>3</v>
      </c>
      <c r="F219" s="38" t="s">
        <v>713</v>
      </c>
      <c r="G219" s="38"/>
      <c r="H219" s="39" t="str">
        <f>IF(B219&lt;10," ","")&amp;B219&amp;"."&amp;IF(C219&lt;10,"0","")&amp;C219&amp;" "&amp;E219&amp;" "&amp;VLOOKUP(E219,Teams!$A$2:$C$21,2,0)&amp;REPT(" ",Teams!C$1+1-VLOOKUP(E219,Teams!$A$2:$C$21,3,0))&amp;"- "&amp;F219&amp;IF(ISBLANK(D219),""," (from "&amp;D219&amp;")")</f>
        <v>12.02 GAR Bernstein      - Jose Molina, c</v>
      </c>
    </row>
    <row r="220" spans="1:8" s="35" customFormat="1" x14ac:dyDescent="0.25">
      <c r="A220" s="30">
        <v>218</v>
      </c>
      <c r="B220" s="30">
        <v>12</v>
      </c>
      <c r="C220" s="30">
        <v>3</v>
      </c>
      <c r="D220" s="30"/>
      <c r="E220" s="30" t="s">
        <v>4</v>
      </c>
      <c r="F220" s="38" t="s">
        <v>714</v>
      </c>
      <c r="G220" s="38"/>
      <c r="H220" s="39" t="str">
        <f>IF(B220&lt;10," ","")&amp;B220&amp;"."&amp;IF(C220&lt;10,"0","")&amp;C220&amp;" "&amp;E220&amp;" "&amp;VLOOKUP(E220,Teams!$A$2:$C$21,2,0)&amp;REPT(" ",Teams!C$1+1-VLOOKUP(E220,Teams!$A$2:$C$21,3,0))&amp;"- "&amp;F220&amp;IF(ISBLANK(D220),""," (from "&amp;D220&amp;")")</f>
        <v>12.03 BBG Canter         - Darren Bragg, cf</v>
      </c>
    </row>
    <row r="221" spans="1:8" s="35" customFormat="1" x14ac:dyDescent="0.25">
      <c r="A221" s="30">
        <v>219</v>
      </c>
      <c r="B221" s="30">
        <v>12</v>
      </c>
      <c r="C221" s="30">
        <v>4</v>
      </c>
      <c r="D221" s="30"/>
      <c r="E221" s="30" t="s">
        <v>12</v>
      </c>
      <c r="F221" s="38" t="s">
        <v>715</v>
      </c>
      <c r="G221" s="38"/>
      <c r="H221" s="39" t="str">
        <f>IF(B221&lt;10," ","")&amp;B221&amp;"."&amp;IF(C221&lt;10,"0","")&amp;C221&amp;" "&amp;E221&amp;" "&amp;VLOOKUP(E221,Teams!$A$2:$C$21,2,0)&amp;REPT(" ",Teams!C$1+1-VLOOKUP(E221,Teams!$A$2:$C$21,3,0))&amp;"- "&amp;F221&amp;IF(ISBLANK(D221),""," (from "&amp;D221&amp;")")</f>
        <v>12.04 OKO Smith          - Dennis Springer, rsp</v>
      </c>
    </row>
    <row r="222" spans="1:8" s="35" customFormat="1" x14ac:dyDescent="0.25">
      <c r="A222" s="30">
        <v>220</v>
      </c>
      <c r="B222" s="30">
        <v>12</v>
      </c>
      <c r="C222" s="30">
        <v>5</v>
      </c>
      <c r="D222" s="30"/>
      <c r="E222" s="30" t="s">
        <v>2</v>
      </c>
      <c r="F222" s="38" t="s">
        <v>716</v>
      </c>
      <c r="G222" s="38"/>
      <c r="H222" s="39" t="str">
        <f>IF(B222&lt;10," ","")&amp;B222&amp;"."&amp;IF(C222&lt;10,"0","")&amp;C222&amp;" "&amp;E222&amp;" "&amp;VLOOKUP(E222,Teams!$A$2:$C$21,2,0)&amp;REPT(" ",Teams!C$1+1-VLOOKUP(E222,Teams!$A$2:$C$21,3,0))&amp;"- "&amp;F222&amp;IF(ISBLANK(D222),""," (from "&amp;D222&amp;")")</f>
        <v>12.05 FER Olkin          - Eric Hiljus, rmr</v>
      </c>
    </row>
    <row r="223" spans="1:8" s="35" customFormat="1" x14ac:dyDescent="0.25">
      <c r="A223" s="30">
        <v>221</v>
      </c>
      <c r="B223" s="30">
        <v>12</v>
      </c>
      <c r="C223" s="30">
        <v>6</v>
      </c>
      <c r="D223" s="30"/>
      <c r="E223" s="30" t="s">
        <v>6</v>
      </c>
      <c r="F223" s="38" t="s">
        <v>718</v>
      </c>
      <c r="G223" s="38"/>
      <c r="H223" s="39" t="str">
        <f>IF(B223&lt;10," ","")&amp;B223&amp;"."&amp;IF(C223&lt;10,"0","")&amp;C223&amp;" "&amp;E223&amp;" "&amp;VLOOKUP(E223,Teams!$A$2:$C$21,2,0)&amp;REPT(" ",Teams!C$1+1-VLOOKUP(E223,Teams!$A$2:$C$21,3,0))&amp;"- "&amp;F223&amp;IF(ISBLANK(D223),""," (from "&amp;D223&amp;")")</f>
        <v>12.06 FHK Chernow        - Jose Macias, 2b</v>
      </c>
    </row>
    <row r="224" spans="1:8" s="35" customFormat="1" x14ac:dyDescent="0.25">
      <c r="A224" s="30">
        <v>222</v>
      </c>
      <c r="B224" s="30">
        <v>12</v>
      </c>
      <c r="C224" s="30">
        <v>7</v>
      </c>
      <c r="D224" s="30"/>
      <c r="E224" s="30" t="s">
        <v>7</v>
      </c>
      <c r="F224" s="38" t="s">
        <v>719</v>
      </c>
      <c r="G224" s="38"/>
      <c r="H224" s="39" t="str">
        <f>IF(B224&lt;10," ","")&amp;B224&amp;"."&amp;IF(C224&lt;10,"0","")&amp;C224&amp;" "&amp;E224&amp;" "&amp;VLOOKUP(E224,Teams!$A$2:$C$21,2,0)&amp;REPT(" ",Teams!C$1+1-VLOOKUP(E224,Teams!$A$2:$C$21,3,0))&amp;"- "&amp;F224&amp;IF(ISBLANK(D224),""," (from "&amp;D224&amp;")")</f>
        <v>12.07 MCL Manuel         - Jeff Brantley, rcl</v>
      </c>
    </row>
    <row r="225" spans="1:8" s="35" customFormat="1" x14ac:dyDescent="0.25">
      <c r="A225" s="30">
        <v>223</v>
      </c>
      <c r="B225" s="30">
        <v>12</v>
      </c>
      <c r="C225" s="30">
        <v>8</v>
      </c>
      <c r="D225" s="30"/>
      <c r="E225" s="30" t="s">
        <v>1</v>
      </c>
      <c r="F225" s="38" t="s">
        <v>721</v>
      </c>
      <c r="G225" s="38"/>
      <c r="H225" s="39" t="str">
        <f>IF(B225&lt;10," ","")&amp;B225&amp;"."&amp;IF(C225&lt;10,"0","")&amp;C225&amp;" "&amp;E225&amp;" "&amp;VLOOKUP(E225,Teams!$A$2:$C$21,2,0)&amp;REPT(" ",Teams!C$1+1-VLOOKUP(E225,Teams!$A$2:$C$21,3,0))&amp;"- "&amp;F225&amp;IF(ISBLANK(D225),""," (from "&amp;D225&amp;")")</f>
        <v>12.08 ZZY Poole          - Jeff Wallace, lmr</v>
      </c>
    </row>
    <row r="226" spans="1:8" s="35" customFormat="1" x14ac:dyDescent="0.25">
      <c r="A226" s="30">
        <v>224</v>
      </c>
      <c r="B226" s="30">
        <v>12</v>
      </c>
      <c r="C226" s="30">
        <v>9</v>
      </c>
      <c r="D226" s="30" t="s">
        <v>18</v>
      </c>
      <c r="E226" s="30" t="s">
        <v>17</v>
      </c>
      <c r="F226" s="38" t="s">
        <v>722</v>
      </c>
      <c r="G226" s="38"/>
      <c r="H226" s="39" t="str">
        <f>IF(B226&lt;10," ","")&amp;B226&amp;"."&amp;IF(C226&lt;10,"0","")&amp;C226&amp;" "&amp;E226&amp;" "&amp;VLOOKUP(E226,Teams!$A$2:$C$21,2,0)&amp;REPT(" ",Teams!C$1+1-VLOOKUP(E226,Teams!$A$2:$C$21,3,0))&amp;"- "&amp;F226&amp;IF(ISBLANK(D226),""," (from "&amp;D226&amp;")")</f>
        <v>12.09 BAR Marshall       - Creighton Gubanich, c (from CIN)</v>
      </c>
    </row>
    <row r="227" spans="1:8" s="35" customFormat="1" x14ac:dyDescent="0.25">
      <c r="A227" s="30">
        <v>225</v>
      </c>
      <c r="B227" s="30">
        <v>12</v>
      </c>
      <c r="C227" s="30">
        <v>10</v>
      </c>
      <c r="D227" s="30" t="s">
        <v>13</v>
      </c>
      <c r="E227" s="30" t="s">
        <v>9</v>
      </c>
      <c r="F227" s="38" t="s">
        <v>723</v>
      </c>
      <c r="G227" s="38"/>
      <c r="H227" s="39" t="str">
        <f>IF(B227&lt;10," ","")&amp;B227&amp;"."&amp;IF(C227&lt;10,"0","")&amp;C227&amp;" "&amp;E227&amp;" "&amp;VLOOKUP(E227,Teams!$A$2:$C$21,2,0)&amp;REPT(" ",Teams!C$1+1-VLOOKUP(E227,Teams!$A$2:$C$21,3,0))&amp;"- "&amp;F227&amp;IF(ISBLANK(D227),""," (from "&amp;D227&amp;")")</f>
        <v>12.10 NEP Sasman         - Manny Aybar, rmr (from CTW)</v>
      </c>
    </row>
    <row r="228" spans="1:8" s="35" customFormat="1" x14ac:dyDescent="0.25">
      <c r="A228" s="30">
        <v>226</v>
      </c>
      <c r="B228" s="30">
        <v>12</v>
      </c>
      <c r="C228" s="30">
        <v>11</v>
      </c>
      <c r="D228" s="30"/>
      <c r="E228" s="30" t="s">
        <v>357</v>
      </c>
      <c r="F228" s="38" t="s">
        <v>729</v>
      </c>
      <c r="G228" s="38"/>
      <c r="H228" s="39" t="str">
        <f>IF(B228&lt;10," ","")&amp;B228&amp;"."&amp;IF(C228&lt;10,"0","")&amp;C228&amp;" "&amp;E228&amp;" "&amp;VLOOKUP(E228,Teams!$A$2:$C$21,2,0)&amp;REPT(" ",Teams!C$1+1-VLOOKUP(E228,Teams!$A$2:$C$21,3,0))&amp;"- "&amp;F228&amp;IF(ISBLANK(D228),""," (from "&amp;D228&amp;")")</f>
        <v>12.11 FLL Carroll/Kleine - David Roberts, cf</v>
      </c>
    </row>
    <row r="229" spans="1:8" s="35" customFormat="1" x14ac:dyDescent="0.25">
      <c r="A229" s="30">
        <v>227</v>
      </c>
      <c r="B229" s="30">
        <v>12</v>
      </c>
      <c r="C229" s="30">
        <v>12</v>
      </c>
      <c r="D229" s="30"/>
      <c r="E229" s="30" t="s">
        <v>17</v>
      </c>
      <c r="F229" s="38" t="s">
        <v>730</v>
      </c>
      <c r="G229" s="38"/>
      <c r="H229" s="39" t="str">
        <f>IF(B229&lt;10," ","")&amp;B229&amp;"."&amp;IF(C229&lt;10,"0","")&amp;C229&amp;" "&amp;E229&amp;" "&amp;VLOOKUP(E229,Teams!$A$2:$C$21,2,0)&amp;REPT(" ",Teams!C$1+1-VLOOKUP(E229,Teams!$A$2:$C$21,3,0))&amp;"- "&amp;F229&amp;IF(ISBLANK(D229),""," (from "&amp;D229&amp;")")</f>
        <v>12.12 BAR Marshall       - Reid Cornelius, rsp</v>
      </c>
    </row>
    <row r="230" spans="1:8" s="35" customFormat="1" x14ac:dyDescent="0.25">
      <c r="A230" s="30">
        <v>228</v>
      </c>
      <c r="B230" s="30">
        <v>12</v>
      </c>
      <c r="C230" s="30">
        <v>13</v>
      </c>
      <c r="D230" s="30"/>
      <c r="E230" s="30" t="s">
        <v>16</v>
      </c>
      <c r="F230" s="38" t="s">
        <v>731</v>
      </c>
      <c r="G230" s="38"/>
      <c r="H230" s="39" t="str">
        <f>IF(B230&lt;10," ","")&amp;B230&amp;"."&amp;IF(C230&lt;10,"0","")&amp;C230&amp;" "&amp;E230&amp;" "&amp;VLOOKUP(E230,Teams!$A$2:$C$21,2,0)&amp;REPT(" ",Teams!C$1+1-VLOOKUP(E230,Teams!$A$2:$C$21,3,0))&amp;"- "&amp;F230&amp;IF(ISBLANK(D230),""," (from "&amp;D230&amp;")")</f>
        <v>12.13 TAR Lingo          - Chris Holt, rsp</v>
      </c>
    </row>
    <row r="231" spans="1:8" s="35" customFormat="1" x14ac:dyDescent="0.25">
      <c r="A231" s="30">
        <v>229</v>
      </c>
      <c r="B231" s="30">
        <v>12</v>
      </c>
      <c r="C231" s="30">
        <v>14</v>
      </c>
      <c r="D231" s="30"/>
      <c r="E231" s="30" t="s">
        <v>11</v>
      </c>
      <c r="F231" s="38" t="s">
        <v>732</v>
      </c>
      <c r="G231" s="38"/>
      <c r="H231" s="39" t="str">
        <f>IF(B231&lt;10," ","")&amp;B231&amp;"."&amp;IF(C231&lt;10,"0","")&amp;C231&amp;" "&amp;E231&amp;" "&amp;VLOOKUP(E231,Teams!$A$2:$C$21,2,0)&amp;REPT(" ",Teams!C$1+1-VLOOKUP(E231,Teams!$A$2:$C$21,3,0))&amp;"- "&amp;F231&amp;IF(ISBLANK(D231),""," (from "&amp;D231&amp;")")</f>
        <v>12.14 EVN Henninger      - Rich Amaral, cf</v>
      </c>
    </row>
    <row r="232" spans="1:8" s="35" customFormat="1" x14ac:dyDescent="0.25">
      <c r="A232" s="30">
        <v>230</v>
      </c>
      <c r="B232" s="30">
        <v>12</v>
      </c>
      <c r="C232" s="30">
        <v>15</v>
      </c>
      <c r="D232" s="30"/>
      <c r="E232" s="30" t="s">
        <v>19</v>
      </c>
      <c r="F232" s="38" t="s">
        <v>733</v>
      </c>
      <c r="G232" s="38"/>
      <c r="H232" s="39" t="str">
        <f>IF(B232&lt;10," ","")&amp;B232&amp;"."&amp;IF(C232&lt;10,"0","")&amp;C232&amp;" "&amp;E232&amp;" "&amp;VLOOKUP(E232,Teams!$A$2:$C$21,2,0)&amp;REPT(" ",Teams!C$1+1-VLOOKUP(E232,Teams!$A$2:$C$21,3,0))&amp;"- "&amp;F232&amp;IF(ISBLANK(D232),""," (from "&amp;D232&amp;")")</f>
        <v>12.15 TEW Bailey         - Donnie Sadler, ss</v>
      </c>
    </row>
    <row r="233" spans="1:8" s="35" customFormat="1" x14ac:dyDescent="0.25">
      <c r="A233" s="30">
        <v>231</v>
      </c>
      <c r="B233" s="30">
        <v>12</v>
      </c>
      <c r="C233" s="30">
        <v>16</v>
      </c>
      <c r="D233" s="30"/>
      <c r="E233" s="30" t="s">
        <v>0</v>
      </c>
      <c r="F233" s="38" t="s">
        <v>734</v>
      </c>
      <c r="G233" s="38"/>
      <c r="H233" s="39" t="str">
        <f>IF(B233&lt;10," ","")&amp;B233&amp;"."&amp;IF(C233&lt;10,"0","")&amp;C233&amp;" "&amp;E233&amp;" "&amp;VLOOKUP(E233,Teams!$A$2:$C$21,2,0)&amp;REPT(" ",Teams!C$1+1-VLOOKUP(E233,Teams!$A$2:$C$21,3,0))&amp;"- "&amp;F233&amp;IF(ISBLANK(D233),""," (from "&amp;D233&amp;")")</f>
        <v>12.16 DLM Potter         - Ruben Rivera, cf</v>
      </c>
    </row>
    <row r="234" spans="1:8" s="35" customFormat="1" x14ac:dyDescent="0.25">
      <c r="A234" s="30">
        <v>232</v>
      </c>
      <c r="B234" s="30">
        <v>12</v>
      </c>
      <c r="C234" s="30">
        <v>17</v>
      </c>
      <c r="D234" s="30" t="s">
        <v>9</v>
      </c>
      <c r="E234" s="30" t="s">
        <v>18</v>
      </c>
      <c r="F234" s="38" t="s">
        <v>735</v>
      </c>
      <c r="G234" s="38" t="s">
        <v>603</v>
      </c>
      <c r="H234" s="39" t="str">
        <f>IF(B234&lt;10," ","")&amp;B234&amp;"."&amp;IF(C234&lt;10,"0","")&amp;C234&amp;" "&amp;E234&amp;" "&amp;VLOOKUP(E234,Teams!$A$2:$C$21,2,0)&amp;REPT(" ",Teams!C$1+1-VLOOKUP(E234,Teams!$A$2:$C$21,3,0))&amp;"- "&amp;F234&amp;IF(ISBLANK(D234),""," (from "&amp;D234&amp;")")</f>
        <v>12.17 CIN CMiller        - Rigo Beltran, lmr (from NEP)</v>
      </c>
    </row>
    <row r="235" spans="1:8" s="35" customFormat="1" x14ac:dyDescent="0.25">
      <c r="A235" s="30">
        <v>233</v>
      </c>
      <c r="B235" s="30">
        <v>13</v>
      </c>
      <c r="C235" s="30">
        <v>1</v>
      </c>
      <c r="D235" s="30"/>
      <c r="E235" s="30" t="s">
        <v>4</v>
      </c>
      <c r="F235" s="38" t="s">
        <v>736</v>
      </c>
      <c r="G235" s="38"/>
      <c r="H235" s="39" t="str">
        <f>IF(B235&lt;10," ","")&amp;B235&amp;"."&amp;IF(C235&lt;10,"0","")&amp;C235&amp;" "&amp;E235&amp;" "&amp;VLOOKUP(E235,Teams!$A$2:$C$21,2,0)&amp;REPT(" ",Teams!C$1+1-VLOOKUP(E235,Teams!$A$2:$C$21,3,0))&amp;"- "&amp;F235&amp;IF(ISBLANK(D235),""," (from "&amp;D235&amp;")")</f>
        <v>13.01 BBG Canter         - Jim Parque, lsp</v>
      </c>
    </row>
    <row r="236" spans="1:8" s="35" customFormat="1" x14ac:dyDescent="0.25">
      <c r="A236" s="30">
        <v>234</v>
      </c>
      <c r="B236" s="30">
        <v>13</v>
      </c>
      <c r="C236" s="30">
        <v>2</v>
      </c>
      <c r="D236" s="30"/>
      <c r="E236" s="30" t="s">
        <v>6</v>
      </c>
      <c r="F236" s="38" t="s">
        <v>737</v>
      </c>
      <c r="G236" s="38"/>
      <c r="H236" s="39" t="str">
        <f>IF(B236&lt;10," ","")&amp;B236&amp;"."&amp;IF(C236&lt;10,"0","")&amp;C236&amp;" "&amp;E236&amp;" "&amp;VLOOKUP(E236,Teams!$A$2:$C$21,2,0)&amp;REPT(" ",Teams!C$1+1-VLOOKUP(E236,Teams!$A$2:$C$21,3,0))&amp;"- "&amp;F236&amp;IF(ISBLANK(D236),""," (from "&amp;D236&amp;")")</f>
        <v>13.02 FHK Chernow        - Juan Pena, rsp</v>
      </c>
    </row>
    <row r="237" spans="1:8" s="35" customFormat="1" x14ac:dyDescent="0.25">
      <c r="A237" s="30">
        <v>235</v>
      </c>
      <c r="B237" s="30">
        <v>13</v>
      </c>
      <c r="C237" s="30">
        <v>3</v>
      </c>
      <c r="D237" s="30"/>
      <c r="E237" s="30" t="s">
        <v>2</v>
      </c>
      <c r="F237" s="38" t="s">
        <v>738</v>
      </c>
      <c r="G237" s="38"/>
      <c r="H237" s="39" t="str">
        <f>IF(B237&lt;10," ","")&amp;B237&amp;"."&amp;IF(C237&lt;10,"0","")&amp;C237&amp;" "&amp;E237&amp;" "&amp;VLOOKUP(E237,Teams!$A$2:$C$21,2,0)&amp;REPT(" ",Teams!C$1+1-VLOOKUP(E237,Teams!$A$2:$C$21,3,0))&amp;"- "&amp;F237&amp;IF(ISBLANK(D237),""," (from "&amp;D237&amp;")")</f>
        <v>13.03 FER Olkin          - Dan Reichert, rsp</v>
      </c>
    </row>
    <row r="238" spans="1:8" s="35" customFormat="1" x14ac:dyDescent="0.25">
      <c r="A238" s="30">
        <v>236</v>
      </c>
      <c r="B238" s="30">
        <v>13</v>
      </c>
      <c r="C238" s="30">
        <v>4</v>
      </c>
      <c r="D238" s="30"/>
      <c r="E238" s="30" t="s">
        <v>12</v>
      </c>
      <c r="F238" s="38" t="s">
        <v>739</v>
      </c>
      <c r="G238" s="38"/>
      <c r="H238" s="39" t="str">
        <f>IF(B238&lt;10," ","")&amp;B238&amp;"."&amp;IF(C238&lt;10,"0","")&amp;C238&amp;" "&amp;E238&amp;" "&amp;VLOOKUP(E238,Teams!$A$2:$C$21,2,0)&amp;REPT(" ",Teams!C$1+1-VLOOKUP(E238,Teams!$A$2:$C$21,3,0))&amp;"- "&amp;F238&amp;IF(ISBLANK(D238),""," (from "&amp;D238&amp;")")</f>
        <v>13.04 OKO Smith          - Chad Ogea, rsp</v>
      </c>
    </row>
    <row r="239" spans="1:8" s="35" customFormat="1" x14ac:dyDescent="0.25">
      <c r="A239" s="30">
        <v>237</v>
      </c>
      <c r="B239" s="30">
        <v>13</v>
      </c>
      <c r="C239" s="30">
        <v>5</v>
      </c>
      <c r="D239" s="30"/>
      <c r="E239" s="30" t="s">
        <v>7</v>
      </c>
      <c r="F239" s="38" t="s">
        <v>740</v>
      </c>
      <c r="G239" s="38"/>
      <c r="H239" s="39" t="str">
        <f>IF(B239&lt;10," ","")&amp;B239&amp;"."&amp;IF(C239&lt;10,"0","")&amp;C239&amp;" "&amp;E239&amp;" "&amp;VLOOKUP(E239,Teams!$A$2:$C$21,2,0)&amp;REPT(" ",Teams!C$1+1-VLOOKUP(E239,Teams!$A$2:$C$21,3,0))&amp;"- "&amp;F239&amp;IF(ISBLANK(D239),""," (from "&amp;D239&amp;")")</f>
        <v>13.05 MCL Manuel         - Matt Whisenant, lmr</v>
      </c>
    </row>
    <row r="240" spans="1:8" s="35" customFormat="1" x14ac:dyDescent="0.25">
      <c r="A240" s="30">
        <v>238</v>
      </c>
      <c r="B240" s="30">
        <v>13</v>
      </c>
      <c r="C240" s="30">
        <v>6</v>
      </c>
      <c r="D240" s="30"/>
      <c r="E240" s="30" t="s">
        <v>1</v>
      </c>
      <c r="F240" s="38" t="s">
        <v>741</v>
      </c>
      <c r="G240" s="38"/>
      <c r="H240" s="39" t="str">
        <f>IF(B240&lt;10," ","")&amp;B240&amp;"."&amp;IF(C240&lt;10,"0","")&amp;C240&amp;" "&amp;E240&amp;" "&amp;VLOOKUP(E240,Teams!$A$2:$C$21,2,0)&amp;REPT(" ",Teams!C$1+1-VLOOKUP(E240,Teams!$A$2:$C$21,3,0))&amp;"- "&amp;F240&amp;IF(ISBLANK(D240),""," (from "&amp;D240&amp;")")</f>
        <v>13.06 ZZY Poole          - Jose Guillen, rf</v>
      </c>
    </row>
    <row r="241" spans="1:8" s="35" customFormat="1" x14ac:dyDescent="0.25">
      <c r="A241" s="30">
        <v>239</v>
      </c>
      <c r="B241" s="30">
        <v>13</v>
      </c>
      <c r="C241" s="30">
        <v>7</v>
      </c>
      <c r="D241" s="30"/>
      <c r="E241" s="30" t="s">
        <v>18</v>
      </c>
      <c r="F241" s="38" t="s">
        <v>742</v>
      </c>
      <c r="G241" s="38"/>
      <c r="H241" s="39" t="str">
        <f>IF(B241&lt;10," ","")&amp;B241&amp;"."&amp;IF(C241&lt;10,"0","")&amp;C241&amp;" "&amp;E241&amp;" "&amp;VLOOKUP(E241,Teams!$A$2:$C$21,2,0)&amp;REPT(" ",Teams!C$1+1-VLOOKUP(E241,Teams!$A$2:$C$21,3,0))&amp;"- "&amp;F241&amp;IF(ISBLANK(D241),""," (from "&amp;D241&amp;")")</f>
        <v>13.07 CIN CMiller        - Glen Barker, cf</v>
      </c>
    </row>
    <row r="242" spans="1:8" s="35" customFormat="1" x14ac:dyDescent="0.25">
      <c r="A242" s="30">
        <v>240</v>
      </c>
      <c r="B242" s="30">
        <v>13</v>
      </c>
      <c r="C242" s="30">
        <v>8</v>
      </c>
      <c r="D242" s="30"/>
      <c r="E242" s="30" t="s">
        <v>13</v>
      </c>
      <c r="F242" s="38" t="s">
        <v>743</v>
      </c>
      <c r="G242" s="38"/>
      <c r="H242" s="39" t="str">
        <f>IF(B242&lt;10," ","")&amp;B242&amp;"."&amp;IF(C242&lt;10,"0","")&amp;C242&amp;" "&amp;E242&amp;" "&amp;VLOOKUP(E242,Teams!$A$2:$C$21,2,0)&amp;REPT(" ",Teams!C$1+1-VLOOKUP(E242,Teams!$A$2:$C$21,3,0))&amp;"- "&amp;F242&amp;IF(ISBLANK(D242),""," (from "&amp;D242&amp;")")</f>
        <v>13.08 CTW RMiller        - Matt Perisho, lmr</v>
      </c>
    </row>
    <row r="243" spans="1:8" s="35" customFormat="1" x14ac:dyDescent="0.25">
      <c r="A243" s="30">
        <v>241</v>
      </c>
      <c r="B243" s="30">
        <v>13</v>
      </c>
      <c r="C243" s="30">
        <v>9</v>
      </c>
      <c r="D243" s="30"/>
      <c r="E243" s="30" t="s">
        <v>357</v>
      </c>
      <c r="F243" s="38" t="s">
        <v>746</v>
      </c>
      <c r="G243" s="38"/>
      <c r="H243" s="39" t="str">
        <f>IF(B243&lt;10," ","")&amp;B243&amp;"."&amp;IF(C243&lt;10,"0","")&amp;C243&amp;" "&amp;E243&amp;" "&amp;VLOOKUP(E243,Teams!$A$2:$C$21,2,0)&amp;REPT(" ",Teams!C$1+1-VLOOKUP(E243,Teams!$A$2:$C$21,3,0))&amp;"- "&amp;F243&amp;IF(ISBLANK(D243),""," (from "&amp;D243&amp;")")</f>
        <v>13.09 FLL Carroll/Kleine - Robert Ramsay, lsp</v>
      </c>
    </row>
    <row r="244" spans="1:8" s="35" customFormat="1" x14ac:dyDescent="0.25">
      <c r="A244" s="30">
        <v>242</v>
      </c>
      <c r="B244" s="30">
        <v>13</v>
      </c>
      <c r="C244" s="30">
        <v>10</v>
      </c>
      <c r="D244" s="30"/>
      <c r="E244" s="30" t="s">
        <v>17</v>
      </c>
      <c r="F244" s="38" t="s">
        <v>747</v>
      </c>
      <c r="G244" s="38"/>
      <c r="H244" s="39" t="str">
        <f>IF(B244&lt;10," ","")&amp;B244&amp;"."&amp;IF(C244&lt;10,"0","")&amp;C244&amp;" "&amp;E244&amp;" "&amp;VLOOKUP(E244,Teams!$A$2:$C$21,2,0)&amp;REPT(" ",Teams!C$1+1-VLOOKUP(E244,Teams!$A$2:$C$21,3,0))&amp;"- "&amp;F244&amp;IF(ISBLANK(D244),""," (from "&amp;D244&amp;")")</f>
        <v>13.10 BAR Marshall       - Dan Naulty, rmr</v>
      </c>
    </row>
    <row r="245" spans="1:8" s="35" customFormat="1" x14ac:dyDescent="0.25">
      <c r="A245" s="30">
        <v>243</v>
      </c>
      <c r="B245" s="30">
        <v>13</v>
      </c>
      <c r="C245" s="30">
        <v>11</v>
      </c>
      <c r="D245" s="30"/>
      <c r="E245" s="30" t="s">
        <v>16</v>
      </c>
      <c r="F245" s="38" t="s">
        <v>748</v>
      </c>
      <c r="G245" s="38"/>
      <c r="H245" s="39" t="str">
        <f>IF(B245&lt;10," ","")&amp;B245&amp;"."&amp;IF(C245&lt;10,"0","")&amp;C245&amp;" "&amp;E245&amp;" "&amp;VLOOKUP(E245,Teams!$A$2:$C$21,2,0)&amp;REPT(" ",Teams!C$1+1-VLOOKUP(E245,Teams!$A$2:$C$21,3,0))&amp;"- "&amp;F245&amp;IF(ISBLANK(D245),""," (from "&amp;D245&amp;")")</f>
        <v>13.11 TAR Lingo          - Chris Peters, lsp</v>
      </c>
    </row>
    <row r="246" spans="1:8" s="35" customFormat="1" x14ac:dyDescent="0.25">
      <c r="A246" s="30">
        <v>244</v>
      </c>
      <c r="B246" s="30">
        <v>13</v>
      </c>
      <c r="C246" s="30">
        <v>12</v>
      </c>
      <c r="D246" s="30"/>
      <c r="E246" s="30" t="s">
        <v>11</v>
      </c>
      <c r="F246" s="38" t="s">
        <v>753</v>
      </c>
      <c r="G246" s="38"/>
      <c r="H246" s="39" t="str">
        <f>IF(B246&lt;10," ","")&amp;B246&amp;"."&amp;IF(C246&lt;10,"0","")&amp;C246&amp;" "&amp;E246&amp;" "&amp;VLOOKUP(E246,Teams!$A$2:$C$21,2,0)&amp;REPT(" ",Teams!C$1+1-VLOOKUP(E246,Teams!$A$2:$C$21,3,0))&amp;"- "&amp;F246&amp;IF(ISBLANK(D246),""," (from "&amp;D246&amp;")")</f>
        <v>13.12 EVN Henninger      - Kent Mercker, lsp</v>
      </c>
    </row>
    <row r="247" spans="1:8" s="35" customFormat="1" x14ac:dyDescent="0.25">
      <c r="A247" s="30">
        <v>245</v>
      </c>
      <c r="B247" s="30">
        <v>13</v>
      </c>
      <c r="C247" s="30">
        <v>13</v>
      </c>
      <c r="D247" s="30"/>
      <c r="E247" s="30" t="s">
        <v>19</v>
      </c>
      <c r="F247" s="38" t="s">
        <v>750</v>
      </c>
      <c r="G247" s="38"/>
      <c r="H247" s="39" t="str">
        <f>IF(B247&lt;10," ","")&amp;B247&amp;"."&amp;IF(C247&lt;10,"0","")&amp;C247&amp;" "&amp;E247&amp;" "&amp;VLOOKUP(E247,Teams!$A$2:$C$21,2,0)&amp;REPT(" ",Teams!C$1+1-VLOOKUP(E247,Teams!$A$2:$C$21,3,0))&amp;"- "&amp;F247&amp;IF(ISBLANK(D247),""," (from "&amp;D247&amp;")")</f>
        <v>13.13 TEW Bailey         - Calvin Pickering, 1b</v>
      </c>
    </row>
    <row r="248" spans="1:8" s="35" customFormat="1" x14ac:dyDescent="0.25">
      <c r="A248" s="30">
        <v>246</v>
      </c>
      <c r="B248" s="30">
        <v>13</v>
      </c>
      <c r="C248" s="30">
        <v>14</v>
      </c>
      <c r="D248" s="30"/>
      <c r="E248" s="30" t="s">
        <v>0</v>
      </c>
      <c r="F248" s="38" t="s">
        <v>751</v>
      </c>
      <c r="G248" s="38"/>
      <c r="H248" s="39" t="str">
        <f>IF(B248&lt;10," ","")&amp;B248&amp;"."&amp;IF(C248&lt;10,"0","")&amp;C248&amp;" "&amp;E248&amp;" "&amp;VLOOKUP(E248,Teams!$A$2:$C$21,2,0)&amp;REPT(" ",Teams!C$1+1-VLOOKUP(E248,Teams!$A$2:$C$21,3,0))&amp;"- "&amp;F248&amp;IF(ISBLANK(D248),""," (from "&amp;D248&amp;")")</f>
        <v>13.14 DLM Potter         - Lance Johnson, cf</v>
      </c>
    </row>
    <row r="249" spans="1:8" s="35" customFormat="1" x14ac:dyDescent="0.25">
      <c r="A249" s="30">
        <v>247</v>
      </c>
      <c r="B249" s="30">
        <v>13</v>
      </c>
      <c r="C249" s="30">
        <v>15</v>
      </c>
      <c r="D249" s="30" t="s">
        <v>9</v>
      </c>
      <c r="E249" s="30" t="s">
        <v>18</v>
      </c>
      <c r="F249" s="38" t="s">
        <v>752</v>
      </c>
      <c r="G249" s="38" t="s">
        <v>603</v>
      </c>
      <c r="H249" s="39" t="str">
        <f>IF(B249&lt;10," ","")&amp;B249&amp;"."&amp;IF(C249&lt;10,"0","")&amp;C249&amp;" "&amp;E249&amp;" "&amp;VLOOKUP(E249,Teams!$A$2:$C$21,2,0)&amp;REPT(" ",Teams!C$1+1-VLOOKUP(E249,Teams!$A$2:$C$21,3,0))&amp;"- "&amp;F249&amp;IF(ISBLANK(D249),""," (from "&amp;D249&amp;")")</f>
        <v>13.15 CIN CMiller        - Devon White, cf (from NEP)</v>
      </c>
    </row>
    <row r="250" spans="1:8" s="35" customFormat="1" x14ac:dyDescent="0.25">
      <c r="A250" s="30">
        <v>248</v>
      </c>
      <c r="B250" s="30">
        <v>14</v>
      </c>
      <c r="C250" s="30">
        <v>1</v>
      </c>
      <c r="D250" s="30"/>
      <c r="E250" s="30" t="s">
        <v>4</v>
      </c>
      <c r="F250" s="38" t="s">
        <v>754</v>
      </c>
      <c r="G250" s="38"/>
      <c r="H250" s="39" t="str">
        <f>IF(B250&lt;10," ","")&amp;B250&amp;"."&amp;IF(C250&lt;10,"0","")&amp;C250&amp;" "&amp;E250&amp;" "&amp;VLOOKUP(E250,Teams!$A$2:$C$21,2,0)&amp;REPT(" ",Teams!C$1+1-VLOOKUP(E250,Teams!$A$2:$C$21,3,0))&amp;"- "&amp;F250&amp;IF(ISBLANK(D250),""," (from "&amp;D250&amp;")")</f>
        <v>14.01 BBG Canter         - Keith Osik, c</v>
      </c>
    </row>
    <row r="251" spans="1:8" s="35" customFormat="1" x14ac:dyDescent="0.25">
      <c r="A251" s="30">
        <v>249</v>
      </c>
      <c r="B251" s="30">
        <v>14</v>
      </c>
      <c r="C251" s="30">
        <v>2</v>
      </c>
      <c r="D251" s="30"/>
      <c r="E251" s="30" t="s">
        <v>2</v>
      </c>
      <c r="F251" s="38" t="s">
        <v>755</v>
      </c>
      <c r="G251" s="38"/>
      <c r="H251" s="39" t="str">
        <f>IF(B251&lt;10," ","")&amp;B251&amp;"."&amp;IF(C251&lt;10,"0","")&amp;C251&amp;" "&amp;E251&amp;" "&amp;VLOOKUP(E251,Teams!$A$2:$C$21,2,0)&amp;REPT(" ",Teams!C$1+1-VLOOKUP(E251,Teams!$A$2:$C$21,3,0))&amp;"- "&amp;F251&amp;IF(ISBLANK(D251),""," (from "&amp;D251&amp;")")</f>
        <v>14.02 FER Olkin          - Jim Brower, rmr</v>
      </c>
    </row>
    <row r="252" spans="1:8" s="35" customFormat="1" x14ac:dyDescent="0.25">
      <c r="A252" s="30">
        <v>250</v>
      </c>
      <c r="B252" s="30">
        <v>14</v>
      </c>
      <c r="C252" s="30">
        <v>3</v>
      </c>
      <c r="D252" s="30"/>
      <c r="E252" s="30" t="s">
        <v>6</v>
      </c>
      <c r="F252" s="38" t="s">
        <v>771</v>
      </c>
      <c r="G252" s="38"/>
      <c r="H252" s="39" t="str">
        <f>IF(B252&lt;10," ","")&amp;B252&amp;"."&amp;IF(C252&lt;10,"0","")&amp;C252&amp;" "&amp;E252&amp;" "&amp;VLOOKUP(E252,Teams!$A$2:$C$21,2,0)&amp;REPT(" ",Teams!C$1+1-VLOOKUP(E252,Teams!$A$2:$C$21,3,0))&amp;"- "&amp;F252&amp;IF(ISBLANK(D252),""," (from "&amp;D252&amp;")")</f>
        <v>14.03 FHK Chernow        - Jeff Barry, cf</v>
      </c>
    </row>
    <row r="253" spans="1:8" s="35" customFormat="1" x14ac:dyDescent="0.25">
      <c r="A253" s="30">
        <v>251</v>
      </c>
      <c r="B253" s="30">
        <v>14</v>
      </c>
      <c r="C253" s="30">
        <v>4</v>
      </c>
      <c r="D253" s="30"/>
      <c r="E253" s="30" t="s">
        <v>7</v>
      </c>
      <c r="F253" s="38" t="s">
        <v>757</v>
      </c>
      <c r="G253" s="38"/>
      <c r="H253" s="39" t="str">
        <f>IF(B253&lt;10," ","")&amp;B253&amp;"."&amp;IF(C253&lt;10,"0","")&amp;C253&amp;" "&amp;E253&amp;" "&amp;VLOOKUP(E253,Teams!$A$2:$C$21,2,0)&amp;REPT(" ",Teams!C$1+1-VLOOKUP(E253,Teams!$A$2:$C$21,3,0))&amp;"- "&amp;F253&amp;IF(ISBLANK(D253),""," (from "&amp;D253&amp;")")</f>
        <v>14.04 MCL Manuel         - Greg Norton, 3b</v>
      </c>
    </row>
    <row r="254" spans="1:8" s="35" customFormat="1" x14ac:dyDescent="0.25">
      <c r="A254" s="30">
        <v>252</v>
      </c>
      <c r="B254" s="30">
        <v>14</v>
      </c>
      <c r="C254" s="30">
        <v>5</v>
      </c>
      <c r="D254" s="30"/>
      <c r="E254" s="30" t="s">
        <v>1</v>
      </c>
      <c r="F254" s="38" t="s">
        <v>758</v>
      </c>
      <c r="G254" s="38"/>
      <c r="H254" s="39" t="str">
        <f>IF(B254&lt;10," ","")&amp;B254&amp;"."&amp;IF(C254&lt;10,"0","")&amp;C254&amp;" "&amp;E254&amp;" "&amp;VLOOKUP(E254,Teams!$A$2:$C$21,2,0)&amp;REPT(" ",Teams!C$1+1-VLOOKUP(E254,Teams!$A$2:$C$21,3,0))&amp;"- "&amp;F254&amp;IF(ISBLANK(D254),""," (from "&amp;D254&amp;")")</f>
        <v>14.05 ZZY Poole          - Roosevelt Brown, lf</v>
      </c>
    </row>
    <row r="255" spans="1:8" s="35" customFormat="1" x14ac:dyDescent="0.25">
      <c r="A255" s="30">
        <v>253</v>
      </c>
      <c r="B255" s="30">
        <v>14</v>
      </c>
      <c r="C255" s="30">
        <v>6</v>
      </c>
      <c r="D255" s="30"/>
      <c r="E255" s="30" t="s">
        <v>18</v>
      </c>
      <c r="F255" s="38" t="s">
        <v>759</v>
      </c>
      <c r="G255" s="38"/>
      <c r="H255" s="39" t="str">
        <f>IF(B255&lt;10," ","")&amp;B255&amp;"."&amp;IF(C255&lt;10,"0","")&amp;C255&amp;" "&amp;E255&amp;" "&amp;VLOOKUP(E255,Teams!$A$2:$C$21,2,0)&amp;REPT(" ",Teams!C$1+1-VLOOKUP(E255,Teams!$A$2:$C$21,3,0))&amp;"- "&amp;F255&amp;IF(ISBLANK(D255),""," (from "&amp;D255&amp;")")</f>
        <v>14.06 CIN CMiller        - Mike Figga, c</v>
      </c>
    </row>
    <row r="256" spans="1:8" s="35" customFormat="1" x14ac:dyDescent="0.25">
      <c r="A256" s="30">
        <v>254</v>
      </c>
      <c r="B256" s="30">
        <v>14</v>
      </c>
      <c r="C256" s="30">
        <v>7</v>
      </c>
      <c r="D256" s="30"/>
      <c r="E256" s="30" t="s">
        <v>13</v>
      </c>
      <c r="F256" s="38" t="s">
        <v>760</v>
      </c>
      <c r="G256" s="38"/>
      <c r="H256" s="39" t="str">
        <f>IF(B256&lt;10," ","")&amp;B256&amp;"."&amp;IF(C256&lt;10,"0","")&amp;C256&amp;" "&amp;E256&amp;" "&amp;VLOOKUP(E256,Teams!$A$2:$C$21,2,0)&amp;REPT(" ",Teams!C$1+1-VLOOKUP(E256,Teams!$A$2:$C$21,3,0))&amp;"- "&amp;F256&amp;IF(ISBLANK(D256),""," (from "&amp;D256&amp;")")</f>
        <v>14.07 CTW RMiller        - Thomas Howard, rf</v>
      </c>
    </row>
    <row r="257" spans="1:8" s="35" customFormat="1" x14ac:dyDescent="0.25">
      <c r="A257" s="30">
        <v>255</v>
      </c>
      <c r="B257" s="30">
        <v>14</v>
      </c>
      <c r="C257" s="30">
        <v>8</v>
      </c>
      <c r="D257" s="30" t="s">
        <v>357</v>
      </c>
      <c r="E257" s="30" t="s">
        <v>10</v>
      </c>
      <c r="F257" s="38" t="s">
        <v>761</v>
      </c>
      <c r="G257" s="38"/>
      <c r="H257" s="39" t="str">
        <f>IF(B257&lt;10," ","")&amp;B257&amp;"."&amp;IF(C257&lt;10,"0","")&amp;C257&amp;" "&amp;E257&amp;" "&amp;VLOOKUP(E257,Teams!$A$2:$C$21,2,0)&amp;REPT(" ",Teams!C$1+1-VLOOKUP(E257,Teams!$A$2:$C$21,3,0))&amp;"- "&amp;F257&amp;IF(ISBLANK(D257),""," (from "&amp;D257&amp;")")</f>
        <v>14.08 FFR Scott          - Brian Meadows, rsp (from FLL)</v>
      </c>
    </row>
    <row r="258" spans="1:8" s="35" customFormat="1" x14ac:dyDescent="0.25">
      <c r="A258" s="30">
        <v>256</v>
      </c>
      <c r="B258" s="30">
        <v>14</v>
      </c>
      <c r="C258" s="30">
        <v>9</v>
      </c>
      <c r="D258" s="30" t="s">
        <v>17</v>
      </c>
      <c r="E258" s="30" t="s">
        <v>10</v>
      </c>
      <c r="F258" s="38" t="s">
        <v>762</v>
      </c>
      <c r="G258" s="38" t="s">
        <v>745</v>
      </c>
      <c r="H258" s="39" t="str">
        <f>IF(B258&lt;10," ","")&amp;B258&amp;"."&amp;IF(C258&lt;10,"0","")&amp;C258&amp;" "&amp;E258&amp;" "&amp;VLOOKUP(E258,Teams!$A$2:$C$21,2,0)&amp;REPT(" ",Teams!C$1+1-VLOOKUP(E258,Teams!$A$2:$C$21,3,0))&amp;"- "&amp;F258&amp;IF(ISBLANK(D258),""," (from "&amp;D258&amp;")")</f>
        <v>14.09 FFR Scott          - Jimmy Haynes, rsp (from BAR)</v>
      </c>
    </row>
    <row r="259" spans="1:8" s="35" customFormat="1" x14ac:dyDescent="0.25">
      <c r="A259" s="30">
        <v>257</v>
      </c>
      <c r="B259" s="30">
        <v>14</v>
      </c>
      <c r="C259" s="30">
        <v>10</v>
      </c>
      <c r="D259" s="30"/>
      <c r="E259" s="30" t="s">
        <v>16</v>
      </c>
      <c r="F259" s="38" t="s">
        <v>763</v>
      </c>
      <c r="G259" s="38"/>
      <c r="H259" s="39" t="str">
        <f>IF(B259&lt;10," ","")&amp;B259&amp;"."&amp;IF(C259&lt;10,"0","")&amp;C259&amp;" "&amp;E259&amp;" "&amp;VLOOKUP(E259,Teams!$A$2:$C$21,2,0)&amp;REPT(" ",Teams!C$1+1-VLOOKUP(E259,Teams!$A$2:$C$21,3,0))&amp;"- "&amp;F259&amp;IF(ISBLANK(D259),""," (from "&amp;D259&amp;")")</f>
        <v>14.10 TAR Lingo          - Brian Rose, rsp</v>
      </c>
    </row>
    <row r="260" spans="1:8" s="35" customFormat="1" x14ac:dyDescent="0.25">
      <c r="A260" s="30">
        <v>258</v>
      </c>
      <c r="B260" s="30">
        <v>14</v>
      </c>
      <c r="C260" s="30">
        <v>11</v>
      </c>
      <c r="D260" s="30"/>
      <c r="E260" s="30" t="s">
        <v>11</v>
      </c>
      <c r="F260" s="38" t="s">
        <v>764</v>
      </c>
      <c r="G260" s="38"/>
      <c r="H260" s="39" t="str">
        <f>IF(B260&lt;10," ","")&amp;B260&amp;"."&amp;IF(C260&lt;10,"0","")&amp;C260&amp;" "&amp;E260&amp;" "&amp;VLOOKUP(E260,Teams!$A$2:$C$21,2,0)&amp;REPT(" ",Teams!C$1+1-VLOOKUP(E260,Teams!$A$2:$C$21,3,0))&amp;"- "&amp;F260&amp;IF(ISBLANK(D260),""," (from "&amp;D260&amp;")")</f>
        <v>14.11 EVN Henninger      - Wade Boggs, eb</v>
      </c>
    </row>
    <row r="261" spans="1:8" s="35" customFormat="1" x14ac:dyDescent="0.25">
      <c r="A261" s="30">
        <v>259</v>
      </c>
      <c r="B261" s="30">
        <v>14</v>
      </c>
      <c r="C261" s="30">
        <v>12</v>
      </c>
      <c r="D261" s="30"/>
      <c r="E261" s="30" t="s">
        <v>19</v>
      </c>
      <c r="F261" s="38" t="s">
        <v>765</v>
      </c>
      <c r="G261" s="38"/>
      <c r="H261" s="39" t="str">
        <f>IF(B261&lt;10," ","")&amp;B261&amp;"."&amp;IF(C261&lt;10,"0","")&amp;C261&amp;" "&amp;E261&amp;" "&amp;VLOOKUP(E261,Teams!$A$2:$C$21,2,0)&amp;REPT(" ",Teams!C$1+1-VLOOKUP(E261,Teams!$A$2:$C$21,3,0))&amp;"- "&amp;F261&amp;IF(ISBLANK(D261),""," (from "&amp;D261&amp;")")</f>
        <v>14.12 TEW Bailey         - Scott Spiezio, 2b</v>
      </c>
    </row>
    <row r="262" spans="1:8" s="35" customFormat="1" x14ac:dyDescent="0.25">
      <c r="A262" s="30">
        <v>260</v>
      </c>
      <c r="B262" s="30">
        <v>14</v>
      </c>
      <c r="C262" s="30">
        <v>13</v>
      </c>
      <c r="D262" s="30"/>
      <c r="E262" s="30" t="s">
        <v>0</v>
      </c>
      <c r="F262" s="38" t="s">
        <v>766</v>
      </c>
      <c r="G262" s="38"/>
      <c r="H262" s="39" t="str">
        <f>IF(B262&lt;10," ","")&amp;B262&amp;"."&amp;IF(C262&lt;10,"0","")&amp;C262&amp;" "&amp;E262&amp;" "&amp;VLOOKUP(E262,Teams!$A$2:$C$21,2,0)&amp;REPT(" ",Teams!C$1+1-VLOOKUP(E262,Teams!$A$2:$C$21,3,0))&amp;"- "&amp;F262&amp;IF(ISBLANK(D262),""," (from "&amp;D262&amp;")")</f>
        <v>14.13 DLM Potter         - Rafael Bournigal, ss</v>
      </c>
    </row>
    <row r="263" spans="1:8" s="35" customFormat="1" x14ac:dyDescent="0.25">
      <c r="A263" s="30">
        <v>261</v>
      </c>
      <c r="B263" s="30">
        <v>14</v>
      </c>
      <c r="C263" s="30">
        <v>14</v>
      </c>
      <c r="D263" s="30" t="s">
        <v>9</v>
      </c>
      <c r="E263" s="30" t="s">
        <v>18</v>
      </c>
      <c r="F263" s="38" t="s">
        <v>767</v>
      </c>
      <c r="G263" s="38" t="s">
        <v>603</v>
      </c>
      <c r="H263" s="39" t="str">
        <f>IF(B263&lt;10," ","")&amp;B263&amp;"."&amp;IF(C263&lt;10,"0","")&amp;C263&amp;" "&amp;E263&amp;" "&amp;VLOOKUP(E263,Teams!$A$2:$C$21,2,0)&amp;REPT(" ",Teams!C$1+1-VLOOKUP(E263,Teams!$A$2:$C$21,3,0))&amp;"- "&amp;F263&amp;IF(ISBLANK(D263),""," (from "&amp;D263&amp;")")</f>
        <v>14.14 CIN CMiller        - Brian Williams, rmr (from NEP)</v>
      </c>
    </row>
    <row r="264" spans="1:8" s="35" customFormat="1" x14ac:dyDescent="0.25">
      <c r="A264" s="30">
        <v>262</v>
      </c>
      <c r="B264" s="30">
        <v>15</v>
      </c>
      <c r="C264" s="30">
        <v>1</v>
      </c>
      <c r="D264" s="30"/>
      <c r="E264" s="30" t="s">
        <v>4</v>
      </c>
      <c r="F264" s="38" t="s">
        <v>773</v>
      </c>
      <c r="G264" s="38"/>
      <c r="H264" s="39" t="str">
        <f>IF(B264&lt;10," ","")&amp;B264&amp;"."&amp;IF(C264&lt;10,"0","")&amp;C264&amp;" "&amp;E264&amp;" "&amp;VLOOKUP(E264,Teams!$A$2:$C$21,2,0)&amp;REPT(" ",Teams!C$1+1-VLOOKUP(E264,Teams!$A$2:$C$21,3,0))&amp;"- "&amp;F264&amp;IF(ISBLANK(D264),""," (from "&amp;D264&amp;")")</f>
        <v>15.01 BBG Canter         - Jaret Wright, rsp</v>
      </c>
    </row>
    <row r="265" spans="1:8" s="35" customFormat="1" x14ac:dyDescent="0.25">
      <c r="A265" s="30">
        <v>263</v>
      </c>
      <c r="B265" s="30">
        <v>15</v>
      </c>
      <c r="C265" s="30">
        <v>2</v>
      </c>
      <c r="D265" s="30"/>
      <c r="E265" s="30" t="s">
        <v>6</v>
      </c>
      <c r="F265" s="38" t="s">
        <v>778</v>
      </c>
      <c r="G265" s="38"/>
      <c r="H265" s="39" t="str">
        <f>IF(B265&lt;10," ","")&amp;B265&amp;"."&amp;IF(C265&lt;10,"0","")&amp;C265&amp;" "&amp;E265&amp;" "&amp;VLOOKUP(E265,Teams!$A$2:$C$21,2,0)&amp;REPT(" ",Teams!C$1+1-VLOOKUP(E265,Teams!$A$2:$C$21,3,0))&amp;"- "&amp;F265&amp;IF(ISBLANK(D265),""," (from "&amp;D265&amp;")")</f>
        <v>15.02 FHK Chernow        - Sean DePaula, rmr</v>
      </c>
    </row>
    <row r="266" spans="1:8" s="35" customFormat="1" x14ac:dyDescent="0.25">
      <c r="A266" s="30">
        <v>264</v>
      </c>
      <c r="B266" s="30">
        <v>15</v>
      </c>
      <c r="C266" s="30">
        <v>3</v>
      </c>
      <c r="D266" s="30" t="s">
        <v>7</v>
      </c>
      <c r="E266" s="30" t="s">
        <v>18</v>
      </c>
      <c r="F266" s="38" t="s">
        <v>774</v>
      </c>
      <c r="G266" s="38" t="s">
        <v>783</v>
      </c>
      <c r="H266" s="39" t="str">
        <f>IF(B266&lt;10," ","")&amp;B266&amp;"."&amp;IF(C266&lt;10,"0","")&amp;C266&amp;" "&amp;E266&amp;" "&amp;VLOOKUP(E266,Teams!$A$2:$C$21,2,0)&amp;REPT(" ",Teams!C$1+1-VLOOKUP(E266,Teams!$A$2:$C$21,3,0))&amp;"- "&amp;F266&amp;IF(ISBLANK(D266),""," (from "&amp;D266&amp;")")</f>
        <v>15.03 CIN CMiller        - Wilton Guerrero, 2b (from MCL)</v>
      </c>
    </row>
    <row r="267" spans="1:8" s="35" customFormat="1" x14ac:dyDescent="0.25">
      <c r="A267" s="30">
        <v>265</v>
      </c>
      <c r="B267" s="30">
        <v>15</v>
      </c>
      <c r="C267" s="30">
        <v>4</v>
      </c>
      <c r="D267" s="30"/>
      <c r="E267" s="30" t="s">
        <v>1</v>
      </c>
      <c r="F267" s="38" t="s">
        <v>775</v>
      </c>
      <c r="G267" s="38"/>
      <c r="H267" s="39" t="str">
        <f>IF(B267&lt;10," ","")&amp;B267&amp;"."&amp;IF(C267&lt;10,"0","")&amp;C267&amp;" "&amp;E267&amp;" "&amp;VLOOKUP(E267,Teams!$A$2:$C$21,2,0)&amp;REPT(" ",Teams!C$1+1-VLOOKUP(E267,Teams!$A$2:$C$21,3,0))&amp;"- "&amp;F267&amp;IF(ISBLANK(D267),""," (from "&amp;D267&amp;")")</f>
        <v>15.04 ZZY Poole          - David Newhan, 2b</v>
      </c>
    </row>
    <row r="268" spans="1:8" s="35" customFormat="1" x14ac:dyDescent="0.25">
      <c r="A268" s="30">
        <v>266</v>
      </c>
      <c r="B268" s="30">
        <v>15</v>
      </c>
      <c r="C268" s="30">
        <v>5</v>
      </c>
      <c r="D268" s="30"/>
      <c r="E268" s="30" t="s">
        <v>13</v>
      </c>
      <c r="F268" s="38" t="s">
        <v>776</v>
      </c>
      <c r="G268" s="38"/>
      <c r="H268" s="39" t="str">
        <f>IF(B268&lt;10," ","")&amp;B268&amp;"."&amp;IF(C268&lt;10,"0","")&amp;C268&amp;" "&amp;E268&amp;" "&amp;VLOOKUP(E268,Teams!$A$2:$C$21,2,0)&amp;REPT(" ",Teams!C$1+1-VLOOKUP(E268,Teams!$A$2:$C$21,3,0))&amp;"- "&amp;F268&amp;IF(ISBLANK(D268),""," (from "&amp;D268&amp;")")</f>
        <v>15.05 CTW RMiller        - Ruben Mateo, cf</v>
      </c>
    </row>
    <row r="269" spans="1:8" s="35" customFormat="1" x14ac:dyDescent="0.25">
      <c r="A269" s="30">
        <v>267</v>
      </c>
      <c r="B269" s="30">
        <v>15</v>
      </c>
      <c r="C269" s="30">
        <v>6</v>
      </c>
      <c r="D269" s="30" t="s">
        <v>357</v>
      </c>
      <c r="E269" s="30" t="s">
        <v>17</v>
      </c>
      <c r="F269" s="38" t="s">
        <v>779</v>
      </c>
      <c r="G269" s="38" t="s">
        <v>537</v>
      </c>
      <c r="H269" s="39" t="str">
        <f>IF(B269&lt;10," ","")&amp;B269&amp;"."&amp;IF(C269&lt;10,"0","")&amp;C269&amp;" "&amp;E269&amp;" "&amp;VLOOKUP(E269,Teams!$A$2:$C$21,2,0)&amp;REPT(" ",Teams!C$1+1-VLOOKUP(E269,Teams!$A$2:$C$21,3,0))&amp;"- "&amp;F269&amp;IF(ISBLANK(D269),""," (from "&amp;D269&amp;")")</f>
        <v>15.06 BAR Marshall       - Pat Meares, ss (from FLL)</v>
      </c>
    </row>
    <row r="270" spans="1:8" s="35" customFormat="1" x14ac:dyDescent="0.25">
      <c r="A270" s="30">
        <v>268</v>
      </c>
      <c r="B270" s="30">
        <v>15</v>
      </c>
      <c r="C270" s="30">
        <v>7</v>
      </c>
      <c r="D270" s="30" t="s">
        <v>538</v>
      </c>
      <c r="E270" s="30" t="s">
        <v>17</v>
      </c>
      <c r="F270" s="38" t="s">
        <v>780</v>
      </c>
      <c r="G270" s="38" t="s">
        <v>537</v>
      </c>
      <c r="H270" s="39" t="str">
        <f>IF(B270&lt;10," ","")&amp;B270&amp;"."&amp;IF(C270&lt;10,"0","")&amp;C270&amp;" "&amp;E270&amp;" "&amp;VLOOKUP(E270,Teams!$A$2:$C$21,2,0)&amp;REPT(" ",Teams!C$1+1-VLOOKUP(E270,Teams!$A$2:$C$21,3,0))&amp;"- "&amp;F270&amp;IF(ISBLANK(D270),""," (from "&amp;D270&amp;")")</f>
        <v>15.07 BAR Marshall       - Jeff Williams, lsp (from BAR,FLL)</v>
      </c>
    </row>
    <row r="271" spans="1:8" s="35" customFormat="1" x14ac:dyDescent="0.25">
      <c r="A271" s="30">
        <v>269</v>
      </c>
      <c r="B271" s="30">
        <v>15</v>
      </c>
      <c r="C271" s="30">
        <v>8</v>
      </c>
      <c r="D271" s="30"/>
      <c r="E271" s="30" t="s">
        <v>16</v>
      </c>
      <c r="F271" s="38" t="s">
        <v>781</v>
      </c>
      <c r="G271" s="38"/>
      <c r="H271" s="39" t="str">
        <f>IF(B271&lt;10," ","")&amp;B271&amp;"."&amp;IF(C271&lt;10,"0","")&amp;C271&amp;" "&amp;E271&amp;" "&amp;VLOOKUP(E271,Teams!$A$2:$C$21,2,0)&amp;REPT(" ",Teams!C$1+1-VLOOKUP(E271,Teams!$A$2:$C$21,3,0))&amp;"- "&amp;F271&amp;IF(ISBLANK(D271),""," (from "&amp;D271&amp;")")</f>
        <v>15.08 TAR Lingo          - Charlie O'Brien, c</v>
      </c>
    </row>
    <row r="272" spans="1:8" s="35" customFormat="1" x14ac:dyDescent="0.25">
      <c r="A272" s="30">
        <v>270</v>
      </c>
      <c r="B272" s="30">
        <v>15</v>
      </c>
      <c r="C272" s="30">
        <v>9</v>
      </c>
      <c r="D272" s="30"/>
      <c r="E272" s="30" t="s">
        <v>11</v>
      </c>
      <c r="F272" s="38" t="s">
        <v>777</v>
      </c>
      <c r="G272" s="38"/>
      <c r="H272" s="39" t="str">
        <f>IF(B272&lt;10," ","")&amp;B272&amp;"."&amp;IF(C272&lt;10,"0","")&amp;C272&amp;" "&amp;E272&amp;" "&amp;VLOOKUP(E272,Teams!$A$2:$C$21,2,0)&amp;REPT(" ",Teams!C$1+1-VLOOKUP(E272,Teams!$A$2:$C$21,3,0))&amp;"- "&amp;F272&amp;IF(ISBLANK(D272),""," (from "&amp;D272&amp;")")</f>
        <v>15.09 EVN Henninger      - Marcus Jensen, c</v>
      </c>
    </row>
    <row r="273" spans="1:8" s="35" customFormat="1" x14ac:dyDescent="0.25">
      <c r="A273" s="30">
        <v>271</v>
      </c>
      <c r="B273" s="30">
        <v>15</v>
      </c>
      <c r="C273" s="30">
        <v>10</v>
      </c>
      <c r="D273" s="30"/>
      <c r="E273" s="30" t="s">
        <v>0</v>
      </c>
      <c r="F273" s="38" t="s">
        <v>782</v>
      </c>
      <c r="G273" s="38"/>
      <c r="H273" s="39" t="str">
        <f>IF(B273&lt;10," ","")&amp;B273&amp;"."&amp;IF(C273&lt;10,"0","")&amp;C273&amp;" "&amp;E273&amp;" "&amp;VLOOKUP(E273,Teams!$A$2:$C$21,2,0)&amp;REPT(" ",Teams!C$1+1-VLOOKUP(E273,Teams!$A$2:$C$21,3,0))&amp;"- "&amp;F273&amp;IF(ISBLANK(D273),""," (from "&amp;D273&amp;")")</f>
        <v>15.10 DLM Potter         - Domingo Cedeno, ss</v>
      </c>
    </row>
    <row r="274" spans="1:8" s="35" customFormat="1" x14ac:dyDescent="0.25">
      <c r="A274" s="30">
        <v>272</v>
      </c>
      <c r="B274" s="30">
        <v>16</v>
      </c>
      <c r="C274" s="30">
        <v>1</v>
      </c>
      <c r="D274" s="30"/>
      <c r="E274" s="30" t="s">
        <v>4</v>
      </c>
      <c r="F274" s="38" t="s">
        <v>784</v>
      </c>
      <c r="G274" s="38"/>
      <c r="H274" s="39" t="str">
        <f>IF(B274&lt;10," ","")&amp;B274&amp;"."&amp;IF(C274&lt;10,"0","")&amp;C274&amp;" "&amp;E274&amp;" "&amp;VLOOKUP(E274,Teams!$A$2:$C$21,2,0)&amp;REPT(" ",Teams!C$1+1-VLOOKUP(E274,Teams!$A$2:$C$21,3,0))&amp;"- "&amp;F274&amp;IF(ISBLANK(D274),""," (from "&amp;D274&amp;")")</f>
        <v>16.01 BBG Canter         - Lou Collier, ss</v>
      </c>
    </row>
    <row r="275" spans="1:8" s="35" customFormat="1" x14ac:dyDescent="0.25">
      <c r="A275" s="30">
        <v>273</v>
      </c>
      <c r="B275" s="30">
        <v>16</v>
      </c>
      <c r="C275" s="30">
        <v>2</v>
      </c>
      <c r="D275" s="30" t="s">
        <v>7</v>
      </c>
      <c r="E275" s="30" t="s">
        <v>18</v>
      </c>
      <c r="F275" s="38" t="s">
        <v>785</v>
      </c>
      <c r="G275" s="38" t="s">
        <v>783</v>
      </c>
      <c r="H275" s="39" t="str">
        <f>IF(B275&lt;10," ","")&amp;B275&amp;"."&amp;IF(C275&lt;10,"0","")&amp;C275&amp;" "&amp;E275&amp;" "&amp;VLOOKUP(E275,Teams!$A$2:$C$21,2,0)&amp;REPT(" ",Teams!C$1+1-VLOOKUP(E275,Teams!$A$2:$C$21,3,0))&amp;"- "&amp;F275&amp;IF(ISBLANK(D275),""," (from "&amp;D275&amp;")")</f>
        <v>16.02 CIN CMiller        - Michael Garcia, rmr (from MCL)</v>
      </c>
    </row>
    <row r="276" spans="1:8" s="35" customFormat="1" x14ac:dyDescent="0.25">
      <c r="A276" s="30">
        <v>274</v>
      </c>
      <c r="B276" s="30">
        <v>16</v>
      </c>
      <c r="C276" s="30">
        <v>3</v>
      </c>
      <c r="D276" s="30"/>
      <c r="E276" s="30" t="s">
        <v>1</v>
      </c>
      <c r="F276" s="38" t="s">
        <v>786</v>
      </c>
      <c r="G276" s="38" t="s">
        <v>756</v>
      </c>
      <c r="H276" s="39" t="str">
        <f>IF(B276&lt;10," ","")&amp;B276&amp;"."&amp;IF(C276&lt;10,"0","")&amp;C276&amp;" "&amp;E276&amp;" "&amp;VLOOKUP(E276,Teams!$A$2:$C$21,2,0)&amp;REPT(" ",Teams!C$1+1-VLOOKUP(E276,Teams!$A$2:$C$21,3,0))&amp;"- "&amp;F276&amp;IF(ISBLANK(D276),""," (from "&amp;D276&amp;")")</f>
        <v>16.03 ZZY Poole          - Chili Davis, dh</v>
      </c>
    </row>
    <row r="277" spans="1:8" s="35" customFormat="1" x14ac:dyDescent="0.25">
      <c r="A277" s="30">
        <v>275</v>
      </c>
      <c r="B277" s="30">
        <v>16</v>
      </c>
      <c r="C277" s="30">
        <v>4</v>
      </c>
      <c r="D277" s="30"/>
      <c r="E277" s="30" t="s">
        <v>13</v>
      </c>
      <c r="F277" s="38" t="s">
        <v>787</v>
      </c>
      <c r="G277" s="38"/>
      <c r="H277" s="39" t="str">
        <f>IF(B277&lt;10," ","")&amp;B277&amp;"."&amp;IF(C277&lt;10,"0","")&amp;C277&amp;" "&amp;E277&amp;" "&amp;VLOOKUP(E277,Teams!$A$2:$C$21,2,0)&amp;REPT(" ",Teams!C$1+1-VLOOKUP(E277,Teams!$A$2:$C$21,3,0))&amp;"- "&amp;F277&amp;IF(ISBLANK(D277),""," (from "&amp;D277&amp;")")</f>
        <v>16.04 CTW RMiller        - Kevin Orie, 3b</v>
      </c>
    </row>
    <row r="278" spans="1:8" s="35" customFormat="1" x14ac:dyDescent="0.25">
      <c r="A278" s="30">
        <v>276</v>
      </c>
      <c r="B278" s="30">
        <v>16</v>
      </c>
      <c r="C278" s="30">
        <v>5</v>
      </c>
      <c r="D278" s="30" t="s">
        <v>357</v>
      </c>
      <c r="E278" s="30" t="s">
        <v>17</v>
      </c>
      <c r="F278" s="38" t="s">
        <v>788</v>
      </c>
      <c r="G278" s="38" t="s">
        <v>537</v>
      </c>
      <c r="H278" s="39" t="str">
        <f>IF(B278&lt;10," ","")&amp;B278&amp;"."&amp;IF(C278&lt;10,"0","")&amp;C278&amp;" "&amp;E278&amp;" "&amp;VLOOKUP(E278,Teams!$A$2:$C$21,2,0)&amp;REPT(" ",Teams!C$1+1-VLOOKUP(E278,Teams!$A$2:$C$21,3,0))&amp;"- "&amp;F278&amp;IF(ISBLANK(D278),""," (from "&amp;D278&amp;")")</f>
        <v>16.05 BAR Marshall       - Mark Leiter, rmr (from FLL)</v>
      </c>
    </row>
    <row r="279" spans="1:8" s="35" customFormat="1" x14ac:dyDescent="0.25">
      <c r="A279" s="30">
        <v>277</v>
      </c>
      <c r="B279" s="30">
        <v>16</v>
      </c>
      <c r="C279" s="30">
        <v>6</v>
      </c>
      <c r="D279" s="30" t="s">
        <v>17</v>
      </c>
      <c r="E279" s="30" t="s">
        <v>10</v>
      </c>
      <c r="F279" s="38" t="s">
        <v>789</v>
      </c>
      <c r="G279" s="38" t="s">
        <v>772</v>
      </c>
      <c r="H279" s="39" t="str">
        <f>IF(B279&lt;10," ","")&amp;B279&amp;"."&amp;IF(C279&lt;10,"0","")&amp;C279&amp;" "&amp;E279&amp;" "&amp;VLOOKUP(E279,Teams!$A$2:$C$21,2,0)&amp;REPT(" ",Teams!C$1+1-VLOOKUP(E279,Teams!$A$2:$C$21,3,0))&amp;"- "&amp;F279&amp;IF(ISBLANK(D279),""," (from "&amp;D279&amp;")")</f>
        <v>16.06 FFR Scott          - Brian L. Hunter, cf (from BAR)</v>
      </c>
    </row>
    <row r="280" spans="1:8" s="35" customFormat="1" x14ac:dyDescent="0.25">
      <c r="A280" s="30">
        <v>278</v>
      </c>
      <c r="B280" s="30">
        <v>16</v>
      </c>
      <c r="C280" s="30">
        <v>7</v>
      </c>
      <c r="D280" s="30"/>
      <c r="E280" s="30" t="s">
        <v>16</v>
      </c>
      <c r="F280" s="38" t="s">
        <v>793</v>
      </c>
      <c r="G280" s="38"/>
      <c r="H280" s="39" t="str">
        <f>IF(B280&lt;10," ","")&amp;B280&amp;"."&amp;IF(C280&lt;10,"0","")&amp;C280&amp;" "&amp;E280&amp;" "&amp;VLOOKUP(E280,Teams!$A$2:$C$21,2,0)&amp;REPT(" ",Teams!C$1+1-VLOOKUP(E280,Teams!$A$2:$C$21,3,0))&amp;"- "&amp;F280&amp;IF(ISBLANK(D280),""," (from "&amp;D280&amp;")")</f>
        <v>16.07 TAR Lingo          - Lenny Webster, c</v>
      </c>
    </row>
    <row r="281" spans="1:8" s="35" customFormat="1" x14ac:dyDescent="0.25">
      <c r="A281" s="30">
        <v>279</v>
      </c>
      <c r="B281" s="30">
        <v>16</v>
      </c>
      <c r="C281" s="30">
        <v>8</v>
      </c>
      <c r="D281" s="30"/>
      <c r="E281" s="30" t="s">
        <v>11</v>
      </c>
      <c r="F281" s="38" t="s">
        <v>794</v>
      </c>
      <c r="G281" s="38" t="s">
        <v>792</v>
      </c>
      <c r="H281" s="39" t="str">
        <f>IF(B281&lt;10," ","")&amp;B281&amp;"."&amp;IF(C281&lt;10,"0","")&amp;C281&amp;" "&amp;E281&amp;" "&amp;VLOOKUP(E281,Teams!$A$2:$C$21,2,0)&amp;REPT(" ",Teams!C$1+1-VLOOKUP(E281,Teams!$A$2:$C$21,3,0))&amp;"- "&amp;F281&amp;IF(ISBLANK(D281),""," (from "&amp;D281&amp;")")</f>
        <v>16.08 EVN Henninger      - Mike Darr, rf</v>
      </c>
    </row>
    <row r="282" spans="1:8" s="35" customFormat="1" x14ac:dyDescent="0.25">
      <c r="A282" s="30">
        <v>280</v>
      </c>
      <c r="B282" s="30">
        <v>16</v>
      </c>
      <c r="C282" s="30">
        <v>9</v>
      </c>
      <c r="D282" s="30"/>
      <c r="E282" s="30" t="s">
        <v>0</v>
      </c>
      <c r="F282" s="38" t="s">
        <v>795</v>
      </c>
      <c r="G282" s="38" t="s">
        <v>749</v>
      </c>
      <c r="H282" s="39" t="str">
        <f>IF(B282&lt;10," ","")&amp;B282&amp;"."&amp;IF(C282&lt;10,"0","")&amp;C282&amp;" "&amp;E282&amp;" "&amp;VLOOKUP(E282,Teams!$A$2:$C$21,2,0)&amp;REPT(" ",Teams!C$1+1-VLOOKUP(E282,Teams!$A$2:$C$21,3,0))&amp;"- "&amp;F282&amp;IF(ISBLANK(D282),""," (from "&amp;D282&amp;")")</f>
        <v>16.09 DLM Potter         - Onan Masaoka, lmr</v>
      </c>
    </row>
    <row r="283" spans="1:8" s="35" customFormat="1" x14ac:dyDescent="0.25">
      <c r="A283" s="30">
        <v>281</v>
      </c>
      <c r="B283" s="30">
        <v>17</v>
      </c>
      <c r="C283" s="30">
        <v>1</v>
      </c>
      <c r="D283" s="30"/>
      <c r="E283" s="30" t="s">
        <v>4</v>
      </c>
      <c r="F283" s="38" t="s">
        <v>798</v>
      </c>
      <c r="G283" s="38"/>
      <c r="H283" s="39" t="str">
        <f>IF(B283&lt;10," ","")&amp;B283&amp;"."&amp;IF(C283&lt;10,"0","")&amp;C283&amp;" "&amp;E283&amp;" "&amp;VLOOKUP(E283,Teams!$A$2:$C$21,2,0)&amp;REPT(" ",Teams!C$1+1-VLOOKUP(E283,Teams!$A$2:$C$21,3,0))&amp;"- "&amp;F283&amp;IF(ISBLANK(D283),""," (from "&amp;D283&amp;")")</f>
        <v>17.01 BBG Canter         - Dwight Gooden, rsp</v>
      </c>
    </row>
    <row r="284" spans="1:8" s="35" customFormat="1" x14ac:dyDescent="0.25">
      <c r="A284" s="30">
        <v>282</v>
      </c>
      <c r="B284" s="30">
        <v>17</v>
      </c>
      <c r="C284" s="30">
        <v>2</v>
      </c>
      <c r="D284" s="30" t="s">
        <v>7</v>
      </c>
      <c r="E284" s="30" t="s">
        <v>18</v>
      </c>
      <c r="F284" s="38" t="s">
        <v>797</v>
      </c>
      <c r="G284" s="38" t="s">
        <v>790</v>
      </c>
      <c r="H284" s="39" t="str">
        <f>IF(B284&lt;10," ","")&amp;B284&amp;"."&amp;IF(C284&lt;10,"0","")&amp;C284&amp;" "&amp;E284&amp;" "&amp;VLOOKUP(E284,Teams!$A$2:$C$21,2,0)&amp;REPT(" ",Teams!C$1+1-VLOOKUP(E284,Teams!$A$2:$C$21,3,0))&amp;"- "&amp;F284&amp;IF(ISBLANK(D284),""," (from "&amp;D284&amp;")")</f>
        <v>17.02 CIN CMiller        - Tom Goodwin, cf (from MCL)</v>
      </c>
    </row>
    <row r="285" spans="1:8" s="35" customFormat="1" x14ac:dyDescent="0.25">
      <c r="A285" s="30">
        <v>283</v>
      </c>
      <c r="B285" s="30">
        <v>17</v>
      </c>
      <c r="C285" s="30">
        <v>3</v>
      </c>
      <c r="D285" s="30"/>
      <c r="E285" s="30" t="s">
        <v>1</v>
      </c>
      <c r="F285" s="38" t="s">
        <v>799</v>
      </c>
      <c r="G285" s="38"/>
      <c r="H285" s="39" t="str">
        <f>IF(B285&lt;10," ","")&amp;B285&amp;"."&amp;IF(C285&lt;10,"0","")&amp;C285&amp;" "&amp;E285&amp;" "&amp;VLOOKUP(E285,Teams!$A$2:$C$21,2,0)&amp;REPT(" ",Teams!C$1+1-VLOOKUP(E285,Teams!$A$2:$C$21,3,0))&amp;"- "&amp;F285&amp;IF(ISBLANK(D285),""," (from "&amp;D285&amp;")")</f>
        <v>17.03 ZZY Poole          - Gene Kingsale, cf</v>
      </c>
    </row>
    <row r="286" spans="1:8" s="35" customFormat="1" x14ac:dyDescent="0.25">
      <c r="A286" s="30">
        <v>284</v>
      </c>
      <c r="B286" s="30">
        <v>17</v>
      </c>
      <c r="C286" s="30">
        <v>4</v>
      </c>
      <c r="D286" s="30"/>
      <c r="E286" s="30" t="s">
        <v>13</v>
      </c>
      <c r="F286" s="38" t="s">
        <v>801</v>
      </c>
      <c r="G286" s="38"/>
      <c r="H286" s="39" t="str">
        <f>IF(B286&lt;10," ","")&amp;B286&amp;"."&amp;IF(C286&lt;10,"0","")&amp;C286&amp;" "&amp;E286&amp;" "&amp;VLOOKUP(E286,Teams!$A$2:$C$21,2,0)&amp;REPT(" ",Teams!C$1+1-VLOOKUP(E286,Teams!$A$2:$C$21,3,0))&amp;"- "&amp;F286&amp;IF(ISBLANK(D286),""," (from "&amp;D286&amp;")")</f>
        <v>17.04 CTW RMiller        - Matt Luke, rf</v>
      </c>
    </row>
    <row r="287" spans="1:8" s="35" customFormat="1" x14ac:dyDescent="0.25">
      <c r="A287" s="30">
        <v>285</v>
      </c>
      <c r="B287" s="30">
        <v>17</v>
      </c>
      <c r="C287" s="30">
        <v>5</v>
      </c>
      <c r="D287" s="30" t="s">
        <v>357</v>
      </c>
      <c r="E287" s="30" t="s">
        <v>17</v>
      </c>
      <c r="F287" s="38" t="s">
        <v>802</v>
      </c>
      <c r="G287" s="38" t="s">
        <v>537</v>
      </c>
      <c r="H287" s="39" t="str">
        <f>IF(B287&lt;10," ","")&amp;B287&amp;"."&amp;IF(C287&lt;10,"0","")&amp;C287&amp;" "&amp;E287&amp;" "&amp;VLOOKUP(E287,Teams!$A$2:$C$21,2,0)&amp;REPT(" ",Teams!C$1+1-VLOOKUP(E287,Teams!$A$2:$C$21,3,0))&amp;"- "&amp;F287&amp;IF(ISBLANK(D287),""," (from "&amp;D287&amp;")")</f>
        <v>17.05 BAR Marshall       - Pat Daneker, rsp (from FLL)</v>
      </c>
    </row>
    <row r="288" spans="1:8" s="35" customFormat="1" x14ac:dyDescent="0.25">
      <c r="A288" s="30">
        <v>286</v>
      </c>
      <c r="B288" s="30">
        <v>17</v>
      </c>
      <c r="C288" s="30">
        <v>6</v>
      </c>
      <c r="D288" s="30"/>
      <c r="E288" s="30" t="s">
        <v>16</v>
      </c>
      <c r="F288" s="38" t="s">
        <v>803</v>
      </c>
      <c r="G288" s="38" t="s">
        <v>800</v>
      </c>
      <c r="H288" s="39" t="str">
        <f>IF(B288&lt;10," ","")&amp;B288&amp;"."&amp;IF(C288&lt;10,"0","")&amp;C288&amp;" "&amp;E288&amp;" "&amp;VLOOKUP(E288,Teams!$A$2:$C$21,2,0)&amp;REPT(" ",Teams!C$1+1-VLOOKUP(E288,Teams!$A$2:$C$21,3,0))&amp;"- "&amp;F288&amp;IF(ISBLANK(D288),""," (from "&amp;D288&amp;")")</f>
        <v>17.06 TAR Lingo          - Andy Sheets, ss</v>
      </c>
    </row>
    <row r="289" spans="1:8" s="35" customFormat="1" x14ac:dyDescent="0.25">
      <c r="A289" s="30">
        <v>287</v>
      </c>
      <c r="B289" s="30">
        <v>17</v>
      </c>
      <c r="C289" s="30">
        <v>7</v>
      </c>
      <c r="D289" s="30"/>
      <c r="E289" s="30" t="s">
        <v>11</v>
      </c>
      <c r="F289" s="38" t="s">
        <v>804</v>
      </c>
      <c r="G289" s="38" t="s">
        <v>796</v>
      </c>
      <c r="H289" s="39" t="str">
        <f>IF(B289&lt;10," ","")&amp;B289&amp;"."&amp;IF(C289&lt;10,"0","")&amp;C289&amp;" "&amp;E289&amp;" "&amp;VLOOKUP(E289,Teams!$A$2:$C$21,2,0)&amp;REPT(" ",Teams!C$1+1-VLOOKUP(E289,Teams!$A$2:$C$21,3,0))&amp;"- "&amp;F289&amp;IF(ISBLANK(D289),""," (from "&amp;D289&amp;")")</f>
        <v>17.07 EVN Henninger      - Tom Prince, c</v>
      </c>
    </row>
    <row r="290" spans="1:8" s="35" customFormat="1" x14ac:dyDescent="0.25">
      <c r="A290" s="30">
        <v>288</v>
      </c>
      <c r="B290" s="30">
        <v>17</v>
      </c>
      <c r="C290" s="30">
        <v>8</v>
      </c>
      <c r="D290" s="30"/>
      <c r="E290" s="30" t="s">
        <v>0</v>
      </c>
      <c r="F290" s="38" t="s">
        <v>805</v>
      </c>
      <c r="G290" s="38" t="s">
        <v>749</v>
      </c>
      <c r="H290" s="39" t="str">
        <f>IF(B290&lt;10," ","")&amp;B290&amp;"."&amp;IF(C290&lt;10,"0","")&amp;C290&amp;" "&amp;E290&amp;" "&amp;VLOOKUP(E290,Teams!$A$2:$C$21,2,0)&amp;REPT(" ",Teams!C$1+1-VLOOKUP(E290,Teams!$A$2:$C$21,3,0))&amp;"- "&amp;F290&amp;IF(ISBLANK(D290),""," (from "&amp;D290&amp;")")</f>
        <v>17.08 DLM Potter         - Tom Davey, rmr</v>
      </c>
    </row>
    <row r="291" spans="1:8" s="35" customFormat="1" x14ac:dyDescent="0.25">
      <c r="A291" s="30">
        <v>289</v>
      </c>
      <c r="B291" s="30">
        <v>18</v>
      </c>
      <c r="C291" s="30">
        <v>1</v>
      </c>
      <c r="D291" s="30"/>
      <c r="E291" s="30" t="s">
        <v>4</v>
      </c>
      <c r="F291" s="38" t="s">
        <v>806</v>
      </c>
      <c r="G291" s="38"/>
      <c r="H291" s="39" t="str">
        <f>IF(B291&lt;10," ","")&amp;B291&amp;"."&amp;IF(C291&lt;10,"0","")&amp;C291&amp;" "&amp;E291&amp;" "&amp;VLOOKUP(E291,Teams!$A$2:$C$21,2,0)&amp;REPT(" ",Teams!C$1+1-VLOOKUP(E291,Teams!$A$2:$C$21,3,0))&amp;"- "&amp;F291&amp;IF(ISBLANK(D291),""," (from "&amp;D291&amp;")")</f>
        <v>18.01 BBG Canter         - Vance Wilson, c</v>
      </c>
    </row>
    <row r="292" spans="1:8" s="35" customFormat="1" x14ac:dyDescent="0.25">
      <c r="A292" s="30">
        <v>290</v>
      </c>
      <c r="B292" s="30">
        <v>18</v>
      </c>
      <c r="C292" s="30">
        <v>2</v>
      </c>
      <c r="D292" s="30" t="s">
        <v>7</v>
      </c>
      <c r="E292" s="30" t="s">
        <v>18</v>
      </c>
      <c r="F292" s="38" t="s">
        <v>808</v>
      </c>
      <c r="G292" s="38" t="s">
        <v>791</v>
      </c>
      <c r="H292" s="39" t="str">
        <f>IF(B292&lt;10," ","")&amp;B292&amp;"."&amp;IF(C292&lt;10,"0","")&amp;C292&amp;" "&amp;E292&amp;" "&amp;VLOOKUP(E292,Teams!$A$2:$C$21,2,0)&amp;REPT(" ",Teams!C$1+1-VLOOKUP(E292,Teams!$A$2:$C$21,3,0))&amp;"- "&amp;F292&amp;IF(ISBLANK(D292),""," (from "&amp;D292&amp;")")</f>
        <v>18.02 CIN CMiller        - Mark Guthrie, lmr (from MCL)</v>
      </c>
    </row>
    <row r="293" spans="1:8" s="35" customFormat="1" x14ac:dyDescent="0.25">
      <c r="A293" s="30">
        <v>291</v>
      </c>
      <c r="B293" s="30">
        <v>18</v>
      </c>
      <c r="C293" s="30">
        <v>3</v>
      </c>
      <c r="D293" s="30"/>
      <c r="E293" s="30" t="s">
        <v>1</v>
      </c>
      <c r="F293" s="38" t="s">
        <v>809</v>
      </c>
      <c r="G293" s="38"/>
      <c r="H293" s="39" t="str">
        <f>IF(B293&lt;10," ","")&amp;B293&amp;"."&amp;IF(C293&lt;10,"0","")&amp;C293&amp;" "&amp;E293&amp;" "&amp;VLOOKUP(E293,Teams!$A$2:$C$21,2,0)&amp;REPT(" ",Teams!C$1+1-VLOOKUP(E293,Teams!$A$2:$C$21,3,0))&amp;"- "&amp;F293&amp;IF(ISBLANK(D293),""," (from "&amp;D293&amp;")")</f>
        <v>18.03 ZZY Poole          - Charlie Greene, c</v>
      </c>
    </row>
    <row r="294" spans="1:8" s="35" customFormat="1" x14ac:dyDescent="0.25">
      <c r="A294" s="30">
        <v>292</v>
      </c>
      <c r="B294" s="30">
        <v>18</v>
      </c>
      <c r="C294" s="30">
        <v>4</v>
      </c>
      <c r="D294" s="30" t="s">
        <v>13</v>
      </c>
      <c r="E294" s="30" t="s">
        <v>0</v>
      </c>
      <c r="F294" s="38" t="s">
        <v>810</v>
      </c>
      <c r="G294" s="38" t="s">
        <v>749</v>
      </c>
      <c r="H294" s="39" t="str">
        <f>IF(B294&lt;10," ","")&amp;B294&amp;"."&amp;IF(C294&lt;10,"0","")&amp;C294&amp;" "&amp;E294&amp;" "&amp;VLOOKUP(E294,Teams!$A$2:$C$21,2,0)&amp;REPT(" ",Teams!C$1+1-VLOOKUP(E294,Teams!$A$2:$C$21,3,0))&amp;"- "&amp;F294&amp;IF(ISBLANK(D294),""," (from "&amp;D294&amp;")")</f>
        <v>18.04 DLM Potter         - Scott Aldred, lmr (from CTW)</v>
      </c>
    </row>
    <row r="295" spans="1:8" s="35" customFormat="1" x14ac:dyDescent="0.25">
      <c r="A295" s="30">
        <v>293</v>
      </c>
      <c r="B295" s="30">
        <v>18</v>
      </c>
      <c r="C295" s="30">
        <v>5</v>
      </c>
      <c r="D295" s="30" t="s">
        <v>357</v>
      </c>
      <c r="E295" s="30" t="s">
        <v>17</v>
      </c>
      <c r="F295" s="38" t="s">
        <v>811</v>
      </c>
      <c r="G295" s="38" t="s">
        <v>537</v>
      </c>
      <c r="H295" s="39" t="str">
        <f>IF(B295&lt;10," ","")&amp;B295&amp;"."&amp;IF(C295&lt;10,"0","")&amp;C295&amp;" "&amp;E295&amp;" "&amp;VLOOKUP(E295,Teams!$A$2:$C$21,2,0)&amp;REPT(" ",Teams!C$1+1-VLOOKUP(E295,Teams!$A$2:$C$21,3,0))&amp;"- "&amp;F295&amp;IF(ISBLANK(D295),""," (from "&amp;D295&amp;")")</f>
        <v>18.05 BAR Marshall       - Tim Harikkala, rmr (from FLL)</v>
      </c>
    </row>
    <row r="296" spans="1:8" s="35" customFormat="1" x14ac:dyDescent="0.25">
      <c r="A296" s="30">
        <v>294</v>
      </c>
      <c r="B296" s="30">
        <v>18</v>
      </c>
      <c r="C296" s="30">
        <v>6</v>
      </c>
      <c r="D296" s="30"/>
      <c r="E296" s="30" t="s">
        <v>16</v>
      </c>
      <c r="F296" s="38" t="s">
        <v>812</v>
      </c>
      <c r="G296" s="38"/>
      <c r="H296" s="39" t="str">
        <f>IF(B296&lt;10," ","")&amp;B296&amp;"."&amp;IF(C296&lt;10,"0","")&amp;C296&amp;" "&amp;E296&amp;" "&amp;VLOOKUP(E296,Teams!$A$2:$C$21,2,0)&amp;REPT(" ",Teams!C$1+1-VLOOKUP(E296,Teams!$A$2:$C$21,3,0))&amp;"- "&amp;F296&amp;IF(ISBLANK(D296),""," (from "&amp;D296&amp;")")</f>
        <v>18.06 TAR Lingo          - Scott Sanders, rmr</v>
      </c>
    </row>
    <row r="297" spans="1:8" s="35" customFormat="1" x14ac:dyDescent="0.25">
      <c r="A297" s="30">
        <v>295</v>
      </c>
      <c r="B297" s="30">
        <v>18</v>
      </c>
      <c r="C297" s="30">
        <v>7</v>
      </c>
      <c r="D297" s="30"/>
      <c r="E297" s="30" t="s">
        <v>11</v>
      </c>
      <c r="F297" s="38" t="s">
        <v>813</v>
      </c>
      <c r="G297" s="38" t="s">
        <v>807</v>
      </c>
      <c r="H297" s="39" t="str">
        <f>IF(B297&lt;10," ","")&amp;B297&amp;"."&amp;IF(C297&lt;10,"0","")&amp;C297&amp;" "&amp;E297&amp;" "&amp;VLOOKUP(E297,Teams!$A$2:$C$21,2,0)&amp;REPT(" ",Teams!C$1+1-VLOOKUP(E297,Teams!$A$2:$C$21,3,0))&amp;"- "&amp;F297&amp;IF(ISBLANK(D297),""," (from "&amp;D297&amp;")")</f>
        <v>18.07 EVN Henninger      - Butch Henry, lsp</v>
      </c>
    </row>
    <row r="298" spans="1:8" s="35" customFormat="1" x14ac:dyDescent="0.25">
      <c r="A298" s="30">
        <v>296</v>
      </c>
      <c r="B298" s="30">
        <v>18</v>
      </c>
      <c r="C298" s="30">
        <v>8</v>
      </c>
      <c r="D298" s="30"/>
      <c r="E298" s="30" t="s">
        <v>0</v>
      </c>
      <c r="F298" s="38" t="s">
        <v>814</v>
      </c>
      <c r="G298" s="38" t="s">
        <v>749</v>
      </c>
      <c r="H298" s="39" t="str">
        <f>IF(B298&lt;10," ","")&amp;B298&amp;"."&amp;IF(C298&lt;10,"0","")&amp;C298&amp;" "&amp;E298&amp;" "&amp;VLOOKUP(E298,Teams!$A$2:$C$21,2,0)&amp;REPT(" ",Teams!C$1+1-VLOOKUP(E298,Teams!$A$2:$C$21,3,0))&amp;"- "&amp;F298&amp;IF(ISBLANK(D298),""," (from "&amp;D298&amp;")")</f>
        <v>18.08 DLM Potter         - Jerry Spradlin, rmr</v>
      </c>
    </row>
    <row r="299" spans="1:8" s="35" customFormat="1" x14ac:dyDescent="0.25">
      <c r="A299" s="30">
        <v>297</v>
      </c>
      <c r="B299" s="30">
        <v>19</v>
      </c>
      <c r="C299" s="30">
        <v>1</v>
      </c>
      <c r="D299" s="30"/>
      <c r="E299" s="30" t="s">
        <v>1</v>
      </c>
      <c r="F299" s="38" t="s">
        <v>837</v>
      </c>
      <c r="G299" s="38"/>
      <c r="H299" s="39" t="str">
        <f>IF(B299&lt;10," ","")&amp;B299&amp;"."&amp;IF(C299&lt;10,"0","")&amp;C299&amp;" "&amp;E299&amp;" "&amp;VLOOKUP(E299,Teams!$A$2:$C$21,2,0)&amp;REPT(" ",Teams!C$1+1-VLOOKUP(E299,Teams!$A$2:$C$21,3,0))&amp;"- "&amp;F299&amp;IF(ISBLANK(D299),""," (from "&amp;D299&amp;")")</f>
        <v>19.01 ZZY Poole          - Forfeited the pick</v>
      </c>
    </row>
    <row r="300" spans="1:8" s="35" customFormat="1" x14ac:dyDescent="0.25">
      <c r="A300" s="30">
        <v>298</v>
      </c>
      <c r="B300" s="30">
        <v>19</v>
      </c>
      <c r="C300" s="30">
        <v>2</v>
      </c>
      <c r="D300" s="30"/>
      <c r="E300" s="30" t="s">
        <v>13</v>
      </c>
      <c r="F300" s="38" t="s">
        <v>815</v>
      </c>
      <c r="G300" s="38"/>
      <c r="H300" s="39" t="str">
        <f>IF(B300&lt;10," ","")&amp;B300&amp;"."&amp;IF(C300&lt;10,"0","")&amp;C300&amp;" "&amp;E300&amp;" "&amp;VLOOKUP(E300,Teams!$A$2:$C$21,2,0)&amp;REPT(" ",Teams!C$1+1-VLOOKUP(E300,Teams!$A$2:$C$21,3,0))&amp;"- "&amp;F300&amp;IF(ISBLANK(D300),""," (from "&amp;D300&amp;")")</f>
        <v>19.02 CTW RMiller        - Chuck McElroy, lmr</v>
      </c>
    </row>
    <row r="301" spans="1:8" s="35" customFormat="1" x14ac:dyDescent="0.25">
      <c r="A301" s="30">
        <v>299</v>
      </c>
      <c r="B301" s="30">
        <v>19</v>
      </c>
      <c r="C301" s="30">
        <v>3</v>
      </c>
      <c r="D301" s="30" t="s">
        <v>357</v>
      </c>
      <c r="E301" s="30" t="s">
        <v>17</v>
      </c>
      <c r="F301" s="38" t="s">
        <v>816</v>
      </c>
      <c r="G301" s="38" t="s">
        <v>537</v>
      </c>
      <c r="H301" s="39" t="str">
        <f>IF(B301&lt;10," ","")&amp;B301&amp;"."&amp;IF(C301&lt;10,"0","")&amp;C301&amp;" "&amp;E301&amp;" "&amp;VLOOKUP(E301,Teams!$A$2:$C$21,2,0)&amp;REPT(" ",Teams!C$1+1-VLOOKUP(E301,Teams!$A$2:$C$21,3,0))&amp;"- "&amp;F301&amp;IF(ISBLANK(D301),""," (from "&amp;D301&amp;")")</f>
        <v>19.03 BAR Marshall       - Scott Pose, dh (from FLL)</v>
      </c>
    </row>
    <row r="302" spans="1:8" s="35" customFormat="1" x14ac:dyDescent="0.25">
      <c r="A302" s="30">
        <v>300</v>
      </c>
      <c r="B302" s="30">
        <v>19</v>
      </c>
      <c r="C302" s="30">
        <v>4</v>
      </c>
      <c r="D302" s="30"/>
      <c r="E302" s="30" t="s">
        <v>16</v>
      </c>
      <c r="F302" s="38" t="s">
        <v>817</v>
      </c>
      <c r="G302" s="38"/>
      <c r="H302" s="39" t="str">
        <f>IF(B302&lt;10," ","")&amp;B302&amp;"."&amp;IF(C302&lt;10,"0","")&amp;C302&amp;" "&amp;E302&amp;" "&amp;VLOOKUP(E302,Teams!$A$2:$C$21,2,0)&amp;REPT(" ",Teams!C$1+1-VLOOKUP(E302,Teams!$A$2:$C$21,3,0))&amp;"- "&amp;F302&amp;IF(ISBLANK(D302),""," (from "&amp;D302&amp;")")</f>
        <v>19.04 TAR Lingo          - Chris Brock, rsp</v>
      </c>
    </row>
    <row r="303" spans="1:8" s="35" customFormat="1" x14ac:dyDescent="0.25">
      <c r="A303" s="30">
        <v>301</v>
      </c>
      <c r="B303" s="30">
        <v>19</v>
      </c>
      <c r="C303" s="30">
        <v>5</v>
      </c>
      <c r="D303" s="30"/>
      <c r="E303" s="30" t="s">
        <v>11</v>
      </c>
      <c r="F303" s="38" t="s">
        <v>818</v>
      </c>
      <c r="G303" s="38"/>
      <c r="H303" s="39" t="str">
        <f>IF(B303&lt;10," ","")&amp;B303&amp;"."&amp;IF(C303&lt;10,"0","")&amp;C303&amp;" "&amp;E303&amp;" "&amp;VLOOKUP(E303,Teams!$A$2:$C$21,2,0)&amp;REPT(" ",Teams!C$1+1-VLOOKUP(E303,Teams!$A$2:$C$21,3,0))&amp;"- "&amp;F303&amp;IF(ISBLANK(D303),""," (from "&amp;D303&amp;")")</f>
        <v>19.05 EVN Henninger      - Ray Holbert, ss</v>
      </c>
    </row>
    <row r="304" spans="1:8" s="35" customFormat="1" x14ac:dyDescent="0.25">
      <c r="A304" s="30">
        <v>302</v>
      </c>
      <c r="B304" s="30">
        <v>19</v>
      </c>
      <c r="C304" s="30">
        <v>6</v>
      </c>
      <c r="D304" s="30"/>
      <c r="E304" s="30" t="s">
        <v>0</v>
      </c>
      <c r="F304" s="38" t="s">
        <v>819</v>
      </c>
      <c r="G304" s="38" t="s">
        <v>749</v>
      </c>
      <c r="H304" s="39" t="str">
        <f>IF(B304&lt;10," ","")&amp;B304&amp;"."&amp;IF(C304&lt;10,"0","")&amp;C304&amp;" "&amp;E304&amp;" "&amp;VLOOKUP(E304,Teams!$A$2:$C$21,2,0)&amp;REPT(" ",Teams!C$1+1-VLOOKUP(E304,Teams!$A$2:$C$21,3,0))&amp;"- "&amp;F304&amp;IF(ISBLANK(D304),""," (from "&amp;D304&amp;")")</f>
        <v>19.06 DLM Potter         - Reggie Harris, rmr</v>
      </c>
    </row>
    <row r="305" spans="1:8" s="35" customFormat="1" x14ac:dyDescent="0.25">
      <c r="A305" s="30">
        <v>303</v>
      </c>
      <c r="B305" s="30">
        <v>20</v>
      </c>
      <c r="C305" s="30">
        <v>1</v>
      </c>
      <c r="D305" s="30"/>
      <c r="E305" s="30" t="s">
        <v>1</v>
      </c>
      <c r="F305" s="38" t="s">
        <v>837</v>
      </c>
      <c r="G305" s="38"/>
      <c r="H305" s="39" t="str">
        <f>IF(B305&lt;10," ","")&amp;B305&amp;"."&amp;IF(C305&lt;10,"0","")&amp;C305&amp;" "&amp;E305&amp;" "&amp;VLOOKUP(E305,Teams!$A$2:$C$21,2,0)&amp;REPT(" ",Teams!C$1+1-VLOOKUP(E305,Teams!$A$2:$C$21,3,0))&amp;"- "&amp;F305&amp;IF(ISBLANK(D305),""," (from "&amp;D305&amp;")")</f>
        <v>20.01 ZZY Poole          - Forfeited the pick</v>
      </c>
    </row>
    <row r="306" spans="1:8" s="35" customFormat="1" x14ac:dyDescent="0.25">
      <c r="A306" s="30">
        <v>304</v>
      </c>
      <c r="B306" s="30">
        <v>20</v>
      </c>
      <c r="C306" s="30">
        <v>2</v>
      </c>
      <c r="D306" s="30"/>
      <c r="E306" s="30" t="s">
        <v>13</v>
      </c>
      <c r="F306" s="38" t="s">
        <v>820</v>
      </c>
      <c r="G306" s="38"/>
      <c r="H306" s="39" t="str">
        <f>IF(B306&lt;10," ","")&amp;B306&amp;"."&amp;IF(C306&lt;10,"0","")&amp;C306&amp;" "&amp;E306&amp;" "&amp;VLOOKUP(E306,Teams!$A$2:$C$21,2,0)&amp;REPT(" ",Teams!C$1+1-VLOOKUP(E306,Teams!$A$2:$C$21,3,0))&amp;"- "&amp;F306&amp;IF(ISBLANK(D306),""," (from "&amp;D306&amp;")")</f>
        <v>20.02 CTW RMiller        - Masao Kida, rmr</v>
      </c>
    </row>
    <row r="307" spans="1:8" s="35" customFormat="1" x14ac:dyDescent="0.25">
      <c r="A307" s="30">
        <v>305</v>
      </c>
      <c r="B307" s="30">
        <v>20</v>
      </c>
      <c r="C307" s="30">
        <v>3</v>
      </c>
      <c r="D307" s="30"/>
      <c r="E307" s="30" t="s">
        <v>16</v>
      </c>
      <c r="F307" s="38" t="s">
        <v>826</v>
      </c>
      <c r="G307" s="38"/>
      <c r="H307" s="39" t="str">
        <f>IF(B307&lt;10," ","")&amp;B307&amp;"."&amp;IF(C307&lt;10,"0","")&amp;C307&amp;" "&amp;E307&amp;" "&amp;VLOOKUP(E307,Teams!$A$2:$C$21,2,0)&amp;REPT(" ",Teams!C$1+1-VLOOKUP(E307,Teams!$A$2:$C$21,3,0))&amp;"- "&amp;F307&amp;IF(ISBLANK(D307),""," (from "&amp;D307&amp;")")</f>
        <v>20.03 TAR Lingo          - Paul Sorrento, lf</v>
      </c>
    </row>
    <row r="308" spans="1:8" s="35" customFormat="1" x14ac:dyDescent="0.25">
      <c r="A308" s="30">
        <v>306</v>
      </c>
      <c r="B308" s="30">
        <v>20</v>
      </c>
      <c r="C308" s="30">
        <v>4</v>
      </c>
      <c r="D308" s="30"/>
      <c r="E308" s="30" t="s">
        <v>11</v>
      </c>
      <c r="F308" s="38" t="s">
        <v>825</v>
      </c>
      <c r="G308" s="38"/>
      <c r="H308" s="39" t="str">
        <f>IF(B308&lt;10," ","")&amp;B308&amp;"."&amp;IF(C308&lt;10,"0","")&amp;C308&amp;" "&amp;E308&amp;" "&amp;VLOOKUP(E308,Teams!$A$2:$C$21,2,0)&amp;REPT(" ",Teams!C$1+1-VLOOKUP(E308,Teams!$A$2:$C$21,3,0))&amp;"- "&amp;F308&amp;IF(ISBLANK(D308),""," (from "&amp;D308&amp;")")</f>
        <v>20.04 EVN Henninger      - Reggie Jefferson, dh</v>
      </c>
    </row>
    <row r="309" spans="1:8" s="35" customFormat="1" x14ac:dyDescent="0.25">
      <c r="A309" s="30">
        <v>307</v>
      </c>
      <c r="B309" s="30">
        <v>20</v>
      </c>
      <c r="C309" s="30">
        <v>5</v>
      </c>
      <c r="D309" s="30"/>
      <c r="E309" s="30" t="s">
        <v>0</v>
      </c>
      <c r="F309" s="38" t="s">
        <v>822</v>
      </c>
      <c r="G309" s="38" t="s">
        <v>749</v>
      </c>
      <c r="H309" s="39" t="str">
        <f>IF(B309&lt;10," ","")&amp;B309&amp;"."&amp;IF(C309&lt;10,"0","")&amp;C309&amp;" "&amp;E309&amp;" "&amp;VLOOKUP(E309,Teams!$A$2:$C$21,2,0)&amp;REPT(" ",Teams!C$1+1-VLOOKUP(E309,Teams!$A$2:$C$21,3,0))&amp;"- "&amp;F309&amp;IF(ISBLANK(D309),""," (from "&amp;D309&amp;")")</f>
        <v>20.05 DLM Potter         - Ed Yarnall, lsp</v>
      </c>
    </row>
    <row r="310" spans="1:8" s="35" customFormat="1" x14ac:dyDescent="0.25">
      <c r="A310" s="30">
        <v>308</v>
      </c>
      <c r="B310" s="30">
        <v>21</v>
      </c>
      <c r="C310" s="30">
        <v>1</v>
      </c>
      <c r="D310" s="30"/>
      <c r="E310" s="30" t="s">
        <v>13</v>
      </c>
      <c r="F310" s="38" t="s">
        <v>821</v>
      </c>
      <c r="G310" s="38"/>
      <c r="H310" s="39" t="str">
        <f>IF(B310&lt;10," ","")&amp;B310&amp;"."&amp;IF(C310&lt;10,"0","")&amp;C310&amp;" "&amp;E310&amp;" "&amp;VLOOKUP(E310,Teams!$A$2:$C$21,2,0)&amp;REPT(" ",Teams!C$1+1-VLOOKUP(E310,Teams!$A$2:$C$21,3,0))&amp;"- "&amp;F310&amp;IF(ISBLANK(D310),""," (from "&amp;D310&amp;")")</f>
        <v>21.01 CTW RMiller        - Howard Battle, 3b</v>
      </c>
    </row>
    <row r="311" spans="1:8" s="35" customFormat="1" x14ac:dyDescent="0.25">
      <c r="A311" s="30">
        <v>309</v>
      </c>
      <c r="B311" s="30">
        <v>21</v>
      </c>
      <c r="C311" s="30">
        <v>2</v>
      </c>
      <c r="D311" s="30"/>
      <c r="E311" s="30" t="s">
        <v>16</v>
      </c>
      <c r="F311" s="38" t="s">
        <v>827</v>
      </c>
      <c r="G311" s="38"/>
      <c r="H311" s="39" t="str">
        <f>IF(B311&lt;10," ","")&amp;B311&amp;"."&amp;IF(C311&lt;10,"0","")&amp;C311&amp;" "&amp;E311&amp;" "&amp;VLOOKUP(E311,Teams!$A$2:$C$21,2,0)&amp;REPT(" ",Teams!C$1+1-VLOOKUP(E311,Teams!$A$2:$C$21,3,0))&amp;"- "&amp;F311&amp;IF(ISBLANK(D311),""," (from "&amp;D311&amp;")")</f>
        <v>21.02 TAR Lingo          - Wally Joyner, 1b</v>
      </c>
    </row>
    <row r="312" spans="1:8" s="35" customFormat="1" x14ac:dyDescent="0.25">
      <c r="A312" s="30">
        <v>310</v>
      </c>
      <c r="B312" s="30">
        <v>21</v>
      </c>
      <c r="C312" s="30">
        <v>3</v>
      </c>
      <c r="D312" s="30"/>
      <c r="E312" s="30" t="s">
        <v>11</v>
      </c>
      <c r="F312" s="38" t="s">
        <v>828</v>
      </c>
      <c r="G312" s="38"/>
      <c r="H312" s="39" t="str">
        <f>IF(B312&lt;10," ","")&amp;B312&amp;"."&amp;IF(C312&lt;10,"0","")&amp;C312&amp;" "&amp;E312&amp;" "&amp;VLOOKUP(E312,Teams!$A$2:$C$21,2,0)&amp;REPT(" ",Teams!C$1+1-VLOOKUP(E312,Teams!$A$2:$C$21,3,0))&amp;"- "&amp;F312&amp;IF(ISBLANK(D312),""," (from "&amp;D312&amp;")")</f>
        <v>21.03 EVN Henninger      - Jeremy Powell, rsp</v>
      </c>
    </row>
    <row r="313" spans="1:8" s="35" customFormat="1" x14ac:dyDescent="0.25">
      <c r="A313" s="30">
        <v>311</v>
      </c>
      <c r="B313" s="30">
        <v>21</v>
      </c>
      <c r="C313" s="30">
        <v>4</v>
      </c>
      <c r="D313" s="30"/>
      <c r="E313" s="30" t="s">
        <v>0</v>
      </c>
      <c r="F313" s="38" t="s">
        <v>823</v>
      </c>
      <c r="G313" s="38" t="s">
        <v>749</v>
      </c>
      <c r="H313" s="39" t="str">
        <f>IF(B313&lt;10," ","")&amp;B313&amp;"."&amp;IF(C313&lt;10,"0","")&amp;C313&amp;" "&amp;E313&amp;" "&amp;VLOOKUP(E313,Teams!$A$2:$C$21,2,0)&amp;REPT(" ",Teams!C$1+1-VLOOKUP(E313,Teams!$A$2:$C$21,3,0))&amp;"- "&amp;F313&amp;IF(ISBLANK(D313),""," (from "&amp;D313&amp;")")</f>
        <v>21.04 DLM Potter         - J.D. Smart, rmr</v>
      </c>
    </row>
    <row r="314" spans="1:8" s="35" customFormat="1" x14ac:dyDescent="0.25">
      <c r="A314" s="30">
        <v>312</v>
      </c>
      <c r="B314" s="30">
        <v>22</v>
      </c>
      <c r="C314" s="30">
        <v>1</v>
      </c>
      <c r="D314" s="30"/>
      <c r="E314" s="30" t="s">
        <v>13</v>
      </c>
      <c r="F314" s="38" t="s">
        <v>824</v>
      </c>
      <c r="G314" s="38"/>
      <c r="H314" s="39" t="str">
        <f>IF(B314&lt;10," ","")&amp;B314&amp;"."&amp;IF(C314&lt;10,"0","")&amp;C314&amp;" "&amp;E314&amp;" "&amp;VLOOKUP(E314,Teams!$A$2:$C$21,2,0)&amp;REPT(" ",Teams!C$1+1-VLOOKUP(E314,Teams!$A$2:$C$21,3,0))&amp;"- "&amp;F314&amp;IF(ISBLANK(D314),""," (from "&amp;D314&amp;")")</f>
        <v>22.01 CTW RMiller        - Jay Canizaro, 2b</v>
      </c>
    </row>
    <row r="315" spans="1:8" s="35" customFormat="1" x14ac:dyDescent="0.25">
      <c r="A315" s="30">
        <v>313</v>
      </c>
      <c r="B315" s="30">
        <v>22</v>
      </c>
      <c r="C315" s="30">
        <v>2</v>
      </c>
      <c r="D315" s="30"/>
      <c r="E315" s="30" t="s">
        <v>16</v>
      </c>
      <c r="F315" s="38" t="s">
        <v>829</v>
      </c>
      <c r="G315" s="38"/>
      <c r="H315" s="39" t="str">
        <f>IF(B315&lt;10," ","")&amp;B315&amp;"."&amp;IF(C315&lt;10,"0","")&amp;C315&amp;" "&amp;E315&amp;" "&amp;VLOOKUP(E315,Teams!$A$2:$C$21,2,0)&amp;REPT(" ",Teams!C$1+1-VLOOKUP(E315,Teams!$A$2:$C$21,3,0))&amp;"- "&amp;F315&amp;IF(ISBLANK(D315),""," (from "&amp;D315&amp;")")</f>
        <v>22.02 TAR Lingo          - Chad Allen, lf</v>
      </c>
    </row>
    <row r="316" spans="1:8" s="35" customFormat="1" x14ac:dyDescent="0.25">
      <c r="A316" s="30">
        <v>314</v>
      </c>
      <c r="B316" s="30">
        <v>22</v>
      </c>
      <c r="C316" s="30">
        <v>3</v>
      </c>
      <c r="D316" s="30"/>
      <c r="E316" s="30" t="s">
        <v>11</v>
      </c>
      <c r="F316" s="38" t="s">
        <v>830</v>
      </c>
      <c r="G316" s="38"/>
      <c r="H316" s="39" t="str">
        <f>IF(B316&lt;10," ","")&amp;B316&amp;"."&amp;IF(C316&lt;10,"0","")&amp;C316&amp;" "&amp;E316&amp;" "&amp;VLOOKUP(E316,Teams!$A$2:$C$21,2,0)&amp;REPT(" ",Teams!C$1+1-VLOOKUP(E316,Teams!$A$2:$C$21,3,0))&amp;"- "&amp;F316&amp;IF(ISBLANK(D316),""," (from "&amp;D316&amp;")")</f>
        <v>22.03 EVN Henninger      - Alex Ramirez, dh</v>
      </c>
    </row>
    <row r="317" spans="1:8" s="35" customFormat="1" x14ac:dyDescent="0.25">
      <c r="A317" s="30">
        <v>315</v>
      </c>
      <c r="B317" s="30">
        <v>22</v>
      </c>
      <c r="C317" s="30">
        <v>4</v>
      </c>
      <c r="D317" s="30"/>
      <c r="E317" s="30" t="s">
        <v>0</v>
      </c>
      <c r="F317" s="38" t="s">
        <v>833</v>
      </c>
      <c r="G317" s="38" t="s">
        <v>749</v>
      </c>
      <c r="H317" s="39" t="str">
        <f>IF(B317&lt;10," ","")&amp;B317&amp;"."&amp;IF(C317&lt;10,"0","")&amp;C317&amp;" "&amp;E317&amp;" "&amp;VLOOKUP(E317,Teams!$A$2:$C$21,2,0)&amp;REPT(" ",Teams!C$1+1-VLOOKUP(E317,Teams!$A$2:$C$21,3,0))&amp;"- "&amp;F317&amp;IF(ISBLANK(D317),""," (from "&amp;D317&amp;")")</f>
        <v>22.04 DLM Potter         - Pete Schourek, lsp</v>
      </c>
    </row>
    <row r="318" spans="1:8" s="35" customFormat="1" x14ac:dyDescent="0.25">
      <c r="A318" s="30">
        <v>316</v>
      </c>
      <c r="B318" s="30">
        <v>23</v>
      </c>
      <c r="C318" s="30">
        <v>1</v>
      </c>
      <c r="D318" s="30"/>
      <c r="E318" s="30" t="s">
        <v>16</v>
      </c>
      <c r="F318" s="38" t="s">
        <v>832</v>
      </c>
      <c r="G318" s="38"/>
      <c r="H318" s="39" t="str">
        <f>IF(B318&lt;10," ","")&amp;B318&amp;"."&amp;IF(C318&lt;10,"0","")&amp;C318&amp;" "&amp;E318&amp;" "&amp;VLOOKUP(E318,Teams!$A$2:$C$21,2,0)&amp;REPT(" ",Teams!C$1+1-VLOOKUP(E318,Teams!$A$2:$C$21,3,0))&amp;"- "&amp;F318&amp;IF(ISBLANK(D318),""," (from "&amp;D318&amp;")")</f>
        <v>23.01 TAR Lingo          - Karim Garcia, rf</v>
      </c>
    </row>
    <row r="319" spans="1:8" s="35" customFormat="1" x14ac:dyDescent="0.25">
      <c r="A319" s="30">
        <v>317</v>
      </c>
      <c r="B319" s="30">
        <v>23</v>
      </c>
      <c r="C319" s="30">
        <v>2</v>
      </c>
      <c r="D319" s="30"/>
      <c r="E319" s="30" t="s">
        <v>11</v>
      </c>
      <c r="F319" s="38" t="s">
        <v>831</v>
      </c>
      <c r="G319" s="38"/>
      <c r="H319" s="39" t="str">
        <f>IF(B319&lt;10," ","")&amp;B319&amp;"."&amp;IF(C319&lt;10,"0","")&amp;C319&amp;" "&amp;E319&amp;" "&amp;VLOOKUP(E319,Teams!$A$2:$C$21,2,0)&amp;REPT(" ",Teams!C$1+1-VLOOKUP(E319,Teams!$A$2:$C$21,3,0))&amp;"- "&amp;F319&amp;IF(ISBLANK(D319),""," (from "&amp;D319&amp;")")</f>
        <v>23.02 EVN Henninger      - Robinson Cancel, c</v>
      </c>
    </row>
    <row r="320" spans="1:8" s="35" customFormat="1" x14ac:dyDescent="0.25">
      <c r="A320" s="30">
        <v>318</v>
      </c>
      <c r="B320" s="30">
        <v>23</v>
      </c>
      <c r="C320" s="30">
        <v>3</v>
      </c>
      <c r="D320" s="30"/>
      <c r="E320" s="30" t="s">
        <v>0</v>
      </c>
      <c r="F320" s="38" t="s">
        <v>834</v>
      </c>
      <c r="G320" s="38" t="s">
        <v>749</v>
      </c>
      <c r="H320" s="39" t="str">
        <f>IF(B320&lt;10," ","")&amp;B320&amp;"."&amp;IF(C320&lt;10,"0","")&amp;C320&amp;" "&amp;E320&amp;" "&amp;VLOOKUP(E320,Teams!$A$2:$C$21,2,0)&amp;REPT(" ",Teams!C$1+1-VLOOKUP(E320,Teams!$A$2:$C$21,3,0))&amp;"- "&amp;F320&amp;IF(ISBLANK(D320),""," (from "&amp;D320&amp;")")</f>
        <v>23.03 DLM Potter         - Bobby M. Jones, lsp</v>
      </c>
    </row>
    <row r="321" spans="1:8" s="35" customFormat="1" x14ac:dyDescent="0.25">
      <c r="A321" s="30">
        <v>319</v>
      </c>
      <c r="B321" s="30">
        <v>24</v>
      </c>
      <c r="C321" s="30">
        <v>1</v>
      </c>
      <c r="D321" s="30"/>
      <c r="E321" s="30" t="s">
        <v>16</v>
      </c>
      <c r="F321" s="38" t="s">
        <v>838</v>
      </c>
      <c r="G321" s="38"/>
      <c r="H321" s="39" t="str">
        <f>IF(B321&lt;10," ","")&amp;B321&amp;"."&amp;IF(C321&lt;10,"0","")&amp;C321&amp;" "&amp;E321&amp;" "&amp;VLOOKUP(E321,Teams!$A$2:$C$21,2,0)&amp;REPT(" ",Teams!C$1+1-VLOOKUP(E321,Teams!$A$2:$C$21,3,0))&amp;"- "&amp;F321&amp;IF(ISBLANK(D321),""," (from "&amp;D321&amp;")")</f>
        <v>24.01 TAR Lingo          - Mike Oquist, rsp</v>
      </c>
    </row>
    <row r="322" spans="1:8" s="35" customFormat="1" x14ac:dyDescent="0.25">
      <c r="A322" s="30">
        <v>320</v>
      </c>
      <c r="B322" s="30">
        <v>24</v>
      </c>
      <c r="C322" s="30">
        <v>2</v>
      </c>
      <c r="D322" s="30"/>
      <c r="E322" s="30" t="s">
        <v>0</v>
      </c>
      <c r="F322" s="38" t="s">
        <v>835</v>
      </c>
      <c r="G322" s="38" t="s">
        <v>749</v>
      </c>
      <c r="H322" s="39" t="str">
        <f>IF(B322&lt;10," ","")&amp;B322&amp;"."&amp;IF(C322&lt;10,"0","")&amp;C322&amp;" "&amp;E322&amp;" "&amp;VLOOKUP(E322,Teams!$A$2:$C$21,2,0)&amp;REPT(" ",Teams!C$1+1-VLOOKUP(E322,Teams!$A$2:$C$21,3,0))&amp;"- "&amp;F322&amp;IF(ISBLANK(D322),""," (from "&amp;D322&amp;")")</f>
        <v>24.02 DLM Potter         - Paul Spoljaric, lmr</v>
      </c>
    </row>
    <row r="323" spans="1:8" s="35" customFormat="1" x14ac:dyDescent="0.25">
      <c r="A323" s="30">
        <v>321</v>
      </c>
      <c r="B323" s="30">
        <v>25</v>
      </c>
      <c r="C323" s="30">
        <v>1</v>
      </c>
      <c r="D323" s="30"/>
      <c r="E323" s="30" t="s">
        <v>5</v>
      </c>
      <c r="F323" s="38" t="s">
        <v>839</v>
      </c>
      <c r="G323" s="38" t="s">
        <v>109</v>
      </c>
      <c r="H323" s="39" t="str">
        <f>IF(B323&lt;10," ","")&amp;B323&amp;"."&amp;IF(C323&lt;10,"0","")&amp;C323&amp;" "&amp;E323&amp;" "&amp;VLOOKUP(E323,Teams!$A$2:$C$21,2,0)&amp;REPT(" ",Teams!C$1+1-VLOOKUP(E323,Teams!$A$2:$C$21,3,0))&amp;"- "&amp;F323&amp;IF(ISBLANK(D323),""," (from "&amp;D323&amp;")")</f>
        <v>25.01 RMO Haverty/Mojo   - Eric Plunk, rmr</v>
      </c>
    </row>
    <row r="324" spans="1:8" s="35" customFormat="1" x14ac:dyDescent="0.25">
      <c r="A324" s="30">
        <v>322</v>
      </c>
      <c r="B324" s="30">
        <v>25</v>
      </c>
      <c r="C324" s="30">
        <v>2</v>
      </c>
      <c r="D324" s="30"/>
      <c r="E324" s="30" t="s">
        <v>16</v>
      </c>
      <c r="F324" s="38" t="s">
        <v>836</v>
      </c>
      <c r="G324" s="38" t="s">
        <v>110</v>
      </c>
      <c r="H324" s="39" t="str">
        <f>IF(B324&lt;10," ","")&amp;B324&amp;"."&amp;IF(C324&lt;10,"0","")&amp;C324&amp;" "&amp;E324&amp;" "&amp;VLOOKUP(E324,Teams!$A$2:$C$21,2,0)&amp;REPT(" ",Teams!C$1+1-VLOOKUP(E324,Teams!$A$2:$C$21,3,0))&amp;"- "&amp;F324&amp;IF(ISBLANK(D324),""," (from "&amp;D324&amp;")")</f>
        <v>25.02 TAR Lingo          - Enrique Wilson, 3b</v>
      </c>
    </row>
  </sheetData>
  <autoFilter ref="A2:H324"/>
  <phoneticPr fontId="1" type="noConversion"/>
  <conditionalFormatting sqref="A3:H324">
    <cfRule type="expression" dxfId="25" priority="2">
      <formula>MOD(ROW(),2)=1</formula>
    </cfRule>
  </conditionalFormatting>
  <conditionalFormatting sqref="A3:H324">
    <cfRule type="expression" dxfId="24" priority="1">
      <formula>$E3=$E$1</formula>
    </cfRule>
  </conditionalFormatting>
  <pageMargins left="0.75" right="0.75" top="1" bottom="1" header="0.5" footer="0.5"/>
  <pageSetup scale="86" fitToHeight="9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131"/>
  <sheetViews>
    <sheetView tabSelected="1" zoomScaleNormal="100" workbookViewId="0">
      <pane ySplit="1" topLeftCell="A2" activePane="bottomLeft" state="frozen"/>
      <selection pane="bottomLeft" activeCell="D21" sqref="D21"/>
    </sheetView>
  </sheetViews>
  <sheetFormatPr defaultRowHeight="12.75" x14ac:dyDescent="0.2"/>
  <cols>
    <col min="1" max="1" width="6.85546875" style="2" bestFit="1" customWidth="1"/>
    <col min="2" max="2" width="6.28515625" style="2" bestFit="1" customWidth="1"/>
    <col min="3" max="3" width="23.5703125" style="2" customWidth="1"/>
    <col min="4" max="4" width="6.28515625" style="2" bestFit="1" customWidth="1"/>
    <col min="5" max="5" width="30.7109375" style="2" bestFit="1" customWidth="1"/>
    <col min="6" max="6" width="5" style="2" bestFit="1" customWidth="1"/>
    <col min="7" max="7" width="9.140625" style="2"/>
    <col min="8" max="8" width="4.85546875" style="2" bestFit="1" customWidth="1"/>
    <col min="9" max="15" width="8.85546875" style="2" bestFit="1" customWidth="1"/>
    <col min="16" max="16" width="8.5703125" style="2" bestFit="1" customWidth="1"/>
    <col min="17" max="17" width="8.5703125" style="2" customWidth="1"/>
    <col min="18" max="18" width="8" style="2" bestFit="1" customWidth="1"/>
    <col min="19" max="16384" width="9.140625" style="2"/>
  </cols>
  <sheetData>
    <row r="1" spans="1:18" ht="27" thickBot="1" x14ac:dyDescent="0.3">
      <c r="A1" s="13" t="s">
        <v>85</v>
      </c>
      <c r="B1" s="13" t="s">
        <v>86</v>
      </c>
      <c r="C1" s="13" t="s">
        <v>87</v>
      </c>
      <c r="D1" s="13" t="s">
        <v>354</v>
      </c>
      <c r="E1" s="13" t="s">
        <v>87</v>
      </c>
      <c r="F1" s="13" t="s">
        <v>365</v>
      </c>
      <c r="G1" s="43" t="s">
        <v>4</v>
      </c>
      <c r="H1" s="14" t="s">
        <v>88</v>
      </c>
      <c r="I1" s="44" t="s">
        <v>363</v>
      </c>
      <c r="J1" s="45"/>
      <c r="K1" s="45"/>
      <c r="L1" s="45"/>
      <c r="M1" s="45"/>
      <c r="N1" s="45"/>
      <c r="O1" s="45"/>
      <c r="P1" s="45"/>
      <c r="Q1" s="45"/>
      <c r="R1" s="46"/>
    </row>
    <row r="2" spans="1:18" x14ac:dyDescent="0.2">
      <c r="A2" s="18">
        <v>40180</v>
      </c>
      <c r="B2" s="19" t="s">
        <v>7</v>
      </c>
      <c r="C2" s="31" t="s">
        <v>367</v>
      </c>
      <c r="D2" s="19" t="s">
        <v>5</v>
      </c>
      <c r="E2" s="20" t="s">
        <v>366</v>
      </c>
      <c r="F2" s="19">
        <v>0</v>
      </c>
      <c r="H2" s="16" t="s">
        <v>17</v>
      </c>
      <c r="I2" s="21"/>
      <c r="J2" s="22"/>
      <c r="K2" s="22" t="s">
        <v>842</v>
      </c>
      <c r="L2" s="22"/>
      <c r="M2" s="22"/>
      <c r="N2" s="22"/>
      <c r="O2" s="22"/>
      <c r="P2" s="22"/>
      <c r="Q2" s="22"/>
      <c r="R2" s="23"/>
    </row>
    <row r="3" spans="1:18" x14ac:dyDescent="0.2">
      <c r="A3" s="18">
        <v>40182</v>
      </c>
      <c r="B3" s="19" t="s">
        <v>10</v>
      </c>
      <c r="C3" s="20" t="s">
        <v>375</v>
      </c>
      <c r="D3" s="19" t="s">
        <v>5</v>
      </c>
      <c r="E3" s="20" t="s">
        <v>376</v>
      </c>
      <c r="F3" s="19">
        <v>2</v>
      </c>
      <c r="H3" s="16" t="s">
        <v>4</v>
      </c>
      <c r="I3" s="24"/>
      <c r="J3" s="25"/>
      <c r="K3" s="25"/>
      <c r="L3" s="25"/>
      <c r="M3" s="25" t="s">
        <v>504</v>
      </c>
      <c r="N3" s="25"/>
      <c r="O3" s="25"/>
      <c r="P3" s="25"/>
      <c r="Q3" s="25"/>
      <c r="R3" s="26" t="s">
        <v>638</v>
      </c>
    </row>
    <row r="4" spans="1:18" x14ac:dyDescent="0.2">
      <c r="A4" s="18">
        <v>40182</v>
      </c>
      <c r="B4" s="19" t="s">
        <v>18</v>
      </c>
      <c r="C4" s="20" t="s">
        <v>390</v>
      </c>
      <c r="D4" s="19" t="s">
        <v>12</v>
      </c>
      <c r="E4" s="20" t="s">
        <v>391</v>
      </c>
      <c r="F4" s="19">
        <v>0</v>
      </c>
      <c r="H4" s="16" t="s">
        <v>8</v>
      </c>
      <c r="I4" s="24"/>
      <c r="J4" s="25"/>
      <c r="K4" s="25"/>
      <c r="L4" s="25"/>
      <c r="M4" s="25" t="s">
        <v>550</v>
      </c>
      <c r="N4" s="25" t="s">
        <v>843</v>
      </c>
      <c r="O4" s="25" t="s">
        <v>557</v>
      </c>
      <c r="P4" s="25" t="s">
        <v>558</v>
      </c>
      <c r="Q4" s="25"/>
      <c r="R4" s="26" t="s">
        <v>559</v>
      </c>
    </row>
    <row r="5" spans="1:18" x14ac:dyDescent="0.2">
      <c r="A5" s="18">
        <v>40183</v>
      </c>
      <c r="B5" s="19" t="s">
        <v>17</v>
      </c>
      <c r="C5" s="20" t="s">
        <v>396</v>
      </c>
      <c r="D5" s="19" t="s">
        <v>12</v>
      </c>
      <c r="E5" s="20" t="s">
        <v>397</v>
      </c>
      <c r="F5" s="19">
        <v>0</v>
      </c>
      <c r="H5" s="16" t="s">
        <v>18</v>
      </c>
      <c r="I5" s="24"/>
      <c r="J5" s="25"/>
      <c r="K5" s="25" t="s">
        <v>619</v>
      </c>
      <c r="L5" s="25" t="s">
        <v>414</v>
      </c>
      <c r="M5" s="25" t="s">
        <v>606</v>
      </c>
      <c r="N5" s="25" t="s">
        <v>863</v>
      </c>
      <c r="O5" s="25" t="s">
        <v>859</v>
      </c>
      <c r="P5" s="25"/>
      <c r="Q5" s="25"/>
      <c r="R5" s="26" t="s">
        <v>620</v>
      </c>
    </row>
    <row r="6" spans="1:18" x14ac:dyDescent="0.2">
      <c r="A6" s="18">
        <v>40183</v>
      </c>
      <c r="B6" s="19" t="s">
        <v>5</v>
      </c>
      <c r="C6" s="20" t="s">
        <v>398</v>
      </c>
      <c r="D6" s="19" t="s">
        <v>19</v>
      </c>
      <c r="E6" s="20" t="s">
        <v>399</v>
      </c>
      <c r="F6" s="19">
        <v>1</v>
      </c>
      <c r="H6" s="16" t="s">
        <v>13</v>
      </c>
      <c r="I6" s="24"/>
      <c r="J6" s="25"/>
      <c r="K6" s="25"/>
      <c r="L6" s="25"/>
      <c r="M6" s="25"/>
      <c r="N6" s="25"/>
      <c r="O6" s="25"/>
      <c r="P6" s="25"/>
      <c r="Q6" s="25" t="s">
        <v>860</v>
      </c>
      <c r="R6" s="26"/>
    </row>
    <row r="7" spans="1:18" x14ac:dyDescent="0.2">
      <c r="A7" s="18">
        <v>40183</v>
      </c>
      <c r="B7" s="19" t="s">
        <v>10</v>
      </c>
      <c r="C7" s="20" t="s">
        <v>403</v>
      </c>
      <c r="D7" s="19" t="s">
        <v>12</v>
      </c>
      <c r="E7" s="20" t="s">
        <v>402</v>
      </c>
      <c r="F7" s="19">
        <v>1</v>
      </c>
      <c r="H7" s="16" t="s">
        <v>0</v>
      </c>
      <c r="I7" s="24"/>
      <c r="J7" s="25"/>
      <c r="K7" s="25"/>
      <c r="L7" s="25"/>
      <c r="M7" s="25" t="s">
        <v>648</v>
      </c>
      <c r="N7" s="25"/>
      <c r="O7" s="25"/>
      <c r="P7" s="25"/>
      <c r="Q7" s="25" t="s">
        <v>878</v>
      </c>
      <c r="R7" s="26"/>
    </row>
    <row r="8" spans="1:18" x14ac:dyDescent="0.2">
      <c r="A8" s="18">
        <v>40183</v>
      </c>
      <c r="B8" s="19" t="s">
        <v>4</v>
      </c>
      <c r="C8" s="20" t="s">
        <v>412</v>
      </c>
      <c r="D8" s="19" t="s">
        <v>18</v>
      </c>
      <c r="E8" s="20" t="s">
        <v>413</v>
      </c>
      <c r="F8" s="19">
        <v>1</v>
      </c>
      <c r="H8" s="16" t="s">
        <v>11</v>
      </c>
      <c r="I8" s="25"/>
      <c r="J8" s="25" t="s">
        <v>848</v>
      </c>
      <c r="K8" s="25"/>
      <c r="L8" s="25"/>
      <c r="M8" s="25"/>
      <c r="N8" s="25"/>
      <c r="O8" s="25"/>
      <c r="P8" s="25"/>
      <c r="Q8" s="25"/>
      <c r="R8" s="26"/>
    </row>
    <row r="9" spans="1:18" x14ac:dyDescent="0.2">
      <c r="A9" s="18">
        <v>40183</v>
      </c>
      <c r="B9" s="19" t="s">
        <v>13</v>
      </c>
      <c r="C9" s="20" t="s">
        <v>417</v>
      </c>
      <c r="D9" s="19" t="s">
        <v>10</v>
      </c>
      <c r="E9" s="20" t="s">
        <v>418</v>
      </c>
      <c r="F9" s="19">
        <v>1</v>
      </c>
      <c r="H9" s="16" t="s">
        <v>14</v>
      </c>
      <c r="I9" s="25"/>
      <c r="J9" s="25"/>
      <c r="K9" s="25"/>
      <c r="L9" s="25"/>
      <c r="M9" s="25"/>
      <c r="N9" s="25"/>
      <c r="O9" s="25"/>
      <c r="P9" s="25"/>
      <c r="Q9" s="25"/>
      <c r="R9" s="26"/>
    </row>
    <row r="10" spans="1:18" x14ac:dyDescent="0.2">
      <c r="A10" s="18">
        <v>40183</v>
      </c>
      <c r="B10" s="19" t="s">
        <v>9</v>
      </c>
      <c r="C10" s="20" t="s">
        <v>426</v>
      </c>
      <c r="D10" s="19" t="s">
        <v>5</v>
      </c>
      <c r="E10" s="20" t="s">
        <v>427</v>
      </c>
      <c r="F10" s="19">
        <v>1</v>
      </c>
      <c r="H10" s="16" t="s">
        <v>2</v>
      </c>
      <c r="I10" s="24"/>
      <c r="J10" s="25"/>
      <c r="K10" s="25"/>
      <c r="L10" s="25"/>
      <c r="M10" s="25"/>
      <c r="N10" s="25"/>
      <c r="O10" s="25"/>
      <c r="P10" s="25"/>
      <c r="Q10" s="25"/>
      <c r="R10" s="26"/>
    </row>
    <row r="11" spans="1:18" x14ac:dyDescent="0.2">
      <c r="A11" s="18">
        <v>40184</v>
      </c>
      <c r="B11" s="19" t="s">
        <v>12</v>
      </c>
      <c r="C11" s="20" t="s">
        <v>433</v>
      </c>
      <c r="D11" s="19" t="s">
        <v>16</v>
      </c>
      <c r="E11" s="20" t="s">
        <v>434</v>
      </c>
      <c r="F11" s="19">
        <v>0</v>
      </c>
      <c r="H11" s="16" t="s">
        <v>10</v>
      </c>
      <c r="I11" s="25"/>
      <c r="J11" s="25" t="s">
        <v>377</v>
      </c>
      <c r="K11" s="25"/>
      <c r="L11" s="25" t="s">
        <v>419</v>
      </c>
      <c r="M11" s="25"/>
      <c r="N11" s="25"/>
      <c r="O11" s="25"/>
      <c r="P11" s="25"/>
      <c r="Q11" s="25"/>
      <c r="R11" s="26"/>
    </row>
    <row r="12" spans="1:18" x14ac:dyDescent="0.2">
      <c r="A12" s="18">
        <v>40184</v>
      </c>
      <c r="B12" s="19" t="s">
        <v>357</v>
      </c>
      <c r="C12" s="20" t="s">
        <v>446</v>
      </c>
      <c r="D12" s="19" t="s">
        <v>3</v>
      </c>
      <c r="E12" s="20" t="s">
        <v>445</v>
      </c>
      <c r="F12" s="19">
        <v>1</v>
      </c>
      <c r="H12" s="16" t="s">
        <v>6</v>
      </c>
      <c r="I12" s="24"/>
      <c r="J12" s="25"/>
      <c r="K12" s="25"/>
      <c r="L12" s="25"/>
      <c r="M12" s="25"/>
      <c r="N12" s="25"/>
      <c r="O12" s="25"/>
      <c r="P12" s="25"/>
      <c r="Q12" s="25"/>
      <c r="R12" s="26"/>
    </row>
    <row r="13" spans="1:18" x14ac:dyDescent="0.2">
      <c r="A13" s="18">
        <v>40184</v>
      </c>
      <c r="B13" s="19" t="s">
        <v>0</v>
      </c>
      <c r="C13" s="20" t="s">
        <v>449</v>
      </c>
      <c r="D13" s="19" t="s">
        <v>357</v>
      </c>
      <c r="E13" s="20" t="s">
        <v>450</v>
      </c>
      <c r="F13" s="19">
        <v>1</v>
      </c>
      <c r="H13" s="16" t="s">
        <v>357</v>
      </c>
      <c r="I13" s="24" t="s">
        <v>869</v>
      </c>
      <c r="J13" s="25" t="s">
        <v>871</v>
      </c>
      <c r="K13" s="25" t="s">
        <v>447</v>
      </c>
      <c r="L13" s="25"/>
      <c r="M13" s="25"/>
      <c r="N13" s="25"/>
      <c r="O13" s="25" t="s">
        <v>540</v>
      </c>
      <c r="P13" s="25" t="s">
        <v>451</v>
      </c>
      <c r="Q13" s="25" t="s">
        <v>894</v>
      </c>
      <c r="R13" s="26" t="s">
        <v>725</v>
      </c>
    </row>
    <row r="14" spans="1:18" x14ac:dyDescent="0.2">
      <c r="A14" s="18">
        <v>40184</v>
      </c>
      <c r="B14" s="19" t="s">
        <v>10</v>
      </c>
      <c r="C14" s="20" t="s">
        <v>454</v>
      </c>
      <c r="D14" s="19" t="s">
        <v>14</v>
      </c>
      <c r="E14" s="20" t="s">
        <v>455</v>
      </c>
      <c r="F14" s="19">
        <v>0</v>
      </c>
      <c r="H14" s="16" t="s">
        <v>3</v>
      </c>
      <c r="I14" s="24"/>
      <c r="J14" s="25" t="s">
        <v>892</v>
      </c>
      <c r="K14" s="25"/>
      <c r="L14" s="25" t="s">
        <v>646</v>
      </c>
      <c r="M14" s="25"/>
      <c r="N14" s="25"/>
      <c r="O14" s="25"/>
      <c r="P14" s="25"/>
      <c r="Q14" s="25" t="s">
        <v>867</v>
      </c>
      <c r="R14" s="26" t="s">
        <v>647</v>
      </c>
    </row>
    <row r="15" spans="1:18" x14ac:dyDescent="0.2">
      <c r="A15" s="18">
        <v>40185</v>
      </c>
      <c r="B15" s="19" t="s">
        <v>17</v>
      </c>
      <c r="C15" s="20" t="s">
        <v>475</v>
      </c>
      <c r="D15" s="19" t="s">
        <v>9</v>
      </c>
      <c r="E15" s="20" t="s">
        <v>476</v>
      </c>
      <c r="F15" s="19">
        <v>1</v>
      </c>
      <c r="H15" s="16" t="s">
        <v>7</v>
      </c>
      <c r="I15" s="24"/>
      <c r="J15" s="25"/>
      <c r="K15" s="25"/>
      <c r="L15" s="25"/>
      <c r="M15" s="25"/>
      <c r="N15" s="25"/>
      <c r="O15" s="25"/>
      <c r="P15" s="25" t="s">
        <v>847</v>
      </c>
      <c r="Q15" s="25"/>
      <c r="R15" s="26" t="s">
        <v>768</v>
      </c>
    </row>
    <row r="16" spans="1:18" x14ac:dyDescent="0.2">
      <c r="A16" s="18">
        <v>40185</v>
      </c>
      <c r="B16" s="19" t="s">
        <v>8</v>
      </c>
      <c r="C16" s="20" t="s">
        <v>478</v>
      </c>
      <c r="D16" s="19" t="s">
        <v>9</v>
      </c>
      <c r="E16" s="20" t="s">
        <v>479</v>
      </c>
      <c r="F16" s="19">
        <v>0</v>
      </c>
      <c r="H16" s="16" t="s">
        <v>9</v>
      </c>
      <c r="I16" s="24"/>
      <c r="J16" s="25"/>
      <c r="K16" s="25" t="s">
        <v>378</v>
      </c>
      <c r="L16" s="25"/>
      <c r="M16" s="25" t="s">
        <v>425</v>
      </c>
      <c r="N16" s="25" t="s">
        <v>477</v>
      </c>
      <c r="O16" s="25"/>
      <c r="P16" s="25" t="s">
        <v>602</v>
      </c>
      <c r="Q16" s="25"/>
      <c r="R16" s="26"/>
    </row>
    <row r="17" spans="1:18" x14ac:dyDescent="0.2">
      <c r="A17" s="18">
        <v>40186</v>
      </c>
      <c r="B17" s="19" t="s">
        <v>18</v>
      </c>
      <c r="C17" s="20" t="s">
        <v>500</v>
      </c>
      <c r="D17" s="19" t="s">
        <v>6</v>
      </c>
      <c r="E17" s="20" t="s">
        <v>501</v>
      </c>
      <c r="F17" s="19">
        <v>0</v>
      </c>
      <c r="H17" s="16" t="s">
        <v>844</v>
      </c>
      <c r="I17" s="25" t="s">
        <v>563</v>
      </c>
      <c r="J17" s="25"/>
      <c r="K17" s="25" t="s">
        <v>901</v>
      </c>
      <c r="L17" s="25"/>
      <c r="M17" s="25"/>
      <c r="N17" s="25"/>
      <c r="O17" s="25"/>
      <c r="P17" s="25"/>
      <c r="Q17" s="25"/>
      <c r="R17" s="26"/>
    </row>
    <row r="18" spans="1:18" x14ac:dyDescent="0.2">
      <c r="A18" s="18">
        <v>40186</v>
      </c>
      <c r="B18" s="19" t="s">
        <v>17</v>
      </c>
      <c r="C18" s="20" t="s">
        <v>498</v>
      </c>
      <c r="D18" s="19" t="s">
        <v>10</v>
      </c>
      <c r="E18" s="20" t="s">
        <v>499</v>
      </c>
      <c r="F18" s="19">
        <v>0</v>
      </c>
      <c r="H18" s="16" t="s">
        <v>12</v>
      </c>
      <c r="I18" s="25"/>
      <c r="J18" s="25" t="s">
        <v>404</v>
      </c>
      <c r="K18" s="25"/>
      <c r="L18" s="25"/>
      <c r="M18" s="25"/>
      <c r="N18" s="25"/>
      <c r="O18" s="25"/>
      <c r="P18" s="25"/>
      <c r="Q18" s="25"/>
      <c r="R18" s="26" t="s">
        <v>893</v>
      </c>
    </row>
    <row r="19" spans="1:18" x14ac:dyDescent="0.2">
      <c r="A19" s="18">
        <v>40186</v>
      </c>
      <c r="B19" s="19" t="s">
        <v>13</v>
      </c>
      <c r="C19" s="20" t="s">
        <v>494</v>
      </c>
      <c r="D19" s="19" t="s">
        <v>3</v>
      </c>
      <c r="E19" s="20" t="s">
        <v>495</v>
      </c>
      <c r="F19" s="19">
        <v>1</v>
      </c>
      <c r="H19" s="16" t="s">
        <v>5</v>
      </c>
      <c r="I19" s="24"/>
      <c r="J19" s="25"/>
      <c r="K19" s="25"/>
      <c r="L19" s="25"/>
      <c r="M19" s="25" t="s">
        <v>855</v>
      </c>
      <c r="N19" s="25"/>
      <c r="O19" s="25"/>
      <c r="P19" s="25" t="s">
        <v>856</v>
      </c>
      <c r="Q19" s="25"/>
      <c r="R19" s="26"/>
    </row>
    <row r="20" spans="1:18" x14ac:dyDescent="0.2">
      <c r="A20" s="18">
        <v>40186</v>
      </c>
      <c r="B20" s="19" t="s">
        <v>4</v>
      </c>
      <c r="C20" s="20" t="s">
        <v>502</v>
      </c>
      <c r="D20" s="19" t="s">
        <v>10</v>
      </c>
      <c r="E20" s="20" t="s">
        <v>503</v>
      </c>
      <c r="F20" s="19">
        <v>1</v>
      </c>
      <c r="H20" s="16" t="s">
        <v>16</v>
      </c>
      <c r="I20" s="24"/>
      <c r="J20" s="25"/>
      <c r="K20" s="25"/>
      <c r="L20" s="25"/>
      <c r="M20" s="25" t="s">
        <v>885</v>
      </c>
      <c r="N20" s="25"/>
      <c r="O20" s="25" t="s">
        <v>891</v>
      </c>
      <c r="P20" s="25"/>
      <c r="Q20" s="25"/>
      <c r="R20" s="26"/>
    </row>
    <row r="21" spans="1:18" ht="13.5" thickBot="1" x14ac:dyDescent="0.25">
      <c r="A21" s="18">
        <v>40186</v>
      </c>
      <c r="B21" s="19" t="s">
        <v>8</v>
      </c>
      <c r="C21" s="20" t="s">
        <v>519</v>
      </c>
      <c r="D21" s="19" t="s">
        <v>14</v>
      </c>
      <c r="E21" s="20" t="s">
        <v>520</v>
      </c>
      <c r="F21" s="19">
        <v>0</v>
      </c>
      <c r="H21" s="17" t="s">
        <v>19</v>
      </c>
      <c r="I21" s="27" t="s">
        <v>400</v>
      </c>
      <c r="J21" s="28"/>
      <c r="K21" s="28"/>
      <c r="L21" s="28"/>
      <c r="M21" s="28"/>
      <c r="N21" s="28"/>
      <c r="O21" s="28" t="s">
        <v>864</v>
      </c>
      <c r="P21" s="28"/>
      <c r="Q21" s="28"/>
      <c r="R21" s="29"/>
    </row>
    <row r="22" spans="1:18" x14ac:dyDescent="0.2">
      <c r="A22" s="18">
        <v>40187</v>
      </c>
      <c r="B22" s="19" t="s">
        <v>17</v>
      </c>
      <c r="C22" s="20" t="s">
        <v>536</v>
      </c>
      <c r="D22" s="19" t="s">
        <v>357</v>
      </c>
      <c r="E22" s="20" t="s">
        <v>539</v>
      </c>
      <c r="F22" s="19">
        <v>1</v>
      </c>
      <c r="R22" s="2">
        <f>COUNTA(I2:R21)</f>
        <v>47</v>
      </c>
    </row>
    <row r="23" spans="1:18" x14ac:dyDescent="0.2">
      <c r="A23" s="18">
        <v>40187</v>
      </c>
      <c r="B23" s="19" t="s">
        <v>357</v>
      </c>
      <c r="C23" s="20" t="s">
        <v>546</v>
      </c>
      <c r="D23" s="19" t="s">
        <v>844</v>
      </c>
      <c r="E23" s="20" t="s">
        <v>547</v>
      </c>
      <c r="F23" s="19">
        <v>0</v>
      </c>
    </row>
    <row r="24" spans="1:18" ht="13.5" thickBot="1" x14ac:dyDescent="0.25">
      <c r="A24" s="18">
        <v>40187</v>
      </c>
      <c r="B24" s="19" t="s">
        <v>8</v>
      </c>
      <c r="C24" s="20" t="s">
        <v>548</v>
      </c>
      <c r="D24" s="19" t="s">
        <v>18</v>
      </c>
      <c r="E24" s="20" t="s">
        <v>549</v>
      </c>
      <c r="F24" s="19">
        <v>1</v>
      </c>
    </row>
    <row r="25" spans="1:18" ht="16.5" thickBot="1" x14ac:dyDescent="0.3">
      <c r="A25" s="18">
        <v>40187</v>
      </c>
      <c r="B25" s="19" t="s">
        <v>8</v>
      </c>
      <c r="C25" s="20" t="s">
        <v>555</v>
      </c>
      <c r="D25" s="19" t="s">
        <v>0</v>
      </c>
      <c r="E25" s="20" t="s">
        <v>556</v>
      </c>
      <c r="F25" s="19">
        <v>3</v>
      </c>
      <c r="H25" s="14" t="s">
        <v>88</v>
      </c>
      <c r="I25" s="44" t="s">
        <v>364</v>
      </c>
      <c r="J25" s="45"/>
      <c r="K25" s="45"/>
      <c r="L25" s="45"/>
      <c r="M25" s="45"/>
      <c r="N25" s="45"/>
      <c r="O25" s="45"/>
      <c r="P25" s="45"/>
      <c r="Q25" s="45"/>
      <c r="R25" s="46"/>
    </row>
    <row r="26" spans="1:18" x14ac:dyDescent="0.2">
      <c r="A26" s="18">
        <v>40188</v>
      </c>
      <c r="B26" s="19" t="s">
        <v>17</v>
      </c>
      <c r="C26" s="20" t="s">
        <v>564</v>
      </c>
      <c r="D26" s="19" t="s">
        <v>844</v>
      </c>
      <c r="E26" s="20" t="s">
        <v>565</v>
      </c>
      <c r="F26" s="19">
        <v>2</v>
      </c>
      <c r="H26" s="16" t="s">
        <v>17</v>
      </c>
      <c r="I26" s="21" t="s">
        <v>563</v>
      </c>
      <c r="J26" s="22"/>
      <c r="K26" s="22"/>
      <c r="L26" s="22"/>
      <c r="M26" s="22" t="s">
        <v>855</v>
      </c>
      <c r="N26" s="22" t="s">
        <v>477</v>
      </c>
      <c r="O26" s="22" t="s">
        <v>540</v>
      </c>
      <c r="P26" s="22" t="s">
        <v>856</v>
      </c>
      <c r="Q26" s="22"/>
      <c r="R26" s="23"/>
    </row>
    <row r="27" spans="1:18" x14ac:dyDescent="0.2">
      <c r="A27" s="18">
        <v>40189</v>
      </c>
      <c r="B27" s="19" t="s">
        <v>18</v>
      </c>
      <c r="C27" s="20" t="s">
        <v>601</v>
      </c>
      <c r="D27" s="19" t="s">
        <v>9</v>
      </c>
      <c r="E27" s="20" t="s">
        <v>600</v>
      </c>
      <c r="F27" s="19">
        <v>1</v>
      </c>
      <c r="H27" s="16" t="s">
        <v>4</v>
      </c>
      <c r="I27" s="24"/>
      <c r="J27" s="25"/>
      <c r="K27" s="25"/>
      <c r="L27" s="25"/>
      <c r="M27" s="25" t="s">
        <v>414</v>
      </c>
      <c r="N27" s="25"/>
      <c r="O27" s="25"/>
      <c r="P27" s="25"/>
      <c r="Q27" s="25"/>
      <c r="R27" s="26"/>
    </row>
    <row r="28" spans="1:18" x14ac:dyDescent="0.2">
      <c r="A28" s="18">
        <v>40189</v>
      </c>
      <c r="B28" s="19" t="s">
        <v>18</v>
      </c>
      <c r="C28" s="20" t="s">
        <v>604</v>
      </c>
      <c r="D28" s="19" t="s">
        <v>0</v>
      </c>
      <c r="E28" s="20" t="s">
        <v>605</v>
      </c>
      <c r="F28" s="19">
        <v>1</v>
      </c>
      <c r="H28" s="16" t="s">
        <v>8</v>
      </c>
      <c r="I28" s="24"/>
      <c r="J28" s="25" t="s">
        <v>848</v>
      </c>
      <c r="K28" s="25"/>
      <c r="L28" s="25"/>
      <c r="M28" s="25"/>
      <c r="N28" s="25"/>
      <c r="O28" s="25" t="s">
        <v>891</v>
      </c>
      <c r="P28" s="25" t="s">
        <v>911</v>
      </c>
      <c r="Q28" s="25"/>
      <c r="R28" s="26"/>
    </row>
    <row r="29" spans="1:18" x14ac:dyDescent="0.2">
      <c r="A29" s="18">
        <v>40189</v>
      </c>
      <c r="B29" s="19" t="s">
        <v>0</v>
      </c>
      <c r="C29" s="20" t="s">
        <v>615</v>
      </c>
      <c r="D29" s="19" t="s">
        <v>357</v>
      </c>
      <c r="E29" s="20" t="s">
        <v>616</v>
      </c>
      <c r="F29" s="19">
        <v>0</v>
      </c>
      <c r="H29" s="16" t="s">
        <v>18</v>
      </c>
      <c r="I29" s="24"/>
      <c r="J29" s="25" t="s">
        <v>871</v>
      </c>
      <c r="K29" s="25"/>
      <c r="L29" s="25"/>
      <c r="M29" s="25" t="s">
        <v>550</v>
      </c>
      <c r="N29" s="25"/>
      <c r="O29" s="25"/>
      <c r="P29" s="25" t="s">
        <v>602</v>
      </c>
      <c r="Q29" s="25"/>
      <c r="R29" s="26" t="s">
        <v>768</v>
      </c>
    </row>
    <row r="30" spans="1:18" x14ac:dyDescent="0.2">
      <c r="A30" s="18">
        <v>40189</v>
      </c>
      <c r="B30" s="19" t="s">
        <v>18</v>
      </c>
      <c r="C30" s="20" t="s">
        <v>617</v>
      </c>
      <c r="D30" s="19" t="s">
        <v>16</v>
      </c>
      <c r="E30" s="20" t="s">
        <v>618</v>
      </c>
      <c r="F30" s="19">
        <v>2</v>
      </c>
      <c r="H30" s="16" t="s">
        <v>13</v>
      </c>
      <c r="I30" s="24"/>
      <c r="J30" s="25" t="s">
        <v>892</v>
      </c>
      <c r="K30" s="25" t="s">
        <v>901</v>
      </c>
      <c r="L30" s="25" t="s">
        <v>419</v>
      </c>
      <c r="M30" s="25"/>
      <c r="N30" s="25" t="s">
        <v>859</v>
      </c>
      <c r="O30" s="25"/>
      <c r="P30" s="25"/>
      <c r="Q30" s="25" t="s">
        <v>878</v>
      </c>
      <c r="R30" s="26"/>
    </row>
    <row r="31" spans="1:18" x14ac:dyDescent="0.2">
      <c r="A31" s="18">
        <v>40190</v>
      </c>
      <c r="B31" s="19" t="s">
        <v>4</v>
      </c>
      <c r="C31" s="20" t="s">
        <v>636</v>
      </c>
      <c r="D31" s="19" t="s">
        <v>6</v>
      </c>
      <c r="E31" s="20" t="s">
        <v>637</v>
      </c>
      <c r="F31" s="19">
        <v>1</v>
      </c>
      <c r="H31" s="16" t="s">
        <v>0</v>
      </c>
      <c r="I31" s="24"/>
      <c r="J31" s="25"/>
      <c r="K31" s="25" t="s">
        <v>646</v>
      </c>
      <c r="L31" s="25" t="s">
        <v>606</v>
      </c>
      <c r="M31" s="25" t="s">
        <v>557</v>
      </c>
      <c r="N31" s="25" t="s">
        <v>558</v>
      </c>
      <c r="O31" s="25" t="s">
        <v>451</v>
      </c>
      <c r="P31" s="25" t="s">
        <v>867</v>
      </c>
      <c r="Q31" s="25" t="s">
        <v>559</v>
      </c>
      <c r="R31" s="26" t="s">
        <v>647</v>
      </c>
    </row>
    <row r="32" spans="1:18" x14ac:dyDescent="0.2">
      <c r="A32" s="18">
        <v>40190</v>
      </c>
      <c r="B32" s="19" t="s">
        <v>0</v>
      </c>
      <c r="C32" s="20" t="s">
        <v>644</v>
      </c>
      <c r="D32" s="19" t="s">
        <v>3</v>
      </c>
      <c r="E32" s="20" t="s">
        <v>645</v>
      </c>
      <c r="F32" s="19">
        <v>3</v>
      </c>
      <c r="H32" s="16" t="s">
        <v>11</v>
      </c>
      <c r="I32" s="25"/>
      <c r="J32" s="25"/>
      <c r="K32" s="25"/>
      <c r="L32" s="25"/>
      <c r="M32" s="25"/>
      <c r="N32" s="25"/>
      <c r="O32" s="25"/>
      <c r="P32" s="25" t="s">
        <v>847</v>
      </c>
      <c r="Q32" s="25"/>
      <c r="R32" s="26"/>
    </row>
    <row r="33" spans="1:18" x14ac:dyDescent="0.2">
      <c r="A33" s="18">
        <v>40191</v>
      </c>
      <c r="B33" s="19" t="s">
        <v>10</v>
      </c>
      <c r="C33" s="20" t="s">
        <v>724</v>
      </c>
      <c r="D33" s="19" t="s">
        <v>16</v>
      </c>
      <c r="E33" s="20" t="s">
        <v>726</v>
      </c>
      <c r="F33" s="19">
        <v>1</v>
      </c>
      <c r="H33" s="16" t="s">
        <v>14</v>
      </c>
      <c r="I33" s="25"/>
      <c r="J33" s="25"/>
      <c r="K33" s="25"/>
      <c r="L33" s="25"/>
      <c r="M33" s="25"/>
      <c r="N33" s="25"/>
      <c r="O33" s="25"/>
      <c r="P33" s="25"/>
      <c r="Q33" s="25"/>
      <c r="R33" s="26"/>
    </row>
    <row r="34" spans="1:18" x14ac:dyDescent="0.2">
      <c r="A34" s="18">
        <v>40191</v>
      </c>
      <c r="B34" s="19" t="s">
        <v>10</v>
      </c>
      <c r="C34" s="20" t="s">
        <v>727</v>
      </c>
      <c r="D34" s="19" t="s">
        <v>357</v>
      </c>
      <c r="E34" s="20" t="s">
        <v>728</v>
      </c>
      <c r="F34" s="19">
        <v>0</v>
      </c>
      <c r="H34" s="16" t="s">
        <v>2</v>
      </c>
      <c r="I34" s="24"/>
      <c r="J34" s="25"/>
      <c r="K34" s="25"/>
      <c r="L34" s="25"/>
      <c r="M34" s="25"/>
      <c r="N34" s="25"/>
      <c r="O34" s="25"/>
      <c r="P34" s="25"/>
      <c r="Q34" s="25"/>
      <c r="R34" s="26"/>
    </row>
    <row r="35" spans="1:18" x14ac:dyDescent="0.2">
      <c r="A35" s="18">
        <v>40192</v>
      </c>
      <c r="B35" s="19" t="s">
        <v>18</v>
      </c>
      <c r="C35" s="20" t="s">
        <v>769</v>
      </c>
      <c r="D35" s="19" t="s">
        <v>7</v>
      </c>
      <c r="E35" s="20" t="s">
        <v>770</v>
      </c>
      <c r="F35" s="19">
        <v>1</v>
      </c>
      <c r="H35" s="16" t="s">
        <v>10</v>
      </c>
      <c r="I35" s="25"/>
      <c r="J35" s="25" t="s">
        <v>404</v>
      </c>
      <c r="K35" s="25" t="s">
        <v>378</v>
      </c>
      <c r="L35" s="25"/>
      <c r="M35" s="25" t="s">
        <v>504</v>
      </c>
      <c r="N35" s="25"/>
      <c r="O35" s="25"/>
      <c r="P35" s="25"/>
      <c r="Q35" s="25"/>
      <c r="R35" s="26"/>
    </row>
    <row r="36" spans="1:18" x14ac:dyDescent="0.2">
      <c r="A36" s="18">
        <v>40211</v>
      </c>
      <c r="B36" s="19" t="s">
        <v>8</v>
      </c>
      <c r="C36" s="20" t="s">
        <v>840</v>
      </c>
      <c r="D36" s="19" t="s">
        <v>844</v>
      </c>
      <c r="E36" s="20" t="s">
        <v>841</v>
      </c>
      <c r="F36" s="19">
        <v>1</v>
      </c>
      <c r="G36" s="2">
        <f>0.75*75</f>
        <v>56.25</v>
      </c>
      <c r="H36" s="16" t="s">
        <v>6</v>
      </c>
      <c r="I36" s="24"/>
      <c r="J36" s="25"/>
      <c r="K36" s="25"/>
      <c r="L36" s="25"/>
      <c r="M36" s="25"/>
      <c r="N36" s="25"/>
      <c r="O36" s="25"/>
      <c r="P36" s="25"/>
      <c r="Q36" s="25"/>
      <c r="R36" s="26" t="s">
        <v>638</v>
      </c>
    </row>
    <row r="37" spans="1:18" x14ac:dyDescent="0.2">
      <c r="A37" s="18">
        <v>40222</v>
      </c>
      <c r="B37" s="19" t="s">
        <v>11</v>
      </c>
      <c r="C37" s="20" t="s">
        <v>845</v>
      </c>
      <c r="D37" s="19" t="s">
        <v>7</v>
      </c>
      <c r="E37" s="20" t="s">
        <v>846</v>
      </c>
      <c r="F37" s="19">
        <v>1</v>
      </c>
      <c r="H37" s="16" t="s">
        <v>357</v>
      </c>
      <c r="I37" s="24"/>
      <c r="J37" s="25"/>
      <c r="K37" s="25"/>
      <c r="L37" s="25"/>
      <c r="M37" s="25"/>
      <c r="N37" s="25"/>
      <c r="O37" s="25" t="s">
        <v>864</v>
      </c>
      <c r="P37" s="25" t="s">
        <v>860</v>
      </c>
      <c r="Q37" s="25"/>
      <c r="R37" s="26" t="s">
        <v>893</v>
      </c>
    </row>
    <row r="38" spans="1:18" x14ac:dyDescent="0.2">
      <c r="A38" s="18">
        <v>40231</v>
      </c>
      <c r="B38" s="19" t="s">
        <v>8</v>
      </c>
      <c r="C38" s="20" t="s">
        <v>850</v>
      </c>
      <c r="D38" s="19" t="s">
        <v>11</v>
      </c>
      <c r="E38" s="20" t="s">
        <v>849</v>
      </c>
      <c r="F38" s="19">
        <v>1</v>
      </c>
      <c r="H38" s="16" t="s">
        <v>3</v>
      </c>
      <c r="I38" s="24"/>
      <c r="J38" s="25"/>
      <c r="K38" s="25" t="s">
        <v>447</v>
      </c>
      <c r="L38" s="25"/>
      <c r="M38" s="25" t="s">
        <v>648</v>
      </c>
      <c r="N38" s="25"/>
      <c r="O38" s="25"/>
      <c r="P38" s="25"/>
      <c r="Q38" s="25"/>
      <c r="R38" s="26"/>
    </row>
    <row r="39" spans="1:18" x14ac:dyDescent="0.2">
      <c r="A39" s="18">
        <v>40238</v>
      </c>
      <c r="B39" s="19" t="s">
        <v>0</v>
      </c>
      <c r="C39" s="20" t="s">
        <v>851</v>
      </c>
      <c r="D39" s="19" t="s">
        <v>11</v>
      </c>
      <c r="E39" s="20" t="s">
        <v>852</v>
      </c>
      <c r="F39" s="19">
        <v>0</v>
      </c>
      <c r="H39" s="16" t="s">
        <v>7</v>
      </c>
      <c r="I39" s="24"/>
      <c r="J39" s="25"/>
      <c r="K39" s="25"/>
      <c r="L39" s="25"/>
      <c r="M39" s="25" t="s">
        <v>885</v>
      </c>
      <c r="N39" s="25"/>
      <c r="O39" s="25"/>
      <c r="P39" s="25"/>
      <c r="Q39" s="25"/>
      <c r="R39" s="26"/>
    </row>
    <row r="40" spans="1:18" x14ac:dyDescent="0.2">
      <c r="A40" s="18">
        <v>40239</v>
      </c>
      <c r="B40" s="19" t="s">
        <v>17</v>
      </c>
      <c r="C40" s="20" t="s">
        <v>853</v>
      </c>
      <c r="D40" s="19" t="s">
        <v>5</v>
      </c>
      <c r="E40" s="20" t="s">
        <v>854</v>
      </c>
      <c r="F40" s="19">
        <v>2</v>
      </c>
      <c r="H40" s="16" t="s">
        <v>9</v>
      </c>
      <c r="I40" s="24"/>
      <c r="J40" s="25"/>
      <c r="K40" s="25"/>
      <c r="L40" s="25"/>
      <c r="M40" s="25"/>
      <c r="N40" s="25"/>
      <c r="O40" s="25"/>
      <c r="P40" s="25"/>
      <c r="Q40" s="25"/>
      <c r="R40" s="26"/>
    </row>
    <row r="41" spans="1:18" x14ac:dyDescent="0.2">
      <c r="A41" s="18">
        <v>40241</v>
      </c>
      <c r="B41" s="19" t="s">
        <v>13</v>
      </c>
      <c r="C41" s="20" t="s">
        <v>857</v>
      </c>
      <c r="D41" s="19" t="s">
        <v>357</v>
      </c>
      <c r="E41" s="20" t="s">
        <v>858</v>
      </c>
      <c r="F41" s="19">
        <v>2</v>
      </c>
      <c r="H41" s="16" t="s">
        <v>844</v>
      </c>
      <c r="I41" s="25"/>
      <c r="J41" s="25"/>
      <c r="K41" s="25" t="s">
        <v>842</v>
      </c>
      <c r="L41" s="25"/>
      <c r="M41" s="25"/>
      <c r="N41" s="25" t="s">
        <v>843</v>
      </c>
      <c r="O41" s="25" t="s">
        <v>913</v>
      </c>
      <c r="P41" s="25" t="s">
        <v>912</v>
      </c>
      <c r="Q41" s="25"/>
      <c r="R41" s="26"/>
    </row>
    <row r="42" spans="1:18" x14ac:dyDescent="0.2">
      <c r="A42" s="18">
        <v>40241</v>
      </c>
      <c r="B42" s="19" t="s">
        <v>357</v>
      </c>
      <c r="C42" s="20" t="s">
        <v>861</v>
      </c>
      <c r="D42" s="19" t="s">
        <v>19</v>
      </c>
      <c r="E42" s="20" t="s">
        <v>862</v>
      </c>
      <c r="F42" s="19">
        <v>2</v>
      </c>
      <c r="H42" s="16" t="s">
        <v>12</v>
      </c>
      <c r="I42" s="25"/>
      <c r="J42" s="25"/>
      <c r="K42" s="25"/>
      <c r="L42" s="25"/>
      <c r="M42" s="25"/>
      <c r="N42" s="25"/>
      <c r="O42" s="25"/>
      <c r="P42" s="25" t="s">
        <v>894</v>
      </c>
      <c r="Q42" s="25"/>
      <c r="R42" s="26"/>
    </row>
    <row r="43" spans="1:18" x14ac:dyDescent="0.2">
      <c r="A43" s="18">
        <v>40241</v>
      </c>
      <c r="B43" s="19" t="s">
        <v>11</v>
      </c>
      <c r="C43" s="20" t="s">
        <v>865</v>
      </c>
      <c r="D43" s="19" t="s">
        <v>19</v>
      </c>
      <c r="E43" s="20" t="s">
        <v>866</v>
      </c>
      <c r="F43" s="19">
        <v>0</v>
      </c>
      <c r="H43" s="16" t="s">
        <v>5</v>
      </c>
      <c r="I43" s="24" t="s">
        <v>400</v>
      </c>
      <c r="J43" s="25" t="s">
        <v>377</v>
      </c>
      <c r="K43" s="25"/>
      <c r="L43" s="25"/>
      <c r="M43" s="25" t="s">
        <v>425</v>
      </c>
      <c r="N43" s="25"/>
      <c r="O43" s="25"/>
      <c r="P43" s="25" t="s">
        <v>904</v>
      </c>
      <c r="Q43" s="25"/>
      <c r="R43" s="26"/>
    </row>
    <row r="44" spans="1:18" x14ac:dyDescent="0.2">
      <c r="A44" s="18">
        <v>40245</v>
      </c>
      <c r="B44" s="19" t="s">
        <v>0</v>
      </c>
      <c r="C44" s="20" t="s">
        <v>868</v>
      </c>
      <c r="D44" s="19" t="s">
        <v>3</v>
      </c>
      <c r="E44" s="20" t="s">
        <v>870</v>
      </c>
      <c r="F44" s="19">
        <v>1</v>
      </c>
      <c r="H44" s="16" t="s">
        <v>16</v>
      </c>
      <c r="I44" s="24"/>
      <c r="J44" s="25"/>
      <c r="K44" s="25" t="s">
        <v>619</v>
      </c>
      <c r="L44" s="25"/>
      <c r="M44" s="25"/>
      <c r="N44" s="25"/>
      <c r="O44" s="25" t="s">
        <v>908</v>
      </c>
      <c r="P44" s="25"/>
      <c r="Q44" s="25" t="s">
        <v>725</v>
      </c>
      <c r="R44" s="26" t="s">
        <v>620</v>
      </c>
    </row>
    <row r="45" spans="1:18" ht="13.5" thickBot="1" x14ac:dyDescent="0.25">
      <c r="A45" s="18">
        <v>40248</v>
      </c>
      <c r="B45" s="19" t="s">
        <v>357</v>
      </c>
      <c r="C45" s="20" t="s">
        <v>872</v>
      </c>
      <c r="D45" s="19" t="s">
        <v>19</v>
      </c>
      <c r="E45" s="20" t="s">
        <v>873</v>
      </c>
      <c r="F45" s="19">
        <v>1</v>
      </c>
      <c r="H45" s="17" t="s">
        <v>19</v>
      </c>
      <c r="I45" s="27" t="s">
        <v>869</v>
      </c>
      <c r="J45" s="28"/>
      <c r="K45" s="28"/>
      <c r="L45" s="28"/>
      <c r="M45" s="28" t="s">
        <v>863</v>
      </c>
      <c r="N45" s="28"/>
      <c r="O45" s="28"/>
      <c r="P45" s="28"/>
      <c r="Q45" s="28"/>
      <c r="R45" s="29"/>
    </row>
    <row r="46" spans="1:18" x14ac:dyDescent="0.2">
      <c r="A46" s="18">
        <v>40248</v>
      </c>
      <c r="B46" s="19" t="s">
        <v>18</v>
      </c>
      <c r="C46" s="20" t="s">
        <v>874</v>
      </c>
      <c r="D46" s="19" t="s">
        <v>357</v>
      </c>
      <c r="E46" s="20" t="s">
        <v>875</v>
      </c>
      <c r="F46" s="19">
        <v>1</v>
      </c>
      <c r="R46" s="2">
        <f>COUNTA(I26:R45)</f>
        <v>52</v>
      </c>
    </row>
    <row r="47" spans="1:18" x14ac:dyDescent="0.2">
      <c r="A47" s="18">
        <v>40252</v>
      </c>
      <c r="B47" s="19" t="s">
        <v>8</v>
      </c>
      <c r="C47" s="20" t="s">
        <v>876</v>
      </c>
      <c r="D47" s="19" t="s">
        <v>11</v>
      </c>
      <c r="E47" s="20" t="s">
        <v>877</v>
      </c>
      <c r="F47" s="19">
        <v>0</v>
      </c>
    </row>
    <row r="48" spans="1:18" x14ac:dyDescent="0.2">
      <c r="A48" s="18">
        <v>40252</v>
      </c>
      <c r="B48" s="19" t="s">
        <v>13</v>
      </c>
      <c r="C48" s="20" t="s">
        <v>879</v>
      </c>
      <c r="D48" s="19" t="s">
        <v>0</v>
      </c>
      <c r="E48" s="20" t="s">
        <v>880</v>
      </c>
      <c r="F48" s="19">
        <v>1</v>
      </c>
      <c r="H48" s="47" t="s">
        <v>226</v>
      </c>
      <c r="I48" s="47"/>
      <c r="J48" s="6" t="s">
        <v>225</v>
      </c>
      <c r="K48" s="6" t="s">
        <v>224</v>
      </c>
      <c r="L48" s="6" t="s">
        <v>223</v>
      </c>
    </row>
    <row r="49" spans="1:12" x14ac:dyDescent="0.2">
      <c r="A49" s="18">
        <v>40255</v>
      </c>
      <c r="B49" s="19" t="s">
        <v>0</v>
      </c>
      <c r="C49" s="20" t="s">
        <v>881</v>
      </c>
      <c r="D49" s="19" t="s">
        <v>3</v>
      </c>
      <c r="E49" s="20" t="s">
        <v>882</v>
      </c>
      <c r="F49" s="19">
        <v>0</v>
      </c>
      <c r="H49" s="4" t="s">
        <v>17</v>
      </c>
      <c r="I49" s="4">
        <f t="shared" ref="I49:I68" si="0">COUNTIF($B$2:$B$106,H49)+COUNTIF($D$2:$D$106,H49)</f>
        <v>8</v>
      </c>
      <c r="J49" s="4"/>
      <c r="K49" s="4"/>
      <c r="L49" s="4"/>
    </row>
    <row r="50" spans="1:12" x14ac:dyDescent="0.2">
      <c r="A50" s="18">
        <v>40257</v>
      </c>
      <c r="B50" s="19" t="s">
        <v>13</v>
      </c>
      <c r="C50" s="20" t="s">
        <v>888</v>
      </c>
      <c r="D50" s="19" t="s">
        <v>3</v>
      </c>
      <c r="E50" s="20" t="s">
        <v>889</v>
      </c>
      <c r="F50" s="19">
        <v>0</v>
      </c>
      <c r="H50" s="4" t="s">
        <v>4</v>
      </c>
      <c r="I50" s="4">
        <f t="shared" si="0"/>
        <v>3</v>
      </c>
      <c r="J50" s="4"/>
      <c r="K50" s="4"/>
      <c r="L50" s="4"/>
    </row>
    <row r="51" spans="1:12" x14ac:dyDescent="0.2">
      <c r="A51" s="18">
        <v>40263</v>
      </c>
      <c r="B51" s="19" t="s">
        <v>7</v>
      </c>
      <c r="C51" s="20" t="s">
        <v>883</v>
      </c>
      <c r="D51" s="19" t="s">
        <v>16</v>
      </c>
      <c r="E51" s="20" t="s">
        <v>884</v>
      </c>
      <c r="F51" s="19">
        <v>1</v>
      </c>
      <c r="H51" s="4" t="s">
        <v>8</v>
      </c>
      <c r="I51" s="4">
        <f t="shared" si="0"/>
        <v>9</v>
      </c>
      <c r="J51" s="4"/>
      <c r="K51" s="4"/>
      <c r="L51" s="4"/>
    </row>
    <row r="52" spans="1:12" x14ac:dyDescent="0.2">
      <c r="A52" s="18">
        <v>40263</v>
      </c>
      <c r="B52" s="19" t="s">
        <v>17</v>
      </c>
      <c r="C52" s="20" t="s">
        <v>886</v>
      </c>
      <c r="D52" s="19" t="s">
        <v>16</v>
      </c>
      <c r="E52" s="20" t="s">
        <v>887</v>
      </c>
      <c r="F52" s="19">
        <v>0</v>
      </c>
      <c r="H52" s="4" t="s">
        <v>18</v>
      </c>
      <c r="I52" s="4">
        <f t="shared" si="0"/>
        <v>9</v>
      </c>
      <c r="J52" s="4"/>
      <c r="K52" s="4"/>
      <c r="L52" s="4"/>
    </row>
    <row r="53" spans="1:12" x14ac:dyDescent="0.2">
      <c r="A53" s="18">
        <v>40269</v>
      </c>
      <c r="B53" s="19" t="s">
        <v>8</v>
      </c>
      <c r="C53" s="20" t="s">
        <v>890</v>
      </c>
      <c r="D53" s="19" t="s">
        <v>16</v>
      </c>
      <c r="E53" s="20" t="s">
        <v>291</v>
      </c>
      <c r="F53" s="19">
        <v>1</v>
      </c>
      <c r="H53" s="4" t="s">
        <v>13</v>
      </c>
      <c r="I53" s="4">
        <f t="shared" si="0"/>
        <v>7</v>
      </c>
      <c r="J53" s="4"/>
      <c r="K53" s="4"/>
      <c r="L53" s="4"/>
    </row>
    <row r="54" spans="1:12" x14ac:dyDescent="0.2">
      <c r="A54" s="18">
        <v>40273</v>
      </c>
      <c r="B54" s="19" t="s">
        <v>357</v>
      </c>
      <c r="C54" s="20" t="s">
        <v>895</v>
      </c>
      <c r="D54" s="19" t="s">
        <v>12</v>
      </c>
      <c r="E54" s="20" t="s">
        <v>896</v>
      </c>
      <c r="F54" s="19">
        <v>2</v>
      </c>
      <c r="H54" s="4" t="s">
        <v>0</v>
      </c>
      <c r="I54" s="4">
        <f t="shared" si="0"/>
        <v>9</v>
      </c>
      <c r="J54" s="4"/>
      <c r="K54" s="4"/>
      <c r="L54" s="4"/>
    </row>
    <row r="55" spans="1:12" x14ac:dyDescent="0.2">
      <c r="A55" s="18">
        <v>40273</v>
      </c>
      <c r="B55" s="19" t="s">
        <v>13</v>
      </c>
      <c r="C55" s="20" t="s">
        <v>897</v>
      </c>
      <c r="D55" s="19" t="s">
        <v>12</v>
      </c>
      <c r="E55" s="20" t="s">
        <v>898</v>
      </c>
      <c r="F55" s="19">
        <v>0</v>
      </c>
      <c r="H55" s="4" t="s">
        <v>11</v>
      </c>
      <c r="I55" s="4">
        <f t="shared" si="0"/>
        <v>5</v>
      </c>
      <c r="J55" s="4"/>
      <c r="K55" s="4"/>
      <c r="L55" s="4"/>
    </row>
    <row r="56" spans="1:12" x14ac:dyDescent="0.2">
      <c r="A56" s="18">
        <v>40273</v>
      </c>
      <c r="B56" s="19" t="s">
        <v>13</v>
      </c>
      <c r="C56" s="20" t="s">
        <v>899</v>
      </c>
      <c r="D56" s="19" t="s">
        <v>844</v>
      </c>
      <c r="E56" s="20" t="s">
        <v>900</v>
      </c>
      <c r="F56" s="19">
        <v>1</v>
      </c>
      <c r="H56" s="4" t="s">
        <v>14</v>
      </c>
      <c r="I56" s="4">
        <f t="shared" si="0"/>
        <v>2</v>
      </c>
      <c r="J56" s="4"/>
      <c r="K56" s="4"/>
      <c r="L56" s="4"/>
    </row>
    <row r="57" spans="1:12" x14ac:dyDescent="0.2">
      <c r="A57" s="18">
        <v>40273</v>
      </c>
      <c r="B57" s="19" t="s">
        <v>17</v>
      </c>
      <c r="C57" s="20" t="s">
        <v>902</v>
      </c>
      <c r="D57" s="19" t="s">
        <v>16</v>
      </c>
      <c r="E57" s="20" t="s">
        <v>903</v>
      </c>
      <c r="F57" s="19">
        <v>0</v>
      </c>
      <c r="H57" s="4" t="s">
        <v>2</v>
      </c>
      <c r="I57" s="4">
        <f t="shared" si="0"/>
        <v>0</v>
      </c>
      <c r="J57" s="4"/>
      <c r="K57" s="4"/>
      <c r="L57" s="4"/>
    </row>
    <row r="58" spans="1:12" x14ac:dyDescent="0.2">
      <c r="A58" s="18">
        <v>40293</v>
      </c>
      <c r="B58" s="19" t="s">
        <v>5</v>
      </c>
      <c r="C58" s="20" t="s">
        <v>905</v>
      </c>
      <c r="D58" s="19" t="s">
        <v>906</v>
      </c>
      <c r="E58" s="20" t="s">
        <v>907</v>
      </c>
      <c r="F58" s="19">
        <v>1</v>
      </c>
      <c r="H58" s="4" t="s">
        <v>10</v>
      </c>
      <c r="I58" s="4">
        <f t="shared" si="0"/>
        <v>8</v>
      </c>
      <c r="J58" s="4"/>
      <c r="K58" s="4"/>
      <c r="L58" s="4"/>
    </row>
    <row r="59" spans="1:12" x14ac:dyDescent="0.2">
      <c r="A59" s="18">
        <v>40294</v>
      </c>
      <c r="B59" s="19" t="s">
        <v>16</v>
      </c>
      <c r="C59" s="20" t="s">
        <v>909</v>
      </c>
      <c r="D59" s="19" t="s">
        <v>906</v>
      </c>
      <c r="E59" s="20" t="s">
        <v>910</v>
      </c>
      <c r="F59" s="19">
        <v>1</v>
      </c>
      <c r="H59" s="4" t="s">
        <v>6</v>
      </c>
      <c r="I59" s="4">
        <f t="shared" si="0"/>
        <v>2</v>
      </c>
      <c r="J59" s="4"/>
      <c r="K59" s="4"/>
      <c r="L59" s="4"/>
    </row>
    <row r="60" spans="1:12" x14ac:dyDescent="0.2">
      <c r="A60" s="18">
        <v>40299</v>
      </c>
      <c r="B60" s="19" t="s">
        <v>8</v>
      </c>
      <c r="C60" s="20" t="s">
        <v>914</v>
      </c>
      <c r="D60" s="19" t="s">
        <v>906</v>
      </c>
      <c r="E60" s="20" t="s">
        <v>915</v>
      </c>
      <c r="F60" s="19">
        <v>1</v>
      </c>
      <c r="H60" s="4" t="s">
        <v>357</v>
      </c>
      <c r="I60" s="4">
        <f t="shared" si="0"/>
        <v>11</v>
      </c>
      <c r="J60" s="4"/>
      <c r="K60" s="4"/>
      <c r="L60" s="4"/>
    </row>
    <row r="61" spans="1:12" x14ac:dyDescent="0.2">
      <c r="A61" s="18">
        <v>40299</v>
      </c>
      <c r="B61" s="19" t="s">
        <v>844</v>
      </c>
      <c r="C61" s="20" t="s">
        <v>916</v>
      </c>
      <c r="D61" s="19" t="s">
        <v>906</v>
      </c>
      <c r="E61" s="20" t="s">
        <v>917</v>
      </c>
      <c r="F61" s="19">
        <v>1</v>
      </c>
      <c r="H61" s="4" t="s">
        <v>3</v>
      </c>
      <c r="I61" s="4">
        <f t="shared" si="0"/>
        <v>6</v>
      </c>
      <c r="J61" s="4"/>
      <c r="K61" s="4"/>
      <c r="L61" s="4"/>
    </row>
    <row r="62" spans="1:12" x14ac:dyDescent="0.2">
      <c r="A62" s="18">
        <v>40299</v>
      </c>
      <c r="B62" s="19" t="s">
        <v>844</v>
      </c>
      <c r="C62" s="20" t="s">
        <v>919</v>
      </c>
      <c r="D62" s="19" t="s">
        <v>906</v>
      </c>
      <c r="E62" s="20" t="s">
        <v>918</v>
      </c>
      <c r="F62" s="19">
        <v>1</v>
      </c>
      <c r="H62" s="4" t="s">
        <v>7</v>
      </c>
      <c r="I62" s="4">
        <f t="shared" si="0"/>
        <v>4</v>
      </c>
      <c r="J62" s="4"/>
      <c r="K62" s="4"/>
      <c r="L62" s="4"/>
    </row>
    <row r="63" spans="1:12" x14ac:dyDescent="0.2">
      <c r="A63" s="18"/>
      <c r="B63" s="19"/>
      <c r="C63" s="20"/>
      <c r="D63" s="19"/>
      <c r="E63" s="20"/>
      <c r="F63" s="19"/>
      <c r="H63" s="4" t="s">
        <v>9</v>
      </c>
      <c r="I63" s="4">
        <f t="shared" si="0"/>
        <v>4</v>
      </c>
      <c r="J63" s="4"/>
      <c r="K63" s="4"/>
      <c r="L63" s="4"/>
    </row>
    <row r="64" spans="1:12" x14ac:dyDescent="0.2">
      <c r="A64" s="18"/>
      <c r="B64" s="19"/>
      <c r="C64" s="20"/>
      <c r="D64" s="19"/>
      <c r="E64" s="20"/>
      <c r="F64" s="19"/>
      <c r="H64" s="4" t="s">
        <v>844</v>
      </c>
      <c r="I64" s="4">
        <f t="shared" si="0"/>
        <v>6</v>
      </c>
      <c r="J64" s="4"/>
      <c r="K64" s="4"/>
      <c r="L64" s="4"/>
    </row>
    <row r="65" spans="1:12" x14ac:dyDescent="0.2">
      <c r="A65" s="18"/>
      <c r="B65" s="19"/>
      <c r="C65" s="20"/>
      <c r="D65" s="19"/>
      <c r="E65" s="20"/>
      <c r="F65" s="19"/>
      <c r="H65" s="4" t="s">
        <v>12</v>
      </c>
      <c r="I65" s="4">
        <f t="shared" si="0"/>
        <v>6</v>
      </c>
      <c r="J65" s="4"/>
      <c r="K65" s="4"/>
      <c r="L65" s="4"/>
    </row>
    <row r="66" spans="1:12" x14ac:dyDescent="0.2">
      <c r="A66" s="18"/>
      <c r="B66" s="19"/>
      <c r="C66" s="20"/>
      <c r="D66" s="19"/>
      <c r="E66" s="20"/>
      <c r="F66" s="19"/>
      <c r="H66" s="4" t="s">
        <v>5</v>
      </c>
      <c r="I66" s="4">
        <f t="shared" si="0"/>
        <v>6</v>
      </c>
      <c r="J66" s="4"/>
      <c r="K66" s="4"/>
      <c r="L66" s="4"/>
    </row>
    <row r="67" spans="1:12" x14ac:dyDescent="0.2">
      <c r="A67" s="18"/>
      <c r="B67" s="19"/>
      <c r="C67" s="20"/>
      <c r="D67" s="19"/>
      <c r="E67" s="20"/>
      <c r="F67" s="19"/>
      <c r="H67" s="4" t="s">
        <v>16</v>
      </c>
      <c r="I67" s="4">
        <f t="shared" si="0"/>
        <v>8</v>
      </c>
      <c r="J67" s="4"/>
      <c r="K67" s="4"/>
      <c r="L67" s="4"/>
    </row>
    <row r="68" spans="1:12" x14ac:dyDescent="0.2">
      <c r="A68" s="18"/>
      <c r="B68" s="19"/>
      <c r="C68" s="20"/>
      <c r="D68" s="19"/>
      <c r="E68" s="20"/>
      <c r="F68" s="19"/>
      <c r="H68" s="4" t="s">
        <v>19</v>
      </c>
      <c r="I68" s="4">
        <f t="shared" si="0"/>
        <v>4</v>
      </c>
      <c r="J68" s="4"/>
      <c r="K68" s="4"/>
      <c r="L68" s="4"/>
    </row>
    <row r="69" spans="1:12" x14ac:dyDescent="0.2">
      <c r="A69" s="18"/>
      <c r="B69" s="19"/>
      <c r="C69" s="20"/>
      <c r="D69" s="19"/>
      <c r="E69" s="20"/>
      <c r="F69" s="19"/>
      <c r="H69" s="4" t="s">
        <v>94</v>
      </c>
      <c r="I69" s="4">
        <f t="shared" ref="I69" si="1">COUNTIF($B$2:$B$106,H69)+COUNTIF($D$2:$D$106,H69)</f>
        <v>0</v>
      </c>
      <c r="J69" s="4"/>
      <c r="K69" s="4"/>
      <c r="L69" s="4"/>
    </row>
    <row r="70" spans="1:12" x14ac:dyDescent="0.2">
      <c r="A70" s="18"/>
      <c r="B70" s="19"/>
      <c r="C70" s="20"/>
      <c r="D70" s="19"/>
      <c r="E70" s="20"/>
      <c r="F70" s="19"/>
    </row>
    <row r="71" spans="1:12" x14ac:dyDescent="0.2">
      <c r="A71" s="18"/>
      <c r="B71" s="19"/>
      <c r="C71" s="20"/>
      <c r="D71" s="19"/>
      <c r="E71" s="20"/>
      <c r="F71" s="19"/>
    </row>
    <row r="72" spans="1:12" x14ac:dyDescent="0.2">
      <c r="A72" s="18"/>
      <c r="B72" s="19"/>
      <c r="C72" s="20"/>
      <c r="D72" s="19"/>
      <c r="E72" s="20"/>
      <c r="F72" s="19"/>
    </row>
    <row r="73" spans="1:12" x14ac:dyDescent="0.2">
      <c r="A73" s="18"/>
      <c r="B73" s="19"/>
      <c r="C73" s="20"/>
      <c r="D73" s="19"/>
      <c r="E73" s="20"/>
      <c r="F73" s="19"/>
    </row>
    <row r="74" spans="1:12" x14ac:dyDescent="0.2">
      <c r="A74" s="18"/>
      <c r="B74" s="19"/>
      <c r="C74" s="20"/>
      <c r="D74" s="19"/>
      <c r="E74" s="20"/>
      <c r="F74" s="19"/>
    </row>
    <row r="75" spans="1:12" x14ac:dyDescent="0.2">
      <c r="A75" s="18"/>
      <c r="B75" s="19"/>
      <c r="C75" s="20"/>
      <c r="D75" s="19"/>
      <c r="E75" s="20"/>
      <c r="F75" s="19"/>
    </row>
    <row r="76" spans="1:12" x14ac:dyDescent="0.2">
      <c r="A76" s="18"/>
      <c r="B76" s="19"/>
      <c r="C76" s="20"/>
      <c r="D76" s="19"/>
      <c r="E76" s="20"/>
      <c r="F76" s="19"/>
    </row>
    <row r="77" spans="1:12" x14ac:dyDescent="0.2">
      <c r="A77" s="18"/>
      <c r="B77" s="19"/>
      <c r="C77" s="20"/>
      <c r="D77" s="19"/>
      <c r="E77" s="20"/>
      <c r="F77" s="19"/>
    </row>
    <row r="78" spans="1:12" x14ac:dyDescent="0.2">
      <c r="A78" s="18"/>
      <c r="B78" s="19"/>
      <c r="C78" s="20"/>
      <c r="D78" s="19"/>
      <c r="E78" s="20"/>
      <c r="F78" s="19"/>
    </row>
    <row r="79" spans="1:12" x14ac:dyDescent="0.2">
      <c r="A79" s="18"/>
      <c r="B79" s="19"/>
      <c r="C79" s="20"/>
      <c r="D79" s="19"/>
      <c r="E79" s="20"/>
      <c r="F79" s="19"/>
    </row>
    <row r="80" spans="1:12" x14ac:dyDescent="0.2">
      <c r="A80" s="18"/>
      <c r="B80" s="19"/>
      <c r="C80" s="20"/>
      <c r="D80" s="19"/>
      <c r="E80" s="20"/>
      <c r="F80" s="19"/>
    </row>
    <row r="81" spans="1:6" x14ac:dyDescent="0.2">
      <c r="A81" s="18"/>
      <c r="B81" s="19"/>
      <c r="C81" s="20"/>
      <c r="D81" s="19"/>
      <c r="E81" s="20"/>
      <c r="F81" s="19"/>
    </row>
    <row r="82" spans="1:6" x14ac:dyDescent="0.2">
      <c r="A82" s="18"/>
      <c r="B82" s="19"/>
      <c r="C82" s="20"/>
      <c r="D82" s="19"/>
      <c r="E82" s="20"/>
      <c r="F82" s="19"/>
    </row>
    <row r="83" spans="1:6" x14ac:dyDescent="0.2">
      <c r="A83" s="18"/>
      <c r="B83" s="19"/>
      <c r="C83" s="20"/>
      <c r="D83" s="19"/>
      <c r="E83" s="20"/>
      <c r="F83" s="19"/>
    </row>
    <row r="84" spans="1:6" x14ac:dyDescent="0.2">
      <c r="A84" s="18"/>
      <c r="B84" s="19"/>
      <c r="C84" s="20"/>
      <c r="D84" s="19"/>
      <c r="E84" s="20"/>
      <c r="F84" s="19"/>
    </row>
    <row r="85" spans="1:6" x14ac:dyDescent="0.2">
      <c r="A85" s="18"/>
      <c r="B85" s="19"/>
      <c r="C85" s="20"/>
      <c r="D85" s="19"/>
      <c r="E85" s="20"/>
      <c r="F85" s="19"/>
    </row>
    <row r="86" spans="1:6" x14ac:dyDescent="0.2">
      <c r="A86" s="18"/>
      <c r="B86" s="19"/>
      <c r="C86" s="20"/>
      <c r="D86" s="19"/>
      <c r="E86" s="20"/>
      <c r="F86" s="19"/>
    </row>
    <row r="87" spans="1:6" x14ac:dyDescent="0.2">
      <c r="A87" s="18"/>
      <c r="B87" s="19"/>
      <c r="C87" s="20"/>
      <c r="D87" s="19"/>
      <c r="E87" s="20"/>
      <c r="F87" s="19"/>
    </row>
    <row r="88" spans="1:6" x14ac:dyDescent="0.2">
      <c r="A88" s="18"/>
      <c r="B88" s="19"/>
      <c r="C88" s="20"/>
      <c r="D88" s="19"/>
      <c r="E88" s="20"/>
      <c r="F88" s="19"/>
    </row>
    <row r="89" spans="1:6" x14ac:dyDescent="0.2">
      <c r="A89" s="18"/>
      <c r="B89" s="19"/>
      <c r="C89" s="20"/>
      <c r="D89" s="19"/>
      <c r="E89" s="20"/>
      <c r="F89" s="19"/>
    </row>
    <row r="90" spans="1:6" x14ac:dyDescent="0.2">
      <c r="A90" s="18"/>
      <c r="B90" s="19"/>
      <c r="C90" s="20"/>
      <c r="D90" s="19"/>
      <c r="E90" s="20"/>
      <c r="F90" s="19"/>
    </row>
    <row r="91" spans="1:6" x14ac:dyDescent="0.2">
      <c r="A91" s="18"/>
      <c r="B91" s="19"/>
      <c r="C91" s="20"/>
      <c r="D91" s="19"/>
      <c r="E91" s="20"/>
      <c r="F91" s="19"/>
    </row>
    <row r="92" spans="1:6" x14ac:dyDescent="0.2">
      <c r="A92" s="18"/>
      <c r="B92" s="19"/>
      <c r="C92" s="20"/>
      <c r="D92" s="19"/>
      <c r="E92" s="20"/>
      <c r="F92" s="19"/>
    </row>
    <row r="93" spans="1:6" x14ac:dyDescent="0.2">
      <c r="A93" s="18"/>
      <c r="B93" s="19"/>
      <c r="C93" s="20"/>
      <c r="D93" s="19"/>
      <c r="E93" s="20"/>
      <c r="F93" s="19"/>
    </row>
    <row r="94" spans="1:6" x14ac:dyDescent="0.2">
      <c r="A94" s="18"/>
      <c r="B94" s="19"/>
      <c r="C94" s="20"/>
      <c r="D94" s="19"/>
      <c r="E94" s="20"/>
      <c r="F94" s="19"/>
    </row>
    <row r="95" spans="1:6" x14ac:dyDescent="0.2">
      <c r="A95" s="18"/>
      <c r="B95" s="19"/>
      <c r="C95" s="20"/>
      <c r="D95" s="19"/>
      <c r="E95" s="20"/>
      <c r="F95" s="19"/>
    </row>
    <row r="96" spans="1:6" x14ac:dyDescent="0.2">
      <c r="A96" s="18"/>
      <c r="B96" s="19"/>
      <c r="C96" s="20"/>
      <c r="D96" s="19"/>
      <c r="E96" s="20"/>
      <c r="F96" s="19"/>
    </row>
    <row r="97" spans="1:6" x14ac:dyDescent="0.2">
      <c r="A97" s="18"/>
      <c r="B97" s="19"/>
      <c r="C97" s="20"/>
      <c r="D97" s="19"/>
      <c r="E97" s="20"/>
      <c r="F97" s="19"/>
    </row>
    <row r="98" spans="1:6" x14ac:dyDescent="0.2">
      <c r="A98" s="18"/>
      <c r="B98" s="19"/>
      <c r="C98" s="20"/>
      <c r="D98" s="19"/>
      <c r="E98" s="20"/>
      <c r="F98" s="19"/>
    </row>
    <row r="99" spans="1:6" x14ac:dyDescent="0.2">
      <c r="A99" s="18"/>
      <c r="B99" s="19"/>
      <c r="C99" s="20"/>
      <c r="D99" s="19"/>
      <c r="E99" s="20"/>
      <c r="F99" s="19"/>
    </row>
    <row r="100" spans="1:6" x14ac:dyDescent="0.2">
      <c r="A100" s="18"/>
      <c r="B100" s="19"/>
      <c r="C100" s="20"/>
      <c r="D100" s="19"/>
      <c r="E100" s="20"/>
      <c r="F100" s="19"/>
    </row>
    <row r="101" spans="1:6" x14ac:dyDescent="0.2">
      <c r="A101" s="18"/>
      <c r="B101" s="19"/>
      <c r="C101" s="20"/>
      <c r="D101" s="19"/>
      <c r="E101" s="20"/>
      <c r="F101" s="19"/>
    </row>
    <row r="102" spans="1:6" x14ac:dyDescent="0.2">
      <c r="A102" s="18"/>
      <c r="B102" s="19"/>
      <c r="C102" s="20"/>
      <c r="D102" s="19"/>
      <c r="E102" s="20"/>
      <c r="F102" s="19"/>
    </row>
    <row r="103" spans="1:6" x14ac:dyDescent="0.2">
      <c r="A103" s="18"/>
      <c r="B103" s="19"/>
      <c r="C103" s="20"/>
      <c r="D103" s="19"/>
      <c r="E103" s="20"/>
      <c r="F103" s="19"/>
    </row>
    <row r="104" spans="1:6" x14ac:dyDescent="0.2">
      <c r="A104" s="18"/>
      <c r="B104" s="19"/>
      <c r="C104" s="20"/>
      <c r="D104" s="19"/>
      <c r="E104" s="20"/>
      <c r="F104" s="19"/>
    </row>
    <row r="105" spans="1:6" x14ac:dyDescent="0.2">
      <c r="A105" s="18"/>
      <c r="B105" s="19"/>
      <c r="C105" s="20"/>
      <c r="D105" s="19"/>
      <c r="E105" s="20"/>
      <c r="F105" s="19"/>
    </row>
    <row r="106" spans="1:6" x14ac:dyDescent="0.2">
      <c r="A106" s="18"/>
      <c r="B106" s="19"/>
      <c r="C106" s="20"/>
      <c r="D106" s="19"/>
      <c r="E106" s="20"/>
      <c r="F106" s="19"/>
    </row>
    <row r="107" spans="1:6" ht="13.5" thickBot="1" x14ac:dyDescent="0.25">
      <c r="A107" s="7"/>
      <c r="B107" s="8"/>
      <c r="C107" s="9"/>
      <c r="D107" s="8"/>
      <c r="E107" s="9"/>
      <c r="F107" s="8"/>
    </row>
    <row r="108" spans="1:6" x14ac:dyDescent="0.2">
      <c r="A108" s="3"/>
      <c r="B108" s="4"/>
      <c r="C108" s="5"/>
      <c r="D108" s="4"/>
      <c r="E108" s="5"/>
      <c r="F108" s="4"/>
    </row>
    <row r="109" spans="1:6" x14ac:dyDescent="0.2">
      <c r="A109" s="3"/>
      <c r="B109" s="4"/>
      <c r="C109" s="5"/>
      <c r="D109" s="4"/>
      <c r="E109" s="5"/>
      <c r="F109" s="4"/>
    </row>
    <row r="110" spans="1:6" x14ac:dyDescent="0.2">
      <c r="A110" s="3"/>
      <c r="B110" s="4"/>
      <c r="C110" s="5"/>
      <c r="D110" s="4"/>
      <c r="E110" s="5"/>
      <c r="F110" s="4"/>
    </row>
    <row r="111" spans="1:6" x14ac:dyDescent="0.2">
      <c r="A111" s="3"/>
      <c r="B111" s="4"/>
      <c r="C111" s="5"/>
      <c r="D111" s="4"/>
      <c r="E111" s="5"/>
      <c r="F111" s="4"/>
    </row>
    <row r="112" spans="1:6" x14ac:dyDescent="0.2">
      <c r="A112" s="3"/>
      <c r="B112" s="4"/>
      <c r="C112" s="5"/>
      <c r="D112" s="4"/>
      <c r="E112" s="5"/>
      <c r="F112" s="4"/>
    </row>
    <row r="113" spans="1:6" x14ac:dyDescent="0.2">
      <c r="A113" s="3"/>
      <c r="B113" s="4"/>
      <c r="C113" s="5"/>
      <c r="D113" s="4"/>
      <c r="E113" s="5"/>
      <c r="F113" s="4"/>
    </row>
    <row r="114" spans="1:6" x14ac:dyDescent="0.2">
      <c r="A114" s="3"/>
      <c r="B114" s="4"/>
      <c r="C114" s="5"/>
      <c r="D114" s="4"/>
      <c r="E114" s="5"/>
      <c r="F114" s="4"/>
    </row>
    <row r="115" spans="1:6" x14ac:dyDescent="0.2">
      <c r="A115" s="3"/>
      <c r="B115" s="4"/>
      <c r="C115" s="5"/>
      <c r="D115" s="4"/>
      <c r="E115" s="5"/>
      <c r="F115" s="4"/>
    </row>
    <row r="116" spans="1:6" x14ac:dyDescent="0.2">
      <c r="A116" s="3"/>
      <c r="B116" s="4"/>
      <c r="C116" s="5"/>
      <c r="D116" s="4"/>
      <c r="E116" s="5"/>
      <c r="F116" s="4"/>
    </row>
    <row r="117" spans="1:6" x14ac:dyDescent="0.2">
      <c r="A117" s="3"/>
      <c r="B117" s="4"/>
      <c r="C117" s="5"/>
      <c r="D117" s="4"/>
      <c r="E117" s="5"/>
      <c r="F117" s="4"/>
    </row>
    <row r="118" spans="1:6" x14ac:dyDescent="0.2">
      <c r="A118" s="3"/>
      <c r="B118" s="4"/>
      <c r="C118" s="5"/>
      <c r="D118" s="4"/>
      <c r="E118" s="5"/>
      <c r="F118" s="4"/>
    </row>
    <row r="119" spans="1:6" x14ac:dyDescent="0.2">
      <c r="A119" s="3"/>
      <c r="B119" s="4"/>
      <c r="C119" s="5"/>
      <c r="D119" s="4"/>
      <c r="E119" s="5"/>
      <c r="F119" s="4"/>
    </row>
    <row r="120" spans="1:6" x14ac:dyDescent="0.2">
      <c r="A120" s="3"/>
      <c r="B120" s="4"/>
      <c r="C120" s="5"/>
      <c r="D120" s="4"/>
      <c r="E120" s="5"/>
      <c r="F120" s="4"/>
    </row>
    <row r="121" spans="1:6" x14ac:dyDescent="0.2">
      <c r="A121" s="3"/>
      <c r="B121" s="4"/>
      <c r="C121" s="5"/>
      <c r="D121" s="4"/>
      <c r="E121" s="5"/>
      <c r="F121" s="4"/>
    </row>
    <row r="122" spans="1:6" x14ac:dyDescent="0.2">
      <c r="A122" s="3"/>
      <c r="B122" s="4"/>
      <c r="C122" s="5"/>
      <c r="D122" s="4"/>
      <c r="E122" s="5"/>
      <c r="F122" s="4"/>
    </row>
    <row r="123" spans="1:6" x14ac:dyDescent="0.2">
      <c r="A123" s="3"/>
      <c r="B123" s="4"/>
      <c r="C123" s="5"/>
      <c r="D123" s="4"/>
      <c r="E123" s="5"/>
      <c r="F123" s="4"/>
    </row>
    <row r="124" spans="1:6" x14ac:dyDescent="0.2">
      <c r="A124" s="3"/>
      <c r="B124" s="4"/>
      <c r="C124" s="5"/>
      <c r="D124" s="4"/>
      <c r="E124" s="5"/>
      <c r="F124" s="4"/>
    </row>
    <row r="125" spans="1:6" x14ac:dyDescent="0.2">
      <c r="A125" s="3"/>
      <c r="B125" s="4"/>
      <c r="C125" s="5"/>
      <c r="D125" s="4"/>
      <c r="E125" s="5"/>
      <c r="F125" s="4"/>
    </row>
    <row r="126" spans="1:6" x14ac:dyDescent="0.2">
      <c r="A126" s="3"/>
      <c r="B126" s="4"/>
      <c r="C126" s="5"/>
      <c r="D126" s="4"/>
      <c r="E126" s="5"/>
      <c r="F126" s="4"/>
    </row>
    <row r="127" spans="1:6" x14ac:dyDescent="0.2">
      <c r="A127" s="3"/>
      <c r="B127" s="4"/>
      <c r="C127" s="5"/>
      <c r="D127" s="4"/>
      <c r="E127" s="5"/>
      <c r="F127" s="4"/>
    </row>
    <row r="128" spans="1:6" x14ac:dyDescent="0.2">
      <c r="A128" s="3"/>
      <c r="B128" s="4"/>
      <c r="C128" s="5"/>
      <c r="D128" s="4"/>
      <c r="E128" s="5"/>
      <c r="F128" s="4"/>
    </row>
    <row r="129" spans="1:6" x14ac:dyDescent="0.2">
      <c r="A129" s="3"/>
      <c r="B129" s="4"/>
      <c r="C129" s="5"/>
      <c r="D129" s="4"/>
      <c r="E129" s="5"/>
      <c r="F129" s="4"/>
    </row>
    <row r="130" spans="1:6" x14ac:dyDescent="0.2">
      <c r="A130" s="3"/>
      <c r="B130" s="4"/>
      <c r="C130" s="5"/>
      <c r="D130" s="4"/>
      <c r="E130" s="5"/>
      <c r="F130" s="4"/>
    </row>
    <row r="131" spans="1:6" x14ac:dyDescent="0.2">
      <c r="A131" s="3"/>
      <c r="B131" s="4"/>
      <c r="C131" s="5"/>
      <c r="D131" s="4"/>
      <c r="E131" s="5"/>
      <c r="F131" s="4"/>
    </row>
  </sheetData>
  <sortState ref="H49:I68">
    <sortCondition ref="H49:H68"/>
  </sortState>
  <mergeCells count="3">
    <mergeCell ref="I1:R1"/>
    <mergeCell ref="I25:R25"/>
    <mergeCell ref="H48:I48"/>
  </mergeCells>
  <conditionalFormatting sqref="A2:F106">
    <cfRule type="expression" dxfId="23" priority="4" stopIfTrue="1">
      <formula>OR($B2=$G$1,$D2=$G$1)</formula>
    </cfRule>
    <cfRule type="expression" dxfId="22" priority="5" stopIfTrue="1">
      <formula>MOD(ROW(),2)=0</formula>
    </cfRule>
  </conditionalFormatting>
  <conditionalFormatting sqref="I2:R21 I26:R45">
    <cfRule type="expression" dxfId="21" priority="3" stopIfTrue="1">
      <formula>MOD(ROW(),2)=0</formula>
    </cfRule>
  </conditionalFormatting>
  <conditionalFormatting sqref="I2:R21">
    <cfRule type="expression" dxfId="20" priority="2">
      <formula>$G$1=LEFT(I2,3)</formula>
    </cfRule>
  </conditionalFormatting>
  <conditionalFormatting sqref="I26:R45">
    <cfRule type="expression" dxfId="19" priority="1">
      <formula>$G$1=LEFT(I26,3)</formula>
    </cfRule>
  </conditionalFormatting>
  <pageMargins left="0.75" right="0.75" top="1" bottom="1" header="0.5" footer="0.5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131"/>
  <sheetViews>
    <sheetView zoomScaleNormal="100" workbookViewId="0">
      <pane ySplit="1" topLeftCell="A2" activePane="bottomLeft" state="frozen"/>
      <selection pane="bottomLeft" activeCell="E21" sqref="E21"/>
    </sheetView>
  </sheetViews>
  <sheetFormatPr defaultRowHeight="12.75" x14ac:dyDescent="0.2"/>
  <cols>
    <col min="1" max="1" width="6.85546875" style="2" bestFit="1" customWidth="1"/>
    <col min="2" max="2" width="6.28515625" style="2" bestFit="1" customWidth="1"/>
    <col min="3" max="3" width="36" style="2" bestFit="1" customWidth="1"/>
    <col min="4" max="4" width="6.28515625" style="2" bestFit="1" customWidth="1"/>
    <col min="5" max="5" width="30.7109375" style="2" bestFit="1" customWidth="1"/>
    <col min="6" max="6" width="5" style="2" bestFit="1" customWidth="1"/>
    <col min="7" max="7" width="9.140625" style="2"/>
    <col min="8" max="8" width="4.85546875" style="2" bestFit="1" customWidth="1"/>
    <col min="9" max="15" width="8.85546875" style="2" bestFit="1" customWidth="1"/>
    <col min="16" max="16" width="8.5703125" style="2" bestFit="1" customWidth="1"/>
    <col min="17" max="17" width="8" style="2" bestFit="1" customWidth="1"/>
    <col min="18" max="16384" width="9.140625" style="2"/>
  </cols>
  <sheetData>
    <row r="1" spans="1:17" ht="26.25" thickBot="1" x14ac:dyDescent="0.25">
      <c r="A1" s="13" t="s">
        <v>85</v>
      </c>
      <c r="B1" s="13" t="s">
        <v>86</v>
      </c>
      <c r="C1" s="13" t="s">
        <v>87</v>
      </c>
      <c r="D1" s="13" t="s">
        <v>354</v>
      </c>
      <c r="E1" s="13" t="s">
        <v>87</v>
      </c>
      <c r="F1" s="13" t="s">
        <v>353</v>
      </c>
      <c r="G1" s="15" t="s">
        <v>13</v>
      </c>
      <c r="H1" s="14" t="s">
        <v>88</v>
      </c>
      <c r="I1" s="48" t="s">
        <v>352</v>
      </c>
      <c r="J1" s="49"/>
      <c r="K1" s="49"/>
      <c r="L1" s="49"/>
      <c r="M1" s="49"/>
      <c r="N1" s="49"/>
      <c r="O1" s="49"/>
      <c r="P1" s="49"/>
      <c r="Q1" s="50"/>
    </row>
    <row r="2" spans="1:17" x14ac:dyDescent="0.2">
      <c r="A2" s="18">
        <v>39790</v>
      </c>
      <c r="B2" s="19" t="s">
        <v>12</v>
      </c>
      <c r="C2" s="20" t="s">
        <v>351</v>
      </c>
      <c r="D2" s="19" t="s">
        <v>16</v>
      </c>
      <c r="E2" s="20" t="s">
        <v>350</v>
      </c>
      <c r="F2" s="19">
        <v>0</v>
      </c>
      <c r="H2" s="16" t="s">
        <v>17</v>
      </c>
      <c r="I2" s="21" t="s">
        <v>289</v>
      </c>
      <c r="J2" s="22" t="s">
        <v>129</v>
      </c>
      <c r="K2" s="22" t="s">
        <v>236</v>
      </c>
      <c r="L2" s="22" t="s">
        <v>235</v>
      </c>
      <c r="M2" s="22" t="s">
        <v>286</v>
      </c>
      <c r="N2" s="22"/>
      <c r="O2" s="22"/>
      <c r="P2" s="22"/>
      <c r="Q2" s="23"/>
    </row>
    <row r="3" spans="1:17" x14ac:dyDescent="0.2">
      <c r="A3" s="18">
        <v>39790</v>
      </c>
      <c r="B3" s="19" t="s">
        <v>0</v>
      </c>
      <c r="C3" s="20" t="s">
        <v>349</v>
      </c>
      <c r="D3" s="19" t="s">
        <v>12</v>
      </c>
      <c r="E3" s="20" t="s">
        <v>348</v>
      </c>
      <c r="F3" s="19">
        <v>0</v>
      </c>
      <c r="H3" s="16" t="s">
        <v>4</v>
      </c>
      <c r="I3" s="24" t="s">
        <v>262</v>
      </c>
      <c r="J3" s="25" t="s">
        <v>288</v>
      </c>
      <c r="K3" s="25" t="s">
        <v>233</v>
      </c>
      <c r="L3" s="25" t="s">
        <v>202</v>
      </c>
      <c r="M3" s="25" t="s">
        <v>208</v>
      </c>
      <c r="N3" s="25" t="s">
        <v>229</v>
      </c>
      <c r="O3" s="25" t="s">
        <v>287</v>
      </c>
      <c r="P3" s="25"/>
      <c r="Q3" s="26"/>
    </row>
    <row r="4" spans="1:17" x14ac:dyDescent="0.2">
      <c r="A4" s="18">
        <v>39792</v>
      </c>
      <c r="B4" s="19" t="s">
        <v>0</v>
      </c>
      <c r="C4" s="20" t="s">
        <v>347</v>
      </c>
      <c r="D4" s="19" t="s">
        <v>10</v>
      </c>
      <c r="E4" s="20" t="s">
        <v>346</v>
      </c>
      <c r="F4" s="19">
        <v>2</v>
      </c>
      <c r="H4" s="16" t="s">
        <v>8</v>
      </c>
      <c r="I4" s="24"/>
      <c r="J4" s="25"/>
      <c r="K4" s="25"/>
      <c r="L4" s="25"/>
      <c r="M4" s="25"/>
      <c r="N4" s="25"/>
      <c r="O4" s="25"/>
      <c r="P4" s="25"/>
      <c r="Q4" s="26"/>
    </row>
    <row r="5" spans="1:17" x14ac:dyDescent="0.2">
      <c r="A5" s="18">
        <v>39793</v>
      </c>
      <c r="B5" s="19" t="s">
        <v>0</v>
      </c>
      <c r="C5" s="20" t="s">
        <v>274</v>
      </c>
      <c r="D5" s="19" t="s">
        <v>14</v>
      </c>
      <c r="E5" s="20" t="s">
        <v>345</v>
      </c>
      <c r="F5" s="19">
        <v>1</v>
      </c>
      <c r="H5" s="16" t="s">
        <v>18</v>
      </c>
      <c r="I5" s="24" t="s">
        <v>294</v>
      </c>
      <c r="J5" s="25" t="s">
        <v>305</v>
      </c>
      <c r="K5" s="25" t="s">
        <v>271</v>
      </c>
      <c r="L5" s="25" t="s">
        <v>122</v>
      </c>
      <c r="M5" s="25" t="s">
        <v>247</v>
      </c>
      <c r="N5" s="25"/>
      <c r="O5" s="25"/>
      <c r="P5" s="25"/>
      <c r="Q5" s="26"/>
    </row>
    <row r="6" spans="1:17" x14ac:dyDescent="0.2">
      <c r="A6" s="18">
        <v>39794</v>
      </c>
      <c r="B6" s="19" t="s">
        <v>0</v>
      </c>
      <c r="C6" s="20" t="s">
        <v>344</v>
      </c>
      <c r="D6" s="19" t="s">
        <v>7</v>
      </c>
      <c r="E6" s="20" t="s">
        <v>343</v>
      </c>
      <c r="F6" s="19">
        <v>0</v>
      </c>
      <c r="H6" s="16" t="s">
        <v>13</v>
      </c>
      <c r="I6" s="24" t="s">
        <v>263</v>
      </c>
      <c r="J6" s="25" t="s">
        <v>275</v>
      </c>
      <c r="K6" s="25" t="s">
        <v>242</v>
      </c>
      <c r="L6" s="25" t="s">
        <v>155</v>
      </c>
      <c r="M6" s="25" t="s">
        <v>303</v>
      </c>
      <c r="N6" s="25"/>
      <c r="O6" s="25"/>
      <c r="P6" s="25"/>
      <c r="Q6" s="26"/>
    </row>
    <row r="7" spans="1:17" x14ac:dyDescent="0.2">
      <c r="A7" s="18">
        <v>39796</v>
      </c>
      <c r="B7" s="19" t="s">
        <v>13</v>
      </c>
      <c r="C7" s="20" t="s">
        <v>342</v>
      </c>
      <c r="D7" s="19" t="s">
        <v>0</v>
      </c>
      <c r="E7" s="20" t="s">
        <v>341</v>
      </c>
      <c r="F7" s="19">
        <v>1</v>
      </c>
      <c r="H7" s="16" t="s">
        <v>0</v>
      </c>
      <c r="I7" s="24" t="s">
        <v>141</v>
      </c>
      <c r="J7" s="25" t="s">
        <v>279</v>
      </c>
      <c r="K7" s="25"/>
      <c r="L7" s="25"/>
      <c r="M7" s="25"/>
      <c r="N7" s="25"/>
      <c r="O7" s="25"/>
      <c r="P7" s="25"/>
      <c r="Q7" s="26"/>
    </row>
    <row r="8" spans="1:17" x14ac:dyDescent="0.2">
      <c r="A8" s="18">
        <v>39796</v>
      </c>
      <c r="B8" s="19" t="s">
        <v>10</v>
      </c>
      <c r="C8" s="20" t="s">
        <v>340</v>
      </c>
      <c r="D8" s="19" t="s">
        <v>12</v>
      </c>
      <c r="E8" s="20" t="s">
        <v>339</v>
      </c>
      <c r="F8" s="19">
        <v>0</v>
      </c>
      <c r="H8" s="16" t="s">
        <v>11</v>
      </c>
      <c r="I8" s="25" t="s">
        <v>248</v>
      </c>
      <c r="J8" s="25"/>
      <c r="K8" s="25"/>
      <c r="L8" s="25"/>
      <c r="M8" s="25"/>
      <c r="N8" s="25"/>
      <c r="O8" s="25"/>
      <c r="P8" s="25"/>
      <c r="Q8" s="26"/>
    </row>
    <row r="9" spans="1:17" x14ac:dyDescent="0.2">
      <c r="A9" s="18">
        <v>39796</v>
      </c>
      <c r="B9" s="19" t="s">
        <v>13</v>
      </c>
      <c r="C9" s="20" t="s">
        <v>91</v>
      </c>
      <c r="D9" s="19" t="s">
        <v>14</v>
      </c>
      <c r="E9" s="20" t="s">
        <v>338</v>
      </c>
      <c r="F9" s="19">
        <v>0</v>
      </c>
      <c r="H9" s="16" t="s">
        <v>14</v>
      </c>
      <c r="I9" s="25" t="s">
        <v>274</v>
      </c>
      <c r="J9" s="25"/>
      <c r="K9" s="25"/>
      <c r="L9" s="25"/>
      <c r="M9" s="25"/>
      <c r="N9" s="25"/>
      <c r="O9" s="25"/>
      <c r="P9" s="25"/>
      <c r="Q9" s="26"/>
    </row>
    <row r="10" spans="1:17" x14ac:dyDescent="0.2">
      <c r="A10" s="18">
        <v>39797</v>
      </c>
      <c r="B10" s="19" t="s">
        <v>10</v>
      </c>
      <c r="C10" s="20" t="s">
        <v>337</v>
      </c>
      <c r="D10" s="19" t="s">
        <v>5</v>
      </c>
      <c r="E10" s="20" t="s">
        <v>336</v>
      </c>
      <c r="F10" s="19">
        <v>1</v>
      </c>
      <c r="H10" s="16" t="s">
        <v>2</v>
      </c>
      <c r="I10" s="24" t="s">
        <v>139</v>
      </c>
      <c r="J10" s="25" t="s">
        <v>292</v>
      </c>
      <c r="K10" s="25"/>
      <c r="L10" s="25"/>
      <c r="M10" s="25"/>
      <c r="N10" s="25"/>
      <c r="O10" s="25"/>
      <c r="P10" s="25"/>
      <c r="Q10" s="26"/>
    </row>
    <row r="11" spans="1:17" x14ac:dyDescent="0.2">
      <c r="A11" s="18">
        <v>39798</v>
      </c>
      <c r="B11" s="19" t="s">
        <v>13</v>
      </c>
      <c r="C11" s="20" t="s">
        <v>335</v>
      </c>
      <c r="D11" s="19" t="s">
        <v>19</v>
      </c>
      <c r="E11" s="20" t="s">
        <v>334</v>
      </c>
      <c r="F11" s="19">
        <v>0</v>
      </c>
      <c r="H11" s="16" t="s">
        <v>10</v>
      </c>
      <c r="I11" s="25" t="s">
        <v>284</v>
      </c>
      <c r="J11" s="25" t="s">
        <v>276</v>
      </c>
      <c r="K11" s="25" t="s">
        <v>272</v>
      </c>
      <c r="L11" s="25" t="s">
        <v>243</v>
      </c>
      <c r="M11" s="25" t="s">
        <v>185</v>
      </c>
      <c r="N11" s="25" t="s">
        <v>301</v>
      </c>
      <c r="O11" s="25"/>
      <c r="P11" s="25"/>
      <c r="Q11" s="26"/>
    </row>
    <row r="12" spans="1:17" x14ac:dyDescent="0.2">
      <c r="A12" s="18">
        <v>39799</v>
      </c>
      <c r="B12" s="19" t="s">
        <v>14</v>
      </c>
      <c r="C12" s="20" t="s">
        <v>333</v>
      </c>
      <c r="D12" s="19" t="s">
        <v>7</v>
      </c>
      <c r="E12" s="20" t="s">
        <v>332</v>
      </c>
      <c r="F12" s="19">
        <v>0</v>
      </c>
      <c r="H12" s="16" t="s">
        <v>6</v>
      </c>
      <c r="I12" s="24"/>
      <c r="J12" s="25"/>
      <c r="K12" s="25"/>
      <c r="L12" s="25"/>
      <c r="M12" s="25"/>
      <c r="N12" s="25"/>
      <c r="O12" s="25"/>
      <c r="P12" s="25"/>
      <c r="Q12" s="26"/>
    </row>
    <row r="13" spans="1:17" x14ac:dyDescent="0.2">
      <c r="A13" s="18">
        <v>39799</v>
      </c>
      <c r="B13" s="19" t="s">
        <v>13</v>
      </c>
      <c r="C13" s="20" t="s">
        <v>331</v>
      </c>
      <c r="D13" s="19" t="s">
        <v>12</v>
      </c>
      <c r="E13" s="20" t="s">
        <v>330</v>
      </c>
      <c r="F13" s="19">
        <v>0</v>
      </c>
      <c r="H13" s="16" t="s">
        <v>3</v>
      </c>
      <c r="I13" s="24" t="s">
        <v>245</v>
      </c>
      <c r="J13" s="25" t="s">
        <v>252</v>
      </c>
      <c r="K13" s="25" t="s">
        <v>283</v>
      </c>
      <c r="L13" s="25" t="s">
        <v>168</v>
      </c>
      <c r="M13" s="25" t="s">
        <v>282</v>
      </c>
      <c r="N13" s="25" t="s">
        <v>273</v>
      </c>
      <c r="O13" s="25" t="s">
        <v>246</v>
      </c>
      <c r="P13" s="25"/>
      <c r="Q13" s="26"/>
    </row>
    <row r="14" spans="1:17" x14ac:dyDescent="0.2">
      <c r="A14" s="18">
        <v>39799</v>
      </c>
      <c r="B14" s="19" t="s">
        <v>4</v>
      </c>
      <c r="C14" s="20" t="s">
        <v>89</v>
      </c>
      <c r="D14" s="19" t="s">
        <v>12</v>
      </c>
      <c r="E14" s="20" t="s">
        <v>329</v>
      </c>
      <c r="F14" s="19">
        <v>0</v>
      </c>
      <c r="H14" s="16" t="s">
        <v>7</v>
      </c>
      <c r="I14" s="24" t="s">
        <v>227</v>
      </c>
      <c r="J14" s="25" t="s">
        <v>148</v>
      </c>
      <c r="K14" s="25"/>
      <c r="L14" s="25"/>
      <c r="M14" s="25"/>
      <c r="N14" s="25"/>
      <c r="O14" s="25"/>
      <c r="P14" s="25"/>
      <c r="Q14" s="26"/>
    </row>
    <row r="15" spans="1:17" x14ac:dyDescent="0.2">
      <c r="A15" s="18">
        <v>39799</v>
      </c>
      <c r="B15" s="19" t="s">
        <v>13</v>
      </c>
      <c r="C15" s="20" t="s">
        <v>328</v>
      </c>
      <c r="D15" s="19" t="s">
        <v>10</v>
      </c>
      <c r="E15" s="20" t="s">
        <v>327</v>
      </c>
      <c r="F15" s="19">
        <v>1</v>
      </c>
      <c r="H15" s="16" t="s">
        <v>9</v>
      </c>
      <c r="I15" s="24" t="s">
        <v>298</v>
      </c>
      <c r="J15" s="25" t="s">
        <v>297</v>
      </c>
      <c r="K15" s="25" t="s">
        <v>175</v>
      </c>
      <c r="L15" s="25" t="s">
        <v>280</v>
      </c>
      <c r="M15" s="25"/>
      <c r="N15" s="25"/>
      <c r="O15" s="25"/>
      <c r="P15" s="25"/>
      <c r="Q15" s="26"/>
    </row>
    <row r="16" spans="1:17" x14ac:dyDescent="0.2">
      <c r="A16" s="18">
        <v>39800</v>
      </c>
      <c r="B16" s="19" t="s">
        <v>14</v>
      </c>
      <c r="C16" s="20" t="s">
        <v>326</v>
      </c>
      <c r="D16" s="19" t="s">
        <v>12</v>
      </c>
      <c r="E16" s="20" t="s">
        <v>325</v>
      </c>
      <c r="F16" s="19">
        <v>0</v>
      </c>
      <c r="H16" s="16" t="s">
        <v>12</v>
      </c>
      <c r="I16" s="24" t="s">
        <v>268</v>
      </c>
      <c r="J16" s="25"/>
      <c r="K16" s="25"/>
      <c r="L16" s="25"/>
      <c r="M16" s="25"/>
      <c r="N16" s="25"/>
      <c r="O16" s="25"/>
      <c r="P16" s="25"/>
      <c r="Q16" s="26"/>
    </row>
    <row r="17" spans="1:17" x14ac:dyDescent="0.2">
      <c r="A17" s="18">
        <v>39801</v>
      </c>
      <c r="B17" s="19" t="s">
        <v>7</v>
      </c>
      <c r="C17" s="20" t="s">
        <v>324</v>
      </c>
      <c r="D17" s="19" t="s">
        <v>12</v>
      </c>
      <c r="E17" s="20" t="s">
        <v>323</v>
      </c>
      <c r="F17" s="19">
        <v>0</v>
      </c>
      <c r="H17" s="16" t="s">
        <v>5</v>
      </c>
      <c r="I17" s="25" t="s">
        <v>281</v>
      </c>
      <c r="J17" s="25" t="s">
        <v>150</v>
      </c>
      <c r="K17" s="25" t="s">
        <v>136</v>
      </c>
      <c r="L17" s="25" t="s">
        <v>320</v>
      </c>
      <c r="M17" s="25"/>
      <c r="N17" s="25"/>
      <c r="O17" s="25"/>
      <c r="P17" s="25"/>
      <c r="Q17" s="26"/>
    </row>
    <row r="18" spans="1:17" x14ac:dyDescent="0.2">
      <c r="A18" s="18">
        <v>39812</v>
      </c>
      <c r="B18" s="19" t="s">
        <v>3</v>
      </c>
      <c r="C18" s="20" t="s">
        <v>322</v>
      </c>
      <c r="D18" s="19" t="s">
        <v>5</v>
      </c>
      <c r="E18" s="20" t="s">
        <v>321</v>
      </c>
      <c r="F18" s="19">
        <v>0</v>
      </c>
      <c r="H18" s="16" t="s">
        <v>16</v>
      </c>
      <c r="I18" s="25" t="s">
        <v>320</v>
      </c>
      <c r="J18" s="25"/>
      <c r="K18" s="25"/>
      <c r="L18" s="25"/>
      <c r="M18" s="25"/>
      <c r="N18" s="25"/>
      <c r="O18" s="25"/>
      <c r="P18" s="25"/>
      <c r="Q18" s="26"/>
    </row>
    <row r="19" spans="1:17" x14ac:dyDescent="0.2">
      <c r="A19" s="18">
        <v>39814</v>
      </c>
      <c r="B19" s="19" t="s">
        <v>13</v>
      </c>
      <c r="C19" s="20" t="s">
        <v>319</v>
      </c>
      <c r="D19" s="19" t="s">
        <v>15</v>
      </c>
      <c r="E19" s="20" t="s">
        <v>318</v>
      </c>
      <c r="F19" s="19">
        <v>0</v>
      </c>
      <c r="H19" s="16" t="s">
        <v>19</v>
      </c>
      <c r="I19" s="24"/>
      <c r="J19" s="25"/>
      <c r="K19" s="25"/>
      <c r="L19" s="25"/>
      <c r="M19" s="25"/>
      <c r="N19" s="25"/>
      <c r="O19" s="25"/>
      <c r="P19" s="25"/>
      <c r="Q19" s="26"/>
    </row>
    <row r="20" spans="1:17" x14ac:dyDescent="0.2">
      <c r="A20" s="18">
        <v>39818</v>
      </c>
      <c r="B20" s="19" t="s">
        <v>5</v>
      </c>
      <c r="C20" s="20" t="s">
        <v>317</v>
      </c>
      <c r="D20" s="19" t="s">
        <v>15</v>
      </c>
      <c r="E20" s="20" t="s">
        <v>316</v>
      </c>
      <c r="F20" s="19">
        <v>1</v>
      </c>
      <c r="H20" s="16" t="s">
        <v>15</v>
      </c>
      <c r="I20" s="24" t="s">
        <v>249</v>
      </c>
      <c r="J20" s="25" t="s">
        <v>293</v>
      </c>
      <c r="K20" s="25" t="s">
        <v>183</v>
      </c>
      <c r="L20" s="25" t="s">
        <v>302</v>
      </c>
      <c r="M20" s="25"/>
      <c r="N20" s="25"/>
      <c r="O20" s="25"/>
      <c r="P20" s="25"/>
      <c r="Q20" s="26"/>
    </row>
    <row r="21" spans="1:17" ht="13.5" thickBot="1" x14ac:dyDescent="0.25">
      <c r="A21" s="18">
        <v>39818</v>
      </c>
      <c r="B21" s="19" t="s">
        <v>13</v>
      </c>
      <c r="C21" s="20" t="s">
        <v>315</v>
      </c>
      <c r="D21" s="19" t="s">
        <v>10</v>
      </c>
      <c r="E21" s="20" t="s">
        <v>314</v>
      </c>
      <c r="F21" s="19">
        <v>0</v>
      </c>
      <c r="H21" s="17" t="s">
        <v>1</v>
      </c>
      <c r="I21" s="27" t="s">
        <v>120</v>
      </c>
      <c r="J21" s="28" t="s">
        <v>205</v>
      </c>
      <c r="K21" s="28" t="s">
        <v>158</v>
      </c>
      <c r="L21" s="28" t="s">
        <v>304</v>
      </c>
      <c r="M21" s="28"/>
      <c r="N21" s="28"/>
      <c r="O21" s="28"/>
      <c r="P21" s="28"/>
      <c r="Q21" s="29"/>
    </row>
    <row r="22" spans="1:17" x14ac:dyDescent="0.2">
      <c r="A22" s="18">
        <v>39819</v>
      </c>
      <c r="B22" s="19" t="s">
        <v>14</v>
      </c>
      <c r="C22" s="20" t="s">
        <v>313</v>
      </c>
      <c r="D22" s="19" t="s">
        <v>12</v>
      </c>
      <c r="E22" s="20" t="s">
        <v>312</v>
      </c>
      <c r="F22" s="19">
        <v>1</v>
      </c>
      <c r="Q22" s="2">
        <f>COUNTA(I2:Q21)</f>
        <v>61</v>
      </c>
    </row>
    <row r="23" spans="1:17" ht="13.5" thickBot="1" x14ac:dyDescent="0.25">
      <c r="A23" s="18">
        <v>39819</v>
      </c>
      <c r="B23" s="19" t="s">
        <v>10</v>
      </c>
      <c r="C23" s="20" t="s">
        <v>311</v>
      </c>
      <c r="D23" s="19" t="s">
        <v>16</v>
      </c>
      <c r="E23" s="20" t="s">
        <v>310</v>
      </c>
      <c r="F23" s="19">
        <v>1</v>
      </c>
    </row>
    <row r="24" spans="1:17" ht="13.5" thickBot="1" x14ac:dyDescent="0.25">
      <c r="A24" s="18">
        <v>39819</v>
      </c>
      <c r="B24" s="19" t="s">
        <v>0</v>
      </c>
      <c r="C24" s="20" t="s">
        <v>309</v>
      </c>
      <c r="D24" s="19" t="s">
        <v>10</v>
      </c>
      <c r="E24" s="20" t="s">
        <v>308</v>
      </c>
      <c r="F24" s="19">
        <v>0</v>
      </c>
      <c r="H24" s="14" t="s">
        <v>88</v>
      </c>
      <c r="I24" s="48" t="s">
        <v>307</v>
      </c>
      <c r="J24" s="49"/>
      <c r="K24" s="49"/>
      <c r="L24" s="49"/>
      <c r="M24" s="49"/>
      <c r="N24" s="49"/>
      <c r="O24" s="49"/>
      <c r="P24" s="49"/>
      <c r="Q24" s="50"/>
    </row>
    <row r="25" spans="1:17" x14ac:dyDescent="0.2">
      <c r="A25" s="18">
        <v>39820</v>
      </c>
      <c r="B25" s="19" t="s">
        <v>14</v>
      </c>
      <c r="C25" s="20" t="s">
        <v>306</v>
      </c>
      <c r="D25" s="19" t="s">
        <v>12</v>
      </c>
      <c r="E25" s="20" t="s">
        <v>274</v>
      </c>
      <c r="F25" s="19">
        <v>0</v>
      </c>
      <c r="H25" s="16" t="s">
        <v>17</v>
      </c>
      <c r="I25" s="21" t="s">
        <v>305</v>
      </c>
      <c r="J25" s="22" t="s">
        <v>120</v>
      </c>
      <c r="K25" s="22" t="s">
        <v>122</v>
      </c>
      <c r="L25" s="22" t="s">
        <v>205</v>
      </c>
      <c r="M25" s="22" t="s">
        <v>304</v>
      </c>
      <c r="N25" s="22" t="s">
        <v>303</v>
      </c>
      <c r="O25" s="22" t="s">
        <v>150</v>
      </c>
      <c r="P25" s="22" t="s">
        <v>302</v>
      </c>
      <c r="Q25" s="23" t="s">
        <v>301</v>
      </c>
    </row>
    <row r="26" spans="1:17" x14ac:dyDescent="0.2">
      <c r="A26" s="18">
        <v>39820</v>
      </c>
      <c r="B26" s="19" t="s">
        <v>11</v>
      </c>
      <c r="C26" s="20" t="s">
        <v>300</v>
      </c>
      <c r="D26" s="19" t="s">
        <v>10</v>
      </c>
      <c r="E26" s="20" t="s">
        <v>299</v>
      </c>
      <c r="F26" s="19">
        <v>1</v>
      </c>
      <c r="H26" s="16" t="s">
        <v>4</v>
      </c>
      <c r="I26" s="24" t="s">
        <v>298</v>
      </c>
      <c r="J26" s="25" t="s">
        <v>297</v>
      </c>
      <c r="K26" s="25"/>
      <c r="L26" s="25"/>
      <c r="M26" s="25"/>
      <c r="N26" s="25"/>
      <c r="O26" s="25"/>
      <c r="P26" s="25"/>
      <c r="Q26" s="26"/>
    </row>
    <row r="27" spans="1:17" x14ac:dyDescent="0.2">
      <c r="A27" s="18">
        <v>39820</v>
      </c>
      <c r="B27" s="19" t="s">
        <v>10</v>
      </c>
      <c r="C27" s="20" t="s">
        <v>296</v>
      </c>
      <c r="D27" s="19" t="s">
        <v>15</v>
      </c>
      <c r="E27" s="20" t="s">
        <v>295</v>
      </c>
      <c r="F27" s="19">
        <v>0</v>
      </c>
      <c r="H27" s="16" t="s">
        <v>8</v>
      </c>
      <c r="I27" s="24" t="s">
        <v>294</v>
      </c>
      <c r="J27" s="25" t="s">
        <v>293</v>
      </c>
      <c r="K27" s="25" t="s">
        <v>292</v>
      </c>
      <c r="L27" s="25" t="s">
        <v>158</v>
      </c>
      <c r="M27" s="25"/>
      <c r="N27" s="25"/>
      <c r="O27" s="25"/>
      <c r="P27" s="25"/>
      <c r="Q27" s="26"/>
    </row>
    <row r="28" spans="1:17" x14ac:dyDescent="0.2">
      <c r="A28" s="18">
        <v>39821</v>
      </c>
      <c r="B28" s="19" t="s">
        <v>14</v>
      </c>
      <c r="C28" s="20" t="s">
        <v>291</v>
      </c>
      <c r="D28" s="19" t="s">
        <v>16</v>
      </c>
      <c r="E28" s="20" t="s">
        <v>290</v>
      </c>
      <c r="F28" s="19">
        <v>0</v>
      </c>
      <c r="H28" s="16" t="s">
        <v>18</v>
      </c>
      <c r="I28" s="24" t="s">
        <v>289</v>
      </c>
      <c r="J28" s="25" t="s">
        <v>288</v>
      </c>
      <c r="K28" s="25" t="s">
        <v>183</v>
      </c>
      <c r="L28" s="25" t="s">
        <v>287</v>
      </c>
      <c r="M28" s="25" t="s">
        <v>286</v>
      </c>
      <c r="N28" s="25"/>
      <c r="O28" s="25"/>
      <c r="P28" s="25"/>
      <c r="Q28" s="26"/>
    </row>
    <row r="29" spans="1:17" x14ac:dyDescent="0.2">
      <c r="A29" s="18">
        <v>39821</v>
      </c>
      <c r="B29" s="19" t="s">
        <v>18</v>
      </c>
      <c r="C29" s="20" t="s">
        <v>285</v>
      </c>
      <c r="D29" s="19" t="s">
        <v>16</v>
      </c>
      <c r="E29" s="20">
        <v>2.13</v>
      </c>
      <c r="F29" s="19">
        <v>0</v>
      </c>
      <c r="H29" s="16" t="s">
        <v>13</v>
      </c>
      <c r="I29" s="24" t="s">
        <v>284</v>
      </c>
      <c r="J29" s="25" t="s">
        <v>129</v>
      </c>
      <c r="K29" s="25" t="s">
        <v>283</v>
      </c>
      <c r="L29" s="25" t="s">
        <v>282</v>
      </c>
      <c r="M29" s="25" t="s">
        <v>185</v>
      </c>
      <c r="N29" s="25" t="s">
        <v>281</v>
      </c>
      <c r="O29" s="25" t="s">
        <v>280</v>
      </c>
      <c r="P29" s="25" t="s">
        <v>279</v>
      </c>
      <c r="Q29" s="26"/>
    </row>
    <row r="30" spans="1:17" x14ac:dyDescent="0.2">
      <c r="A30" s="18">
        <v>39821</v>
      </c>
      <c r="B30" s="19" t="s">
        <v>0</v>
      </c>
      <c r="C30" s="20" t="s">
        <v>278</v>
      </c>
      <c r="D30" s="19" t="s">
        <v>14</v>
      </c>
      <c r="E30" s="20" t="s">
        <v>277</v>
      </c>
      <c r="F30" s="19">
        <v>0</v>
      </c>
      <c r="H30" s="16" t="s">
        <v>0</v>
      </c>
      <c r="I30" s="24" t="s">
        <v>276</v>
      </c>
      <c r="J30" s="25" t="s">
        <v>275</v>
      </c>
      <c r="K30" s="25" t="s">
        <v>245</v>
      </c>
      <c r="L30" s="25" t="s">
        <v>274</v>
      </c>
      <c r="M30" s="25" t="s">
        <v>175</v>
      </c>
      <c r="N30" s="25" t="s">
        <v>155</v>
      </c>
      <c r="O30" s="25" t="s">
        <v>273</v>
      </c>
      <c r="P30" s="25"/>
      <c r="Q30" s="26"/>
    </row>
    <row r="31" spans="1:17" x14ac:dyDescent="0.2">
      <c r="A31" s="18">
        <v>39822</v>
      </c>
      <c r="B31" s="19" t="s">
        <v>9</v>
      </c>
      <c r="C31" s="20" t="s">
        <v>92</v>
      </c>
      <c r="D31" s="19" t="s">
        <v>5</v>
      </c>
      <c r="E31" s="20">
        <v>2.14</v>
      </c>
      <c r="F31" s="19">
        <v>0</v>
      </c>
      <c r="H31" s="16" t="s">
        <v>11</v>
      </c>
      <c r="I31" s="24" t="s">
        <v>272</v>
      </c>
      <c r="J31" s="25" t="s">
        <v>271</v>
      </c>
      <c r="K31" s="25" t="s">
        <v>136</v>
      </c>
      <c r="L31" s="25"/>
      <c r="M31" s="25"/>
      <c r="N31" s="25"/>
      <c r="O31" s="25"/>
      <c r="P31" s="25"/>
      <c r="Q31" s="26"/>
    </row>
    <row r="32" spans="1:17" x14ac:dyDescent="0.2">
      <c r="A32" s="18">
        <v>39822</v>
      </c>
      <c r="B32" s="19" t="s">
        <v>4</v>
      </c>
      <c r="C32" s="20" t="s">
        <v>270</v>
      </c>
      <c r="D32" s="19" t="s">
        <v>5</v>
      </c>
      <c r="E32" s="20" t="s">
        <v>269</v>
      </c>
      <c r="F32" s="19">
        <v>0</v>
      </c>
      <c r="H32" s="16" t="s">
        <v>14</v>
      </c>
      <c r="I32" s="24" t="s">
        <v>268</v>
      </c>
      <c r="J32" s="25"/>
      <c r="K32" s="25"/>
      <c r="L32" s="25"/>
      <c r="M32" s="25"/>
      <c r="N32" s="25"/>
      <c r="O32" s="25"/>
      <c r="P32" s="25"/>
      <c r="Q32" s="26"/>
    </row>
    <row r="33" spans="1:17" x14ac:dyDescent="0.2">
      <c r="A33" s="18">
        <v>39822</v>
      </c>
      <c r="B33" s="19" t="s">
        <v>8</v>
      </c>
      <c r="C33" s="20" t="s">
        <v>267</v>
      </c>
      <c r="D33" s="19" t="s">
        <v>10</v>
      </c>
      <c r="E33" s="20" t="s">
        <v>266</v>
      </c>
      <c r="F33" s="19">
        <v>0</v>
      </c>
      <c r="H33" s="16" t="s">
        <v>2</v>
      </c>
      <c r="I33" s="24"/>
      <c r="J33" s="25"/>
      <c r="K33" s="25"/>
      <c r="L33" s="25"/>
      <c r="M33" s="25"/>
      <c r="N33" s="25"/>
      <c r="O33" s="25"/>
      <c r="P33" s="25"/>
      <c r="Q33" s="26"/>
    </row>
    <row r="34" spans="1:17" x14ac:dyDescent="0.2">
      <c r="A34" s="18">
        <v>39822</v>
      </c>
      <c r="B34" s="19" t="s">
        <v>12</v>
      </c>
      <c r="C34" s="20" t="s">
        <v>265</v>
      </c>
      <c r="D34" s="19" t="s">
        <v>1</v>
      </c>
      <c r="E34" s="20" t="s">
        <v>264</v>
      </c>
      <c r="F34" s="19">
        <v>0</v>
      </c>
      <c r="H34" s="16" t="s">
        <v>10</v>
      </c>
      <c r="I34" s="24" t="s">
        <v>263</v>
      </c>
      <c r="J34" s="25" t="s">
        <v>262</v>
      </c>
      <c r="K34" s="25" t="s">
        <v>208</v>
      </c>
      <c r="L34" s="25"/>
      <c r="M34" s="25"/>
      <c r="N34" s="25"/>
      <c r="O34" s="25"/>
      <c r="P34" s="25"/>
      <c r="Q34" s="26"/>
    </row>
    <row r="35" spans="1:17" x14ac:dyDescent="0.2">
      <c r="A35" s="18">
        <v>39823</v>
      </c>
      <c r="B35" s="19" t="s">
        <v>17</v>
      </c>
      <c r="C35" s="20" t="s">
        <v>261</v>
      </c>
      <c r="D35" s="19" t="s">
        <v>14</v>
      </c>
      <c r="E35" s="20" t="s">
        <v>260</v>
      </c>
      <c r="F35" s="19">
        <v>0</v>
      </c>
      <c r="H35" s="16" t="s">
        <v>6</v>
      </c>
      <c r="I35" s="24"/>
      <c r="J35" s="25"/>
      <c r="K35" s="25"/>
      <c r="L35" s="25"/>
      <c r="M35" s="25"/>
      <c r="N35" s="25"/>
      <c r="O35" s="25"/>
      <c r="P35" s="25"/>
      <c r="Q35" s="26"/>
    </row>
    <row r="36" spans="1:17" x14ac:dyDescent="0.2">
      <c r="A36" s="18">
        <v>39824</v>
      </c>
      <c r="B36" s="19" t="s">
        <v>5</v>
      </c>
      <c r="C36" s="20" t="s">
        <v>259</v>
      </c>
      <c r="D36" s="19" t="s">
        <v>15</v>
      </c>
      <c r="E36" s="20" t="s">
        <v>258</v>
      </c>
      <c r="F36" s="19">
        <v>0</v>
      </c>
      <c r="H36" s="16" t="s">
        <v>3</v>
      </c>
      <c r="I36" s="24" t="s">
        <v>141</v>
      </c>
      <c r="J36" s="25"/>
      <c r="K36" s="25"/>
      <c r="L36" s="25"/>
      <c r="M36" s="25"/>
      <c r="N36" s="25"/>
      <c r="O36" s="25"/>
      <c r="P36" s="25"/>
      <c r="Q36" s="26"/>
    </row>
    <row r="37" spans="1:17" x14ac:dyDescent="0.2">
      <c r="A37" s="18">
        <v>39824</v>
      </c>
      <c r="B37" s="19" t="s">
        <v>10</v>
      </c>
      <c r="C37" s="20" t="s">
        <v>257</v>
      </c>
      <c r="D37" s="19" t="s">
        <v>5</v>
      </c>
      <c r="E37" s="20" t="s">
        <v>95</v>
      </c>
      <c r="F37" s="19">
        <v>0</v>
      </c>
      <c r="H37" s="16" t="s">
        <v>7</v>
      </c>
      <c r="I37" s="24"/>
      <c r="J37" s="25"/>
      <c r="K37" s="25"/>
      <c r="L37" s="25"/>
      <c r="M37" s="25"/>
      <c r="N37" s="25"/>
      <c r="O37" s="25"/>
      <c r="P37" s="25"/>
      <c r="Q37" s="26"/>
    </row>
    <row r="38" spans="1:17" x14ac:dyDescent="0.2">
      <c r="A38" s="18">
        <v>39824</v>
      </c>
      <c r="B38" s="19" t="s">
        <v>4</v>
      </c>
      <c r="C38" s="20" t="s">
        <v>256</v>
      </c>
      <c r="D38" s="19" t="s">
        <v>9</v>
      </c>
      <c r="E38" s="20" t="s">
        <v>255</v>
      </c>
      <c r="F38" s="19">
        <v>2</v>
      </c>
      <c r="H38" s="16" t="s">
        <v>9</v>
      </c>
      <c r="I38" s="24"/>
      <c r="J38" s="25"/>
      <c r="K38" s="25"/>
      <c r="L38" s="25"/>
      <c r="M38" s="25"/>
      <c r="N38" s="25"/>
      <c r="O38" s="25"/>
      <c r="P38" s="25"/>
      <c r="Q38" s="26"/>
    </row>
    <row r="39" spans="1:17" x14ac:dyDescent="0.2">
      <c r="A39" s="18">
        <v>39825</v>
      </c>
      <c r="B39" s="19" t="s">
        <v>5</v>
      </c>
      <c r="C39" s="20" t="s">
        <v>254</v>
      </c>
      <c r="D39" s="19" t="s">
        <v>15</v>
      </c>
      <c r="E39" s="20" t="s">
        <v>253</v>
      </c>
      <c r="F39" s="19">
        <v>0</v>
      </c>
      <c r="H39" s="16" t="s">
        <v>12</v>
      </c>
      <c r="I39" s="24" t="s">
        <v>252</v>
      </c>
      <c r="J39" s="25" t="s">
        <v>233</v>
      </c>
      <c r="K39" s="25"/>
      <c r="L39" s="25"/>
      <c r="M39" s="25"/>
      <c r="N39" s="25"/>
      <c r="O39" s="25"/>
      <c r="P39" s="25"/>
      <c r="Q39" s="26"/>
    </row>
    <row r="40" spans="1:17" x14ac:dyDescent="0.2">
      <c r="A40" s="18">
        <v>39825</v>
      </c>
      <c r="B40" s="19" t="s">
        <v>19</v>
      </c>
      <c r="C40" s="20" t="s">
        <v>251</v>
      </c>
      <c r="D40" s="19" t="s">
        <v>15</v>
      </c>
      <c r="E40" s="20" t="s">
        <v>250</v>
      </c>
      <c r="F40" s="19">
        <v>0</v>
      </c>
      <c r="H40" s="16" t="s">
        <v>5</v>
      </c>
      <c r="I40" s="24" t="s">
        <v>249</v>
      </c>
      <c r="J40" s="25" t="s">
        <v>248</v>
      </c>
      <c r="K40" s="25" t="s">
        <v>112</v>
      </c>
      <c r="L40" s="25" t="s">
        <v>247</v>
      </c>
      <c r="M40" s="25" t="s">
        <v>229</v>
      </c>
      <c r="N40" s="25" t="s">
        <v>246</v>
      </c>
      <c r="O40" s="25"/>
      <c r="P40" s="25"/>
      <c r="Q40" s="26"/>
    </row>
    <row r="41" spans="1:17" x14ac:dyDescent="0.2">
      <c r="A41" s="18">
        <v>39825</v>
      </c>
      <c r="B41" s="19" t="s">
        <v>0</v>
      </c>
      <c r="C41" s="20" t="s">
        <v>245</v>
      </c>
      <c r="D41" s="19" t="s">
        <v>3</v>
      </c>
      <c r="E41" s="20" t="s">
        <v>244</v>
      </c>
      <c r="F41" s="19">
        <v>1</v>
      </c>
      <c r="H41" s="16" t="s">
        <v>16</v>
      </c>
      <c r="I41" s="24" t="s">
        <v>243</v>
      </c>
      <c r="J41" s="25" t="s">
        <v>202</v>
      </c>
      <c r="K41" s="25" t="s">
        <v>242</v>
      </c>
      <c r="L41" s="25" t="s">
        <v>114</v>
      </c>
      <c r="M41" s="25"/>
      <c r="N41" s="25"/>
      <c r="O41" s="25"/>
      <c r="P41" s="25"/>
      <c r="Q41" s="26"/>
    </row>
    <row r="42" spans="1:17" x14ac:dyDescent="0.2">
      <c r="A42" s="18">
        <v>39825</v>
      </c>
      <c r="B42" s="19" t="s">
        <v>4</v>
      </c>
      <c r="C42" s="20" t="s">
        <v>241</v>
      </c>
      <c r="D42" s="19" t="s">
        <v>0</v>
      </c>
      <c r="E42" s="20" t="s">
        <v>240</v>
      </c>
      <c r="F42" s="19">
        <v>1</v>
      </c>
      <c r="H42" s="16" t="s">
        <v>19</v>
      </c>
      <c r="I42" s="24" t="s">
        <v>139</v>
      </c>
      <c r="J42" s="25" t="s">
        <v>168</v>
      </c>
      <c r="K42" s="25" t="s">
        <v>148</v>
      </c>
      <c r="L42" s="25"/>
      <c r="M42" s="25"/>
      <c r="N42" s="25"/>
      <c r="O42" s="25"/>
      <c r="P42" s="25"/>
      <c r="Q42" s="26"/>
    </row>
    <row r="43" spans="1:17" x14ac:dyDescent="0.2">
      <c r="A43" s="18">
        <v>39825</v>
      </c>
      <c r="B43" s="19" t="s">
        <v>12</v>
      </c>
      <c r="C43" s="20">
        <v>4.12</v>
      </c>
      <c r="D43" s="19" t="s">
        <v>5</v>
      </c>
      <c r="E43" s="20" t="s">
        <v>239</v>
      </c>
      <c r="F43" s="19">
        <v>0</v>
      </c>
      <c r="H43" s="16" t="s">
        <v>15</v>
      </c>
      <c r="I43" s="24"/>
      <c r="J43" s="25"/>
      <c r="K43" s="25"/>
      <c r="L43" s="25"/>
      <c r="M43" s="25"/>
      <c r="N43" s="25"/>
      <c r="O43" s="25"/>
      <c r="P43" s="25"/>
      <c r="Q43" s="26"/>
    </row>
    <row r="44" spans="1:17" ht="13.5" thickBot="1" x14ac:dyDescent="0.25">
      <c r="A44" s="18">
        <v>39825</v>
      </c>
      <c r="B44" s="19" t="s">
        <v>10</v>
      </c>
      <c r="C44" s="20" t="s">
        <v>238</v>
      </c>
      <c r="D44" s="19" t="s">
        <v>5</v>
      </c>
      <c r="E44" s="20" t="s">
        <v>237</v>
      </c>
      <c r="F44" s="19">
        <v>0</v>
      </c>
      <c r="H44" s="17" t="s">
        <v>1</v>
      </c>
      <c r="I44" s="27" t="s">
        <v>227</v>
      </c>
      <c r="J44" s="28" t="s">
        <v>236</v>
      </c>
      <c r="K44" s="28" t="s">
        <v>235</v>
      </c>
      <c r="L44" s="28"/>
      <c r="M44" s="28"/>
      <c r="N44" s="28"/>
      <c r="O44" s="28"/>
      <c r="P44" s="28"/>
      <c r="Q44" s="29"/>
    </row>
    <row r="45" spans="1:17" x14ac:dyDescent="0.2">
      <c r="A45" s="18">
        <v>39825</v>
      </c>
      <c r="B45" s="19" t="s">
        <v>4</v>
      </c>
      <c r="C45" s="20" t="s">
        <v>234</v>
      </c>
      <c r="D45" s="19" t="s">
        <v>12</v>
      </c>
      <c r="E45" s="20" t="s">
        <v>233</v>
      </c>
      <c r="F45" s="19">
        <v>1</v>
      </c>
      <c r="Q45" s="2">
        <f>COUNTA(I25:Q44)</f>
        <v>61</v>
      </c>
    </row>
    <row r="46" spans="1:17" x14ac:dyDescent="0.2">
      <c r="A46" s="18">
        <v>39825</v>
      </c>
      <c r="B46" s="19" t="s">
        <v>10</v>
      </c>
      <c r="C46" s="20" t="s">
        <v>232</v>
      </c>
      <c r="D46" s="19" t="s">
        <v>16</v>
      </c>
      <c r="E46" s="20" t="s">
        <v>231</v>
      </c>
      <c r="F46" s="19">
        <v>0</v>
      </c>
    </row>
    <row r="47" spans="1:17" x14ac:dyDescent="0.2">
      <c r="A47" s="18">
        <v>39826</v>
      </c>
      <c r="B47" s="19" t="s">
        <v>4</v>
      </c>
      <c r="C47" s="20" t="s">
        <v>230</v>
      </c>
      <c r="D47" s="19" t="s">
        <v>5</v>
      </c>
      <c r="E47" s="20" t="s">
        <v>229</v>
      </c>
      <c r="F47" s="19">
        <v>1</v>
      </c>
    </row>
    <row r="48" spans="1:17" x14ac:dyDescent="0.2">
      <c r="A48" s="18">
        <v>39826</v>
      </c>
      <c r="B48" s="19" t="s">
        <v>7</v>
      </c>
      <c r="C48" s="20" t="s">
        <v>228</v>
      </c>
      <c r="D48" s="19" t="s">
        <v>1</v>
      </c>
      <c r="E48" s="20" t="s">
        <v>227</v>
      </c>
      <c r="F48" s="19">
        <v>1</v>
      </c>
      <c r="H48" s="47" t="s">
        <v>226</v>
      </c>
      <c r="I48" s="47"/>
      <c r="J48" s="6" t="s">
        <v>225</v>
      </c>
      <c r="K48" s="6" t="s">
        <v>224</v>
      </c>
      <c r="L48" s="6" t="s">
        <v>223</v>
      </c>
    </row>
    <row r="49" spans="1:12" x14ac:dyDescent="0.2">
      <c r="A49" s="18">
        <v>39826</v>
      </c>
      <c r="B49" s="19" t="s">
        <v>0</v>
      </c>
      <c r="C49" s="20" t="s">
        <v>222</v>
      </c>
      <c r="D49" s="19" t="s">
        <v>10</v>
      </c>
      <c r="E49" s="20" t="s">
        <v>221</v>
      </c>
      <c r="F49" s="19">
        <v>0</v>
      </c>
      <c r="H49" s="4" t="s">
        <v>17</v>
      </c>
      <c r="I49" s="4">
        <f t="shared" ref="I49:I69" si="0">COUNTIF($B$2:$B$106,H49)+COUNTIF($D$2:$D$106,H49)</f>
        <v>10</v>
      </c>
      <c r="J49" s="4">
        <v>1</v>
      </c>
      <c r="K49" s="4"/>
      <c r="L49" s="4"/>
    </row>
    <row r="50" spans="1:12" x14ac:dyDescent="0.2">
      <c r="A50" s="18">
        <v>39826</v>
      </c>
      <c r="B50" s="19" t="s">
        <v>4</v>
      </c>
      <c r="C50" s="20" t="s">
        <v>220</v>
      </c>
      <c r="D50" s="19" t="s">
        <v>18</v>
      </c>
      <c r="E50" s="20" t="s">
        <v>219</v>
      </c>
      <c r="F50" s="19">
        <v>2</v>
      </c>
      <c r="H50" s="4" t="s">
        <v>4</v>
      </c>
      <c r="I50" s="4">
        <f t="shared" si="0"/>
        <v>10</v>
      </c>
      <c r="J50" s="4">
        <v>1</v>
      </c>
      <c r="K50" s="4">
        <v>1</v>
      </c>
      <c r="L50" s="4"/>
    </row>
    <row r="51" spans="1:12" x14ac:dyDescent="0.2">
      <c r="A51" s="18">
        <v>39826</v>
      </c>
      <c r="B51" s="19" t="s">
        <v>3</v>
      </c>
      <c r="C51" s="20" t="s">
        <v>218</v>
      </c>
      <c r="D51" s="19" t="s">
        <v>12</v>
      </c>
      <c r="E51" s="20" t="s">
        <v>217</v>
      </c>
      <c r="F51" s="19">
        <v>1</v>
      </c>
      <c r="H51" s="4" t="s">
        <v>8</v>
      </c>
      <c r="I51" s="4">
        <f t="shared" si="0"/>
        <v>11</v>
      </c>
      <c r="J51" s="4">
        <v>1</v>
      </c>
      <c r="K51" s="4">
        <v>1</v>
      </c>
      <c r="L51" s="4"/>
    </row>
    <row r="52" spans="1:12" x14ac:dyDescent="0.2">
      <c r="A52" s="18">
        <v>39826</v>
      </c>
      <c r="B52" s="19" t="s">
        <v>8</v>
      </c>
      <c r="C52" s="20" t="s">
        <v>93</v>
      </c>
      <c r="D52" s="19" t="s">
        <v>3</v>
      </c>
      <c r="E52" s="20" t="s">
        <v>216</v>
      </c>
      <c r="F52" s="19">
        <v>0</v>
      </c>
      <c r="H52" s="4" t="s">
        <v>18</v>
      </c>
      <c r="I52" s="4">
        <f t="shared" si="0"/>
        <v>10</v>
      </c>
      <c r="J52" s="4">
        <v>1</v>
      </c>
      <c r="K52" s="4">
        <v>1</v>
      </c>
      <c r="L52" s="4"/>
    </row>
    <row r="53" spans="1:12" x14ac:dyDescent="0.2">
      <c r="A53" s="18">
        <v>39826</v>
      </c>
      <c r="B53" s="19" t="s">
        <v>10</v>
      </c>
      <c r="C53" s="20" t="s">
        <v>215</v>
      </c>
      <c r="D53" s="19" t="s">
        <v>12</v>
      </c>
      <c r="E53" s="20" t="s">
        <v>214</v>
      </c>
      <c r="F53" s="19">
        <v>0</v>
      </c>
      <c r="H53" s="4" t="s">
        <v>13</v>
      </c>
      <c r="I53" s="4">
        <f t="shared" si="0"/>
        <v>25</v>
      </c>
      <c r="J53" s="4">
        <v>1</v>
      </c>
      <c r="K53" s="4">
        <v>1</v>
      </c>
      <c r="L53" s="4"/>
    </row>
    <row r="54" spans="1:12" x14ac:dyDescent="0.2">
      <c r="A54" s="18">
        <v>39827</v>
      </c>
      <c r="B54" s="19" t="s">
        <v>8</v>
      </c>
      <c r="C54" s="20" t="s">
        <v>213</v>
      </c>
      <c r="D54" s="19" t="s">
        <v>5</v>
      </c>
      <c r="E54" s="20" t="s">
        <v>212</v>
      </c>
      <c r="F54" s="19">
        <v>0</v>
      </c>
      <c r="H54" s="4" t="s">
        <v>0</v>
      </c>
      <c r="I54" s="4">
        <f t="shared" si="0"/>
        <v>14</v>
      </c>
      <c r="J54" s="4">
        <v>1</v>
      </c>
      <c r="K54" s="4"/>
      <c r="L54" s="4"/>
    </row>
    <row r="55" spans="1:12" x14ac:dyDescent="0.2">
      <c r="A55" s="18">
        <v>39827</v>
      </c>
      <c r="B55" s="19" t="s">
        <v>13</v>
      </c>
      <c r="C55" s="20" t="s">
        <v>211</v>
      </c>
      <c r="D55" s="19" t="s">
        <v>3</v>
      </c>
      <c r="E55" s="20" t="s">
        <v>210</v>
      </c>
      <c r="F55" s="19">
        <v>2</v>
      </c>
      <c r="H55" s="4" t="s">
        <v>11</v>
      </c>
      <c r="I55" s="4">
        <f t="shared" si="0"/>
        <v>4</v>
      </c>
      <c r="J55" s="4">
        <v>1</v>
      </c>
      <c r="K55" s="4">
        <v>1</v>
      </c>
      <c r="L55" s="4"/>
    </row>
    <row r="56" spans="1:12" x14ac:dyDescent="0.2">
      <c r="A56" s="18">
        <v>39827</v>
      </c>
      <c r="B56" s="19" t="s">
        <v>4</v>
      </c>
      <c r="C56" s="20" t="s">
        <v>209</v>
      </c>
      <c r="D56" s="19" t="s">
        <v>10</v>
      </c>
      <c r="E56" s="20" t="s">
        <v>208</v>
      </c>
      <c r="F56" s="19">
        <v>1</v>
      </c>
      <c r="H56" s="4" t="s">
        <v>14</v>
      </c>
      <c r="I56" s="4">
        <f t="shared" si="0"/>
        <v>13</v>
      </c>
      <c r="J56" s="4">
        <v>1</v>
      </c>
      <c r="K56" s="4"/>
      <c r="L56" s="4"/>
    </row>
    <row r="57" spans="1:12" x14ac:dyDescent="0.2">
      <c r="A57" s="18">
        <v>39827</v>
      </c>
      <c r="B57" s="19" t="s">
        <v>13</v>
      </c>
      <c r="C57" s="20" t="s">
        <v>207</v>
      </c>
      <c r="D57" s="19" t="s">
        <v>10</v>
      </c>
      <c r="E57" s="20" t="s">
        <v>206</v>
      </c>
      <c r="F57" s="19">
        <v>1</v>
      </c>
      <c r="H57" s="4" t="s">
        <v>2</v>
      </c>
      <c r="I57" s="4">
        <f t="shared" si="0"/>
        <v>2</v>
      </c>
      <c r="J57" s="4">
        <v>1</v>
      </c>
      <c r="K57" s="4"/>
      <c r="L57" s="4"/>
    </row>
    <row r="58" spans="1:12" x14ac:dyDescent="0.2">
      <c r="A58" s="18">
        <v>39827</v>
      </c>
      <c r="B58" s="19" t="s">
        <v>17</v>
      </c>
      <c r="C58" s="20" t="s">
        <v>205</v>
      </c>
      <c r="D58" s="19" t="s">
        <v>1</v>
      </c>
      <c r="E58" s="20" t="s">
        <v>204</v>
      </c>
      <c r="F58" s="19">
        <v>1</v>
      </c>
      <c r="H58" s="4" t="s">
        <v>10</v>
      </c>
      <c r="I58" s="4">
        <f t="shared" si="0"/>
        <v>19</v>
      </c>
      <c r="J58" s="4">
        <v>1</v>
      </c>
      <c r="K58" s="4">
        <v>1</v>
      </c>
      <c r="L58" s="4"/>
    </row>
    <row r="59" spans="1:12" x14ac:dyDescent="0.2">
      <c r="A59" s="18">
        <v>39827</v>
      </c>
      <c r="B59" s="19" t="s">
        <v>4</v>
      </c>
      <c r="C59" s="20" t="s">
        <v>203</v>
      </c>
      <c r="D59" s="19" t="s">
        <v>16</v>
      </c>
      <c r="E59" s="20" t="s">
        <v>202</v>
      </c>
      <c r="F59" s="19">
        <v>1</v>
      </c>
      <c r="H59" s="4" t="s">
        <v>6</v>
      </c>
      <c r="I59" s="4">
        <f t="shared" si="0"/>
        <v>0</v>
      </c>
      <c r="J59" s="4">
        <v>1</v>
      </c>
      <c r="K59" s="4"/>
      <c r="L59" s="4"/>
    </row>
    <row r="60" spans="1:12" x14ac:dyDescent="0.2">
      <c r="A60" s="18">
        <v>39828</v>
      </c>
      <c r="B60" s="19" t="s">
        <v>8</v>
      </c>
      <c r="C60" s="20" t="s">
        <v>201</v>
      </c>
      <c r="D60" s="19" t="s">
        <v>0</v>
      </c>
      <c r="E60" s="20" t="s">
        <v>200</v>
      </c>
      <c r="F60" s="19">
        <v>0</v>
      </c>
      <c r="H60" s="4" t="s">
        <v>3</v>
      </c>
      <c r="I60" s="4">
        <f t="shared" si="0"/>
        <v>9</v>
      </c>
      <c r="J60" s="4">
        <v>1</v>
      </c>
      <c r="K60" s="4"/>
      <c r="L60" s="4"/>
    </row>
    <row r="61" spans="1:12" x14ac:dyDescent="0.2">
      <c r="A61" s="18">
        <v>39828</v>
      </c>
      <c r="B61" s="19" t="s">
        <v>3</v>
      </c>
      <c r="C61" s="20" t="s">
        <v>199</v>
      </c>
      <c r="D61" s="19" t="s">
        <v>5</v>
      </c>
      <c r="E61" s="20" t="s">
        <v>198</v>
      </c>
      <c r="F61" s="19">
        <v>1</v>
      </c>
      <c r="H61" s="4" t="s">
        <v>7</v>
      </c>
      <c r="I61" s="4">
        <f t="shared" si="0"/>
        <v>8</v>
      </c>
      <c r="J61" s="4">
        <v>1</v>
      </c>
      <c r="K61" s="4"/>
      <c r="L61" s="4"/>
    </row>
    <row r="62" spans="1:12" x14ac:dyDescent="0.2">
      <c r="A62" s="18">
        <v>39828</v>
      </c>
      <c r="B62" s="19" t="s">
        <v>14</v>
      </c>
      <c r="C62" s="20" t="s">
        <v>197</v>
      </c>
      <c r="D62" s="19" t="s">
        <v>5</v>
      </c>
      <c r="E62" s="20" t="s">
        <v>196</v>
      </c>
      <c r="F62" s="19">
        <v>1</v>
      </c>
      <c r="H62" s="4" t="s">
        <v>9</v>
      </c>
      <c r="I62" s="4">
        <f t="shared" si="0"/>
        <v>4</v>
      </c>
      <c r="J62" s="4">
        <v>0</v>
      </c>
      <c r="K62" s="4"/>
      <c r="L62" s="4"/>
    </row>
    <row r="63" spans="1:12" x14ac:dyDescent="0.2">
      <c r="A63" s="18">
        <v>39828</v>
      </c>
      <c r="B63" s="19" t="s">
        <v>18</v>
      </c>
      <c r="C63" s="20" t="s">
        <v>195</v>
      </c>
      <c r="D63" s="19" t="s">
        <v>11</v>
      </c>
      <c r="E63" s="20" t="s">
        <v>194</v>
      </c>
      <c r="F63" s="19">
        <v>0</v>
      </c>
      <c r="H63" s="4" t="s">
        <v>12</v>
      </c>
      <c r="I63" s="4">
        <f t="shared" si="0"/>
        <v>15</v>
      </c>
      <c r="J63" s="4">
        <v>1</v>
      </c>
      <c r="K63" s="4">
        <v>1</v>
      </c>
      <c r="L63" s="4"/>
    </row>
    <row r="64" spans="1:12" x14ac:dyDescent="0.2">
      <c r="A64" s="18">
        <v>39828</v>
      </c>
      <c r="B64" s="19" t="s">
        <v>8</v>
      </c>
      <c r="C64" s="20" t="s">
        <v>193</v>
      </c>
      <c r="D64" s="19" t="s">
        <v>18</v>
      </c>
      <c r="E64" s="20" t="s">
        <v>192</v>
      </c>
      <c r="F64" s="19">
        <v>0</v>
      </c>
      <c r="H64" s="4" t="s">
        <v>5</v>
      </c>
      <c r="I64" s="4">
        <f t="shared" si="0"/>
        <v>23</v>
      </c>
      <c r="J64" s="4">
        <v>1</v>
      </c>
      <c r="K64" s="4"/>
      <c r="L64" s="4"/>
    </row>
    <row r="65" spans="1:12" x14ac:dyDescent="0.2">
      <c r="A65" s="18">
        <v>39829</v>
      </c>
      <c r="B65" s="19" t="s">
        <v>14</v>
      </c>
      <c r="C65" s="20" t="s">
        <v>191</v>
      </c>
      <c r="D65" s="19" t="s">
        <v>5</v>
      </c>
      <c r="E65" s="20" t="s">
        <v>190</v>
      </c>
      <c r="F65" s="19">
        <v>-1</v>
      </c>
      <c r="H65" s="4" t="s">
        <v>16</v>
      </c>
      <c r="I65" s="4">
        <f t="shared" si="0"/>
        <v>10</v>
      </c>
      <c r="J65" s="4">
        <v>1</v>
      </c>
      <c r="K65" s="4"/>
      <c r="L65" s="4"/>
    </row>
    <row r="66" spans="1:12" x14ac:dyDescent="0.2">
      <c r="A66" s="18">
        <v>39829</v>
      </c>
      <c r="B66" s="19" t="s">
        <v>13</v>
      </c>
      <c r="C66" s="20" t="s">
        <v>189</v>
      </c>
      <c r="D66" s="19" t="s">
        <v>3</v>
      </c>
      <c r="E66" s="20" t="s">
        <v>188</v>
      </c>
      <c r="F66" s="19">
        <v>0</v>
      </c>
      <c r="H66" s="4" t="s">
        <v>19</v>
      </c>
      <c r="I66" s="4">
        <f t="shared" si="0"/>
        <v>5</v>
      </c>
      <c r="J66" s="4">
        <v>1</v>
      </c>
      <c r="K66" s="4">
        <v>1</v>
      </c>
      <c r="L66" s="4"/>
    </row>
    <row r="67" spans="1:12" x14ac:dyDescent="0.2">
      <c r="A67" s="18">
        <v>39829</v>
      </c>
      <c r="B67" s="19" t="s">
        <v>13</v>
      </c>
      <c r="C67" s="20" t="s">
        <v>187</v>
      </c>
      <c r="D67" s="19" t="s">
        <v>5</v>
      </c>
      <c r="E67" s="20" t="s">
        <v>186</v>
      </c>
      <c r="F67" s="19">
        <v>1</v>
      </c>
      <c r="H67" s="4" t="s">
        <v>15</v>
      </c>
      <c r="I67" s="4">
        <f t="shared" si="0"/>
        <v>10</v>
      </c>
      <c r="J67" s="4">
        <v>1</v>
      </c>
      <c r="K67" s="4"/>
      <c r="L67" s="4"/>
    </row>
    <row r="68" spans="1:12" x14ac:dyDescent="0.2">
      <c r="A68" s="18">
        <v>39829</v>
      </c>
      <c r="B68" s="19" t="s">
        <v>13</v>
      </c>
      <c r="C68" s="20" t="s">
        <v>185</v>
      </c>
      <c r="D68" s="19" t="s">
        <v>10</v>
      </c>
      <c r="E68" s="20" t="s">
        <v>184</v>
      </c>
      <c r="F68" s="19">
        <v>1</v>
      </c>
      <c r="H68" s="4" t="s">
        <v>1</v>
      </c>
      <c r="I68" s="4">
        <f t="shared" si="0"/>
        <v>6</v>
      </c>
      <c r="J68" s="4">
        <v>1</v>
      </c>
      <c r="K68" s="4"/>
      <c r="L68" s="4"/>
    </row>
    <row r="69" spans="1:12" x14ac:dyDescent="0.2">
      <c r="A69" s="18">
        <v>39830</v>
      </c>
      <c r="B69" s="19" t="s">
        <v>18</v>
      </c>
      <c r="C69" s="20" t="s">
        <v>183</v>
      </c>
      <c r="D69" s="19" t="s">
        <v>15</v>
      </c>
      <c r="E69" s="20" t="s">
        <v>182</v>
      </c>
      <c r="F69" s="19">
        <v>1</v>
      </c>
      <c r="H69" s="4" t="s">
        <v>94</v>
      </c>
      <c r="I69" s="4">
        <f t="shared" si="0"/>
        <v>2</v>
      </c>
      <c r="J69" s="4"/>
      <c r="K69" s="4"/>
      <c r="L69" s="4"/>
    </row>
    <row r="70" spans="1:12" x14ac:dyDescent="0.2">
      <c r="A70" s="18">
        <v>39832</v>
      </c>
      <c r="B70" s="19" t="s">
        <v>18</v>
      </c>
      <c r="C70" s="20" t="s">
        <v>181</v>
      </c>
      <c r="D70" s="19" t="s">
        <v>5</v>
      </c>
      <c r="E70" s="20" t="s">
        <v>180</v>
      </c>
      <c r="F70" s="19">
        <v>1</v>
      </c>
    </row>
    <row r="71" spans="1:12" x14ac:dyDescent="0.2">
      <c r="A71" s="18">
        <v>39838</v>
      </c>
      <c r="B71" s="19" t="s">
        <v>14</v>
      </c>
      <c r="C71" s="20" t="s">
        <v>179</v>
      </c>
      <c r="D71" s="19" t="s">
        <v>7</v>
      </c>
      <c r="E71" s="20" t="s">
        <v>178</v>
      </c>
      <c r="F71" s="19">
        <v>0</v>
      </c>
    </row>
    <row r="72" spans="1:12" x14ac:dyDescent="0.2">
      <c r="A72" s="18">
        <v>39846</v>
      </c>
      <c r="B72" s="19" t="s">
        <v>12</v>
      </c>
      <c r="C72" s="20" t="s">
        <v>177</v>
      </c>
      <c r="D72" s="19" t="s">
        <v>5</v>
      </c>
      <c r="E72" s="20" t="s">
        <v>176</v>
      </c>
      <c r="F72" s="19">
        <v>0</v>
      </c>
    </row>
    <row r="73" spans="1:12" x14ac:dyDescent="0.2">
      <c r="A73" s="18">
        <v>39859</v>
      </c>
      <c r="B73" s="19" t="s">
        <v>4</v>
      </c>
      <c r="C73" s="20" t="s">
        <v>175</v>
      </c>
      <c r="D73" s="19" t="s">
        <v>9</v>
      </c>
      <c r="E73" s="20" t="s">
        <v>174</v>
      </c>
      <c r="F73" s="19">
        <v>0</v>
      </c>
    </row>
    <row r="74" spans="1:12" x14ac:dyDescent="0.2">
      <c r="A74" s="18">
        <v>39862</v>
      </c>
      <c r="B74" s="19" t="s">
        <v>17</v>
      </c>
      <c r="C74" s="20" t="s">
        <v>173</v>
      </c>
      <c r="D74" s="19" t="s">
        <v>15</v>
      </c>
      <c r="E74" s="20" t="s">
        <v>172</v>
      </c>
      <c r="F74" s="19">
        <v>1</v>
      </c>
    </row>
    <row r="75" spans="1:12" x14ac:dyDescent="0.2">
      <c r="A75" s="18">
        <v>39862</v>
      </c>
      <c r="B75" s="19" t="s">
        <v>17</v>
      </c>
      <c r="C75" s="20" t="s">
        <v>171</v>
      </c>
      <c r="D75" s="19" t="s">
        <v>10</v>
      </c>
      <c r="E75" s="20" t="s">
        <v>170</v>
      </c>
      <c r="F75" s="19">
        <v>1</v>
      </c>
    </row>
    <row r="76" spans="1:12" x14ac:dyDescent="0.2">
      <c r="A76" s="18">
        <v>39864</v>
      </c>
      <c r="B76" s="19" t="s">
        <v>3</v>
      </c>
      <c r="C76" s="20" t="s">
        <v>169</v>
      </c>
      <c r="D76" s="19" t="s">
        <v>19</v>
      </c>
      <c r="E76" s="20" t="s">
        <v>168</v>
      </c>
      <c r="F76" s="19">
        <v>1</v>
      </c>
    </row>
    <row r="77" spans="1:12" x14ac:dyDescent="0.2">
      <c r="A77" s="18">
        <v>39869</v>
      </c>
      <c r="B77" s="19" t="s">
        <v>7</v>
      </c>
      <c r="C77" s="20" t="s">
        <v>135</v>
      </c>
      <c r="D77" s="19" t="s">
        <v>5</v>
      </c>
      <c r="E77" s="20" t="s">
        <v>167</v>
      </c>
      <c r="F77" s="19">
        <v>0</v>
      </c>
    </row>
    <row r="78" spans="1:12" x14ac:dyDescent="0.2">
      <c r="A78" s="18">
        <v>39874</v>
      </c>
      <c r="B78" s="19" t="s">
        <v>13</v>
      </c>
      <c r="C78" s="20" t="s">
        <v>166</v>
      </c>
      <c r="D78" s="19" t="s">
        <v>9</v>
      </c>
      <c r="E78" s="20" t="s">
        <v>165</v>
      </c>
      <c r="F78" s="19">
        <v>1</v>
      </c>
    </row>
    <row r="79" spans="1:12" x14ac:dyDescent="0.2">
      <c r="A79" s="18">
        <v>39878</v>
      </c>
      <c r="B79" s="19" t="s">
        <v>8</v>
      </c>
      <c r="C79" s="20" t="s">
        <v>164</v>
      </c>
      <c r="D79" s="19" t="s">
        <v>15</v>
      </c>
      <c r="E79" s="20" t="s">
        <v>163</v>
      </c>
      <c r="F79" s="19">
        <v>1</v>
      </c>
    </row>
    <row r="80" spans="1:12" x14ac:dyDescent="0.2">
      <c r="A80" s="18">
        <v>39880</v>
      </c>
      <c r="B80" s="19" t="s">
        <v>5</v>
      </c>
      <c r="C80" s="20" t="s">
        <v>162</v>
      </c>
      <c r="D80" s="19" t="s">
        <v>15</v>
      </c>
      <c r="E80" s="20" t="s">
        <v>161</v>
      </c>
      <c r="F80" s="19">
        <v>0</v>
      </c>
    </row>
    <row r="81" spans="1:6" x14ac:dyDescent="0.2">
      <c r="A81" s="18">
        <v>39885</v>
      </c>
      <c r="B81" s="19" t="s">
        <v>13</v>
      </c>
      <c r="C81" s="20" t="s">
        <v>160</v>
      </c>
      <c r="D81" s="19" t="s">
        <v>16</v>
      </c>
      <c r="E81" s="20" t="s">
        <v>159</v>
      </c>
      <c r="F81" s="19">
        <v>1</v>
      </c>
    </row>
    <row r="82" spans="1:6" x14ac:dyDescent="0.2">
      <c r="A82" s="18">
        <v>39886</v>
      </c>
      <c r="B82" s="19" t="s">
        <v>8</v>
      </c>
      <c r="C82" s="20" t="s">
        <v>158</v>
      </c>
      <c r="D82" s="19" t="s">
        <v>13</v>
      </c>
      <c r="E82" s="20" t="s">
        <v>157</v>
      </c>
      <c r="F82" s="19">
        <v>1</v>
      </c>
    </row>
    <row r="83" spans="1:6" x14ac:dyDescent="0.2">
      <c r="A83" s="18">
        <v>39887</v>
      </c>
      <c r="B83" s="19" t="s">
        <v>13</v>
      </c>
      <c r="C83" s="20" t="s">
        <v>156</v>
      </c>
      <c r="D83" s="19" t="s">
        <v>0</v>
      </c>
      <c r="E83" s="20" t="s">
        <v>155</v>
      </c>
      <c r="F83" s="19">
        <v>1</v>
      </c>
    </row>
    <row r="84" spans="1:6" x14ac:dyDescent="0.2">
      <c r="A84" s="18">
        <v>39887</v>
      </c>
      <c r="B84" s="19" t="s">
        <v>8</v>
      </c>
      <c r="C84" s="20" t="s">
        <v>154</v>
      </c>
      <c r="D84" s="19" t="s">
        <v>14</v>
      </c>
      <c r="E84" s="20" t="s">
        <v>153</v>
      </c>
      <c r="F84" s="19">
        <v>0</v>
      </c>
    </row>
    <row r="85" spans="1:6" x14ac:dyDescent="0.2">
      <c r="A85" s="18">
        <v>39888</v>
      </c>
      <c r="B85" s="19" t="s">
        <v>13</v>
      </c>
      <c r="C85" s="20" t="s">
        <v>152</v>
      </c>
      <c r="D85" s="19" t="s">
        <v>11</v>
      </c>
      <c r="E85" s="20" t="s">
        <v>151</v>
      </c>
      <c r="F85" s="19">
        <v>1</v>
      </c>
    </row>
    <row r="86" spans="1:6" x14ac:dyDescent="0.2">
      <c r="A86" s="18">
        <v>39889</v>
      </c>
      <c r="B86" s="19" t="s">
        <v>17</v>
      </c>
      <c r="C86" s="20" t="s">
        <v>150</v>
      </c>
      <c r="D86" s="19" t="s">
        <v>5</v>
      </c>
      <c r="E86" s="20" t="s">
        <v>149</v>
      </c>
      <c r="F86" s="19">
        <v>1</v>
      </c>
    </row>
    <row r="87" spans="1:6" x14ac:dyDescent="0.2">
      <c r="A87" s="18">
        <v>39891</v>
      </c>
      <c r="B87" s="19" t="s">
        <v>7</v>
      </c>
      <c r="C87" s="20" t="s">
        <v>90</v>
      </c>
      <c r="D87" s="19" t="s">
        <v>19</v>
      </c>
      <c r="E87" s="20" t="s">
        <v>148</v>
      </c>
      <c r="F87" s="19">
        <v>1</v>
      </c>
    </row>
    <row r="88" spans="1:6" x14ac:dyDescent="0.2">
      <c r="A88" s="18">
        <v>39891</v>
      </c>
      <c r="B88" s="19" t="s">
        <v>17</v>
      </c>
      <c r="C88" s="20" t="s">
        <v>147</v>
      </c>
      <c r="D88" s="19" t="s">
        <v>13</v>
      </c>
      <c r="E88" s="20" t="s">
        <v>146</v>
      </c>
      <c r="F88" s="19">
        <v>2</v>
      </c>
    </row>
    <row r="89" spans="1:6" x14ac:dyDescent="0.2">
      <c r="A89" s="18">
        <v>39891</v>
      </c>
      <c r="B89" s="19" t="s">
        <v>13</v>
      </c>
      <c r="C89" s="20" t="s">
        <v>145</v>
      </c>
      <c r="D89" s="19" t="s">
        <v>11</v>
      </c>
      <c r="E89" s="20" t="s">
        <v>136</v>
      </c>
      <c r="F89" s="19">
        <v>1</v>
      </c>
    </row>
    <row r="90" spans="1:6" x14ac:dyDescent="0.2">
      <c r="A90" s="18">
        <v>39892</v>
      </c>
      <c r="B90" s="19" t="s">
        <v>7</v>
      </c>
      <c r="C90" s="20" t="s">
        <v>144</v>
      </c>
      <c r="D90" s="19" t="s">
        <v>16</v>
      </c>
      <c r="E90" s="20" t="s">
        <v>143</v>
      </c>
      <c r="F90" s="19">
        <v>0</v>
      </c>
    </row>
    <row r="91" spans="1:6" x14ac:dyDescent="0.2">
      <c r="A91" s="18">
        <v>39892</v>
      </c>
      <c r="B91" s="19" t="s">
        <v>0</v>
      </c>
      <c r="C91" s="20" t="s">
        <v>142</v>
      </c>
      <c r="D91" s="19" t="s">
        <v>3</v>
      </c>
      <c r="E91" s="20" t="s">
        <v>141</v>
      </c>
      <c r="F91" s="19">
        <v>2</v>
      </c>
    </row>
    <row r="92" spans="1:6" x14ac:dyDescent="0.2">
      <c r="A92" s="18">
        <v>39893</v>
      </c>
      <c r="B92" s="19" t="s">
        <v>2</v>
      </c>
      <c r="C92" s="20" t="s">
        <v>140</v>
      </c>
      <c r="D92" s="19" t="s">
        <v>19</v>
      </c>
      <c r="E92" s="20" t="s">
        <v>139</v>
      </c>
      <c r="F92" s="19">
        <v>1</v>
      </c>
    </row>
    <row r="93" spans="1:6" x14ac:dyDescent="0.2">
      <c r="A93" s="18">
        <v>39893</v>
      </c>
      <c r="B93" s="19" t="s">
        <v>2</v>
      </c>
      <c r="C93" s="20" t="s">
        <v>138</v>
      </c>
      <c r="D93" s="19" t="s">
        <v>8</v>
      </c>
      <c r="E93" s="20" t="s">
        <v>137</v>
      </c>
      <c r="F93" s="19">
        <v>1</v>
      </c>
    </row>
    <row r="94" spans="1:6" x14ac:dyDescent="0.2">
      <c r="A94" s="18">
        <v>39895</v>
      </c>
      <c r="B94" s="19" t="s">
        <v>13</v>
      </c>
      <c r="C94" s="20" t="s">
        <v>136</v>
      </c>
      <c r="D94" s="19" t="s">
        <v>5</v>
      </c>
      <c r="E94" s="20" t="s">
        <v>135</v>
      </c>
      <c r="F94" s="19">
        <v>0</v>
      </c>
    </row>
    <row r="95" spans="1:6" x14ac:dyDescent="0.2">
      <c r="A95" s="18">
        <v>39896</v>
      </c>
      <c r="B95" s="19" t="s">
        <v>13</v>
      </c>
      <c r="C95" s="20" t="s">
        <v>134</v>
      </c>
      <c r="D95" s="19" t="s">
        <v>16</v>
      </c>
      <c r="E95" s="20" t="s">
        <v>133</v>
      </c>
      <c r="F95" s="19">
        <v>0</v>
      </c>
    </row>
    <row r="96" spans="1:6" x14ac:dyDescent="0.2">
      <c r="A96" s="18">
        <v>39896</v>
      </c>
      <c r="B96" s="19" t="s">
        <v>13</v>
      </c>
      <c r="C96" s="20" t="s">
        <v>132</v>
      </c>
      <c r="D96" s="19" t="s">
        <v>0</v>
      </c>
      <c r="E96" s="20" t="s">
        <v>131</v>
      </c>
      <c r="F96" s="19">
        <v>1</v>
      </c>
    </row>
    <row r="97" spans="1:6" x14ac:dyDescent="0.2">
      <c r="A97" s="18">
        <v>39896</v>
      </c>
      <c r="B97" s="19" t="s">
        <v>17</v>
      </c>
      <c r="C97" s="20" t="s">
        <v>130</v>
      </c>
      <c r="D97" s="19" t="s">
        <v>13</v>
      </c>
      <c r="E97" s="20" t="s">
        <v>129</v>
      </c>
      <c r="F97" s="19">
        <v>1</v>
      </c>
    </row>
    <row r="98" spans="1:6" x14ac:dyDescent="0.2">
      <c r="A98" s="18">
        <v>39896</v>
      </c>
      <c r="B98" s="19" t="s">
        <v>8</v>
      </c>
      <c r="C98" s="20" t="s">
        <v>128</v>
      </c>
      <c r="D98" s="19" t="s">
        <v>1</v>
      </c>
      <c r="E98" s="20" t="s">
        <v>127</v>
      </c>
      <c r="F98" s="19">
        <v>0</v>
      </c>
    </row>
    <row r="99" spans="1:6" x14ac:dyDescent="0.2">
      <c r="A99" s="18">
        <v>39896</v>
      </c>
      <c r="B99" s="19" t="s">
        <v>8</v>
      </c>
      <c r="C99" s="20" t="s">
        <v>126</v>
      </c>
      <c r="D99" s="19" t="s">
        <v>18</v>
      </c>
      <c r="E99" s="20" t="s">
        <v>125</v>
      </c>
      <c r="F99" s="19">
        <v>1</v>
      </c>
    </row>
    <row r="100" spans="1:6" x14ac:dyDescent="0.2">
      <c r="A100" s="18">
        <v>39896</v>
      </c>
      <c r="B100" s="19" t="s">
        <v>13</v>
      </c>
      <c r="C100" s="20" t="s">
        <v>124</v>
      </c>
      <c r="D100" s="19" t="s">
        <v>18</v>
      </c>
      <c r="E100" s="20" t="s">
        <v>123</v>
      </c>
      <c r="F100" s="19">
        <v>0</v>
      </c>
    </row>
    <row r="101" spans="1:6" x14ac:dyDescent="0.2">
      <c r="A101" s="18">
        <v>39896</v>
      </c>
      <c r="B101" s="19" t="s">
        <v>17</v>
      </c>
      <c r="C101" s="20" t="s">
        <v>122</v>
      </c>
      <c r="D101" s="19" t="s">
        <v>18</v>
      </c>
      <c r="E101" s="20" t="s">
        <v>121</v>
      </c>
      <c r="F101" s="19">
        <v>2</v>
      </c>
    </row>
    <row r="102" spans="1:6" x14ac:dyDescent="0.2">
      <c r="A102" s="18">
        <v>39896</v>
      </c>
      <c r="B102" s="19" t="s">
        <v>17</v>
      </c>
      <c r="C102" s="20" t="s">
        <v>120</v>
      </c>
      <c r="D102" s="19" t="s">
        <v>1</v>
      </c>
      <c r="E102" s="20" t="s">
        <v>119</v>
      </c>
      <c r="F102" s="19">
        <v>3</v>
      </c>
    </row>
    <row r="103" spans="1:6" x14ac:dyDescent="0.2">
      <c r="A103" s="18">
        <v>39896</v>
      </c>
      <c r="B103" s="19" t="s">
        <v>13</v>
      </c>
      <c r="C103" s="20" t="s">
        <v>118</v>
      </c>
      <c r="D103" s="19" t="s">
        <v>1</v>
      </c>
      <c r="E103" s="20" t="s">
        <v>117</v>
      </c>
      <c r="F103" s="19">
        <v>0</v>
      </c>
    </row>
    <row r="104" spans="1:6" x14ac:dyDescent="0.2">
      <c r="A104" s="18">
        <v>39896</v>
      </c>
      <c r="B104" s="19" t="s">
        <v>17</v>
      </c>
      <c r="C104" s="20" t="s">
        <v>116</v>
      </c>
      <c r="D104" s="19" t="s">
        <v>18</v>
      </c>
      <c r="E104" s="20" t="s">
        <v>115</v>
      </c>
      <c r="F104" s="19">
        <v>2</v>
      </c>
    </row>
    <row r="105" spans="1:6" x14ac:dyDescent="0.2">
      <c r="A105" s="18">
        <v>39914</v>
      </c>
      <c r="B105" s="19" t="s">
        <v>16</v>
      </c>
      <c r="C105" s="20" t="s">
        <v>114</v>
      </c>
      <c r="D105" s="19" t="s">
        <v>94</v>
      </c>
      <c r="E105" s="20" t="s">
        <v>113</v>
      </c>
      <c r="F105" s="19">
        <v>1</v>
      </c>
    </row>
    <row r="106" spans="1:6" x14ac:dyDescent="0.2">
      <c r="A106" s="18">
        <v>39922</v>
      </c>
      <c r="B106" s="19" t="s">
        <v>5</v>
      </c>
      <c r="C106" s="20" t="s">
        <v>112</v>
      </c>
      <c r="D106" s="19" t="s">
        <v>94</v>
      </c>
      <c r="E106" s="20" t="s">
        <v>111</v>
      </c>
      <c r="F106" s="19">
        <v>1</v>
      </c>
    </row>
    <row r="107" spans="1:6" ht="13.5" thickBot="1" x14ac:dyDescent="0.25">
      <c r="A107" s="7"/>
      <c r="B107" s="8"/>
      <c r="C107" s="9"/>
      <c r="D107" s="8"/>
      <c r="E107" s="9"/>
      <c r="F107" s="8"/>
    </row>
    <row r="108" spans="1:6" x14ac:dyDescent="0.2">
      <c r="A108" s="3"/>
      <c r="B108" s="4"/>
      <c r="C108" s="5"/>
      <c r="D108" s="4"/>
      <c r="E108" s="5"/>
      <c r="F108" s="4"/>
    </row>
    <row r="109" spans="1:6" x14ac:dyDescent="0.2">
      <c r="A109" s="3"/>
      <c r="B109" s="4"/>
      <c r="C109" s="5"/>
      <c r="D109" s="4"/>
      <c r="E109" s="5"/>
      <c r="F109" s="4"/>
    </row>
    <row r="110" spans="1:6" x14ac:dyDescent="0.2">
      <c r="A110" s="3"/>
      <c r="B110" s="4"/>
      <c r="C110" s="5"/>
      <c r="D110" s="4"/>
      <c r="E110" s="5"/>
      <c r="F110" s="4"/>
    </row>
    <row r="111" spans="1:6" x14ac:dyDescent="0.2">
      <c r="A111" s="3"/>
      <c r="B111" s="4"/>
      <c r="C111" s="5"/>
      <c r="D111" s="4"/>
      <c r="E111" s="5"/>
      <c r="F111" s="4"/>
    </row>
    <row r="112" spans="1:6" x14ac:dyDescent="0.2">
      <c r="A112" s="3"/>
      <c r="B112" s="4"/>
      <c r="C112" s="5"/>
      <c r="D112" s="4"/>
      <c r="E112" s="5"/>
      <c r="F112" s="4"/>
    </row>
    <row r="113" spans="1:6" x14ac:dyDescent="0.2">
      <c r="A113" s="3"/>
      <c r="B113" s="4"/>
      <c r="C113" s="5"/>
      <c r="D113" s="4"/>
      <c r="E113" s="5"/>
      <c r="F113" s="4"/>
    </row>
    <row r="114" spans="1:6" x14ac:dyDescent="0.2">
      <c r="A114" s="3"/>
      <c r="B114" s="4"/>
      <c r="C114" s="5"/>
      <c r="D114" s="4"/>
      <c r="E114" s="5"/>
      <c r="F114" s="4"/>
    </row>
    <row r="115" spans="1:6" x14ac:dyDescent="0.2">
      <c r="A115" s="3"/>
      <c r="B115" s="4"/>
      <c r="C115" s="5"/>
      <c r="D115" s="4"/>
      <c r="E115" s="5"/>
      <c r="F115" s="4"/>
    </row>
    <row r="116" spans="1:6" x14ac:dyDescent="0.2">
      <c r="A116" s="3"/>
      <c r="B116" s="4"/>
      <c r="C116" s="5"/>
      <c r="D116" s="4"/>
      <c r="E116" s="5"/>
      <c r="F116" s="4"/>
    </row>
    <row r="117" spans="1:6" x14ac:dyDescent="0.2">
      <c r="A117" s="3"/>
      <c r="B117" s="4"/>
      <c r="C117" s="5"/>
      <c r="D117" s="4"/>
      <c r="E117" s="5"/>
      <c r="F117" s="4"/>
    </row>
    <row r="118" spans="1:6" x14ac:dyDescent="0.2">
      <c r="A118" s="3"/>
      <c r="B118" s="4"/>
      <c r="C118" s="5"/>
      <c r="D118" s="4"/>
      <c r="E118" s="5"/>
      <c r="F118" s="4"/>
    </row>
    <row r="119" spans="1:6" x14ac:dyDescent="0.2">
      <c r="A119" s="3"/>
      <c r="B119" s="4"/>
      <c r="C119" s="5"/>
      <c r="D119" s="4"/>
      <c r="E119" s="5"/>
      <c r="F119" s="4"/>
    </row>
    <row r="120" spans="1:6" x14ac:dyDescent="0.2">
      <c r="A120" s="3"/>
      <c r="B120" s="4"/>
      <c r="C120" s="5"/>
      <c r="D120" s="4"/>
      <c r="E120" s="5"/>
      <c r="F120" s="4"/>
    </row>
    <row r="121" spans="1:6" x14ac:dyDescent="0.2">
      <c r="A121" s="3"/>
      <c r="B121" s="4"/>
      <c r="C121" s="5"/>
      <c r="D121" s="4"/>
      <c r="E121" s="5"/>
      <c r="F121" s="4"/>
    </row>
    <row r="122" spans="1:6" x14ac:dyDescent="0.2">
      <c r="A122" s="3"/>
      <c r="B122" s="4"/>
      <c r="C122" s="5"/>
      <c r="D122" s="4"/>
      <c r="E122" s="5"/>
      <c r="F122" s="4"/>
    </row>
    <row r="123" spans="1:6" x14ac:dyDescent="0.2">
      <c r="A123" s="3"/>
      <c r="B123" s="4"/>
      <c r="C123" s="5"/>
      <c r="D123" s="4"/>
      <c r="E123" s="5"/>
      <c r="F123" s="4"/>
    </row>
    <row r="124" spans="1:6" x14ac:dyDescent="0.2">
      <c r="A124" s="3"/>
      <c r="B124" s="4"/>
      <c r="C124" s="5"/>
      <c r="D124" s="4"/>
      <c r="E124" s="5"/>
      <c r="F124" s="4"/>
    </row>
    <row r="125" spans="1:6" x14ac:dyDescent="0.2">
      <c r="A125" s="3"/>
      <c r="B125" s="4"/>
      <c r="C125" s="5"/>
      <c r="D125" s="4"/>
      <c r="E125" s="5"/>
      <c r="F125" s="4"/>
    </row>
    <row r="126" spans="1:6" x14ac:dyDescent="0.2">
      <c r="A126" s="3"/>
      <c r="B126" s="4"/>
      <c r="C126" s="5"/>
      <c r="D126" s="4"/>
      <c r="E126" s="5"/>
      <c r="F126" s="4"/>
    </row>
    <row r="127" spans="1:6" x14ac:dyDescent="0.2">
      <c r="A127" s="3"/>
      <c r="B127" s="4"/>
      <c r="C127" s="5"/>
      <c r="D127" s="4"/>
      <c r="E127" s="5"/>
      <c r="F127" s="4"/>
    </row>
    <row r="128" spans="1:6" x14ac:dyDescent="0.2">
      <c r="A128" s="3"/>
      <c r="B128" s="4"/>
      <c r="C128" s="5"/>
      <c r="D128" s="4"/>
      <c r="E128" s="5"/>
      <c r="F128" s="4"/>
    </row>
    <row r="129" spans="1:6" x14ac:dyDescent="0.2">
      <c r="A129" s="3"/>
      <c r="B129" s="4"/>
      <c r="C129" s="5"/>
      <c r="D129" s="4"/>
      <c r="E129" s="5"/>
      <c r="F129" s="4"/>
    </row>
    <row r="130" spans="1:6" x14ac:dyDescent="0.2">
      <c r="A130" s="3"/>
      <c r="B130" s="4"/>
      <c r="C130" s="5"/>
      <c r="D130" s="4"/>
      <c r="E130" s="5"/>
      <c r="F130" s="4"/>
    </row>
    <row r="131" spans="1:6" x14ac:dyDescent="0.2">
      <c r="A131" s="3"/>
      <c r="B131" s="4"/>
      <c r="C131" s="5"/>
      <c r="D131" s="4"/>
      <c r="E131" s="5"/>
      <c r="F131" s="4"/>
    </row>
  </sheetData>
  <mergeCells count="3">
    <mergeCell ref="I1:Q1"/>
    <mergeCell ref="I24:Q24"/>
    <mergeCell ref="H48:I48"/>
  </mergeCells>
  <conditionalFormatting sqref="A2:F106">
    <cfRule type="expression" dxfId="18" priority="2" stopIfTrue="1">
      <formula>OR($B2=$G$1,$D2=$G$1)</formula>
    </cfRule>
    <cfRule type="expression" dxfId="17" priority="3" stopIfTrue="1">
      <formula>MOD(ROW(),2)=0</formula>
    </cfRule>
  </conditionalFormatting>
  <conditionalFormatting sqref="I2:Q21 I25:Q44">
    <cfRule type="expression" dxfId="16" priority="1" stopIfTrue="1">
      <formula>MOD(ROW(),2)=0</formula>
    </cfRule>
  </conditionalFormatting>
  <pageMargins left="0.75" right="0.75" top="1" bottom="1" header="0.5" footer="0.5"/>
  <pageSetup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21"/>
  <sheetViews>
    <sheetView workbookViewId="0">
      <selection activeCell="H21" sqref="H21"/>
    </sheetView>
  </sheetViews>
  <sheetFormatPr defaultRowHeight="12.75" x14ac:dyDescent="0.2"/>
  <cols>
    <col min="1" max="1" width="4.85546875" style="10" bestFit="1" customWidth="1"/>
    <col min="2" max="2" width="15.7109375" style="10" bestFit="1" customWidth="1"/>
    <col min="3" max="3" width="3" style="10" bestFit="1" customWidth="1"/>
    <col min="4" max="4" width="12.140625" style="10" bestFit="1" customWidth="1"/>
    <col min="5" max="5" width="20.42578125" style="10" bestFit="1" customWidth="1"/>
    <col min="6" max="6" width="15" style="10" bestFit="1" customWidth="1"/>
    <col min="7" max="7" width="19.85546875" style="10" bestFit="1" customWidth="1"/>
    <col min="8" max="8" width="8.42578125" style="10" bestFit="1" customWidth="1"/>
    <col min="9" max="16384" width="9.140625" style="10"/>
  </cols>
  <sheetData>
    <row r="1" spans="1:8" x14ac:dyDescent="0.2">
      <c r="A1" s="11" t="s">
        <v>355</v>
      </c>
      <c r="B1" s="1">
        <v>1</v>
      </c>
      <c r="C1" s="1">
        <f>MAX(C2:C21)</f>
        <v>14</v>
      </c>
      <c r="D1" s="1">
        <v>14</v>
      </c>
      <c r="E1" s="1">
        <v>22</v>
      </c>
      <c r="F1" s="1">
        <v>17</v>
      </c>
      <c r="G1" s="1">
        <v>14</v>
      </c>
      <c r="H1" s="11" t="s">
        <v>356</v>
      </c>
    </row>
    <row r="2" spans="1:8" x14ac:dyDescent="0.2">
      <c r="A2" s="11" t="s">
        <v>4</v>
      </c>
      <c r="B2" s="1" t="str">
        <f t="shared" ref="B2:B21" si="0">VLOOKUP(A2,A$2:G$21,3+B$1,0)</f>
        <v>Canter</v>
      </c>
      <c r="C2" s="1">
        <f t="shared" ref="C2:C21" si="1">LEN(B2)</f>
        <v>6</v>
      </c>
      <c r="D2" s="1" t="s">
        <v>42</v>
      </c>
      <c r="E2" s="1" t="s">
        <v>44</v>
      </c>
      <c r="F2" s="1" t="s">
        <v>64</v>
      </c>
      <c r="G2" s="1" t="s">
        <v>98</v>
      </c>
      <c r="H2" s="1">
        <f>COUNTIF('1999 Draft'!$E$3:$E$324,Teams!A2)</f>
        <v>21</v>
      </c>
    </row>
    <row r="3" spans="1:8" x14ac:dyDescent="0.2">
      <c r="A3" s="11" t="s">
        <v>17</v>
      </c>
      <c r="B3" s="1" t="str">
        <f t="shared" si="0"/>
        <v>Marshall</v>
      </c>
      <c r="C3" s="1">
        <f t="shared" si="1"/>
        <v>8</v>
      </c>
      <c r="D3" s="1" t="s">
        <v>39</v>
      </c>
      <c r="E3" s="1" t="s">
        <v>51</v>
      </c>
      <c r="F3" s="1" t="s">
        <v>71</v>
      </c>
      <c r="G3" s="1" t="s">
        <v>370</v>
      </c>
      <c r="H3" s="1">
        <f>COUNTIF('1999 Draft'!$E$3:$E$324,Teams!A3)</f>
        <v>18</v>
      </c>
    </row>
    <row r="4" spans="1:8" x14ac:dyDescent="0.2">
      <c r="A4" s="11" t="s">
        <v>8</v>
      </c>
      <c r="B4" s="1" t="str">
        <f t="shared" si="0"/>
        <v>Stearns</v>
      </c>
      <c r="C4" s="1">
        <f t="shared" si="1"/>
        <v>7</v>
      </c>
      <c r="D4" s="1" t="s">
        <v>40</v>
      </c>
      <c r="E4" s="1" t="s">
        <v>60</v>
      </c>
      <c r="F4" s="1" t="s">
        <v>80</v>
      </c>
      <c r="G4" s="1" t="s">
        <v>40</v>
      </c>
      <c r="H4" s="1">
        <f>COUNTIF('1999 Draft'!$E$3:$E$324,Teams!A4)</f>
        <v>0</v>
      </c>
    </row>
    <row r="5" spans="1:8" x14ac:dyDescent="0.2">
      <c r="A5" s="11" t="s">
        <v>13</v>
      </c>
      <c r="B5" s="1" t="str">
        <f t="shared" si="0"/>
        <v>RMiller</v>
      </c>
      <c r="C5" s="1">
        <f t="shared" si="1"/>
        <v>7</v>
      </c>
      <c r="D5" s="1" t="s">
        <v>37</v>
      </c>
      <c r="E5" s="1" t="s">
        <v>53</v>
      </c>
      <c r="F5" s="1" t="s">
        <v>73</v>
      </c>
      <c r="G5" s="1" t="s">
        <v>99</v>
      </c>
      <c r="H5" s="1">
        <f>COUNTIF('1999 Draft'!$E$3:$E$324,Teams!A5)</f>
        <v>20</v>
      </c>
    </row>
    <row r="6" spans="1:8" x14ac:dyDescent="0.2">
      <c r="A6" s="11" t="s">
        <v>18</v>
      </c>
      <c r="B6" s="1" t="str">
        <f t="shared" si="0"/>
        <v>CMiller</v>
      </c>
      <c r="C6" s="1">
        <f t="shared" si="1"/>
        <v>7</v>
      </c>
      <c r="D6" s="1" t="s">
        <v>38</v>
      </c>
      <c r="E6" s="1" t="s">
        <v>52</v>
      </c>
      <c r="F6" s="1" t="s">
        <v>72</v>
      </c>
      <c r="G6" s="1" t="s">
        <v>100</v>
      </c>
      <c r="H6" s="1">
        <f>COUNTIF('1999 Draft'!$E$3:$E$324,Teams!A6)</f>
        <v>21</v>
      </c>
    </row>
    <row r="7" spans="1:8" x14ac:dyDescent="0.2">
      <c r="A7" s="11" t="s">
        <v>0</v>
      </c>
      <c r="B7" s="1" t="str">
        <f t="shared" si="0"/>
        <v>Potter</v>
      </c>
      <c r="C7" s="1">
        <f t="shared" si="1"/>
        <v>6</v>
      </c>
      <c r="D7" s="1" t="s">
        <v>25</v>
      </c>
      <c r="E7" s="1" t="s">
        <v>56</v>
      </c>
      <c r="F7" s="1" t="s">
        <v>76</v>
      </c>
      <c r="G7" s="1" t="s">
        <v>101</v>
      </c>
      <c r="H7" s="1">
        <f>COUNTIF('1999 Draft'!$E$3:$E$324,Teams!A7)</f>
        <v>25</v>
      </c>
    </row>
    <row r="8" spans="1:8" x14ac:dyDescent="0.2">
      <c r="A8" s="11" t="s">
        <v>11</v>
      </c>
      <c r="B8" s="1" t="str">
        <f t="shared" si="0"/>
        <v>Henninger</v>
      </c>
      <c r="C8" s="1">
        <f t="shared" si="1"/>
        <v>9</v>
      </c>
      <c r="D8" s="1" t="s">
        <v>32</v>
      </c>
      <c r="E8" s="1" t="s">
        <v>48</v>
      </c>
      <c r="F8" s="1" t="s">
        <v>68</v>
      </c>
      <c r="G8" s="1" t="s">
        <v>32</v>
      </c>
      <c r="H8" s="1">
        <f>COUNTIF('1999 Draft'!$E$3:$E$324,Teams!A8)</f>
        <v>21</v>
      </c>
    </row>
    <row r="9" spans="1:8" x14ac:dyDescent="0.2">
      <c r="A9" s="11" t="s">
        <v>10</v>
      </c>
      <c r="B9" s="1" t="str">
        <f t="shared" si="0"/>
        <v>Scott</v>
      </c>
      <c r="C9" s="1">
        <f t="shared" si="1"/>
        <v>5</v>
      </c>
      <c r="D9" s="1" t="s">
        <v>33</v>
      </c>
      <c r="E9" s="1" t="s">
        <v>58</v>
      </c>
      <c r="F9" s="1" t="s">
        <v>78</v>
      </c>
      <c r="G9" s="1" t="s">
        <v>102</v>
      </c>
      <c r="H9" s="1">
        <f>COUNTIF('1999 Draft'!$E$3:$E$324,Teams!A9)</f>
        <v>21</v>
      </c>
    </row>
    <row r="10" spans="1:8" x14ac:dyDescent="0.2">
      <c r="A10" s="11" t="s">
        <v>14</v>
      </c>
      <c r="B10" s="1" t="str">
        <f t="shared" si="0"/>
        <v>English</v>
      </c>
      <c r="C10" s="1">
        <f t="shared" si="1"/>
        <v>7</v>
      </c>
      <c r="D10" s="1" t="s">
        <v>34</v>
      </c>
      <c r="E10" s="1" t="s">
        <v>46</v>
      </c>
      <c r="F10" s="1" t="s">
        <v>66</v>
      </c>
      <c r="G10" s="1" t="s">
        <v>106</v>
      </c>
      <c r="H10" s="1">
        <f>COUNTIF('1999 Draft'!$E$3:$E$324,Teams!A10)</f>
        <v>7</v>
      </c>
    </row>
    <row r="11" spans="1:8" x14ac:dyDescent="0.2">
      <c r="A11" s="11" t="s">
        <v>2</v>
      </c>
      <c r="B11" s="1" t="str">
        <f t="shared" si="0"/>
        <v>Olkin</v>
      </c>
      <c r="C11" s="1">
        <f t="shared" si="1"/>
        <v>5</v>
      </c>
      <c r="D11" s="1" t="s">
        <v>29</v>
      </c>
      <c r="E11" s="1" t="s">
        <v>54</v>
      </c>
      <c r="F11" s="1" t="s">
        <v>74</v>
      </c>
      <c r="G11" s="1" t="s">
        <v>29</v>
      </c>
      <c r="H11" s="1">
        <f>COUNTIF('1999 Draft'!$E$3:$E$324,Teams!A11)</f>
        <v>16</v>
      </c>
    </row>
    <row r="12" spans="1:8" x14ac:dyDescent="0.2">
      <c r="A12" s="11" t="s">
        <v>6</v>
      </c>
      <c r="B12" s="1" t="str">
        <f t="shared" si="0"/>
        <v>Chernow</v>
      </c>
      <c r="C12" s="1">
        <f t="shared" si="1"/>
        <v>7</v>
      </c>
      <c r="D12" s="1" t="s">
        <v>36</v>
      </c>
      <c r="E12" s="1" t="s">
        <v>45</v>
      </c>
      <c r="F12" s="1" t="s">
        <v>65</v>
      </c>
      <c r="G12" s="1" t="s">
        <v>103</v>
      </c>
      <c r="H12" s="1">
        <f>COUNTIF('1999 Draft'!$E$3:$E$324,Teams!A12)</f>
        <v>15</v>
      </c>
    </row>
    <row r="13" spans="1:8" x14ac:dyDescent="0.2">
      <c r="A13" s="11" t="s">
        <v>357</v>
      </c>
      <c r="B13" s="1" t="str">
        <f t="shared" si="0"/>
        <v>Carroll/Kleine</v>
      </c>
      <c r="C13" s="1">
        <f t="shared" si="1"/>
        <v>14</v>
      </c>
      <c r="D13" s="1" t="s">
        <v>97</v>
      </c>
      <c r="E13" s="1" t="s">
        <v>358</v>
      </c>
      <c r="F13" s="1" t="s">
        <v>359</v>
      </c>
      <c r="G13" s="1" t="s">
        <v>369</v>
      </c>
      <c r="H13" s="1">
        <f>COUNTIF('1999 Draft'!$E$3:$E$324,Teams!A20)</f>
        <v>10</v>
      </c>
    </row>
    <row r="14" spans="1:8" x14ac:dyDescent="0.2">
      <c r="A14" s="11" t="s">
        <v>3</v>
      </c>
      <c r="B14" s="1" t="str">
        <f t="shared" si="0"/>
        <v>Bernstein</v>
      </c>
      <c r="C14" s="1">
        <f t="shared" si="1"/>
        <v>9</v>
      </c>
      <c r="D14" s="1" t="s">
        <v>26</v>
      </c>
      <c r="E14" s="1" t="s">
        <v>62</v>
      </c>
      <c r="F14" s="1" t="s">
        <v>63</v>
      </c>
      <c r="G14" s="1" t="s">
        <v>107</v>
      </c>
      <c r="H14" s="1">
        <f>COUNTIF('1999 Draft'!$E$3:$E$324,Teams!A13)</f>
        <v>16</v>
      </c>
    </row>
    <row r="15" spans="1:8" x14ac:dyDescent="0.2">
      <c r="A15" s="11" t="s">
        <v>7</v>
      </c>
      <c r="B15" s="1" t="str">
        <f t="shared" si="0"/>
        <v>Manuel</v>
      </c>
      <c r="C15" s="1">
        <f t="shared" si="1"/>
        <v>6</v>
      </c>
      <c r="D15" s="1" t="s">
        <v>27</v>
      </c>
      <c r="E15" s="1" t="s">
        <v>50</v>
      </c>
      <c r="F15" s="1" t="s">
        <v>70</v>
      </c>
      <c r="G15" s="1" t="s">
        <v>104</v>
      </c>
      <c r="H15" s="1">
        <f>COUNTIF('1999 Draft'!$E$3:$E$324,Teams!A14)</f>
        <v>17</v>
      </c>
    </row>
    <row r="16" spans="1:8" x14ac:dyDescent="0.2">
      <c r="A16" s="11" t="s">
        <v>9</v>
      </c>
      <c r="B16" s="1" t="str">
        <f t="shared" si="0"/>
        <v>Sasman</v>
      </c>
      <c r="C16" s="1">
        <f t="shared" si="1"/>
        <v>6</v>
      </c>
      <c r="D16" s="1" t="s">
        <v>28</v>
      </c>
      <c r="E16" s="1" t="s">
        <v>57</v>
      </c>
      <c r="F16" s="1" t="s">
        <v>77</v>
      </c>
      <c r="G16" s="1" t="s">
        <v>108</v>
      </c>
      <c r="H16" s="1">
        <f>COUNTIF('1999 Draft'!$E$3:$E$324,Teams!A15)</f>
        <v>15</v>
      </c>
    </row>
    <row r="17" spans="1:8" x14ac:dyDescent="0.2">
      <c r="A17" s="11" t="s">
        <v>12</v>
      </c>
      <c r="B17" s="1" t="str">
        <f t="shared" si="0"/>
        <v>Smith</v>
      </c>
      <c r="C17" s="1">
        <f t="shared" si="1"/>
        <v>5</v>
      </c>
      <c r="D17" s="1" t="s">
        <v>31</v>
      </c>
      <c r="E17" s="1" t="s">
        <v>59</v>
      </c>
      <c r="F17" s="1" t="s">
        <v>79</v>
      </c>
      <c r="G17" s="1" t="s">
        <v>31</v>
      </c>
      <c r="H17" s="1">
        <f>COUNTIF('1999 Draft'!$E$3:$E$324,Teams!A16)</f>
        <v>16</v>
      </c>
    </row>
    <row r="18" spans="1:8" x14ac:dyDescent="0.2">
      <c r="A18" s="11" t="s">
        <v>5</v>
      </c>
      <c r="B18" s="1" t="str">
        <f t="shared" si="0"/>
        <v>Haverty/Mojo</v>
      </c>
      <c r="C18" s="1">
        <f t="shared" si="1"/>
        <v>12</v>
      </c>
      <c r="D18" s="1" t="s">
        <v>96</v>
      </c>
      <c r="E18" s="1" t="s">
        <v>47</v>
      </c>
      <c r="F18" s="1" t="s">
        <v>67</v>
      </c>
      <c r="G18" s="1" t="s">
        <v>96</v>
      </c>
      <c r="H18" s="1">
        <f>COUNTIF('1999 Draft'!$E$3:$E$324,Teams!A17)</f>
        <v>13</v>
      </c>
    </row>
    <row r="19" spans="1:8" x14ac:dyDescent="0.2">
      <c r="A19" s="11" t="s">
        <v>16</v>
      </c>
      <c r="B19" s="1" t="str">
        <f t="shared" si="0"/>
        <v>Lingo</v>
      </c>
      <c r="C19" s="1">
        <f t="shared" si="1"/>
        <v>5</v>
      </c>
      <c r="D19" s="1" t="s">
        <v>35</v>
      </c>
      <c r="E19" s="1" t="s">
        <v>49</v>
      </c>
      <c r="F19" s="1" t="s">
        <v>69</v>
      </c>
      <c r="G19" s="1" t="s">
        <v>383</v>
      </c>
      <c r="H19" s="1">
        <f>COUNTIF('1999 Draft'!$E$3:$E$324,Teams!A18)</f>
        <v>11</v>
      </c>
    </row>
    <row r="20" spans="1:8" x14ac:dyDescent="0.2">
      <c r="A20" s="11" t="s">
        <v>19</v>
      </c>
      <c r="B20" s="1" t="str">
        <f t="shared" si="0"/>
        <v>Bailey</v>
      </c>
      <c r="C20" s="1">
        <f t="shared" si="1"/>
        <v>6</v>
      </c>
      <c r="D20" s="1" t="s">
        <v>41</v>
      </c>
      <c r="E20" s="1" t="s">
        <v>43</v>
      </c>
      <c r="F20" s="1" t="s">
        <v>61</v>
      </c>
      <c r="G20" s="1" t="s">
        <v>105</v>
      </c>
      <c r="H20" s="1">
        <f>COUNTIF('1999 Draft'!$E$3:$E$324,Teams!A19)</f>
        <v>19</v>
      </c>
    </row>
    <row r="21" spans="1:8" x14ac:dyDescent="0.2">
      <c r="A21" s="11" t="s">
        <v>1</v>
      </c>
      <c r="B21" s="1" t="str">
        <f t="shared" si="0"/>
        <v>Poole</v>
      </c>
      <c r="C21" s="1">
        <f t="shared" si="1"/>
        <v>5</v>
      </c>
      <c r="D21" s="1" t="s">
        <v>30</v>
      </c>
      <c r="E21" s="1" t="s">
        <v>55</v>
      </c>
      <c r="F21" s="1" t="s">
        <v>75</v>
      </c>
      <c r="G21" s="1" t="s">
        <v>30</v>
      </c>
      <c r="H21" s="1">
        <f>COUNTIF('1999 Draft'!$E$3:$E$324,Teams!A21)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1999 Draft</vt:lpstr>
      <vt:lpstr>1999 Trades</vt:lpstr>
      <vt:lpstr>1999 PreDraft Trades</vt:lpstr>
      <vt:lpstr>Teams</vt:lpstr>
      <vt:lpstr>'1999 Draft'!Print_Area</vt:lpstr>
      <vt:lpstr>'1999 Draft'!Print_Titles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 </cp:lastModifiedBy>
  <cp:lastPrinted>2008-12-04T17:12:40Z</cp:lastPrinted>
  <dcterms:created xsi:type="dcterms:W3CDTF">2008-11-30T00:33:55Z</dcterms:created>
  <dcterms:modified xsi:type="dcterms:W3CDTF">2010-05-01T18:09:57Z</dcterms:modified>
</cp:coreProperties>
</file>