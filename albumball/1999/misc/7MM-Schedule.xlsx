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ropbox\Public\Gruntleball\Albumball\1999\Misc\"/>
    </mc:Choice>
  </mc:AlternateContent>
  <bookViews>
    <workbookView xWindow="10140" yWindow="-15" windowWidth="15060" windowHeight="12045"/>
    <workbookView xWindow="0" yWindow="0" windowWidth="21570" windowHeight="8265" activeTab="1"/>
  </bookViews>
  <sheets>
    <sheet name="Output" sheetId="2" r:id="rId1"/>
    <sheet name="2004" sheetId="1" r:id="rId2"/>
    <sheet name="colorpalette" sheetId="3" r:id="rId3"/>
  </sheets>
  <definedNames>
    <definedName name="_xlnm._FilterDatabase" localSheetId="1" hidden="1">'2004'!#REF!</definedName>
    <definedName name="_xlnm._FilterDatabase" localSheetId="0" hidden="1">Output!$B$4:$U$1611</definedName>
    <definedName name="_xlnm.Print_Area" localSheetId="1">'2004'!#REF!</definedName>
    <definedName name="_xlnm.Print_Area" localSheetId="0">Output!$A$5:$U$179</definedName>
    <definedName name="_xlnm.Print_Titles" localSheetId="1">'2004'!$1:$1</definedName>
    <definedName name="_xlnm.Print_Titles" localSheetId="0">Output!$1:$4</definedName>
    <definedName name="Sched" localSheetId="0">Output!#REF!</definedName>
    <definedName name="Sched">'2004'!$D$1:$I$1588</definedName>
    <definedName name="Sort">'2004'!$D$1:$G$1621</definedName>
  </definedNames>
  <calcPr calcId="152511"/>
</workbook>
</file>

<file path=xl/calcChain.xml><?xml version="1.0" encoding="utf-8"?>
<calcChain xmlns="http://schemas.openxmlformats.org/spreadsheetml/2006/main">
  <c r="G14" i="3" l="1"/>
  <c r="F14" i="3"/>
  <c r="E14" i="3"/>
  <c r="C14" i="3"/>
  <c r="B14" i="3"/>
  <c r="A14" i="3"/>
  <c r="G13" i="3"/>
  <c r="F13" i="3"/>
  <c r="E13" i="3"/>
  <c r="C13" i="3"/>
  <c r="B13" i="3"/>
  <c r="A13" i="3"/>
  <c r="G12" i="3"/>
  <c r="F12" i="3"/>
  <c r="E12" i="3"/>
  <c r="C12" i="3"/>
  <c r="B12" i="3"/>
  <c r="A12" i="3"/>
  <c r="G11" i="3"/>
  <c r="F11" i="3"/>
  <c r="E11" i="3"/>
  <c r="C11" i="3"/>
  <c r="B11" i="3"/>
  <c r="A11" i="3"/>
  <c r="G10" i="3"/>
  <c r="F10" i="3"/>
  <c r="E10" i="3"/>
  <c r="C10" i="3"/>
  <c r="B10" i="3"/>
  <c r="A10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K1582" i="1"/>
  <c r="K1585" i="1"/>
  <c r="K1584" i="1"/>
  <c r="K1586" i="1"/>
  <c r="K1589" i="1"/>
  <c r="J1585" i="1"/>
  <c r="J1582" i="1"/>
  <c r="J1589" i="1"/>
  <c r="J1584" i="1"/>
  <c r="J1586" i="1"/>
  <c r="K1590" i="1"/>
  <c r="K1588" i="1"/>
  <c r="K1583" i="1"/>
  <c r="K1581" i="1"/>
  <c r="K1587" i="1"/>
  <c r="J1590" i="1"/>
  <c r="J1588" i="1"/>
  <c r="J1583" i="1"/>
  <c r="J1587" i="1"/>
  <c r="J1581" i="1"/>
  <c r="J1576" i="1"/>
  <c r="K1618" i="1"/>
  <c r="J1614" i="1"/>
  <c r="K1613" i="1"/>
  <c r="J1571" i="1"/>
  <c r="J1615" i="1"/>
  <c r="J1612" i="1"/>
  <c r="J1578" i="1"/>
  <c r="K1615" i="1"/>
  <c r="J1617" i="1"/>
  <c r="J1577" i="1"/>
  <c r="K1621" i="1"/>
  <c r="J1575" i="1"/>
  <c r="J1618" i="1"/>
  <c r="K1578" i="1"/>
  <c r="J1621" i="1"/>
  <c r="J1613" i="1"/>
  <c r="K1577" i="1"/>
  <c r="K1617" i="1"/>
  <c r="J1620" i="1"/>
  <c r="K1576" i="1"/>
  <c r="K1620" i="1"/>
  <c r="K1575" i="1"/>
  <c r="J1619" i="1"/>
  <c r="K1571" i="1"/>
  <c r="J1572" i="1"/>
  <c r="K1612" i="1"/>
  <c r="K1619" i="1"/>
  <c r="J1573" i="1"/>
  <c r="J1580" i="1"/>
  <c r="J1616" i="1"/>
  <c r="J1574" i="1"/>
  <c r="J1579" i="1"/>
  <c r="K1579" i="1"/>
  <c r="K1614" i="1"/>
  <c r="K1574" i="1"/>
  <c r="K1616" i="1"/>
  <c r="K1572" i="1"/>
  <c r="K1573" i="1"/>
  <c r="K1580" i="1"/>
  <c r="J1567" i="1"/>
  <c r="K1606" i="1"/>
  <c r="J1611" i="1"/>
  <c r="K1609" i="1"/>
  <c r="J1564" i="1"/>
  <c r="J1602" i="1"/>
  <c r="J1603" i="1"/>
  <c r="J1561" i="1"/>
  <c r="K1602" i="1"/>
  <c r="J1604" i="1"/>
  <c r="J1569" i="1"/>
  <c r="K1610" i="1"/>
  <c r="J1566" i="1"/>
  <c r="J1606" i="1"/>
  <c r="K1561" i="1"/>
  <c r="J1610" i="1"/>
  <c r="J1609" i="1"/>
  <c r="K1569" i="1"/>
  <c r="K1604" i="1"/>
  <c r="J1605" i="1"/>
  <c r="K1567" i="1"/>
  <c r="K1605" i="1"/>
  <c r="K1566" i="1"/>
  <c r="J1607" i="1"/>
  <c r="K1564" i="1"/>
  <c r="J1565" i="1"/>
  <c r="K1603" i="1"/>
  <c r="K1607" i="1"/>
  <c r="J1563" i="1"/>
  <c r="J1568" i="1"/>
  <c r="J1608" i="1"/>
  <c r="J1562" i="1"/>
  <c r="J1570" i="1"/>
  <c r="K1570" i="1"/>
  <c r="K1611" i="1"/>
  <c r="K1562" i="1"/>
  <c r="K1608" i="1"/>
  <c r="K1565" i="1"/>
  <c r="K1563" i="1"/>
  <c r="K1568" i="1"/>
  <c r="J1594" i="1"/>
  <c r="J1597" i="1"/>
  <c r="K1592" i="1"/>
  <c r="K1594" i="1"/>
  <c r="J1595" i="1"/>
  <c r="K1597" i="1"/>
  <c r="K1599" i="1"/>
  <c r="J1599" i="1"/>
  <c r="K1596" i="1"/>
  <c r="K1595" i="1"/>
  <c r="K1600" i="1"/>
  <c r="K1598" i="1"/>
  <c r="J1596" i="1"/>
  <c r="J1593" i="1"/>
  <c r="J1598" i="1"/>
  <c r="J1559" i="1"/>
  <c r="J1600" i="1"/>
  <c r="J1592" i="1"/>
  <c r="J1553" i="1"/>
  <c r="K1593" i="1"/>
  <c r="J1552" i="1"/>
  <c r="J1554" i="1"/>
  <c r="K1559" i="1"/>
  <c r="J1601" i="1"/>
  <c r="K1553" i="1"/>
  <c r="K1601" i="1"/>
  <c r="K1554" i="1"/>
  <c r="K1552" i="1"/>
  <c r="K1556" i="1"/>
  <c r="J1558" i="1"/>
  <c r="J1556" i="1"/>
  <c r="K1541" i="1"/>
  <c r="K1558" i="1"/>
  <c r="J1541" i="1"/>
  <c r="K1591" i="1"/>
  <c r="K1557" i="1"/>
  <c r="J1550" i="1"/>
  <c r="J1557" i="1"/>
  <c r="K1550" i="1"/>
  <c r="K1545" i="1"/>
  <c r="J1591" i="1"/>
  <c r="J1560" i="1"/>
  <c r="K1560" i="1"/>
  <c r="J1545" i="1"/>
  <c r="K1547" i="1"/>
  <c r="K1555" i="1"/>
  <c r="J1547" i="1"/>
  <c r="J1551" i="1"/>
  <c r="K1551" i="1"/>
  <c r="J1555" i="1"/>
  <c r="J1540" i="1"/>
  <c r="K1530" i="1"/>
  <c r="K1540" i="1"/>
  <c r="J1546" i="1"/>
  <c r="J1530" i="1"/>
  <c r="J1537" i="1"/>
  <c r="J1549" i="1"/>
  <c r="K1544" i="1"/>
  <c r="K1549" i="1"/>
  <c r="J1544" i="1"/>
  <c r="J1542" i="1"/>
  <c r="K1543" i="1"/>
  <c r="J1543" i="1"/>
  <c r="K1542" i="1"/>
  <c r="K1546" i="1"/>
  <c r="J1533" i="1"/>
  <c r="K1537" i="1"/>
  <c r="K1548" i="1"/>
  <c r="J1548" i="1"/>
  <c r="K1533" i="1"/>
  <c r="J1531" i="1"/>
  <c r="J1538" i="1"/>
  <c r="J1534" i="1"/>
  <c r="J1535" i="1"/>
  <c r="J1536" i="1"/>
  <c r="J1539" i="1"/>
  <c r="J1532" i="1"/>
  <c r="K1534" i="1"/>
  <c r="K1536" i="1"/>
  <c r="K1532" i="1"/>
  <c r="K1535" i="1"/>
  <c r="K1539" i="1"/>
  <c r="K1531" i="1"/>
  <c r="K1538" i="1"/>
  <c r="K1524" i="1"/>
  <c r="K1520" i="1"/>
  <c r="K1526" i="1"/>
  <c r="K1522" i="1"/>
  <c r="K1528" i="1"/>
  <c r="J1524" i="1"/>
  <c r="J1526" i="1"/>
  <c r="J1520" i="1"/>
  <c r="J1522" i="1"/>
  <c r="J1528" i="1"/>
  <c r="K1523" i="1"/>
  <c r="K1525" i="1"/>
  <c r="K1521" i="1"/>
  <c r="K1529" i="1"/>
  <c r="K1527" i="1"/>
  <c r="J1529" i="1"/>
  <c r="J1523" i="1"/>
  <c r="J1525" i="1"/>
  <c r="J1521" i="1"/>
  <c r="J1527" i="1"/>
  <c r="J1516" i="1"/>
  <c r="K1516" i="1"/>
  <c r="K1517" i="1"/>
  <c r="J1519" i="1"/>
  <c r="K1519" i="1"/>
  <c r="J1511" i="1"/>
  <c r="K1511" i="1"/>
  <c r="J1517" i="1"/>
  <c r="K1518" i="1"/>
  <c r="J1518" i="1"/>
  <c r="J1515" i="1"/>
  <c r="K1515" i="1"/>
  <c r="K1512" i="1"/>
  <c r="K1514" i="1"/>
  <c r="J1512" i="1"/>
  <c r="K1510" i="1"/>
  <c r="J1510" i="1"/>
  <c r="J1514" i="1"/>
  <c r="J1513" i="1"/>
  <c r="K1513" i="1"/>
  <c r="K1503" i="1"/>
  <c r="K1500" i="1"/>
  <c r="K1506" i="1"/>
  <c r="K1505" i="1"/>
  <c r="K1509" i="1"/>
  <c r="K1504" i="1"/>
  <c r="K1507" i="1"/>
  <c r="K1502" i="1"/>
  <c r="K1508" i="1"/>
  <c r="K1501" i="1"/>
  <c r="J1509" i="1"/>
  <c r="J1505" i="1"/>
  <c r="J1506" i="1"/>
  <c r="J1500" i="1"/>
  <c r="J1503" i="1"/>
  <c r="J1502" i="1"/>
  <c r="J1501" i="1"/>
  <c r="J1508" i="1"/>
  <c r="J1507" i="1"/>
  <c r="J1504" i="1"/>
  <c r="J1498" i="1"/>
  <c r="J1499" i="1"/>
  <c r="J1497" i="1"/>
  <c r="K1498" i="1"/>
  <c r="K1497" i="1"/>
  <c r="K1499" i="1"/>
  <c r="J1494" i="1"/>
  <c r="J1491" i="1"/>
  <c r="J1496" i="1"/>
  <c r="J1493" i="1"/>
  <c r="J1487" i="1"/>
  <c r="K1487" i="1"/>
  <c r="K1491" i="1"/>
  <c r="K1493" i="1"/>
  <c r="K1494" i="1"/>
  <c r="K1496" i="1"/>
  <c r="J1495" i="1"/>
  <c r="J1490" i="1"/>
  <c r="J1492" i="1"/>
  <c r="J1488" i="1"/>
  <c r="J1489" i="1"/>
  <c r="K1490" i="1"/>
  <c r="K1492" i="1"/>
  <c r="K1489" i="1"/>
  <c r="K1488" i="1"/>
  <c r="K1495" i="1"/>
  <c r="K1478" i="1"/>
  <c r="K1485" i="1"/>
  <c r="K1479" i="1"/>
  <c r="K1481" i="1"/>
  <c r="K1484" i="1"/>
  <c r="K1482" i="1"/>
  <c r="K1486" i="1"/>
  <c r="K1483" i="1"/>
  <c r="K1477" i="1"/>
  <c r="K1480" i="1"/>
  <c r="J1486" i="1"/>
  <c r="J1482" i="1"/>
  <c r="J1483" i="1"/>
  <c r="J1477" i="1"/>
  <c r="J1480" i="1"/>
  <c r="J1479" i="1"/>
  <c r="J1478" i="1"/>
  <c r="J1485" i="1"/>
  <c r="J1484" i="1"/>
  <c r="J1481" i="1"/>
  <c r="K1476" i="1"/>
  <c r="K1472" i="1"/>
  <c r="K1467" i="1"/>
  <c r="K1470" i="1"/>
  <c r="K1473" i="1"/>
  <c r="K1468" i="1"/>
  <c r="K1469" i="1"/>
  <c r="K1475" i="1"/>
  <c r="K1471" i="1"/>
  <c r="K1474" i="1"/>
  <c r="J1476" i="1"/>
  <c r="J1472" i="1"/>
  <c r="J1473" i="1"/>
  <c r="J1467" i="1"/>
  <c r="J1470" i="1"/>
  <c r="J1469" i="1"/>
  <c r="J1468" i="1"/>
  <c r="J1475" i="1"/>
  <c r="J1474" i="1"/>
  <c r="J1471" i="1"/>
  <c r="J1464" i="1"/>
  <c r="J1461" i="1"/>
  <c r="J1466" i="1"/>
  <c r="J1463" i="1"/>
  <c r="J1457" i="1"/>
  <c r="J1458" i="1"/>
  <c r="J1465" i="1"/>
  <c r="J1459" i="1"/>
  <c r="J1460" i="1"/>
  <c r="J1462" i="1"/>
  <c r="K1465" i="1"/>
  <c r="K1458" i="1"/>
  <c r="K1459" i="1"/>
  <c r="K1460" i="1"/>
  <c r="K1462" i="1"/>
  <c r="K1466" i="1"/>
  <c r="K1464" i="1"/>
  <c r="K1461" i="1"/>
  <c r="K1457" i="1"/>
  <c r="K1463" i="1"/>
  <c r="J1455" i="1"/>
  <c r="J1454" i="1"/>
  <c r="J1456" i="1"/>
  <c r="K1454" i="1"/>
  <c r="K1456" i="1"/>
  <c r="K1452" i="1"/>
  <c r="J1452" i="1"/>
  <c r="K1455" i="1"/>
  <c r="J1453" i="1"/>
  <c r="K1451" i="1"/>
  <c r="J1451" i="1"/>
  <c r="K1453" i="1"/>
  <c r="K1442" i="1"/>
  <c r="K1449" i="1"/>
  <c r="K1443" i="1"/>
  <c r="K1445" i="1"/>
  <c r="K1448" i="1"/>
  <c r="K1446" i="1"/>
  <c r="K1450" i="1"/>
  <c r="K1447" i="1"/>
  <c r="K1441" i="1"/>
  <c r="K1444" i="1"/>
  <c r="J1450" i="1"/>
  <c r="J1446" i="1"/>
  <c r="J1447" i="1"/>
  <c r="J1441" i="1"/>
  <c r="J1444" i="1"/>
  <c r="J1443" i="1"/>
  <c r="J1442" i="1"/>
  <c r="J1449" i="1"/>
  <c r="J1448" i="1"/>
  <c r="J1445" i="1"/>
  <c r="J1438" i="1"/>
  <c r="J1435" i="1"/>
  <c r="J1440" i="1"/>
  <c r="J1437" i="1"/>
  <c r="J1431" i="1"/>
  <c r="J1432" i="1"/>
  <c r="J1439" i="1"/>
  <c r="J1433" i="1"/>
  <c r="J1434" i="1"/>
  <c r="J1436" i="1"/>
  <c r="K1439" i="1"/>
  <c r="K1432" i="1"/>
  <c r="K1433" i="1"/>
  <c r="K1434" i="1"/>
  <c r="K1436" i="1"/>
  <c r="K1440" i="1"/>
  <c r="K1438" i="1"/>
  <c r="K1435" i="1"/>
  <c r="K1431" i="1"/>
  <c r="K1437" i="1"/>
  <c r="K1426" i="1"/>
  <c r="K1427" i="1"/>
  <c r="K1430" i="1"/>
  <c r="K1421" i="1"/>
  <c r="K1424" i="1"/>
  <c r="K1429" i="1"/>
  <c r="K1422" i="1"/>
  <c r="K1428" i="1"/>
  <c r="K1423" i="1"/>
  <c r="K1425" i="1"/>
  <c r="J1430" i="1"/>
  <c r="J1426" i="1"/>
  <c r="J1427" i="1"/>
  <c r="J1421" i="1"/>
  <c r="J1424" i="1"/>
  <c r="J1423" i="1"/>
  <c r="J1422" i="1"/>
  <c r="J1429" i="1"/>
  <c r="J1428" i="1"/>
  <c r="J1425" i="1"/>
  <c r="J1418" i="1"/>
  <c r="J1415" i="1"/>
  <c r="J1420" i="1"/>
  <c r="J1417" i="1"/>
  <c r="J1411" i="1"/>
  <c r="J1412" i="1"/>
  <c r="J1419" i="1"/>
  <c r="J1413" i="1"/>
  <c r="J1414" i="1"/>
  <c r="J1416" i="1"/>
  <c r="K1412" i="1"/>
  <c r="K1413" i="1"/>
  <c r="K1416" i="1"/>
  <c r="K1419" i="1"/>
  <c r="K1414" i="1"/>
  <c r="K1418" i="1"/>
  <c r="K1415" i="1"/>
  <c r="K1411" i="1"/>
  <c r="K1417" i="1"/>
  <c r="K1420" i="1"/>
  <c r="J1409" i="1"/>
  <c r="K1409" i="1"/>
  <c r="K1407" i="1"/>
  <c r="J1407" i="1"/>
  <c r="J1410" i="1"/>
  <c r="K1410" i="1"/>
  <c r="K1405" i="1"/>
  <c r="J1406" i="1"/>
  <c r="J1405" i="1"/>
  <c r="K1408" i="1"/>
  <c r="J1408" i="1"/>
  <c r="K1406" i="1"/>
  <c r="K1398" i="1"/>
  <c r="K1395" i="1"/>
  <c r="K1401" i="1"/>
  <c r="K1400" i="1"/>
  <c r="K1404" i="1"/>
  <c r="K1399" i="1"/>
  <c r="K1402" i="1"/>
  <c r="K1397" i="1"/>
  <c r="K1403" i="1"/>
  <c r="K1396" i="1"/>
  <c r="J1404" i="1"/>
  <c r="J1400" i="1"/>
  <c r="J1401" i="1"/>
  <c r="J1395" i="1"/>
  <c r="J1398" i="1"/>
  <c r="J1397" i="1"/>
  <c r="J1396" i="1"/>
  <c r="J1403" i="1"/>
  <c r="J1402" i="1"/>
  <c r="J1399" i="1"/>
  <c r="K1387" i="1"/>
  <c r="K1386" i="1"/>
  <c r="K1389" i="1"/>
  <c r="K1392" i="1"/>
  <c r="K1393" i="1"/>
  <c r="K1394" i="1"/>
  <c r="K1385" i="1"/>
  <c r="K1390" i="1"/>
  <c r="K1388" i="1"/>
  <c r="K1391" i="1"/>
  <c r="J1394" i="1"/>
  <c r="J1390" i="1"/>
  <c r="J1391" i="1"/>
  <c r="J1385" i="1"/>
  <c r="J1388" i="1"/>
  <c r="J1387" i="1"/>
  <c r="J1386" i="1"/>
  <c r="J1393" i="1"/>
  <c r="J1392" i="1"/>
  <c r="J1389" i="1"/>
  <c r="J1383" i="1"/>
  <c r="K1376" i="1"/>
  <c r="K1383" i="1"/>
  <c r="J1381" i="1"/>
  <c r="J1376" i="1"/>
  <c r="K1381" i="1"/>
  <c r="K1380" i="1"/>
  <c r="J1380" i="1"/>
  <c r="J1384" i="1"/>
  <c r="K1379" i="1"/>
  <c r="J1379" i="1"/>
  <c r="K1384" i="1"/>
  <c r="J1378" i="1"/>
  <c r="J1377" i="1"/>
  <c r="K1378" i="1"/>
  <c r="K1382" i="1"/>
  <c r="J1382" i="1"/>
  <c r="K1377" i="1"/>
  <c r="K1371" i="1"/>
  <c r="K1375" i="1"/>
  <c r="K1372" i="1"/>
  <c r="K1369" i="1"/>
  <c r="K1368" i="1"/>
  <c r="J1368" i="1"/>
  <c r="J1375" i="1"/>
  <c r="J1369" i="1"/>
  <c r="J1371" i="1"/>
  <c r="J1372" i="1"/>
  <c r="K1370" i="1"/>
  <c r="K1367" i="1"/>
  <c r="K1366" i="1"/>
  <c r="K1373" i="1"/>
  <c r="K1374" i="1"/>
  <c r="J1367" i="1"/>
  <c r="J1366" i="1"/>
  <c r="J1374" i="1"/>
  <c r="J1373" i="1"/>
  <c r="J1370" i="1"/>
  <c r="K1364" i="1"/>
  <c r="K1363" i="1"/>
  <c r="K1357" i="1"/>
  <c r="K1358" i="1"/>
  <c r="K1360" i="1"/>
  <c r="K1362" i="1"/>
  <c r="K1361" i="1"/>
  <c r="K1359" i="1"/>
  <c r="K1365" i="1"/>
  <c r="K1356" i="1"/>
  <c r="J1365" i="1"/>
  <c r="J1361" i="1"/>
  <c r="J1362" i="1"/>
  <c r="J1356" i="1"/>
  <c r="J1359" i="1"/>
  <c r="J1358" i="1"/>
  <c r="J1357" i="1"/>
  <c r="J1364" i="1"/>
  <c r="J1363" i="1"/>
  <c r="J1360" i="1"/>
  <c r="K1346" i="1"/>
  <c r="K1355" i="1"/>
  <c r="K1349" i="1"/>
  <c r="K1352" i="1"/>
  <c r="K1351" i="1"/>
  <c r="K1348" i="1"/>
  <c r="K1350" i="1"/>
  <c r="K1347" i="1"/>
  <c r="K1353" i="1"/>
  <c r="K1354" i="1"/>
  <c r="J1355" i="1"/>
  <c r="J1351" i="1"/>
  <c r="J1352" i="1"/>
  <c r="J1346" i="1"/>
  <c r="J1349" i="1"/>
  <c r="J1348" i="1"/>
  <c r="J1347" i="1"/>
  <c r="J1354" i="1"/>
  <c r="J1353" i="1"/>
  <c r="J1350" i="1"/>
  <c r="J1343" i="1"/>
  <c r="J1340" i="1"/>
  <c r="J1345" i="1"/>
  <c r="J1342" i="1"/>
  <c r="J1336" i="1"/>
  <c r="J1337" i="1"/>
  <c r="J1344" i="1"/>
  <c r="J1338" i="1"/>
  <c r="J1339" i="1"/>
  <c r="J1341" i="1"/>
  <c r="K1341" i="1"/>
  <c r="K1339" i="1"/>
  <c r="K1344" i="1"/>
  <c r="K1338" i="1"/>
  <c r="K1337" i="1"/>
  <c r="K1336" i="1"/>
  <c r="K1342" i="1"/>
  <c r="K1345" i="1"/>
  <c r="K1343" i="1"/>
  <c r="K1340" i="1"/>
  <c r="J1333" i="1"/>
  <c r="J1335" i="1"/>
  <c r="J1332" i="1"/>
  <c r="J1334" i="1"/>
  <c r="K1334" i="1"/>
  <c r="K1332" i="1"/>
  <c r="K1335" i="1"/>
  <c r="K1333" i="1"/>
  <c r="K1327" i="1"/>
  <c r="K1331" i="1"/>
  <c r="K1328" i="1"/>
  <c r="K1325" i="1"/>
  <c r="K1324" i="1"/>
  <c r="J1324" i="1"/>
  <c r="J1331" i="1"/>
  <c r="J1325" i="1"/>
  <c r="J1327" i="1"/>
  <c r="J1328" i="1"/>
  <c r="K1326" i="1"/>
  <c r="K1323" i="1"/>
  <c r="K1322" i="1"/>
  <c r="K1329" i="1"/>
  <c r="K1330" i="1"/>
  <c r="J1323" i="1"/>
  <c r="J1322" i="1"/>
  <c r="J1330" i="1"/>
  <c r="J1329" i="1"/>
  <c r="J1326" i="1"/>
  <c r="J1318" i="1"/>
  <c r="K1320" i="1"/>
  <c r="J1320" i="1"/>
  <c r="J1315" i="1"/>
  <c r="K1319" i="1"/>
  <c r="K1315" i="1"/>
  <c r="K1318" i="1"/>
  <c r="J1319" i="1"/>
  <c r="J1317" i="1"/>
  <c r="K1316" i="1"/>
  <c r="J1316" i="1"/>
  <c r="K1321" i="1"/>
  <c r="J1314" i="1"/>
  <c r="K1314" i="1"/>
  <c r="J1321" i="1"/>
  <c r="K1317" i="1"/>
  <c r="J1311" i="1"/>
  <c r="J1308" i="1"/>
  <c r="J1313" i="1"/>
  <c r="J1310" i="1"/>
  <c r="J1304" i="1"/>
  <c r="J1305" i="1"/>
  <c r="J1312" i="1"/>
  <c r="J1306" i="1"/>
  <c r="J1307" i="1"/>
  <c r="J1309" i="1"/>
  <c r="K1305" i="1"/>
  <c r="K1306" i="1"/>
  <c r="K1309" i="1"/>
  <c r="K1312" i="1"/>
  <c r="K1307" i="1"/>
  <c r="K1311" i="1"/>
  <c r="K1308" i="1"/>
  <c r="K1304" i="1"/>
  <c r="K1310" i="1"/>
  <c r="K1313" i="1"/>
  <c r="J1302" i="1"/>
  <c r="K1300" i="1"/>
  <c r="J1300" i="1"/>
  <c r="K1302" i="1"/>
  <c r="J1296" i="1"/>
  <c r="K1299" i="1"/>
  <c r="K1296" i="1"/>
  <c r="J1298" i="1"/>
  <c r="J1299" i="1"/>
  <c r="J1303" i="1"/>
  <c r="K1303" i="1"/>
  <c r="K1297" i="1"/>
  <c r="J1297" i="1"/>
  <c r="K1301" i="1"/>
  <c r="J1295" i="1"/>
  <c r="K1295" i="1"/>
  <c r="J1301" i="1"/>
  <c r="K1298" i="1"/>
  <c r="J1293" i="1"/>
  <c r="J1289" i="1"/>
  <c r="J1290" i="1"/>
  <c r="J1291" i="1"/>
  <c r="J1292" i="1"/>
  <c r="J1294" i="1"/>
  <c r="K1294" i="1"/>
  <c r="K1292" i="1"/>
  <c r="K1291" i="1"/>
  <c r="K1290" i="1"/>
  <c r="K1289" i="1"/>
  <c r="K1293" i="1"/>
  <c r="K1284" i="1"/>
  <c r="K1285" i="1"/>
  <c r="K1288" i="1"/>
  <c r="K1279" i="1"/>
  <c r="K1282" i="1"/>
  <c r="K1287" i="1"/>
  <c r="K1280" i="1"/>
  <c r="K1286" i="1"/>
  <c r="K1281" i="1"/>
  <c r="K1283" i="1"/>
  <c r="J1288" i="1"/>
  <c r="J1284" i="1"/>
  <c r="J1285" i="1"/>
  <c r="J1279" i="1"/>
  <c r="J1282" i="1"/>
  <c r="J1281" i="1"/>
  <c r="J1280" i="1"/>
  <c r="J1287" i="1"/>
  <c r="J1286" i="1"/>
  <c r="J1283" i="1"/>
  <c r="J1276" i="1"/>
  <c r="J1273" i="1"/>
  <c r="J1278" i="1"/>
  <c r="J1275" i="1"/>
  <c r="J1269" i="1"/>
  <c r="J1270" i="1"/>
  <c r="J1277" i="1"/>
  <c r="J1271" i="1"/>
  <c r="J1272" i="1"/>
  <c r="J1274" i="1"/>
  <c r="K1275" i="1"/>
  <c r="K1278" i="1"/>
  <c r="K1276" i="1"/>
  <c r="K1269" i="1"/>
  <c r="K1273" i="1"/>
  <c r="K1274" i="1"/>
  <c r="K1272" i="1"/>
  <c r="K1277" i="1"/>
  <c r="K1270" i="1"/>
  <c r="K1271" i="1"/>
  <c r="K1268" i="1"/>
  <c r="J1265" i="1"/>
  <c r="J1268" i="1"/>
  <c r="J1266" i="1"/>
  <c r="K1265" i="1"/>
  <c r="K1266" i="1"/>
  <c r="K1263" i="1"/>
  <c r="J1261" i="1"/>
  <c r="J1263" i="1"/>
  <c r="K1261" i="1"/>
  <c r="K1260" i="1"/>
  <c r="J1264" i="1"/>
  <c r="K1264" i="1"/>
  <c r="J1260" i="1"/>
  <c r="K1262" i="1"/>
  <c r="J1267" i="1"/>
  <c r="K1267" i="1"/>
  <c r="J1262" i="1"/>
  <c r="J1257" i="1"/>
  <c r="K1250" i="1"/>
  <c r="K1257" i="1"/>
  <c r="J1255" i="1"/>
  <c r="J1250" i="1"/>
  <c r="J1252" i="1"/>
  <c r="J1258" i="1"/>
  <c r="K1254" i="1"/>
  <c r="K1258" i="1"/>
  <c r="J1254" i="1"/>
  <c r="J1259" i="1"/>
  <c r="K1253" i="1"/>
  <c r="J1253" i="1"/>
  <c r="K1259" i="1"/>
  <c r="K1255" i="1"/>
  <c r="J1251" i="1"/>
  <c r="K1252" i="1"/>
  <c r="K1256" i="1"/>
  <c r="J1256" i="1"/>
  <c r="K1251" i="1"/>
  <c r="K1244" i="1"/>
  <c r="K1249" i="1"/>
  <c r="K1245" i="1"/>
  <c r="K1246" i="1"/>
  <c r="K1247" i="1"/>
  <c r="K1248" i="1"/>
  <c r="J1249" i="1"/>
  <c r="J1246" i="1"/>
  <c r="J1244" i="1"/>
  <c r="J1245" i="1"/>
  <c r="J1248" i="1"/>
  <c r="J1247" i="1"/>
  <c r="J1241" i="1"/>
  <c r="J1238" i="1"/>
  <c r="J1243" i="1"/>
  <c r="J1240" i="1"/>
  <c r="J1234" i="1"/>
  <c r="J1235" i="1"/>
  <c r="J1242" i="1"/>
  <c r="J1236" i="1"/>
  <c r="J1237" i="1"/>
  <c r="J1239" i="1"/>
  <c r="K1235" i="1"/>
  <c r="K1236" i="1"/>
  <c r="K1239" i="1"/>
  <c r="K1242" i="1"/>
  <c r="K1237" i="1"/>
  <c r="K1241" i="1"/>
  <c r="K1238" i="1"/>
  <c r="K1234" i="1"/>
  <c r="K1240" i="1"/>
  <c r="K1243" i="1"/>
  <c r="K1229" i="1"/>
  <c r="K1230" i="1"/>
  <c r="K1233" i="1"/>
  <c r="K1232" i="1"/>
  <c r="K1228" i="1"/>
  <c r="K1231" i="1"/>
  <c r="J1232" i="1"/>
  <c r="J1228" i="1"/>
  <c r="J1231" i="1"/>
  <c r="J1230" i="1"/>
  <c r="J1229" i="1"/>
  <c r="J1233" i="1"/>
  <c r="K1223" i="1"/>
  <c r="K1227" i="1"/>
  <c r="K1224" i="1"/>
  <c r="K1221" i="1"/>
  <c r="K1220" i="1"/>
  <c r="J1220" i="1"/>
  <c r="J1227" i="1"/>
  <c r="J1221" i="1"/>
  <c r="J1223" i="1"/>
  <c r="J1224" i="1"/>
  <c r="K1222" i="1"/>
  <c r="K1219" i="1"/>
  <c r="K1218" i="1"/>
  <c r="K1225" i="1"/>
  <c r="K1226" i="1"/>
  <c r="J1219" i="1"/>
  <c r="J1218" i="1"/>
  <c r="J1226" i="1"/>
  <c r="J1225" i="1"/>
  <c r="J1222" i="1"/>
  <c r="K1209" i="1"/>
  <c r="K1216" i="1"/>
  <c r="K1210" i="1"/>
  <c r="K1212" i="1"/>
  <c r="K1215" i="1"/>
  <c r="K1213" i="1"/>
  <c r="K1217" i="1"/>
  <c r="K1214" i="1"/>
  <c r="K1208" i="1"/>
  <c r="K1211" i="1"/>
  <c r="J1217" i="1"/>
  <c r="J1213" i="1"/>
  <c r="J1214" i="1"/>
  <c r="J1208" i="1"/>
  <c r="J1211" i="1"/>
  <c r="J1210" i="1"/>
  <c r="J1209" i="1"/>
  <c r="J1216" i="1"/>
  <c r="J1215" i="1"/>
  <c r="J1212" i="1"/>
  <c r="K1205" i="1"/>
  <c r="K1202" i="1"/>
  <c r="K1206" i="1"/>
  <c r="K1199" i="1"/>
  <c r="K1200" i="1"/>
  <c r="K1201" i="1"/>
  <c r="K1204" i="1"/>
  <c r="K1198" i="1"/>
  <c r="K1203" i="1"/>
  <c r="K1207" i="1"/>
  <c r="J1207" i="1"/>
  <c r="J1203" i="1"/>
  <c r="J1204" i="1"/>
  <c r="J1198" i="1"/>
  <c r="J1201" i="1"/>
  <c r="J1200" i="1"/>
  <c r="J1199" i="1"/>
  <c r="J1206" i="1"/>
  <c r="J1205" i="1"/>
  <c r="J1202" i="1"/>
  <c r="J1194" i="1"/>
  <c r="J1196" i="1"/>
  <c r="J1197" i="1"/>
  <c r="J1193" i="1"/>
  <c r="J1195" i="1"/>
  <c r="K1194" i="1"/>
  <c r="K1196" i="1"/>
  <c r="K1193" i="1"/>
  <c r="K1197" i="1"/>
  <c r="K1195" i="1"/>
  <c r="K1189" i="1"/>
  <c r="K1192" i="1"/>
  <c r="J1192" i="1"/>
  <c r="J1189" i="1"/>
  <c r="J1183" i="1"/>
  <c r="J1186" i="1"/>
  <c r="J1191" i="1"/>
  <c r="J1187" i="1"/>
  <c r="K1187" i="1"/>
  <c r="K1186" i="1"/>
  <c r="K1188" i="1"/>
  <c r="K1184" i="1"/>
  <c r="K1183" i="1"/>
  <c r="J1184" i="1"/>
  <c r="J1188" i="1"/>
  <c r="K1191" i="1"/>
  <c r="J1185" i="1"/>
  <c r="J1190" i="1"/>
  <c r="K1185" i="1"/>
  <c r="K1190" i="1"/>
  <c r="K1173" i="1"/>
  <c r="K1178" i="1"/>
  <c r="J1182" i="1"/>
  <c r="K1182" i="1"/>
  <c r="J1173" i="1"/>
  <c r="K1176" i="1"/>
  <c r="J1181" i="1"/>
  <c r="J1176" i="1"/>
  <c r="J1178" i="1"/>
  <c r="K1181" i="1"/>
  <c r="K1179" i="1"/>
  <c r="K1177" i="1"/>
  <c r="J1179" i="1"/>
  <c r="J1174" i="1"/>
  <c r="K1174" i="1"/>
  <c r="J1175" i="1"/>
  <c r="K1180" i="1"/>
  <c r="J1180" i="1"/>
  <c r="K1175" i="1"/>
  <c r="J1177" i="1"/>
  <c r="J1170" i="1"/>
  <c r="K1170" i="1"/>
  <c r="K1165" i="1"/>
  <c r="J1168" i="1"/>
  <c r="K1168" i="1"/>
  <c r="J1164" i="1"/>
  <c r="K1164" i="1"/>
  <c r="J1165" i="1"/>
  <c r="K1167" i="1"/>
  <c r="J1167" i="1"/>
  <c r="J1172" i="1"/>
  <c r="K1172" i="1"/>
  <c r="K1166" i="1"/>
  <c r="K1171" i="1"/>
  <c r="J1166" i="1"/>
  <c r="K1163" i="1"/>
  <c r="J1163" i="1"/>
  <c r="J1171" i="1"/>
  <c r="J1169" i="1"/>
  <c r="K1169" i="1"/>
  <c r="J1161" i="1"/>
  <c r="J1157" i="1"/>
  <c r="K1159" i="1"/>
  <c r="J1159" i="1"/>
  <c r="K1161" i="1"/>
  <c r="J1154" i="1"/>
  <c r="K1158" i="1"/>
  <c r="K1154" i="1"/>
  <c r="J1156" i="1"/>
  <c r="J1158" i="1"/>
  <c r="J1162" i="1"/>
  <c r="K1157" i="1"/>
  <c r="K1162" i="1"/>
  <c r="K1155" i="1"/>
  <c r="J1155" i="1"/>
  <c r="K1160" i="1"/>
  <c r="J1153" i="1"/>
  <c r="K1153" i="1"/>
  <c r="J1160" i="1"/>
  <c r="K1156" i="1"/>
  <c r="J1148" i="1"/>
  <c r="J1152" i="1"/>
  <c r="J1150" i="1"/>
  <c r="J1151" i="1"/>
  <c r="J1146" i="1"/>
  <c r="J1147" i="1"/>
  <c r="J1149" i="1"/>
  <c r="K1148" i="1"/>
  <c r="K1152" i="1"/>
  <c r="K1150" i="1"/>
  <c r="K1151" i="1"/>
  <c r="K1146" i="1"/>
  <c r="K1149" i="1"/>
  <c r="K1147" i="1"/>
  <c r="K1136" i="1"/>
  <c r="J1141" i="1"/>
  <c r="J1145" i="1"/>
  <c r="K1145" i="1"/>
  <c r="J1136" i="1"/>
  <c r="K1139" i="1"/>
  <c r="J1144" i="1"/>
  <c r="J1139" i="1"/>
  <c r="K1141" i="1"/>
  <c r="K1144" i="1"/>
  <c r="K1142" i="1"/>
  <c r="J1140" i="1"/>
  <c r="J1142" i="1"/>
  <c r="J1137" i="1"/>
  <c r="K1137" i="1"/>
  <c r="J1138" i="1"/>
  <c r="K1143" i="1"/>
  <c r="J1143" i="1"/>
  <c r="K1138" i="1"/>
  <c r="K1140" i="1"/>
  <c r="J1133" i="1"/>
  <c r="J1130" i="1"/>
  <c r="J1135" i="1"/>
  <c r="J1132" i="1"/>
  <c r="J1126" i="1"/>
  <c r="K1130" i="1"/>
  <c r="K1133" i="1"/>
  <c r="K1126" i="1"/>
  <c r="K1135" i="1"/>
  <c r="K1132" i="1"/>
  <c r="J1134" i="1"/>
  <c r="J1129" i="1"/>
  <c r="J1131" i="1"/>
  <c r="J1127" i="1"/>
  <c r="J1128" i="1"/>
  <c r="K1134" i="1"/>
  <c r="K1129" i="1"/>
  <c r="K1131" i="1"/>
  <c r="K1128" i="1"/>
  <c r="K1127" i="1"/>
  <c r="J1123" i="1"/>
  <c r="J1120" i="1"/>
  <c r="J1125" i="1"/>
  <c r="J1122" i="1"/>
  <c r="J1116" i="1"/>
  <c r="J1117" i="1"/>
  <c r="J1124" i="1"/>
  <c r="J1118" i="1"/>
  <c r="J1119" i="1"/>
  <c r="J1121" i="1"/>
  <c r="K1124" i="1"/>
  <c r="K1117" i="1"/>
  <c r="K1118" i="1"/>
  <c r="K1119" i="1"/>
  <c r="K1121" i="1"/>
  <c r="K1125" i="1"/>
  <c r="K1123" i="1"/>
  <c r="K1120" i="1"/>
  <c r="K1116" i="1"/>
  <c r="K1122" i="1"/>
  <c r="J1113" i="1"/>
  <c r="J1110" i="1"/>
  <c r="J1115" i="1"/>
  <c r="J1112" i="1"/>
  <c r="J1106" i="1"/>
  <c r="J1107" i="1"/>
  <c r="J1114" i="1"/>
  <c r="J1108" i="1"/>
  <c r="J1109" i="1"/>
  <c r="J1111" i="1"/>
  <c r="K1109" i="1"/>
  <c r="K1114" i="1"/>
  <c r="K1107" i="1"/>
  <c r="K1111" i="1"/>
  <c r="K1108" i="1"/>
  <c r="K1112" i="1"/>
  <c r="K1115" i="1"/>
  <c r="K1113" i="1"/>
  <c r="K1110" i="1"/>
  <c r="K1106" i="1"/>
  <c r="K1100" i="1"/>
  <c r="K1101" i="1"/>
  <c r="K1102" i="1"/>
  <c r="K1104" i="1"/>
  <c r="K1103" i="1"/>
  <c r="K1105" i="1"/>
  <c r="K1099" i="1"/>
  <c r="J1105" i="1"/>
  <c r="J1103" i="1"/>
  <c r="J1104" i="1"/>
  <c r="J1099" i="1"/>
  <c r="J1101" i="1"/>
  <c r="J1100" i="1"/>
  <c r="J1102" i="1"/>
  <c r="J1096" i="1"/>
  <c r="J1093" i="1"/>
  <c r="J1098" i="1"/>
  <c r="J1095" i="1"/>
  <c r="J1089" i="1"/>
  <c r="J1090" i="1"/>
  <c r="J1097" i="1"/>
  <c r="J1091" i="1"/>
  <c r="J1092" i="1"/>
  <c r="J1094" i="1"/>
  <c r="K1093" i="1"/>
  <c r="K1089" i="1"/>
  <c r="K1095" i="1"/>
  <c r="K1096" i="1"/>
  <c r="K1098" i="1"/>
  <c r="K1090" i="1"/>
  <c r="K1091" i="1"/>
  <c r="K1094" i="1"/>
  <c r="K1092" i="1"/>
  <c r="K1097" i="1"/>
  <c r="J1086" i="1"/>
  <c r="J1083" i="1"/>
  <c r="K1083" i="1"/>
  <c r="K1086" i="1"/>
  <c r="K1087" i="1"/>
  <c r="K1084" i="1"/>
  <c r="J1087" i="1"/>
  <c r="K1081" i="1"/>
  <c r="J1081" i="1"/>
  <c r="J1084" i="1"/>
  <c r="J1088" i="1"/>
  <c r="J1082" i="1"/>
  <c r="K1079" i="1"/>
  <c r="K1082" i="1"/>
  <c r="K1088" i="1"/>
  <c r="J1079" i="1"/>
  <c r="K1085" i="1"/>
  <c r="K1080" i="1"/>
  <c r="J1085" i="1"/>
  <c r="J1080" i="1"/>
  <c r="J1076" i="1"/>
  <c r="J1073" i="1"/>
  <c r="J1078" i="1"/>
  <c r="J1075" i="1"/>
  <c r="J1069" i="1"/>
  <c r="J1070" i="1"/>
  <c r="J1077" i="1"/>
  <c r="J1071" i="1"/>
  <c r="J1072" i="1"/>
  <c r="J1074" i="1"/>
  <c r="K1069" i="1"/>
  <c r="K1075" i="1"/>
  <c r="K1078" i="1"/>
  <c r="K1073" i="1"/>
  <c r="K1076" i="1"/>
  <c r="K1071" i="1"/>
  <c r="K1074" i="1"/>
  <c r="K1072" i="1"/>
  <c r="K1077" i="1"/>
  <c r="K1070" i="1"/>
  <c r="K1061" i="1"/>
  <c r="K1060" i="1"/>
  <c r="K1063" i="1"/>
  <c r="K1066" i="1"/>
  <c r="K1067" i="1"/>
  <c r="K1068" i="1"/>
  <c r="K1059" i="1"/>
  <c r="K1064" i="1"/>
  <c r="K1062" i="1"/>
  <c r="K1065" i="1"/>
  <c r="J1068" i="1"/>
  <c r="J1064" i="1"/>
  <c r="J1065" i="1"/>
  <c r="J1059" i="1"/>
  <c r="J1062" i="1"/>
  <c r="J1061" i="1"/>
  <c r="J1060" i="1"/>
  <c r="J1067" i="1"/>
  <c r="J1066" i="1"/>
  <c r="J1063" i="1"/>
  <c r="K1058" i="1"/>
  <c r="K1054" i="1"/>
  <c r="K1049" i="1"/>
  <c r="K1052" i="1"/>
  <c r="K1055" i="1"/>
  <c r="K1050" i="1"/>
  <c r="K1051" i="1"/>
  <c r="K1057" i="1"/>
  <c r="K1053" i="1"/>
  <c r="K1056" i="1"/>
  <c r="J1058" i="1"/>
  <c r="J1054" i="1"/>
  <c r="J1055" i="1"/>
  <c r="J1049" i="1"/>
  <c r="J1052" i="1"/>
  <c r="J1051" i="1"/>
  <c r="J1050" i="1"/>
  <c r="J1057" i="1"/>
  <c r="J1056" i="1"/>
  <c r="J1053" i="1"/>
  <c r="J1045" i="1"/>
  <c r="J1048" i="1"/>
  <c r="K1048" i="1"/>
  <c r="K1043" i="1"/>
  <c r="K1041" i="1"/>
  <c r="J1041" i="1"/>
  <c r="J1043" i="1"/>
  <c r="K1045" i="1"/>
  <c r="J1047" i="1"/>
  <c r="J1044" i="1"/>
  <c r="K1040" i="1"/>
  <c r="J1040" i="1"/>
  <c r="K1044" i="1"/>
  <c r="K1046" i="1"/>
  <c r="K1042" i="1"/>
  <c r="J1046" i="1"/>
  <c r="K1047" i="1"/>
  <c r="J1042" i="1"/>
  <c r="K1035" i="1"/>
  <c r="K1036" i="1"/>
  <c r="K1039" i="1"/>
  <c r="K1030" i="1"/>
  <c r="K1033" i="1"/>
  <c r="K1038" i="1"/>
  <c r="K1031" i="1"/>
  <c r="K1037" i="1"/>
  <c r="K1032" i="1"/>
  <c r="K1034" i="1"/>
  <c r="J1039" i="1"/>
  <c r="J1035" i="1"/>
  <c r="J1036" i="1"/>
  <c r="J1030" i="1"/>
  <c r="J1033" i="1"/>
  <c r="J1032" i="1"/>
  <c r="J1031" i="1"/>
  <c r="J1038" i="1"/>
  <c r="J1037" i="1"/>
  <c r="J1034" i="1"/>
  <c r="K1025" i="1"/>
  <c r="K1029" i="1"/>
  <c r="K1026" i="1"/>
  <c r="K1023" i="1"/>
  <c r="K1022" i="1"/>
  <c r="J1022" i="1"/>
  <c r="J1029" i="1"/>
  <c r="J1023" i="1"/>
  <c r="J1025" i="1"/>
  <c r="J1026" i="1"/>
  <c r="K1024" i="1"/>
  <c r="K1021" i="1"/>
  <c r="K1020" i="1"/>
  <c r="K1027" i="1"/>
  <c r="K1028" i="1"/>
  <c r="J1021" i="1"/>
  <c r="J1020" i="1"/>
  <c r="J1028" i="1"/>
  <c r="J1027" i="1"/>
  <c r="J1024" i="1"/>
  <c r="J1019" i="1"/>
  <c r="J1017" i="1"/>
  <c r="J1018" i="1"/>
  <c r="K1019" i="1"/>
  <c r="K1017" i="1"/>
  <c r="K1018" i="1"/>
  <c r="K1016" i="1"/>
  <c r="K1012" i="1"/>
  <c r="K1007" i="1"/>
  <c r="K1010" i="1"/>
  <c r="K1013" i="1"/>
  <c r="K1008" i="1"/>
  <c r="K1009" i="1"/>
  <c r="K1015" i="1"/>
  <c r="K1011" i="1"/>
  <c r="K1014" i="1"/>
  <c r="J1016" i="1"/>
  <c r="J1012" i="1"/>
  <c r="J1013" i="1"/>
  <c r="J1007" i="1"/>
  <c r="J1010" i="1"/>
  <c r="J1009" i="1"/>
  <c r="J1008" i="1"/>
  <c r="J1015" i="1"/>
  <c r="J1014" i="1"/>
  <c r="J1011" i="1"/>
  <c r="K1001" i="1"/>
  <c r="J1001" i="1"/>
  <c r="K1006" i="1"/>
  <c r="J1006" i="1"/>
  <c r="J1004" i="1"/>
  <c r="K1004" i="1"/>
  <c r="K1005" i="1"/>
  <c r="J1005" i="1"/>
  <c r="J1002" i="1"/>
  <c r="K1002" i="1"/>
  <c r="K1003" i="1"/>
  <c r="J1003" i="1"/>
  <c r="J998" i="1"/>
  <c r="J995" i="1"/>
  <c r="J1000" i="1"/>
  <c r="J997" i="1"/>
  <c r="J991" i="1"/>
  <c r="K998" i="1"/>
  <c r="K1000" i="1"/>
  <c r="K995" i="1"/>
  <c r="K997" i="1"/>
  <c r="K991" i="1"/>
  <c r="J999" i="1"/>
  <c r="J994" i="1"/>
  <c r="J996" i="1"/>
  <c r="J992" i="1"/>
  <c r="J993" i="1"/>
  <c r="K992" i="1"/>
  <c r="K999" i="1"/>
  <c r="K994" i="1"/>
  <c r="K996" i="1"/>
  <c r="K993" i="1"/>
  <c r="J988" i="1"/>
  <c r="J985" i="1"/>
  <c r="J990" i="1"/>
  <c r="J987" i="1"/>
  <c r="J981" i="1"/>
  <c r="J982" i="1"/>
  <c r="J989" i="1"/>
  <c r="J983" i="1"/>
  <c r="J984" i="1"/>
  <c r="J986" i="1"/>
  <c r="K983" i="1"/>
  <c r="K986" i="1"/>
  <c r="K984" i="1"/>
  <c r="K982" i="1"/>
  <c r="K989" i="1"/>
  <c r="K985" i="1"/>
  <c r="K981" i="1"/>
  <c r="K987" i="1"/>
  <c r="K990" i="1"/>
  <c r="K988" i="1"/>
  <c r="K979" i="1"/>
  <c r="K977" i="1"/>
  <c r="K980" i="1"/>
  <c r="K978" i="1"/>
  <c r="J980" i="1"/>
  <c r="J978" i="1"/>
  <c r="J979" i="1"/>
  <c r="J977" i="1"/>
  <c r="K976" i="1"/>
  <c r="J973" i="1"/>
  <c r="J976" i="1"/>
  <c r="J974" i="1"/>
  <c r="K973" i="1"/>
  <c r="K974" i="1"/>
  <c r="K971" i="1"/>
  <c r="J968" i="1"/>
  <c r="J971" i="1"/>
  <c r="K968" i="1"/>
  <c r="K967" i="1"/>
  <c r="J972" i="1"/>
  <c r="K972" i="1"/>
  <c r="J967" i="1"/>
  <c r="J969" i="1"/>
  <c r="K970" i="1"/>
  <c r="K969" i="1"/>
  <c r="J975" i="1"/>
  <c r="K975" i="1"/>
  <c r="J970" i="1"/>
  <c r="K957" i="1"/>
  <c r="K966" i="1"/>
  <c r="K960" i="1"/>
  <c r="K963" i="1"/>
  <c r="K962" i="1"/>
  <c r="K959" i="1"/>
  <c r="K961" i="1"/>
  <c r="K958" i="1"/>
  <c r="K964" i="1"/>
  <c r="K965" i="1"/>
  <c r="J966" i="1"/>
  <c r="J962" i="1"/>
  <c r="J963" i="1"/>
  <c r="J957" i="1"/>
  <c r="J960" i="1"/>
  <c r="J959" i="1"/>
  <c r="J958" i="1"/>
  <c r="J965" i="1"/>
  <c r="J964" i="1"/>
  <c r="J961" i="1"/>
  <c r="K953" i="1"/>
  <c r="K950" i="1"/>
  <c r="K952" i="1"/>
  <c r="K956" i="1"/>
  <c r="K947" i="1"/>
  <c r="K954" i="1"/>
  <c r="K955" i="1"/>
  <c r="K951" i="1"/>
  <c r="K948" i="1"/>
  <c r="K949" i="1"/>
  <c r="J956" i="1"/>
  <c r="J952" i="1"/>
  <c r="J953" i="1"/>
  <c r="J947" i="1"/>
  <c r="J950" i="1"/>
  <c r="J949" i="1"/>
  <c r="J948" i="1"/>
  <c r="J955" i="1"/>
  <c r="J954" i="1"/>
  <c r="J951" i="1"/>
  <c r="J944" i="1"/>
  <c r="J941" i="1"/>
  <c r="J946" i="1"/>
  <c r="J943" i="1"/>
  <c r="J937" i="1"/>
  <c r="J938" i="1"/>
  <c r="J945" i="1"/>
  <c r="J939" i="1"/>
  <c r="J940" i="1"/>
  <c r="J942" i="1"/>
  <c r="K946" i="1"/>
  <c r="K944" i="1"/>
  <c r="K941" i="1"/>
  <c r="K943" i="1"/>
  <c r="K937" i="1"/>
  <c r="K940" i="1"/>
  <c r="K945" i="1"/>
  <c r="K938" i="1"/>
  <c r="K939" i="1"/>
  <c r="K942" i="1"/>
  <c r="J934" i="1"/>
  <c r="K934" i="1"/>
  <c r="K929" i="1"/>
  <c r="J932" i="1"/>
  <c r="K932" i="1"/>
  <c r="J928" i="1"/>
  <c r="K928" i="1"/>
  <c r="J929" i="1"/>
  <c r="K931" i="1"/>
  <c r="J931" i="1"/>
  <c r="J936" i="1"/>
  <c r="K936" i="1"/>
  <c r="K930" i="1"/>
  <c r="K935" i="1"/>
  <c r="J930" i="1"/>
  <c r="K927" i="1"/>
  <c r="J927" i="1"/>
  <c r="J935" i="1"/>
  <c r="J933" i="1"/>
  <c r="K933" i="1"/>
  <c r="K924" i="1"/>
  <c r="K921" i="1"/>
  <c r="K925" i="1"/>
  <c r="K918" i="1"/>
  <c r="K919" i="1"/>
  <c r="K920" i="1"/>
  <c r="K923" i="1"/>
  <c r="K917" i="1"/>
  <c r="K922" i="1"/>
  <c r="K926" i="1"/>
  <c r="J926" i="1"/>
  <c r="J922" i="1"/>
  <c r="J923" i="1"/>
  <c r="J917" i="1"/>
  <c r="J920" i="1"/>
  <c r="J919" i="1"/>
  <c r="J918" i="1"/>
  <c r="J925" i="1"/>
  <c r="J924" i="1"/>
  <c r="J921" i="1"/>
  <c r="K907" i="1"/>
  <c r="K912" i="1"/>
  <c r="J916" i="1"/>
  <c r="K916" i="1"/>
  <c r="J907" i="1"/>
  <c r="K910" i="1"/>
  <c r="J915" i="1"/>
  <c r="J910" i="1"/>
  <c r="J912" i="1"/>
  <c r="K915" i="1"/>
  <c r="K913" i="1"/>
  <c r="K911" i="1"/>
  <c r="J913" i="1"/>
  <c r="J908" i="1"/>
  <c r="K908" i="1"/>
  <c r="J909" i="1"/>
  <c r="K914" i="1"/>
  <c r="J914" i="1"/>
  <c r="K909" i="1"/>
  <c r="J911" i="1"/>
  <c r="K903" i="1"/>
  <c r="K906" i="1"/>
  <c r="K904" i="1"/>
  <c r="J906" i="1"/>
  <c r="J903" i="1"/>
  <c r="J904" i="1"/>
  <c r="K901" i="1"/>
  <c r="K905" i="1"/>
  <c r="K902" i="1"/>
  <c r="J902" i="1"/>
  <c r="J901" i="1"/>
  <c r="J905" i="1"/>
  <c r="K894" i="1"/>
  <c r="J898" i="1"/>
  <c r="J894" i="1"/>
  <c r="K898" i="1"/>
  <c r="J899" i="1"/>
  <c r="K897" i="1"/>
  <c r="K899" i="1"/>
  <c r="J897" i="1"/>
  <c r="J900" i="1"/>
  <c r="K896" i="1"/>
  <c r="J896" i="1"/>
  <c r="K900" i="1"/>
  <c r="J895" i="1"/>
  <c r="K895" i="1"/>
  <c r="K887" i="1"/>
  <c r="K890" i="1"/>
  <c r="K886" i="1"/>
  <c r="K893" i="1"/>
  <c r="K889" i="1"/>
  <c r="J886" i="1"/>
  <c r="J893" i="1"/>
  <c r="J887" i="1"/>
  <c r="J889" i="1"/>
  <c r="J890" i="1"/>
  <c r="K892" i="1"/>
  <c r="K891" i="1"/>
  <c r="K888" i="1"/>
  <c r="K884" i="1"/>
  <c r="K885" i="1"/>
  <c r="J885" i="1"/>
  <c r="J884" i="1"/>
  <c r="J892" i="1"/>
  <c r="J891" i="1"/>
  <c r="J888" i="1"/>
  <c r="K880" i="1"/>
  <c r="J880" i="1"/>
  <c r="J883" i="1"/>
  <c r="K876" i="1"/>
  <c r="J876" i="1"/>
  <c r="K882" i="1"/>
  <c r="J882" i="1"/>
  <c r="K883" i="1"/>
  <c r="J881" i="1"/>
  <c r="J877" i="1"/>
  <c r="K881" i="1"/>
  <c r="J878" i="1"/>
  <c r="K878" i="1"/>
  <c r="K877" i="1"/>
  <c r="K879" i="1"/>
  <c r="J879" i="1"/>
  <c r="K868" i="1"/>
  <c r="K867" i="1"/>
  <c r="K870" i="1"/>
  <c r="K873" i="1"/>
  <c r="K874" i="1"/>
  <c r="K875" i="1"/>
  <c r="K866" i="1"/>
  <c r="K871" i="1"/>
  <c r="K869" i="1"/>
  <c r="K872" i="1"/>
  <c r="J875" i="1"/>
  <c r="J871" i="1"/>
  <c r="J872" i="1"/>
  <c r="J866" i="1"/>
  <c r="J869" i="1"/>
  <c r="J868" i="1"/>
  <c r="J867" i="1"/>
  <c r="J874" i="1"/>
  <c r="J873" i="1"/>
  <c r="J870" i="1"/>
  <c r="K864" i="1"/>
  <c r="K863" i="1"/>
  <c r="K857" i="1"/>
  <c r="K858" i="1"/>
  <c r="K860" i="1"/>
  <c r="K862" i="1"/>
  <c r="K861" i="1"/>
  <c r="K859" i="1"/>
  <c r="K865" i="1"/>
  <c r="K856" i="1"/>
  <c r="J865" i="1"/>
  <c r="J861" i="1"/>
  <c r="J862" i="1"/>
  <c r="J856" i="1"/>
  <c r="J859" i="1"/>
  <c r="J858" i="1"/>
  <c r="J857" i="1"/>
  <c r="J864" i="1"/>
  <c r="J863" i="1"/>
  <c r="J860" i="1"/>
  <c r="K853" i="1"/>
  <c r="K850" i="1"/>
  <c r="K855" i="1"/>
  <c r="K852" i="1"/>
  <c r="J850" i="1"/>
  <c r="J855" i="1"/>
  <c r="J852" i="1"/>
  <c r="J853" i="1"/>
  <c r="K854" i="1"/>
  <c r="K851" i="1"/>
  <c r="J854" i="1"/>
  <c r="J851" i="1"/>
  <c r="K849" i="1"/>
  <c r="J847" i="1"/>
  <c r="J849" i="1"/>
  <c r="K847" i="1"/>
  <c r="K845" i="1"/>
  <c r="J842" i="1"/>
  <c r="J845" i="1"/>
  <c r="K842" i="1"/>
  <c r="K841" i="1"/>
  <c r="J846" i="1"/>
  <c r="K846" i="1"/>
  <c r="J841" i="1"/>
  <c r="J843" i="1"/>
  <c r="K844" i="1"/>
  <c r="K843" i="1"/>
  <c r="J848" i="1"/>
  <c r="K848" i="1"/>
  <c r="J844" i="1"/>
  <c r="K837" i="1"/>
  <c r="J837" i="1"/>
  <c r="J840" i="1"/>
  <c r="K831" i="1"/>
  <c r="J831" i="1"/>
  <c r="K839" i="1"/>
  <c r="J839" i="1"/>
  <c r="J833" i="1"/>
  <c r="J835" i="1"/>
  <c r="K835" i="1"/>
  <c r="K836" i="1"/>
  <c r="J836" i="1"/>
  <c r="J838" i="1"/>
  <c r="K840" i="1"/>
  <c r="K838" i="1"/>
  <c r="J832" i="1"/>
  <c r="K832" i="1"/>
  <c r="K833" i="1"/>
  <c r="K834" i="1"/>
  <c r="J834" i="1"/>
  <c r="K825" i="1"/>
  <c r="K823" i="1"/>
  <c r="K828" i="1"/>
  <c r="K829" i="1"/>
  <c r="K822" i="1"/>
  <c r="K821" i="1"/>
  <c r="K824" i="1"/>
  <c r="K830" i="1"/>
  <c r="K827" i="1"/>
  <c r="K826" i="1"/>
  <c r="J830" i="1"/>
  <c r="J826" i="1"/>
  <c r="J827" i="1"/>
  <c r="J821" i="1"/>
  <c r="J824" i="1"/>
  <c r="J823" i="1"/>
  <c r="J822" i="1"/>
  <c r="J829" i="1"/>
  <c r="J828" i="1"/>
  <c r="J825" i="1"/>
  <c r="J818" i="1"/>
  <c r="J815" i="1"/>
  <c r="J820" i="1"/>
  <c r="J817" i="1"/>
  <c r="J811" i="1"/>
  <c r="J812" i="1"/>
  <c r="J819" i="1"/>
  <c r="J813" i="1"/>
  <c r="J814" i="1"/>
  <c r="J816" i="1"/>
  <c r="K815" i="1"/>
  <c r="K811" i="1"/>
  <c r="K817" i="1"/>
  <c r="K818" i="1"/>
  <c r="K820" i="1"/>
  <c r="K812" i="1"/>
  <c r="K813" i="1"/>
  <c r="K816" i="1"/>
  <c r="K814" i="1"/>
  <c r="K819" i="1"/>
  <c r="J808" i="1"/>
  <c r="J805" i="1"/>
  <c r="J810" i="1"/>
  <c r="J807" i="1"/>
  <c r="J801" i="1"/>
  <c r="K801" i="1"/>
  <c r="K805" i="1"/>
  <c r="K807" i="1"/>
  <c r="K808" i="1"/>
  <c r="K810" i="1"/>
  <c r="J809" i="1"/>
  <c r="J804" i="1"/>
  <c r="J806" i="1"/>
  <c r="J802" i="1"/>
  <c r="J803" i="1"/>
  <c r="K804" i="1"/>
  <c r="K806" i="1"/>
  <c r="K803" i="1"/>
  <c r="K802" i="1"/>
  <c r="K809" i="1"/>
  <c r="J799" i="1"/>
  <c r="J797" i="1"/>
  <c r="J800" i="1"/>
  <c r="J798" i="1"/>
  <c r="J794" i="1"/>
  <c r="J795" i="1"/>
  <c r="J796" i="1"/>
  <c r="K799" i="1"/>
  <c r="K797" i="1"/>
  <c r="K794" i="1"/>
  <c r="K800" i="1"/>
  <c r="K798" i="1"/>
  <c r="K795" i="1"/>
  <c r="K796" i="1"/>
  <c r="K787" i="1"/>
  <c r="K790" i="1"/>
  <c r="K786" i="1"/>
  <c r="K793" i="1"/>
  <c r="K789" i="1"/>
  <c r="J786" i="1"/>
  <c r="J793" i="1"/>
  <c r="J787" i="1"/>
  <c r="J789" i="1"/>
  <c r="J790" i="1"/>
  <c r="K792" i="1"/>
  <c r="K791" i="1"/>
  <c r="K788" i="1"/>
  <c r="K784" i="1"/>
  <c r="K785" i="1"/>
  <c r="J785" i="1"/>
  <c r="J784" i="1"/>
  <c r="J792" i="1"/>
  <c r="J791" i="1"/>
  <c r="J788" i="1"/>
  <c r="J781" i="1"/>
  <c r="K780" i="1"/>
  <c r="K774" i="1"/>
  <c r="J780" i="1"/>
  <c r="J774" i="1"/>
  <c r="J777" i="1"/>
  <c r="J782" i="1"/>
  <c r="K782" i="1"/>
  <c r="K777" i="1"/>
  <c r="K781" i="1"/>
  <c r="J783" i="1"/>
  <c r="K778" i="1"/>
  <c r="J779" i="1"/>
  <c r="K779" i="1"/>
  <c r="J778" i="1"/>
  <c r="J776" i="1"/>
  <c r="J775" i="1"/>
  <c r="K776" i="1"/>
  <c r="K783" i="1"/>
  <c r="K775" i="1"/>
  <c r="K770" i="1"/>
  <c r="K773" i="1"/>
  <c r="J773" i="1"/>
  <c r="J770" i="1"/>
  <c r="J764" i="1"/>
  <c r="J767" i="1"/>
  <c r="J772" i="1"/>
  <c r="J768" i="1"/>
  <c r="K768" i="1"/>
  <c r="K767" i="1"/>
  <c r="K769" i="1"/>
  <c r="K765" i="1"/>
  <c r="K764" i="1"/>
  <c r="J765" i="1"/>
  <c r="J769" i="1"/>
  <c r="K772" i="1"/>
  <c r="J766" i="1"/>
  <c r="J771" i="1"/>
  <c r="K766" i="1"/>
  <c r="K771" i="1"/>
  <c r="J761" i="1"/>
  <c r="J758" i="1"/>
  <c r="J763" i="1"/>
  <c r="J760" i="1"/>
  <c r="J754" i="1"/>
  <c r="J755" i="1"/>
  <c r="J762" i="1"/>
  <c r="J756" i="1"/>
  <c r="J757" i="1"/>
  <c r="J759" i="1"/>
  <c r="K760" i="1"/>
  <c r="K763" i="1"/>
  <c r="K761" i="1"/>
  <c r="K754" i="1"/>
  <c r="K758" i="1"/>
  <c r="K759" i="1"/>
  <c r="K757" i="1"/>
  <c r="K762" i="1"/>
  <c r="K755" i="1"/>
  <c r="K756" i="1"/>
  <c r="J751" i="1"/>
  <c r="J748" i="1"/>
  <c r="J753" i="1"/>
  <c r="J750" i="1"/>
  <c r="J744" i="1"/>
  <c r="J745" i="1"/>
  <c r="J752" i="1"/>
  <c r="J746" i="1"/>
  <c r="J747" i="1"/>
  <c r="J749" i="1"/>
  <c r="K748" i="1"/>
  <c r="K744" i="1"/>
  <c r="K750" i="1"/>
  <c r="K751" i="1"/>
  <c r="K753" i="1"/>
  <c r="K745" i="1"/>
  <c r="K746" i="1"/>
  <c r="K749" i="1"/>
  <c r="K747" i="1"/>
  <c r="K752" i="1"/>
  <c r="J741" i="1"/>
  <c r="J738" i="1"/>
  <c r="J743" i="1"/>
  <c r="J740" i="1"/>
  <c r="J734" i="1"/>
  <c r="K741" i="1"/>
  <c r="K743" i="1"/>
  <c r="K738" i="1"/>
  <c r="K740" i="1"/>
  <c r="K734" i="1"/>
  <c r="J742" i="1"/>
  <c r="J737" i="1"/>
  <c r="J739" i="1"/>
  <c r="J735" i="1"/>
  <c r="J736" i="1"/>
  <c r="K735" i="1"/>
  <c r="K742" i="1"/>
  <c r="K737" i="1"/>
  <c r="K739" i="1"/>
  <c r="K736" i="1"/>
  <c r="J731" i="1"/>
  <c r="J728" i="1"/>
  <c r="J733" i="1"/>
  <c r="J730" i="1"/>
  <c r="J724" i="1"/>
  <c r="J725" i="1"/>
  <c r="J732" i="1"/>
  <c r="J726" i="1"/>
  <c r="J727" i="1"/>
  <c r="J729" i="1"/>
  <c r="K724" i="1"/>
  <c r="K730" i="1"/>
  <c r="K733" i="1"/>
  <c r="K728" i="1"/>
  <c r="K731" i="1"/>
  <c r="K726" i="1"/>
  <c r="K729" i="1"/>
  <c r="K727" i="1"/>
  <c r="K732" i="1"/>
  <c r="K725" i="1"/>
  <c r="K714" i="1"/>
  <c r="K723" i="1"/>
  <c r="K717" i="1"/>
  <c r="K720" i="1"/>
  <c r="K719" i="1"/>
  <c r="K716" i="1"/>
  <c r="K718" i="1"/>
  <c r="K715" i="1"/>
  <c r="K721" i="1"/>
  <c r="K722" i="1"/>
  <c r="J723" i="1"/>
  <c r="J719" i="1"/>
  <c r="J720" i="1"/>
  <c r="J714" i="1"/>
  <c r="J717" i="1"/>
  <c r="J716" i="1"/>
  <c r="J715" i="1"/>
  <c r="J722" i="1"/>
  <c r="J721" i="1"/>
  <c r="J718" i="1"/>
  <c r="J711" i="1"/>
  <c r="K711" i="1"/>
  <c r="J713" i="1"/>
  <c r="J709" i="1"/>
  <c r="K709" i="1"/>
  <c r="J706" i="1"/>
  <c r="K706" i="1"/>
  <c r="K713" i="1"/>
  <c r="K708" i="1"/>
  <c r="J708" i="1"/>
  <c r="J712" i="1"/>
  <c r="K712" i="1"/>
  <c r="K707" i="1"/>
  <c r="J707" i="1"/>
  <c r="K705" i="1"/>
  <c r="J705" i="1"/>
  <c r="J710" i="1"/>
  <c r="K710" i="1"/>
  <c r="K704" i="1"/>
  <c r="K703" i="1"/>
  <c r="K702" i="1"/>
  <c r="J702" i="1"/>
  <c r="J704" i="1"/>
  <c r="J703" i="1"/>
  <c r="J699" i="1"/>
  <c r="J697" i="1"/>
  <c r="J701" i="1"/>
  <c r="K697" i="1"/>
  <c r="K701" i="1"/>
  <c r="K694" i="1"/>
  <c r="J694" i="1"/>
  <c r="J698" i="1"/>
  <c r="K699" i="1"/>
  <c r="J696" i="1"/>
  <c r="K693" i="1"/>
  <c r="J693" i="1"/>
  <c r="K696" i="1"/>
  <c r="K700" i="1"/>
  <c r="K695" i="1"/>
  <c r="J700" i="1"/>
  <c r="K698" i="1"/>
  <c r="J695" i="1"/>
  <c r="K692" i="1"/>
  <c r="K685" i="1"/>
  <c r="K688" i="1"/>
  <c r="K689" i="1"/>
  <c r="K686" i="1"/>
  <c r="J685" i="1"/>
  <c r="J692" i="1"/>
  <c r="J686" i="1"/>
  <c r="J688" i="1"/>
  <c r="J689" i="1"/>
  <c r="K684" i="1"/>
  <c r="K683" i="1"/>
  <c r="K691" i="1"/>
  <c r="K687" i="1"/>
  <c r="K690" i="1"/>
  <c r="J684" i="1"/>
  <c r="J683" i="1"/>
  <c r="J691" i="1"/>
  <c r="J690" i="1"/>
  <c r="J687" i="1"/>
  <c r="J682" i="1"/>
  <c r="J680" i="1"/>
  <c r="K680" i="1"/>
  <c r="K682" i="1"/>
  <c r="J681" i="1"/>
  <c r="K681" i="1"/>
  <c r="J677" i="1"/>
  <c r="J674" i="1"/>
  <c r="K674" i="1"/>
  <c r="K677" i="1"/>
  <c r="K678" i="1"/>
  <c r="K675" i="1"/>
  <c r="J678" i="1"/>
  <c r="K672" i="1"/>
  <c r="J672" i="1"/>
  <c r="J675" i="1"/>
  <c r="J679" i="1"/>
  <c r="J673" i="1"/>
  <c r="K670" i="1"/>
  <c r="K673" i="1"/>
  <c r="K679" i="1"/>
  <c r="J670" i="1"/>
  <c r="K676" i="1"/>
  <c r="K671" i="1"/>
  <c r="J676" i="1"/>
  <c r="J671" i="1"/>
  <c r="K667" i="1"/>
  <c r="J666" i="1"/>
  <c r="K666" i="1"/>
  <c r="K665" i="1"/>
  <c r="K663" i="1"/>
  <c r="J663" i="1"/>
  <c r="J665" i="1"/>
  <c r="J667" i="1"/>
  <c r="K668" i="1"/>
  <c r="K669" i="1"/>
  <c r="K664" i="1"/>
  <c r="J669" i="1"/>
  <c r="J668" i="1"/>
  <c r="J664" i="1"/>
  <c r="K655" i="1"/>
  <c r="K654" i="1"/>
  <c r="K657" i="1"/>
  <c r="K660" i="1"/>
  <c r="K661" i="1"/>
  <c r="K662" i="1"/>
  <c r="K653" i="1"/>
  <c r="K658" i="1"/>
  <c r="K656" i="1"/>
  <c r="K659" i="1"/>
  <c r="J662" i="1"/>
  <c r="J658" i="1"/>
  <c r="J659" i="1"/>
  <c r="J653" i="1"/>
  <c r="J656" i="1"/>
  <c r="J655" i="1"/>
  <c r="J654" i="1"/>
  <c r="J661" i="1"/>
  <c r="J660" i="1"/>
  <c r="J657" i="1"/>
  <c r="K652" i="1"/>
  <c r="J650" i="1"/>
  <c r="J652" i="1"/>
  <c r="K645" i="1"/>
  <c r="K650" i="1"/>
  <c r="J645" i="1"/>
  <c r="K648" i="1"/>
  <c r="J646" i="1"/>
  <c r="J648" i="1"/>
  <c r="K646" i="1"/>
  <c r="K643" i="1"/>
  <c r="J649" i="1"/>
  <c r="K649" i="1"/>
  <c r="J643" i="1"/>
  <c r="K644" i="1"/>
  <c r="K647" i="1"/>
  <c r="J644" i="1"/>
  <c r="J651" i="1"/>
  <c r="K651" i="1"/>
  <c r="J647" i="1"/>
  <c r="J640" i="1"/>
  <c r="J637" i="1"/>
  <c r="J642" i="1"/>
  <c r="J639" i="1"/>
  <c r="J633" i="1"/>
  <c r="J634" i="1"/>
  <c r="J641" i="1"/>
  <c r="J635" i="1"/>
  <c r="J636" i="1"/>
  <c r="J638" i="1"/>
  <c r="K639" i="1"/>
  <c r="K642" i="1"/>
  <c r="K640" i="1"/>
  <c r="K633" i="1"/>
  <c r="K637" i="1"/>
  <c r="K638" i="1"/>
  <c r="K636" i="1"/>
  <c r="K641" i="1"/>
  <c r="K634" i="1"/>
  <c r="K635" i="1"/>
  <c r="K624" i="1"/>
  <c r="J632" i="1"/>
  <c r="K632" i="1"/>
  <c r="J624" i="1"/>
  <c r="K627" i="1"/>
  <c r="J631" i="1"/>
  <c r="J627" i="1"/>
  <c r="K631" i="1"/>
  <c r="K629" i="1"/>
  <c r="J628" i="1"/>
  <c r="J629" i="1"/>
  <c r="J625" i="1"/>
  <c r="K625" i="1"/>
  <c r="J626" i="1"/>
  <c r="K630" i="1"/>
  <c r="J630" i="1"/>
  <c r="K626" i="1"/>
  <c r="K628" i="1"/>
  <c r="J621" i="1"/>
  <c r="J618" i="1"/>
  <c r="J623" i="1"/>
  <c r="J620" i="1"/>
  <c r="J614" i="1"/>
  <c r="K623" i="1"/>
  <c r="K620" i="1"/>
  <c r="K621" i="1"/>
  <c r="K614" i="1"/>
  <c r="K618" i="1"/>
  <c r="J622" i="1"/>
  <c r="J617" i="1"/>
  <c r="J619" i="1"/>
  <c r="J615" i="1"/>
  <c r="J616" i="1"/>
  <c r="K616" i="1"/>
  <c r="K615" i="1"/>
  <c r="K622" i="1"/>
  <c r="K617" i="1"/>
  <c r="K619" i="1"/>
  <c r="K611" i="1"/>
  <c r="K613" i="1"/>
  <c r="J613" i="1"/>
  <c r="J611" i="1"/>
  <c r="J604" i="1"/>
  <c r="J607" i="1"/>
  <c r="K604" i="1"/>
  <c r="J608" i="1"/>
  <c r="K608" i="1"/>
  <c r="K607" i="1"/>
  <c r="K609" i="1"/>
  <c r="K605" i="1"/>
  <c r="J610" i="1"/>
  <c r="J605" i="1"/>
  <c r="J609" i="1"/>
  <c r="K610" i="1"/>
  <c r="J606" i="1"/>
  <c r="J612" i="1"/>
  <c r="K606" i="1"/>
  <c r="K612" i="1"/>
  <c r="J602" i="1"/>
  <c r="J599" i="1"/>
  <c r="J601" i="1"/>
  <c r="K599" i="1"/>
  <c r="K601" i="1"/>
  <c r="K602" i="1"/>
  <c r="J603" i="1"/>
  <c r="J598" i="1"/>
  <c r="J600" i="1"/>
  <c r="J597" i="1"/>
  <c r="K598" i="1"/>
  <c r="K600" i="1"/>
  <c r="K597" i="1"/>
  <c r="K603" i="1"/>
  <c r="K596" i="1"/>
  <c r="K589" i="1"/>
  <c r="K592" i="1"/>
  <c r="K593" i="1"/>
  <c r="K590" i="1"/>
  <c r="J589" i="1"/>
  <c r="J596" i="1"/>
  <c r="J590" i="1"/>
  <c r="J592" i="1"/>
  <c r="J593" i="1"/>
  <c r="K588" i="1"/>
  <c r="K587" i="1"/>
  <c r="K595" i="1"/>
  <c r="K591" i="1"/>
  <c r="K594" i="1"/>
  <c r="J588" i="1"/>
  <c r="J587" i="1"/>
  <c r="J595" i="1"/>
  <c r="J594" i="1"/>
  <c r="J591" i="1"/>
  <c r="J584" i="1"/>
  <c r="K583" i="1"/>
  <c r="K577" i="1"/>
  <c r="J583" i="1"/>
  <c r="J577" i="1"/>
  <c r="J580" i="1"/>
  <c r="J585" i="1"/>
  <c r="K585" i="1"/>
  <c r="K580" i="1"/>
  <c r="K584" i="1"/>
  <c r="J586" i="1"/>
  <c r="K581" i="1"/>
  <c r="J582" i="1"/>
  <c r="K582" i="1"/>
  <c r="J581" i="1"/>
  <c r="J579" i="1"/>
  <c r="J578" i="1"/>
  <c r="K579" i="1"/>
  <c r="K586" i="1"/>
  <c r="K578" i="1"/>
  <c r="K574" i="1"/>
  <c r="J574" i="1"/>
  <c r="K570" i="1"/>
  <c r="J570" i="1"/>
  <c r="J572" i="1"/>
  <c r="K572" i="1"/>
  <c r="K573" i="1"/>
  <c r="J573" i="1"/>
  <c r="J575" i="1"/>
  <c r="K576" i="1"/>
  <c r="K575" i="1"/>
  <c r="J576" i="1"/>
  <c r="K571" i="1"/>
  <c r="J571" i="1"/>
  <c r="J567" i="1"/>
  <c r="J564" i="1"/>
  <c r="J569" i="1"/>
  <c r="J566" i="1"/>
  <c r="J560" i="1"/>
  <c r="K564" i="1"/>
  <c r="K567" i="1"/>
  <c r="K560" i="1"/>
  <c r="K569" i="1"/>
  <c r="K566" i="1"/>
  <c r="J568" i="1"/>
  <c r="J563" i="1"/>
  <c r="J565" i="1"/>
  <c r="J561" i="1"/>
  <c r="J562" i="1"/>
  <c r="K568" i="1"/>
  <c r="K563" i="1"/>
  <c r="K565" i="1"/>
  <c r="K562" i="1"/>
  <c r="K561" i="1"/>
  <c r="K557" i="1"/>
  <c r="J557" i="1"/>
  <c r="K552" i="1"/>
  <c r="J552" i="1"/>
  <c r="K559" i="1"/>
  <c r="J559" i="1"/>
  <c r="J555" i="1"/>
  <c r="K555" i="1"/>
  <c r="K556" i="1"/>
  <c r="J556" i="1"/>
  <c r="J558" i="1"/>
  <c r="J553" i="1"/>
  <c r="K558" i="1"/>
  <c r="J554" i="1"/>
  <c r="K554" i="1"/>
  <c r="K553" i="1"/>
  <c r="K546" i="1"/>
  <c r="K544" i="1"/>
  <c r="K549" i="1"/>
  <c r="K550" i="1"/>
  <c r="K543" i="1"/>
  <c r="K542" i="1"/>
  <c r="K545" i="1"/>
  <c r="K551" i="1"/>
  <c r="K548" i="1"/>
  <c r="K547" i="1"/>
  <c r="J551" i="1"/>
  <c r="J547" i="1"/>
  <c r="J548" i="1"/>
  <c r="J542" i="1"/>
  <c r="J545" i="1"/>
  <c r="J544" i="1"/>
  <c r="J543" i="1"/>
  <c r="J550" i="1"/>
  <c r="J549" i="1"/>
  <c r="J546" i="1"/>
  <c r="K533" i="1"/>
  <c r="J537" i="1"/>
  <c r="J541" i="1"/>
  <c r="K541" i="1"/>
  <c r="J533" i="1"/>
  <c r="K536" i="1"/>
  <c r="J540" i="1"/>
  <c r="J536" i="1"/>
  <c r="K537" i="1"/>
  <c r="K540" i="1"/>
  <c r="K538" i="1"/>
  <c r="J538" i="1"/>
  <c r="J534" i="1"/>
  <c r="K534" i="1"/>
  <c r="J535" i="1"/>
  <c r="K539" i="1"/>
  <c r="J539" i="1"/>
  <c r="K535" i="1"/>
  <c r="J530" i="1"/>
  <c r="J527" i="1"/>
  <c r="K527" i="1"/>
  <c r="K530" i="1"/>
  <c r="K531" i="1"/>
  <c r="K528" i="1"/>
  <c r="J531" i="1"/>
  <c r="K525" i="1"/>
  <c r="J525" i="1"/>
  <c r="J528" i="1"/>
  <c r="J532" i="1"/>
  <c r="J526" i="1"/>
  <c r="K523" i="1"/>
  <c r="K526" i="1"/>
  <c r="K532" i="1"/>
  <c r="J523" i="1"/>
  <c r="K529" i="1"/>
  <c r="K524" i="1"/>
  <c r="J529" i="1"/>
  <c r="J524" i="1"/>
  <c r="K519" i="1"/>
  <c r="K520" i="1"/>
  <c r="K513" i="1"/>
  <c r="J520" i="1"/>
  <c r="J513" i="1"/>
  <c r="J516" i="1"/>
  <c r="J522" i="1"/>
  <c r="K522" i="1"/>
  <c r="K516" i="1"/>
  <c r="J519" i="1"/>
  <c r="K521" i="1"/>
  <c r="K517" i="1"/>
  <c r="J518" i="1"/>
  <c r="K518" i="1"/>
  <c r="J517" i="1"/>
  <c r="J515" i="1"/>
  <c r="J514" i="1"/>
  <c r="K515" i="1"/>
  <c r="J521" i="1"/>
  <c r="K514" i="1"/>
  <c r="K510" i="1"/>
  <c r="K512" i="1"/>
  <c r="K509" i="1"/>
  <c r="K511" i="1"/>
  <c r="J512" i="1"/>
  <c r="J510" i="1"/>
  <c r="J511" i="1"/>
  <c r="J509" i="1"/>
  <c r="J506" i="1"/>
  <c r="J504" i="1"/>
  <c r="J508" i="1"/>
  <c r="K504" i="1"/>
  <c r="K508" i="1"/>
  <c r="K502" i="1"/>
  <c r="K500" i="1"/>
  <c r="J500" i="1"/>
  <c r="J502" i="1"/>
  <c r="J505" i="1"/>
  <c r="K506" i="1"/>
  <c r="J503" i="1"/>
  <c r="K499" i="1"/>
  <c r="J499" i="1"/>
  <c r="K503" i="1"/>
  <c r="K507" i="1"/>
  <c r="K501" i="1"/>
  <c r="J507" i="1"/>
  <c r="K505" i="1"/>
  <c r="J501" i="1"/>
  <c r="J496" i="1"/>
  <c r="J493" i="1"/>
  <c r="J498" i="1"/>
  <c r="J495" i="1"/>
  <c r="J489" i="1"/>
  <c r="J490" i="1"/>
  <c r="J497" i="1"/>
  <c r="J491" i="1"/>
  <c r="J492" i="1"/>
  <c r="J494" i="1"/>
  <c r="K489" i="1"/>
  <c r="K495" i="1"/>
  <c r="K498" i="1"/>
  <c r="K493" i="1"/>
  <c r="K496" i="1"/>
  <c r="K491" i="1"/>
  <c r="K494" i="1"/>
  <c r="K492" i="1"/>
  <c r="K497" i="1"/>
  <c r="K490" i="1"/>
  <c r="J486" i="1"/>
  <c r="J483" i="1"/>
  <c r="J488" i="1"/>
  <c r="J485" i="1"/>
  <c r="J479" i="1"/>
  <c r="K486" i="1"/>
  <c r="K488" i="1"/>
  <c r="K483" i="1"/>
  <c r="K485" i="1"/>
  <c r="K479" i="1"/>
  <c r="J487" i="1"/>
  <c r="J482" i="1"/>
  <c r="J484" i="1"/>
  <c r="J480" i="1"/>
  <c r="J481" i="1"/>
  <c r="K480" i="1"/>
  <c r="K487" i="1"/>
  <c r="K482" i="1"/>
  <c r="K484" i="1"/>
  <c r="K481" i="1"/>
  <c r="J476" i="1"/>
  <c r="J473" i="1"/>
  <c r="J478" i="1"/>
  <c r="J475" i="1"/>
  <c r="J469" i="1"/>
  <c r="J470" i="1"/>
  <c r="J477" i="1"/>
  <c r="J471" i="1"/>
  <c r="J472" i="1"/>
  <c r="J474" i="1"/>
  <c r="K472" i="1"/>
  <c r="K477" i="1"/>
  <c r="K470" i="1"/>
  <c r="K474" i="1"/>
  <c r="K471" i="1"/>
  <c r="K475" i="1"/>
  <c r="K478" i="1"/>
  <c r="K476" i="1"/>
  <c r="K473" i="1"/>
  <c r="K469" i="1"/>
  <c r="J466" i="1"/>
  <c r="J463" i="1"/>
  <c r="J468" i="1"/>
  <c r="J465" i="1"/>
  <c r="J459" i="1"/>
  <c r="J460" i="1"/>
  <c r="J467" i="1"/>
  <c r="J461" i="1"/>
  <c r="J462" i="1"/>
  <c r="J464" i="1"/>
  <c r="K462" i="1"/>
  <c r="K467" i="1"/>
  <c r="K460" i="1"/>
  <c r="K464" i="1"/>
  <c r="K461" i="1"/>
  <c r="K465" i="1"/>
  <c r="K468" i="1"/>
  <c r="K466" i="1"/>
  <c r="K463" i="1"/>
  <c r="K459" i="1"/>
  <c r="J456" i="1"/>
  <c r="J453" i="1"/>
  <c r="J458" i="1"/>
  <c r="J455" i="1"/>
  <c r="J449" i="1"/>
  <c r="K453" i="1"/>
  <c r="K456" i="1"/>
  <c r="K449" i="1"/>
  <c r="K458" i="1"/>
  <c r="K455" i="1"/>
  <c r="J457" i="1"/>
  <c r="J452" i="1"/>
  <c r="J454" i="1"/>
  <c r="J450" i="1"/>
  <c r="J451" i="1"/>
  <c r="K457" i="1"/>
  <c r="K452" i="1"/>
  <c r="K454" i="1"/>
  <c r="K451" i="1"/>
  <c r="K450" i="1"/>
  <c r="J447" i="1"/>
  <c r="J444" i="1"/>
  <c r="J446" i="1"/>
  <c r="J442" i="1"/>
  <c r="J448" i="1"/>
  <c r="J443" i="1"/>
  <c r="J445" i="1"/>
  <c r="K446" i="1"/>
  <c r="K447" i="1"/>
  <c r="K442" i="1"/>
  <c r="K444" i="1"/>
  <c r="K445" i="1"/>
  <c r="K443" i="1"/>
  <c r="K448" i="1"/>
  <c r="J440" i="1"/>
  <c r="J438" i="1"/>
  <c r="K439" i="1"/>
  <c r="J439" i="1"/>
  <c r="K440" i="1"/>
  <c r="J435" i="1"/>
  <c r="K435" i="1"/>
  <c r="K438" i="1"/>
  <c r="J441" i="1"/>
  <c r="J437" i="1"/>
  <c r="K441" i="1"/>
  <c r="K436" i="1"/>
  <c r="J436" i="1"/>
  <c r="J434" i="1"/>
  <c r="K434" i="1"/>
  <c r="K437" i="1"/>
  <c r="J432" i="1"/>
  <c r="J428" i="1"/>
  <c r="K428" i="1"/>
  <c r="K432" i="1"/>
  <c r="J424" i="1"/>
  <c r="K430" i="1"/>
  <c r="K424" i="1"/>
  <c r="K426" i="1"/>
  <c r="J426" i="1"/>
  <c r="J430" i="1"/>
  <c r="J433" i="1"/>
  <c r="J427" i="1"/>
  <c r="J429" i="1"/>
  <c r="K427" i="1"/>
  <c r="K433" i="1"/>
  <c r="K429" i="1"/>
  <c r="K431" i="1"/>
  <c r="K425" i="1"/>
  <c r="J431" i="1"/>
  <c r="J425" i="1"/>
  <c r="K418" i="1"/>
  <c r="K416" i="1"/>
  <c r="K421" i="1"/>
  <c r="K422" i="1"/>
  <c r="K415" i="1"/>
  <c r="K414" i="1"/>
  <c r="K417" i="1"/>
  <c r="K423" i="1"/>
  <c r="K420" i="1"/>
  <c r="K419" i="1"/>
  <c r="J423" i="1"/>
  <c r="J419" i="1"/>
  <c r="J420" i="1"/>
  <c r="J414" i="1"/>
  <c r="J417" i="1"/>
  <c r="J416" i="1"/>
  <c r="J415" i="1"/>
  <c r="J422" i="1"/>
  <c r="J421" i="1"/>
  <c r="J418" i="1"/>
  <c r="K411" i="1"/>
  <c r="K413" i="1"/>
  <c r="J413" i="1"/>
  <c r="J411" i="1"/>
  <c r="J407" i="1"/>
  <c r="J409" i="1"/>
  <c r="J412" i="1"/>
  <c r="J410" i="1"/>
  <c r="K410" i="1"/>
  <c r="K409" i="1"/>
  <c r="K408" i="1"/>
  <c r="K407" i="1"/>
  <c r="J408" i="1"/>
  <c r="K412" i="1"/>
  <c r="K401" i="1"/>
  <c r="K399" i="1"/>
  <c r="K404" i="1"/>
  <c r="K405" i="1"/>
  <c r="K398" i="1"/>
  <c r="K397" i="1"/>
  <c r="K400" i="1"/>
  <c r="K406" i="1"/>
  <c r="K403" i="1"/>
  <c r="K402" i="1"/>
  <c r="J406" i="1"/>
  <c r="J402" i="1"/>
  <c r="J403" i="1"/>
  <c r="J397" i="1"/>
  <c r="J400" i="1"/>
  <c r="J399" i="1"/>
  <c r="J398" i="1"/>
  <c r="J405" i="1"/>
  <c r="J404" i="1"/>
  <c r="J401" i="1"/>
  <c r="J395" i="1"/>
  <c r="J392" i="1"/>
  <c r="K395" i="1"/>
  <c r="J390" i="1"/>
  <c r="K393" i="1"/>
  <c r="K390" i="1"/>
  <c r="J391" i="1"/>
  <c r="J393" i="1"/>
  <c r="J396" i="1"/>
  <c r="K392" i="1"/>
  <c r="K396" i="1"/>
  <c r="K394" i="1"/>
  <c r="J389" i="1"/>
  <c r="K389" i="1"/>
  <c r="J394" i="1"/>
  <c r="K391" i="1"/>
  <c r="K385" i="1"/>
  <c r="K386" i="1"/>
  <c r="K379" i="1"/>
  <c r="J386" i="1"/>
  <c r="J379" i="1"/>
  <c r="J382" i="1"/>
  <c r="J388" i="1"/>
  <c r="K388" i="1"/>
  <c r="K382" i="1"/>
  <c r="J385" i="1"/>
  <c r="K387" i="1"/>
  <c r="K383" i="1"/>
  <c r="J384" i="1"/>
  <c r="K384" i="1"/>
  <c r="J383" i="1"/>
  <c r="J381" i="1"/>
  <c r="J380" i="1"/>
  <c r="K381" i="1"/>
  <c r="J387" i="1"/>
  <c r="K380" i="1"/>
  <c r="J376" i="1"/>
  <c r="J373" i="1"/>
  <c r="J378" i="1"/>
  <c r="J375" i="1"/>
  <c r="J369" i="1"/>
  <c r="J370" i="1"/>
  <c r="J377" i="1"/>
  <c r="J371" i="1"/>
  <c r="J372" i="1"/>
  <c r="J374" i="1"/>
  <c r="K371" i="1"/>
  <c r="K374" i="1"/>
  <c r="K372" i="1"/>
  <c r="K370" i="1"/>
  <c r="K377" i="1"/>
  <c r="K373" i="1"/>
  <c r="K369" i="1"/>
  <c r="K375" i="1"/>
  <c r="K378" i="1"/>
  <c r="K376" i="1"/>
  <c r="K365" i="1"/>
  <c r="J365" i="1"/>
  <c r="J368" i="1"/>
  <c r="K359" i="1"/>
  <c r="J359" i="1"/>
  <c r="K367" i="1"/>
  <c r="J367" i="1"/>
  <c r="J361" i="1"/>
  <c r="J363" i="1"/>
  <c r="K363" i="1"/>
  <c r="K364" i="1"/>
  <c r="J364" i="1"/>
  <c r="J366" i="1"/>
  <c r="K368" i="1"/>
  <c r="K366" i="1"/>
  <c r="J360" i="1"/>
  <c r="K360" i="1"/>
  <c r="K361" i="1"/>
  <c r="K362" i="1"/>
  <c r="J362" i="1"/>
  <c r="K351" i="1"/>
  <c r="K352" i="1"/>
  <c r="K358" i="1"/>
  <c r="K354" i="1"/>
  <c r="K355" i="1"/>
  <c r="J351" i="1"/>
  <c r="J358" i="1"/>
  <c r="J352" i="1"/>
  <c r="J354" i="1"/>
  <c r="J355" i="1"/>
  <c r="K349" i="1"/>
  <c r="K357" i="1"/>
  <c r="K356" i="1"/>
  <c r="K350" i="1"/>
  <c r="K353" i="1"/>
  <c r="J350" i="1"/>
  <c r="J349" i="1"/>
  <c r="J357" i="1"/>
  <c r="J356" i="1"/>
  <c r="J353" i="1"/>
  <c r="J346" i="1"/>
  <c r="J343" i="1"/>
  <c r="J348" i="1"/>
  <c r="J345" i="1"/>
  <c r="J339" i="1"/>
  <c r="J340" i="1"/>
  <c r="J347" i="1"/>
  <c r="J341" i="1"/>
  <c r="J342" i="1"/>
  <c r="J344" i="1"/>
  <c r="K341" i="1"/>
  <c r="K344" i="1"/>
  <c r="K342" i="1"/>
  <c r="K340" i="1"/>
  <c r="K347" i="1"/>
  <c r="K343" i="1"/>
  <c r="K339" i="1"/>
  <c r="K345" i="1"/>
  <c r="K348" i="1"/>
  <c r="K346" i="1"/>
  <c r="J336" i="1"/>
  <c r="J333" i="1"/>
  <c r="J338" i="1"/>
  <c r="J335" i="1"/>
  <c r="J329" i="1"/>
  <c r="J330" i="1"/>
  <c r="J337" i="1"/>
  <c r="J331" i="1"/>
  <c r="J332" i="1"/>
  <c r="J334" i="1"/>
  <c r="K329" i="1"/>
  <c r="K335" i="1"/>
  <c r="K338" i="1"/>
  <c r="K333" i="1"/>
  <c r="K336" i="1"/>
  <c r="K331" i="1"/>
  <c r="K334" i="1"/>
  <c r="K332" i="1"/>
  <c r="K337" i="1"/>
  <c r="K330" i="1"/>
  <c r="J326" i="1"/>
  <c r="J323" i="1"/>
  <c r="J328" i="1"/>
  <c r="J325" i="1"/>
  <c r="J319" i="1"/>
  <c r="J320" i="1"/>
  <c r="J327" i="1"/>
  <c r="J321" i="1"/>
  <c r="J322" i="1"/>
  <c r="J324" i="1"/>
  <c r="K323" i="1"/>
  <c r="K319" i="1"/>
  <c r="K325" i="1"/>
  <c r="K326" i="1"/>
  <c r="K328" i="1"/>
  <c r="K320" i="1"/>
  <c r="K321" i="1"/>
  <c r="K324" i="1"/>
  <c r="K322" i="1"/>
  <c r="K327" i="1"/>
  <c r="J316" i="1"/>
  <c r="J313" i="1"/>
  <c r="J318" i="1"/>
  <c r="J315" i="1"/>
  <c r="J309" i="1"/>
  <c r="J310" i="1"/>
  <c r="J317" i="1"/>
  <c r="J311" i="1"/>
  <c r="J312" i="1"/>
  <c r="J314" i="1"/>
  <c r="K314" i="1"/>
  <c r="K312" i="1"/>
  <c r="K317" i="1"/>
  <c r="K311" i="1"/>
  <c r="K310" i="1"/>
  <c r="K309" i="1"/>
  <c r="K315" i="1"/>
  <c r="K318" i="1"/>
  <c r="K316" i="1"/>
  <c r="K313" i="1"/>
  <c r="J307" i="1"/>
  <c r="J303" i="1"/>
  <c r="K303" i="1"/>
  <c r="K307" i="1"/>
  <c r="J299" i="1"/>
  <c r="K305" i="1"/>
  <c r="K299" i="1"/>
  <c r="K301" i="1"/>
  <c r="J301" i="1"/>
  <c r="J305" i="1"/>
  <c r="J308" i="1"/>
  <c r="J302" i="1"/>
  <c r="J304" i="1"/>
  <c r="K302" i="1"/>
  <c r="K308" i="1"/>
  <c r="K304" i="1"/>
  <c r="K306" i="1"/>
  <c r="K300" i="1"/>
  <c r="J306" i="1"/>
  <c r="J300" i="1"/>
  <c r="J296" i="1"/>
  <c r="J293" i="1"/>
  <c r="J298" i="1"/>
  <c r="J295" i="1"/>
  <c r="J289" i="1"/>
  <c r="J290" i="1"/>
  <c r="J297" i="1"/>
  <c r="J291" i="1"/>
  <c r="J292" i="1"/>
  <c r="J294" i="1"/>
  <c r="K292" i="1"/>
  <c r="K297" i="1"/>
  <c r="K290" i="1"/>
  <c r="K294" i="1"/>
  <c r="K291" i="1"/>
  <c r="K295" i="1"/>
  <c r="K298" i="1"/>
  <c r="K296" i="1"/>
  <c r="K293" i="1"/>
  <c r="K289" i="1"/>
  <c r="J286" i="1"/>
  <c r="J284" i="1"/>
  <c r="J288" i="1"/>
  <c r="K284" i="1"/>
  <c r="K288" i="1"/>
  <c r="K282" i="1"/>
  <c r="K280" i="1"/>
  <c r="J280" i="1"/>
  <c r="J282" i="1"/>
  <c r="J285" i="1"/>
  <c r="K286" i="1"/>
  <c r="J283" i="1"/>
  <c r="K279" i="1"/>
  <c r="J279" i="1"/>
  <c r="K283" i="1"/>
  <c r="K287" i="1"/>
  <c r="K281" i="1"/>
  <c r="J287" i="1"/>
  <c r="K285" i="1"/>
  <c r="J281" i="1"/>
  <c r="K275" i="1"/>
  <c r="K272" i="1"/>
  <c r="K274" i="1"/>
  <c r="K278" i="1"/>
  <c r="K269" i="1"/>
  <c r="K276" i="1"/>
  <c r="K277" i="1"/>
  <c r="K273" i="1"/>
  <c r="K270" i="1"/>
  <c r="K271" i="1"/>
  <c r="J278" i="1"/>
  <c r="J274" i="1"/>
  <c r="J275" i="1"/>
  <c r="J269" i="1"/>
  <c r="J272" i="1"/>
  <c r="J271" i="1"/>
  <c r="J270" i="1"/>
  <c r="J277" i="1"/>
  <c r="J276" i="1"/>
  <c r="J273" i="1"/>
  <c r="K262" i="1"/>
  <c r="K265" i="1"/>
  <c r="K261" i="1"/>
  <c r="K268" i="1"/>
  <c r="K264" i="1"/>
  <c r="J261" i="1"/>
  <c r="J268" i="1"/>
  <c r="J262" i="1"/>
  <c r="J264" i="1"/>
  <c r="J265" i="1"/>
  <c r="K267" i="1"/>
  <c r="K266" i="1"/>
  <c r="K263" i="1"/>
  <c r="K259" i="1"/>
  <c r="K260" i="1"/>
  <c r="J260" i="1"/>
  <c r="J259" i="1"/>
  <c r="J267" i="1"/>
  <c r="J266" i="1"/>
  <c r="J263" i="1"/>
  <c r="K258" i="1"/>
  <c r="K256" i="1"/>
  <c r="K257" i="1"/>
  <c r="K255" i="1"/>
  <c r="J258" i="1"/>
  <c r="J256" i="1"/>
  <c r="J255" i="1"/>
  <c r="J257" i="1"/>
  <c r="J252" i="1"/>
  <c r="J249" i="1"/>
  <c r="J254" i="1"/>
  <c r="J251" i="1"/>
  <c r="J245" i="1"/>
  <c r="K245" i="1"/>
  <c r="K249" i="1"/>
  <c r="K251" i="1"/>
  <c r="K252" i="1"/>
  <c r="K254" i="1"/>
  <c r="J253" i="1"/>
  <c r="J248" i="1"/>
  <c r="J250" i="1"/>
  <c r="J246" i="1"/>
  <c r="J247" i="1"/>
  <c r="K248" i="1"/>
  <c r="K250" i="1"/>
  <c r="K247" i="1"/>
  <c r="K246" i="1"/>
  <c r="K253" i="1"/>
  <c r="J242" i="1"/>
  <c r="J239" i="1"/>
  <c r="J244" i="1"/>
  <c r="J241" i="1"/>
  <c r="J235" i="1"/>
  <c r="K244" i="1"/>
  <c r="K241" i="1"/>
  <c r="K242" i="1"/>
  <c r="K235" i="1"/>
  <c r="K239" i="1"/>
  <c r="J243" i="1"/>
  <c r="J238" i="1"/>
  <c r="J240" i="1"/>
  <c r="J236" i="1"/>
  <c r="J237" i="1"/>
  <c r="K237" i="1"/>
  <c r="K236" i="1"/>
  <c r="K243" i="1"/>
  <c r="K238" i="1"/>
  <c r="K240" i="1"/>
  <c r="J232" i="1"/>
  <c r="K232" i="1"/>
  <c r="J234" i="1"/>
  <c r="J230" i="1"/>
  <c r="K230" i="1"/>
  <c r="J227" i="1"/>
  <c r="K227" i="1"/>
  <c r="K234" i="1"/>
  <c r="K229" i="1"/>
  <c r="J229" i="1"/>
  <c r="J233" i="1"/>
  <c r="K233" i="1"/>
  <c r="K228" i="1"/>
  <c r="J225" i="1"/>
  <c r="J228" i="1"/>
  <c r="K226" i="1"/>
  <c r="J226" i="1"/>
  <c r="K225" i="1"/>
  <c r="J231" i="1"/>
  <c r="K231" i="1"/>
  <c r="J223" i="1"/>
  <c r="J224" i="1"/>
  <c r="J220" i="1"/>
  <c r="J221" i="1"/>
  <c r="J222" i="1"/>
  <c r="K224" i="1"/>
  <c r="K223" i="1"/>
  <c r="K220" i="1"/>
  <c r="K221" i="1"/>
  <c r="K222" i="1"/>
  <c r="K217" i="1"/>
  <c r="K214" i="1"/>
  <c r="K218" i="1"/>
  <c r="K211" i="1"/>
  <c r="K212" i="1"/>
  <c r="K213" i="1"/>
  <c r="K216" i="1"/>
  <c r="K210" i="1"/>
  <c r="K215" i="1"/>
  <c r="K219" i="1"/>
  <c r="J219" i="1"/>
  <c r="J215" i="1"/>
  <c r="J216" i="1"/>
  <c r="J210" i="1"/>
  <c r="J213" i="1"/>
  <c r="J212" i="1"/>
  <c r="J211" i="1"/>
  <c r="J218" i="1"/>
  <c r="J217" i="1"/>
  <c r="J214" i="1"/>
  <c r="K207" i="1"/>
  <c r="K204" i="1"/>
  <c r="K208" i="1"/>
  <c r="K201" i="1"/>
  <c r="K202" i="1"/>
  <c r="K203" i="1"/>
  <c r="K206" i="1"/>
  <c r="K200" i="1"/>
  <c r="K205" i="1"/>
  <c r="K209" i="1"/>
  <c r="J209" i="1"/>
  <c r="J205" i="1"/>
  <c r="J206" i="1"/>
  <c r="J200" i="1"/>
  <c r="J203" i="1"/>
  <c r="J202" i="1"/>
  <c r="J201" i="1"/>
  <c r="J208" i="1"/>
  <c r="J207" i="1"/>
  <c r="J204" i="1"/>
  <c r="K199" i="1"/>
  <c r="J199" i="1"/>
  <c r="J193" i="1"/>
  <c r="K193" i="1"/>
  <c r="J196" i="1"/>
  <c r="K196" i="1"/>
  <c r="K197" i="1"/>
  <c r="K194" i="1"/>
  <c r="J194" i="1"/>
  <c r="J197" i="1"/>
  <c r="J195" i="1"/>
  <c r="J198" i="1"/>
  <c r="K195" i="1"/>
  <c r="K198" i="1"/>
  <c r="J190" i="1"/>
  <c r="K190" i="1"/>
  <c r="J192" i="1"/>
  <c r="J188" i="1"/>
  <c r="K188" i="1"/>
  <c r="J185" i="1"/>
  <c r="K185" i="1"/>
  <c r="K192" i="1"/>
  <c r="K187" i="1"/>
  <c r="J187" i="1"/>
  <c r="J191" i="1"/>
  <c r="K191" i="1"/>
  <c r="K186" i="1"/>
  <c r="J183" i="1"/>
  <c r="J186" i="1"/>
  <c r="K184" i="1"/>
  <c r="J184" i="1"/>
  <c r="K183" i="1"/>
  <c r="J189" i="1"/>
  <c r="K189" i="1"/>
  <c r="K179" i="1"/>
  <c r="K176" i="1"/>
  <c r="K178" i="1"/>
  <c r="K182" i="1"/>
  <c r="K173" i="1"/>
  <c r="K180" i="1"/>
  <c r="K181" i="1"/>
  <c r="K177" i="1"/>
  <c r="K174" i="1"/>
  <c r="K175" i="1"/>
  <c r="J182" i="1"/>
  <c r="J178" i="1"/>
  <c r="J179" i="1"/>
  <c r="J173" i="1"/>
  <c r="J176" i="1"/>
  <c r="J175" i="1"/>
  <c r="J174" i="1"/>
  <c r="J181" i="1"/>
  <c r="J180" i="1"/>
  <c r="J177" i="1"/>
  <c r="K172" i="1"/>
  <c r="J170" i="1"/>
  <c r="J172" i="1"/>
  <c r="K165" i="1"/>
  <c r="K170" i="1"/>
  <c r="J165" i="1"/>
  <c r="K168" i="1"/>
  <c r="J166" i="1"/>
  <c r="J168" i="1"/>
  <c r="K166" i="1"/>
  <c r="K163" i="1"/>
  <c r="J169" i="1"/>
  <c r="K169" i="1"/>
  <c r="J163" i="1"/>
  <c r="K164" i="1"/>
  <c r="K167" i="1"/>
  <c r="J164" i="1"/>
  <c r="J171" i="1"/>
  <c r="K171" i="1"/>
  <c r="J167" i="1"/>
  <c r="J160" i="1"/>
  <c r="J157" i="1"/>
  <c r="J162" i="1"/>
  <c r="J159" i="1"/>
  <c r="J153" i="1"/>
  <c r="J154" i="1"/>
  <c r="J161" i="1"/>
  <c r="J155" i="1"/>
  <c r="J156" i="1"/>
  <c r="J158" i="1"/>
  <c r="K161" i="1"/>
  <c r="K154" i="1"/>
  <c r="K155" i="1"/>
  <c r="K156" i="1"/>
  <c r="K158" i="1"/>
  <c r="K162" i="1"/>
  <c r="K160" i="1"/>
  <c r="K157" i="1"/>
  <c r="K153" i="1"/>
  <c r="K159" i="1"/>
  <c r="J151" i="1"/>
  <c r="J148" i="1"/>
  <c r="J152" i="1"/>
  <c r="J150" i="1"/>
  <c r="J147" i="1"/>
  <c r="K148" i="1"/>
  <c r="K151" i="1"/>
  <c r="K147" i="1"/>
  <c r="K152" i="1"/>
  <c r="K150" i="1"/>
  <c r="J149" i="1"/>
  <c r="K149" i="1"/>
  <c r="J144" i="1"/>
  <c r="J141" i="1"/>
  <c r="J146" i="1"/>
  <c r="J143" i="1"/>
  <c r="J137" i="1"/>
  <c r="K144" i="1"/>
  <c r="K146" i="1"/>
  <c r="K141" i="1"/>
  <c r="K143" i="1"/>
  <c r="K137" i="1"/>
  <c r="J145" i="1"/>
  <c r="J140" i="1"/>
  <c r="J142" i="1"/>
  <c r="J138" i="1"/>
  <c r="J139" i="1"/>
  <c r="K138" i="1"/>
  <c r="K145" i="1"/>
  <c r="K140" i="1"/>
  <c r="K142" i="1"/>
  <c r="K139" i="1"/>
  <c r="K133" i="1"/>
  <c r="K135" i="1"/>
  <c r="J133" i="1"/>
  <c r="J135" i="1"/>
  <c r="K136" i="1"/>
  <c r="K134" i="1"/>
  <c r="J136" i="1"/>
  <c r="J134" i="1"/>
  <c r="J131" i="1"/>
  <c r="J132" i="1"/>
  <c r="J130" i="1"/>
  <c r="J128" i="1"/>
  <c r="J129" i="1"/>
  <c r="K129" i="1"/>
  <c r="K128" i="1"/>
  <c r="K130" i="1"/>
  <c r="K132" i="1"/>
  <c r="K131" i="1"/>
  <c r="K125" i="1"/>
  <c r="K119" i="1"/>
  <c r="J125" i="1"/>
  <c r="J127" i="1"/>
  <c r="J119" i="1"/>
  <c r="J124" i="1"/>
  <c r="J122" i="1"/>
  <c r="K127" i="1"/>
  <c r="J126" i="1"/>
  <c r="K126" i="1"/>
  <c r="K124" i="1"/>
  <c r="K122" i="1"/>
  <c r="K123" i="1"/>
  <c r="J123" i="1"/>
  <c r="J121" i="1"/>
  <c r="J120" i="1"/>
  <c r="K121" i="1"/>
  <c r="K120" i="1"/>
  <c r="J116" i="1"/>
  <c r="J113" i="1"/>
  <c r="J118" i="1"/>
  <c r="J115" i="1"/>
  <c r="J117" i="1"/>
  <c r="J109" i="1"/>
  <c r="J114" i="1"/>
  <c r="J110" i="1"/>
  <c r="K117" i="1"/>
  <c r="J111" i="1"/>
  <c r="K114" i="1"/>
  <c r="J112" i="1"/>
  <c r="K118" i="1"/>
  <c r="K112" i="1"/>
  <c r="K111" i="1"/>
  <c r="K110" i="1"/>
  <c r="K109" i="1"/>
  <c r="K115" i="1"/>
  <c r="K116" i="1"/>
  <c r="K113" i="1"/>
  <c r="J106" i="1"/>
  <c r="K100" i="1"/>
  <c r="K104" i="1"/>
  <c r="K106" i="1"/>
  <c r="J100" i="1"/>
  <c r="J102" i="1"/>
  <c r="J107" i="1"/>
  <c r="K107" i="1"/>
  <c r="J104" i="1"/>
  <c r="J108" i="1"/>
  <c r="K103" i="1"/>
  <c r="J103" i="1"/>
  <c r="K108" i="1"/>
  <c r="K105" i="1"/>
  <c r="J101" i="1"/>
  <c r="K102" i="1"/>
  <c r="J105" i="1"/>
  <c r="K101" i="1"/>
  <c r="J98" i="1"/>
  <c r="K94" i="1"/>
  <c r="K96" i="1"/>
  <c r="J96" i="1"/>
  <c r="K98" i="1"/>
  <c r="K99" i="1"/>
  <c r="K95" i="1"/>
  <c r="J94" i="1"/>
  <c r="J99" i="1"/>
  <c r="J95" i="1"/>
  <c r="K93" i="1"/>
  <c r="K92" i="1"/>
  <c r="J92" i="1"/>
  <c r="K97" i="1"/>
  <c r="J97" i="1"/>
  <c r="J93" i="1"/>
  <c r="K84" i="1"/>
  <c r="K85" i="1"/>
  <c r="K90" i="1"/>
  <c r="K91" i="1"/>
  <c r="K87" i="1"/>
  <c r="K88" i="1"/>
  <c r="J84" i="1"/>
  <c r="J90" i="1"/>
  <c r="J91" i="1"/>
  <c r="J85" i="1"/>
  <c r="J87" i="1"/>
  <c r="J88" i="1"/>
  <c r="K82" i="1"/>
  <c r="K89" i="1"/>
  <c r="K83" i="1"/>
  <c r="K86" i="1"/>
  <c r="J83" i="1"/>
  <c r="J82" i="1"/>
  <c r="J89" i="1"/>
  <c r="J86" i="1"/>
  <c r="K81" i="1"/>
  <c r="K77" i="1"/>
  <c r="K72" i="1"/>
  <c r="K75" i="1"/>
  <c r="K78" i="1"/>
  <c r="K73" i="1"/>
  <c r="K74" i="1"/>
  <c r="K80" i="1"/>
  <c r="K76" i="1"/>
  <c r="K79" i="1"/>
  <c r="J81" i="1"/>
  <c r="J77" i="1"/>
  <c r="J78" i="1"/>
  <c r="J72" i="1"/>
  <c r="J75" i="1"/>
  <c r="J74" i="1"/>
  <c r="J73" i="1"/>
  <c r="J80" i="1"/>
  <c r="J79" i="1"/>
  <c r="J76" i="1"/>
  <c r="J69" i="1"/>
  <c r="J66" i="1"/>
  <c r="J71" i="1"/>
  <c r="J68" i="1"/>
  <c r="J62" i="1"/>
  <c r="J63" i="1"/>
  <c r="J70" i="1"/>
  <c r="J64" i="1"/>
  <c r="J65" i="1"/>
  <c r="J67" i="1"/>
  <c r="K71" i="1"/>
  <c r="K69" i="1"/>
  <c r="K66" i="1"/>
  <c r="K68" i="1"/>
  <c r="K62" i="1"/>
  <c r="K65" i="1"/>
  <c r="K70" i="1"/>
  <c r="K63" i="1"/>
  <c r="K64" i="1"/>
  <c r="K67" i="1"/>
  <c r="K59" i="1"/>
  <c r="K56" i="1"/>
  <c r="K60" i="1"/>
  <c r="K61" i="1"/>
  <c r="K58" i="1"/>
  <c r="K57" i="1"/>
  <c r="J60" i="1"/>
  <c r="J56" i="1"/>
  <c r="J59" i="1"/>
  <c r="J58" i="1"/>
  <c r="J57" i="1"/>
  <c r="J61" i="1"/>
  <c r="K46" i="1"/>
  <c r="K51" i="1"/>
  <c r="J55" i="1"/>
  <c r="K55" i="1"/>
  <c r="K52" i="1"/>
  <c r="J46" i="1"/>
  <c r="K49" i="1"/>
  <c r="J54" i="1"/>
  <c r="J49" i="1"/>
  <c r="J51" i="1"/>
  <c r="K54" i="1"/>
  <c r="J52" i="1"/>
  <c r="K53" i="1"/>
  <c r="K50" i="1"/>
  <c r="J47" i="1"/>
  <c r="K47" i="1"/>
  <c r="J48" i="1"/>
  <c r="J53" i="1"/>
  <c r="K48" i="1"/>
  <c r="J50" i="1"/>
  <c r="K45" i="1"/>
  <c r="K38" i="1"/>
  <c r="K41" i="1"/>
  <c r="K42" i="1"/>
  <c r="K39" i="1"/>
  <c r="J38" i="1"/>
  <c r="J45" i="1"/>
  <c r="J39" i="1"/>
  <c r="J41" i="1"/>
  <c r="J42" i="1"/>
  <c r="K37" i="1"/>
  <c r="K43" i="1"/>
  <c r="K36" i="1"/>
  <c r="K44" i="1"/>
  <c r="K40" i="1"/>
  <c r="J37" i="1"/>
  <c r="J36" i="1"/>
  <c r="J44" i="1"/>
  <c r="J43" i="1"/>
  <c r="J40" i="1"/>
  <c r="K34" i="1"/>
  <c r="K33" i="1"/>
  <c r="K27" i="1"/>
  <c r="K28" i="1"/>
  <c r="J35" i="1"/>
  <c r="K30" i="1"/>
  <c r="J32" i="1"/>
  <c r="K32" i="1"/>
  <c r="K31" i="1"/>
  <c r="K29" i="1"/>
  <c r="K35" i="1"/>
  <c r="K26" i="1"/>
  <c r="J31" i="1"/>
  <c r="J26" i="1"/>
  <c r="J34" i="1"/>
  <c r="J29" i="1"/>
  <c r="J33" i="1"/>
  <c r="J28" i="1"/>
  <c r="J27" i="1"/>
  <c r="J30" i="1"/>
  <c r="K24" i="1"/>
  <c r="J25" i="1"/>
  <c r="J22" i="1"/>
  <c r="K22" i="1"/>
  <c r="J24" i="1"/>
  <c r="K25" i="1"/>
  <c r="K23" i="1"/>
  <c r="J23" i="1"/>
  <c r="J19" i="1"/>
  <c r="J16" i="1"/>
  <c r="J21" i="1"/>
  <c r="K16" i="1"/>
  <c r="K13" i="1"/>
  <c r="J18" i="1"/>
  <c r="J13" i="1"/>
  <c r="K21" i="1"/>
  <c r="J12" i="1"/>
  <c r="K17" i="1"/>
  <c r="K19" i="1"/>
  <c r="J20" i="1"/>
  <c r="K18" i="1"/>
  <c r="J14" i="1"/>
  <c r="K20" i="1"/>
  <c r="J15" i="1"/>
  <c r="J17" i="1"/>
  <c r="K15" i="1"/>
  <c r="K12" i="1"/>
  <c r="K14" i="1"/>
  <c r="K5" i="1"/>
  <c r="J6" i="1"/>
  <c r="J10" i="1"/>
  <c r="K2" i="1"/>
  <c r="K6" i="1"/>
  <c r="K11" i="1"/>
  <c r="K8" i="1"/>
  <c r="K3" i="1"/>
  <c r="K7" i="1"/>
  <c r="J3" i="1"/>
  <c r="K9" i="1"/>
  <c r="K4" i="1"/>
  <c r="J9" i="1"/>
  <c r="K10" i="1"/>
  <c r="J8" i="1"/>
  <c r="J11" i="1"/>
  <c r="J7" i="1"/>
  <c r="J5" i="1"/>
  <c r="J2" i="1"/>
  <c r="J4" i="1"/>
  <c r="L2" i="1"/>
  <c r="L3" i="1"/>
  <c r="A212" i="2" l="1"/>
  <c r="A244" i="2"/>
  <c r="A228" i="2"/>
  <c r="A238" i="2"/>
  <c r="A222" i="2"/>
  <c r="A230" i="2"/>
  <c r="A232" i="2"/>
  <c r="L4" i="1"/>
  <c r="A245" i="2" l="1"/>
  <c r="A248" i="2"/>
  <c r="A242" i="2"/>
  <c r="A240" i="2"/>
  <c r="A220" i="2"/>
  <c r="A217" i="2"/>
  <c r="A236" i="2"/>
  <c r="A229" i="2"/>
  <c r="A246" i="2"/>
  <c r="A214" i="2"/>
  <c r="A213" i="2"/>
  <c r="A237" i="2"/>
  <c r="A250" i="2"/>
  <c r="A216" i="2"/>
  <c r="A227" i="2"/>
  <c r="A247" i="2"/>
  <c r="A231" i="2"/>
  <c r="A211" i="2"/>
  <c r="A218" i="2"/>
  <c r="A221" i="2"/>
  <c r="A241" i="2"/>
  <c r="A224" i="2"/>
  <c r="A223" i="2"/>
  <c r="A243" i="2"/>
  <c r="A234" i="2"/>
  <c r="A219" i="2"/>
  <c r="A239" i="2"/>
  <c r="A226" i="2"/>
  <c r="A249" i="2"/>
  <c r="A233" i="2"/>
  <c r="A215" i="2"/>
  <c r="A235" i="2"/>
  <c r="A225" i="2"/>
  <c r="L5" i="1"/>
  <c r="L6" i="1" l="1"/>
  <c r="L7" i="1" l="1"/>
  <c r="A6" i="2" l="1"/>
  <c r="U5" i="2"/>
  <c r="E5" i="2"/>
  <c r="M5" i="2"/>
  <c r="Q5" i="2"/>
  <c r="K5" i="2"/>
  <c r="S5" i="2"/>
  <c r="G5" i="2"/>
  <c r="C5" i="2"/>
  <c r="I5" i="2"/>
  <c r="J5" i="2"/>
  <c r="L5" i="2"/>
  <c r="F5" i="2"/>
  <c r="R5" i="2"/>
  <c r="O5" i="2"/>
  <c r="N5" i="2"/>
  <c r="H5" i="2"/>
  <c r="P5" i="2"/>
  <c r="B5" i="2"/>
  <c r="T5" i="2"/>
  <c r="D5" i="2"/>
  <c r="L8" i="1"/>
  <c r="A7" i="2" l="1"/>
  <c r="U6" i="2"/>
  <c r="E6" i="2"/>
  <c r="G6" i="2"/>
  <c r="S6" i="2"/>
  <c r="Q6" i="2"/>
  <c r="P6" i="2"/>
  <c r="O6" i="2"/>
  <c r="I6" i="2"/>
  <c r="C6" i="2"/>
  <c r="K6" i="2"/>
  <c r="M6" i="2"/>
  <c r="J6" i="2"/>
  <c r="D6" i="2"/>
  <c r="R6" i="2"/>
  <c r="L6" i="2"/>
  <c r="T6" i="2"/>
  <c r="F6" i="2"/>
  <c r="N6" i="2"/>
  <c r="B6" i="2"/>
  <c r="H6" i="2"/>
  <c r="L9" i="1"/>
  <c r="A8" i="2" l="1"/>
  <c r="S7" i="2"/>
  <c r="K7" i="2"/>
  <c r="G7" i="2"/>
  <c r="O7" i="2"/>
  <c r="C7" i="2"/>
  <c r="L7" i="2"/>
  <c r="P7" i="2"/>
  <c r="B7" i="2"/>
  <c r="D7" i="2"/>
  <c r="N7" i="2"/>
  <c r="Q7" i="2"/>
  <c r="R7" i="2"/>
  <c r="I7" i="2"/>
  <c r="H7" i="2"/>
  <c r="J7" i="2"/>
  <c r="E7" i="2"/>
  <c r="M7" i="2"/>
  <c r="F7" i="2"/>
  <c r="T7" i="2"/>
  <c r="U7" i="2"/>
  <c r="L10" i="1"/>
  <c r="A9" i="2" l="1"/>
  <c r="O8" i="2"/>
  <c r="S8" i="2"/>
  <c r="G8" i="2"/>
  <c r="C8" i="2"/>
  <c r="K8" i="2"/>
  <c r="N8" i="2"/>
  <c r="U8" i="2"/>
  <c r="J8" i="2"/>
  <c r="I8" i="2"/>
  <c r="P8" i="2"/>
  <c r="F8" i="2"/>
  <c r="D8" i="2"/>
  <c r="H8" i="2"/>
  <c r="M8" i="2"/>
  <c r="T8" i="2"/>
  <c r="L8" i="2"/>
  <c r="B8" i="2"/>
  <c r="E8" i="2"/>
  <c r="R8" i="2"/>
  <c r="Q8" i="2"/>
  <c r="L11" i="1"/>
  <c r="A10" i="2" l="1"/>
  <c r="O9" i="2"/>
  <c r="G9" i="2"/>
  <c r="C9" i="2"/>
  <c r="S9" i="2"/>
  <c r="K9" i="2"/>
  <c r="D9" i="2"/>
  <c r="F9" i="2"/>
  <c r="R9" i="2"/>
  <c r="P9" i="2"/>
  <c r="Q9" i="2"/>
  <c r="E9" i="2"/>
  <c r="T9" i="2"/>
  <c r="J9" i="2"/>
  <c r="H9" i="2"/>
  <c r="U9" i="2"/>
  <c r="I9" i="2"/>
  <c r="B9" i="2"/>
  <c r="N9" i="2"/>
  <c r="L9" i="2"/>
  <c r="M9" i="2"/>
  <c r="L12" i="1"/>
  <c r="A11" i="2" l="1"/>
  <c r="K10" i="2"/>
  <c r="C10" i="2"/>
  <c r="G10" i="2"/>
  <c r="O10" i="2"/>
  <c r="P10" i="2"/>
  <c r="F10" i="2"/>
  <c r="D10" i="2"/>
  <c r="E10" i="2"/>
  <c r="H10" i="2"/>
  <c r="U10" i="2"/>
  <c r="S10" i="2"/>
  <c r="T10" i="2"/>
  <c r="B10" i="2"/>
  <c r="M10" i="2"/>
  <c r="I10" i="2"/>
  <c r="J10" i="2"/>
  <c r="R10" i="2"/>
  <c r="L10" i="2"/>
  <c r="N10" i="2"/>
  <c r="Q10" i="2"/>
  <c r="L13" i="1"/>
  <c r="A12" i="2" l="1"/>
  <c r="O11" i="2"/>
  <c r="S11" i="2"/>
  <c r="K11" i="2"/>
  <c r="G11" i="2"/>
  <c r="C11" i="2"/>
  <c r="R11" i="2"/>
  <c r="P11" i="2"/>
  <c r="M11" i="2"/>
  <c r="T11" i="2"/>
  <c r="J11" i="2"/>
  <c r="H11" i="2"/>
  <c r="N11" i="2"/>
  <c r="L11" i="2"/>
  <c r="B11" i="2"/>
  <c r="F11" i="2"/>
  <c r="Q11" i="2"/>
  <c r="I11" i="2"/>
  <c r="E11" i="2"/>
  <c r="U11" i="2"/>
  <c r="D11" i="2"/>
  <c r="L14" i="1"/>
  <c r="A13" i="2" l="1"/>
  <c r="C12" i="2"/>
  <c r="S12" i="2"/>
  <c r="G12" i="2"/>
  <c r="O12" i="2"/>
  <c r="K12" i="2"/>
  <c r="H12" i="2"/>
  <c r="E12" i="2"/>
  <c r="T12" i="2"/>
  <c r="U12" i="2"/>
  <c r="R12" i="2"/>
  <c r="I12" i="2"/>
  <c r="N12" i="2"/>
  <c r="L12" i="2"/>
  <c r="J12" i="2"/>
  <c r="P12" i="2"/>
  <c r="B12" i="2"/>
  <c r="Q12" i="2"/>
  <c r="F12" i="2"/>
  <c r="M12" i="2"/>
  <c r="D12" i="2"/>
  <c r="L15" i="1"/>
  <c r="A14" i="2" l="1"/>
  <c r="O13" i="2"/>
  <c r="S13" i="2"/>
  <c r="K13" i="2"/>
  <c r="G13" i="2"/>
  <c r="C13" i="2"/>
  <c r="T13" i="2"/>
  <c r="J13" i="2"/>
  <c r="H13" i="2"/>
  <c r="F13" i="2"/>
  <c r="I13" i="2"/>
  <c r="L13" i="2"/>
  <c r="B13" i="2"/>
  <c r="D13" i="2"/>
  <c r="Q13" i="2"/>
  <c r="E13" i="2"/>
  <c r="R13" i="2"/>
  <c r="N13" i="2"/>
  <c r="P13" i="2"/>
  <c r="M13" i="2"/>
  <c r="U13" i="2"/>
  <c r="L16" i="1"/>
  <c r="A15" i="2" l="1"/>
  <c r="C14" i="2"/>
  <c r="S14" i="2"/>
  <c r="O14" i="2"/>
  <c r="K14" i="2"/>
  <c r="T14" i="2"/>
  <c r="J14" i="2"/>
  <c r="Q14" i="2"/>
  <c r="N14" i="2"/>
  <c r="L14" i="2"/>
  <c r="B14" i="2"/>
  <c r="E14" i="2"/>
  <c r="G14" i="2"/>
  <c r="P14" i="2"/>
  <c r="F14" i="2"/>
  <c r="D14" i="2"/>
  <c r="U14" i="2"/>
  <c r="R14" i="2"/>
  <c r="M14" i="2"/>
  <c r="I14" i="2"/>
  <c r="H14" i="2"/>
  <c r="L17" i="1"/>
  <c r="A16" i="2" l="1"/>
  <c r="O15" i="2"/>
  <c r="G15" i="2"/>
  <c r="C15" i="2"/>
  <c r="L15" i="2"/>
  <c r="B15" i="2"/>
  <c r="I15" i="2"/>
  <c r="N15" i="2"/>
  <c r="K15" i="2"/>
  <c r="D15" i="2"/>
  <c r="M15" i="2"/>
  <c r="R15" i="2"/>
  <c r="P15" i="2"/>
  <c r="F15" i="2"/>
  <c r="H15" i="2"/>
  <c r="E15" i="2"/>
  <c r="S15" i="2"/>
  <c r="J15" i="2"/>
  <c r="T15" i="2"/>
  <c r="Q15" i="2"/>
  <c r="U15" i="2"/>
  <c r="L18" i="1"/>
  <c r="A17" i="2" l="1"/>
  <c r="C16" i="2"/>
  <c r="N16" i="2"/>
  <c r="L16" i="2"/>
  <c r="Q16" i="2"/>
  <c r="P16" i="2"/>
  <c r="F16" i="2"/>
  <c r="D16" i="2"/>
  <c r="U16" i="2"/>
  <c r="S16" i="2"/>
  <c r="H16" i="2"/>
  <c r="J16" i="2"/>
  <c r="I16" i="2"/>
  <c r="K16" i="2"/>
  <c r="O16" i="2"/>
  <c r="T16" i="2"/>
  <c r="B16" i="2"/>
  <c r="G16" i="2"/>
  <c r="E16" i="2"/>
  <c r="M16" i="2"/>
  <c r="R16" i="2"/>
  <c r="L19" i="1"/>
  <c r="A18" i="2" l="1"/>
  <c r="S17" i="2"/>
  <c r="O17" i="2"/>
  <c r="K17" i="2"/>
  <c r="C17" i="2"/>
  <c r="D17" i="2"/>
  <c r="Q17" i="2"/>
  <c r="G17" i="2"/>
  <c r="R17" i="2"/>
  <c r="P17" i="2"/>
  <c r="M17" i="2"/>
  <c r="T17" i="2"/>
  <c r="J17" i="2"/>
  <c r="H17" i="2"/>
  <c r="N17" i="2"/>
  <c r="F17" i="2"/>
  <c r="U17" i="2"/>
  <c r="L17" i="2"/>
  <c r="E17" i="2"/>
  <c r="B17" i="2"/>
  <c r="I17" i="2"/>
  <c r="L20" i="1"/>
  <c r="A19" i="2" l="1"/>
  <c r="K18" i="2"/>
  <c r="P18" i="2"/>
  <c r="F18" i="2"/>
  <c r="D18" i="2"/>
  <c r="M18" i="2"/>
  <c r="S18" i="2"/>
  <c r="H18" i="2"/>
  <c r="B18" i="2"/>
  <c r="Q18" i="2"/>
  <c r="U18" i="2"/>
  <c r="C18" i="2"/>
  <c r="T18" i="2"/>
  <c r="E18" i="2"/>
  <c r="I18" i="2"/>
  <c r="R18" i="2"/>
  <c r="G18" i="2"/>
  <c r="N18" i="2"/>
  <c r="L18" i="2"/>
  <c r="O18" i="2"/>
  <c r="J18" i="2"/>
  <c r="L21" i="1"/>
  <c r="A20" i="2" l="1"/>
  <c r="M19" i="2"/>
  <c r="R19" i="2"/>
  <c r="P19" i="2"/>
  <c r="N19" i="2"/>
  <c r="S19" i="2"/>
  <c r="Q19" i="2"/>
  <c r="T19" i="2"/>
  <c r="J19" i="2"/>
  <c r="H19" i="2"/>
  <c r="F19" i="2"/>
  <c r="G19" i="2"/>
  <c r="U19" i="2"/>
  <c r="L19" i="2"/>
  <c r="B19" i="2"/>
  <c r="O19" i="2"/>
  <c r="I19" i="2"/>
  <c r="D19" i="2"/>
  <c r="C19" i="2"/>
  <c r="E19" i="2"/>
  <c r="K19" i="2"/>
  <c r="L22" i="1"/>
  <c r="A21" i="2" l="1"/>
  <c r="H20" i="2"/>
  <c r="R20" i="2"/>
  <c r="S20" i="2"/>
  <c r="E20" i="2"/>
  <c r="T20" i="2"/>
  <c r="M20" i="2"/>
  <c r="J20" i="2"/>
  <c r="C20" i="2"/>
  <c r="N20" i="2"/>
  <c r="L20" i="2"/>
  <c r="F20" i="2"/>
  <c r="Q20" i="2"/>
  <c r="U20" i="2"/>
  <c r="D20" i="2"/>
  <c r="G20" i="2"/>
  <c r="O20" i="2"/>
  <c r="P20" i="2"/>
  <c r="K20" i="2"/>
  <c r="B20" i="2"/>
  <c r="I20" i="2"/>
  <c r="L23" i="1"/>
  <c r="A22" i="2" l="1"/>
  <c r="M21" i="2"/>
  <c r="T21" i="2"/>
  <c r="J21" i="2"/>
  <c r="H21" i="2"/>
  <c r="O21" i="2"/>
  <c r="L21" i="2"/>
  <c r="B21" i="2"/>
  <c r="D21" i="2"/>
  <c r="C21" i="2"/>
  <c r="Q21" i="2"/>
  <c r="U21" i="2"/>
  <c r="E21" i="2"/>
  <c r="K21" i="2"/>
  <c r="P21" i="2"/>
  <c r="G21" i="2"/>
  <c r="R21" i="2"/>
  <c r="F21" i="2"/>
  <c r="N21" i="2"/>
  <c r="I21" i="2"/>
  <c r="S21" i="2"/>
  <c r="L24" i="1"/>
  <c r="A23" i="2" l="1"/>
  <c r="I22" i="2"/>
  <c r="T22" i="2"/>
  <c r="B22" i="2"/>
  <c r="N22" i="2"/>
  <c r="L22" i="2"/>
  <c r="P22" i="2"/>
  <c r="F22" i="2"/>
  <c r="D22" i="2"/>
  <c r="R22" i="2"/>
  <c r="E22" i="2"/>
  <c r="O22" i="2"/>
  <c r="C22" i="2"/>
  <c r="S22" i="2"/>
  <c r="J22" i="2"/>
  <c r="G22" i="2"/>
  <c r="H22" i="2"/>
  <c r="K22" i="2"/>
  <c r="Q22" i="2"/>
  <c r="M22" i="2"/>
  <c r="U22" i="2"/>
  <c r="L25" i="1"/>
  <c r="A24" i="2" l="1"/>
  <c r="F23" i="2"/>
  <c r="L23" i="2"/>
  <c r="B23" i="2"/>
  <c r="D23" i="2"/>
  <c r="U23" i="2"/>
  <c r="E23" i="2"/>
  <c r="K23" i="2"/>
  <c r="G23" i="2"/>
  <c r="R23" i="2"/>
  <c r="P23" i="2"/>
  <c r="S23" i="2"/>
  <c r="T23" i="2"/>
  <c r="M23" i="2"/>
  <c r="I23" i="2"/>
  <c r="H23" i="2"/>
  <c r="N23" i="2"/>
  <c r="C23" i="2"/>
  <c r="J23" i="2"/>
  <c r="O23" i="2"/>
  <c r="Q23" i="2"/>
  <c r="L26" i="1"/>
  <c r="A25" i="2" l="1"/>
  <c r="G24" i="2"/>
  <c r="N24" i="2"/>
  <c r="L24" i="2"/>
  <c r="I24" i="2"/>
  <c r="S24" i="2"/>
  <c r="Q24" i="2"/>
  <c r="P24" i="2"/>
  <c r="F24" i="2"/>
  <c r="D24" i="2"/>
  <c r="J24" i="2"/>
  <c r="H24" i="2"/>
  <c r="B24" i="2"/>
  <c r="M24" i="2"/>
  <c r="U24" i="2"/>
  <c r="E24" i="2"/>
  <c r="K24" i="2"/>
  <c r="O24" i="2"/>
  <c r="T24" i="2"/>
  <c r="R24" i="2"/>
  <c r="C24" i="2"/>
  <c r="L27" i="1"/>
  <c r="A26" i="2" l="1"/>
  <c r="D25" i="2"/>
  <c r="U25" i="2"/>
  <c r="K25" i="2"/>
  <c r="I25" i="2"/>
  <c r="R25" i="2"/>
  <c r="P25" i="2"/>
  <c r="N25" i="2"/>
  <c r="T25" i="2"/>
  <c r="J25" i="2"/>
  <c r="H25" i="2"/>
  <c r="O25" i="2"/>
  <c r="F25" i="2"/>
  <c r="L25" i="2"/>
  <c r="M25" i="2"/>
  <c r="B25" i="2"/>
  <c r="E25" i="2"/>
  <c r="Q25" i="2"/>
  <c r="G25" i="2"/>
  <c r="C25" i="2"/>
  <c r="S25" i="2"/>
  <c r="L28" i="1"/>
  <c r="A27" i="2" l="1"/>
  <c r="P26" i="2"/>
  <c r="F26" i="2"/>
  <c r="D26" i="2"/>
  <c r="B26" i="2"/>
  <c r="S26" i="2"/>
  <c r="K26" i="2"/>
  <c r="H26" i="2"/>
  <c r="O26" i="2"/>
  <c r="Q26" i="2"/>
  <c r="R26" i="2"/>
  <c r="T26" i="2"/>
  <c r="M26" i="2"/>
  <c r="N26" i="2"/>
  <c r="G26" i="2"/>
  <c r="L26" i="2"/>
  <c r="I26" i="2"/>
  <c r="U26" i="2"/>
  <c r="J26" i="2"/>
  <c r="C26" i="2"/>
  <c r="E26" i="2"/>
  <c r="L29" i="1"/>
  <c r="A28" i="2" l="1"/>
  <c r="R27" i="2"/>
  <c r="P27" i="2"/>
  <c r="F27" i="2"/>
  <c r="C27" i="2"/>
  <c r="T27" i="2"/>
  <c r="J27" i="2"/>
  <c r="H27" i="2"/>
  <c r="G27" i="2"/>
  <c r="I27" i="2"/>
  <c r="M27" i="2"/>
  <c r="L27" i="2"/>
  <c r="B27" i="2"/>
  <c r="O27" i="2"/>
  <c r="S27" i="2"/>
  <c r="K27" i="2"/>
  <c r="U27" i="2"/>
  <c r="D27" i="2"/>
  <c r="Q27" i="2"/>
  <c r="N27" i="2"/>
  <c r="E27" i="2"/>
  <c r="L30" i="1"/>
  <c r="A29" i="2" l="1"/>
  <c r="H28" i="2"/>
  <c r="G28" i="2"/>
  <c r="C28" i="2"/>
  <c r="J28" i="2"/>
  <c r="B28" i="2"/>
  <c r="Q28" i="2"/>
  <c r="T28" i="2"/>
  <c r="S28" i="2"/>
  <c r="N28" i="2"/>
  <c r="L28" i="2"/>
  <c r="I28" i="2"/>
  <c r="D28" i="2"/>
  <c r="R28" i="2"/>
  <c r="O28" i="2"/>
  <c r="E28" i="2"/>
  <c r="F28" i="2"/>
  <c r="K28" i="2"/>
  <c r="M28" i="2"/>
  <c r="P28" i="2"/>
  <c r="U28" i="2"/>
  <c r="L31" i="1"/>
  <c r="A30" i="2" l="1"/>
  <c r="E29" i="2"/>
  <c r="Q29" i="2"/>
  <c r="T29" i="2"/>
  <c r="J29" i="2"/>
  <c r="H29" i="2"/>
  <c r="M29" i="2"/>
  <c r="O29" i="2"/>
  <c r="I29" i="2"/>
  <c r="L29" i="2"/>
  <c r="B29" i="2"/>
  <c r="G29" i="2"/>
  <c r="D29" i="2"/>
  <c r="F29" i="2"/>
  <c r="U29" i="2"/>
  <c r="S29" i="2"/>
  <c r="K29" i="2"/>
  <c r="N29" i="2"/>
  <c r="C29" i="2"/>
  <c r="P29" i="2"/>
  <c r="R29" i="2"/>
  <c r="L32" i="1"/>
  <c r="A31" i="2" l="1"/>
  <c r="I30" i="2"/>
  <c r="K30" i="2"/>
  <c r="T30" i="2"/>
  <c r="C30" i="2"/>
  <c r="N30" i="2"/>
  <c r="L30" i="2"/>
  <c r="R30" i="2"/>
  <c r="G30" i="2"/>
  <c r="P30" i="2"/>
  <c r="F30" i="2"/>
  <c r="D30" i="2"/>
  <c r="J30" i="2"/>
  <c r="O30" i="2"/>
  <c r="H30" i="2"/>
  <c r="M30" i="2"/>
  <c r="Q30" i="2"/>
  <c r="E30" i="2"/>
  <c r="B30" i="2"/>
  <c r="U30" i="2"/>
  <c r="S30" i="2"/>
  <c r="L33" i="1"/>
  <c r="A32" i="2" l="1"/>
  <c r="K31" i="2"/>
  <c r="T31" i="2"/>
  <c r="R31" i="2"/>
  <c r="B31" i="2"/>
  <c r="U31" i="2"/>
  <c r="G31" i="2"/>
  <c r="N31" i="2"/>
  <c r="L31" i="2"/>
  <c r="D31" i="2"/>
  <c r="S31" i="2"/>
  <c r="C31" i="2"/>
  <c r="E31" i="2"/>
  <c r="F31" i="2"/>
  <c r="Q31" i="2"/>
  <c r="O31" i="2"/>
  <c r="P31" i="2"/>
  <c r="H31" i="2"/>
  <c r="J31" i="2"/>
  <c r="I31" i="2"/>
  <c r="M31" i="2"/>
  <c r="L34" i="1"/>
  <c r="A33" i="2" l="1"/>
  <c r="K32" i="2"/>
  <c r="B32" i="2"/>
  <c r="T32" i="2"/>
  <c r="M32" i="2"/>
  <c r="R32" i="2"/>
  <c r="P32" i="2"/>
  <c r="L32" i="2"/>
  <c r="F32" i="2"/>
  <c r="E32" i="2"/>
  <c r="D32" i="2"/>
  <c r="N32" i="2"/>
  <c r="Q32" i="2"/>
  <c r="S32" i="2"/>
  <c r="U32" i="2"/>
  <c r="C32" i="2"/>
  <c r="J32" i="2"/>
  <c r="H32" i="2"/>
  <c r="I32" i="2"/>
  <c r="O32" i="2"/>
  <c r="G32" i="2"/>
  <c r="L35" i="1"/>
  <c r="A34" i="2" l="1"/>
  <c r="N33" i="2"/>
  <c r="L33" i="2"/>
  <c r="R33" i="2"/>
  <c r="P33" i="2"/>
  <c r="O33" i="2"/>
  <c r="Q33" i="2"/>
  <c r="I33" i="2"/>
  <c r="F33" i="2"/>
  <c r="D33" i="2"/>
  <c r="H33" i="2"/>
  <c r="B33" i="2"/>
  <c r="C33" i="2"/>
  <c r="G33" i="2"/>
  <c r="S33" i="2"/>
  <c r="J33" i="2"/>
  <c r="E33" i="2"/>
  <c r="U33" i="2"/>
  <c r="T33" i="2"/>
  <c r="M33" i="2"/>
  <c r="K33" i="2"/>
  <c r="L36" i="1"/>
  <c r="A35" i="2" l="1"/>
  <c r="K34" i="2"/>
  <c r="C34" i="2"/>
  <c r="D34" i="2"/>
  <c r="E34" i="2"/>
  <c r="S34" i="2"/>
  <c r="R34" i="2"/>
  <c r="P34" i="2"/>
  <c r="F34" i="2"/>
  <c r="J34" i="2"/>
  <c r="H34" i="2"/>
  <c r="M34" i="2"/>
  <c r="G34" i="2"/>
  <c r="B34" i="2"/>
  <c r="T34" i="2"/>
  <c r="O34" i="2"/>
  <c r="N34" i="2"/>
  <c r="L34" i="2"/>
  <c r="U34" i="2"/>
  <c r="Q34" i="2"/>
  <c r="I34" i="2"/>
  <c r="L37" i="1"/>
  <c r="A36" i="2" l="1"/>
  <c r="I35" i="2"/>
  <c r="F35" i="2"/>
  <c r="D35" i="2"/>
  <c r="B35" i="2"/>
  <c r="C35" i="2"/>
  <c r="S35" i="2"/>
  <c r="E35" i="2"/>
  <c r="H35" i="2"/>
  <c r="T35" i="2"/>
  <c r="R35" i="2"/>
  <c r="P35" i="2"/>
  <c r="J35" i="2"/>
  <c r="O35" i="2"/>
  <c r="G35" i="2"/>
  <c r="K35" i="2"/>
  <c r="M35" i="2"/>
  <c r="U35" i="2"/>
  <c r="N35" i="2"/>
  <c r="L35" i="2"/>
  <c r="Q35" i="2"/>
  <c r="L38" i="1"/>
  <c r="A37" i="2" l="1"/>
  <c r="U36" i="2"/>
  <c r="R36" i="2"/>
  <c r="P36" i="2"/>
  <c r="N36" i="2"/>
  <c r="L36" i="2"/>
  <c r="O36" i="2"/>
  <c r="E36" i="2"/>
  <c r="J36" i="2"/>
  <c r="H36" i="2"/>
  <c r="F36" i="2"/>
  <c r="T36" i="2"/>
  <c r="B36" i="2"/>
  <c r="C36" i="2"/>
  <c r="I36" i="2"/>
  <c r="Q36" i="2"/>
  <c r="K36" i="2"/>
  <c r="G36" i="2"/>
  <c r="D36" i="2"/>
  <c r="S36" i="2"/>
  <c r="M36" i="2"/>
  <c r="L39" i="1"/>
  <c r="A38" i="2" l="1"/>
  <c r="K37" i="2"/>
  <c r="Q37" i="2"/>
  <c r="C37" i="2"/>
  <c r="T37" i="2"/>
  <c r="R37" i="2"/>
  <c r="H37" i="2"/>
  <c r="S37" i="2"/>
  <c r="N37" i="2"/>
  <c r="L37" i="2"/>
  <c r="J37" i="2"/>
  <c r="P37" i="2"/>
  <c r="M37" i="2"/>
  <c r="I37" i="2"/>
  <c r="G37" i="2"/>
  <c r="E37" i="2"/>
  <c r="U37" i="2"/>
  <c r="O37" i="2"/>
  <c r="F37" i="2"/>
  <c r="D37" i="2"/>
  <c r="B37" i="2"/>
  <c r="L40" i="1"/>
  <c r="A39" i="2" l="1"/>
  <c r="J38" i="2"/>
  <c r="H38" i="2"/>
  <c r="F38" i="2"/>
  <c r="T38" i="2"/>
  <c r="L38" i="2"/>
  <c r="Q38" i="2"/>
  <c r="B38" i="2"/>
  <c r="I38" i="2"/>
  <c r="S38" i="2"/>
  <c r="M38" i="2"/>
  <c r="G38" i="2"/>
  <c r="O38" i="2"/>
  <c r="E38" i="2"/>
  <c r="R38" i="2"/>
  <c r="P38" i="2"/>
  <c r="N38" i="2"/>
  <c r="D38" i="2"/>
  <c r="K38" i="2"/>
  <c r="C38" i="2"/>
  <c r="U38" i="2"/>
  <c r="L41" i="1"/>
  <c r="A40" i="2" l="1"/>
  <c r="T39" i="2"/>
  <c r="R39" i="2"/>
  <c r="N39" i="2"/>
  <c r="L39" i="2"/>
  <c r="J39" i="2"/>
  <c r="H39" i="2"/>
  <c r="O39" i="2"/>
  <c r="M39" i="2"/>
  <c r="S39" i="2"/>
  <c r="Q39" i="2"/>
  <c r="F39" i="2"/>
  <c r="D39" i="2"/>
  <c r="B39" i="2"/>
  <c r="E39" i="2"/>
  <c r="K39" i="2"/>
  <c r="U39" i="2"/>
  <c r="C39" i="2"/>
  <c r="I39" i="2"/>
  <c r="P39" i="2"/>
  <c r="G39" i="2"/>
  <c r="L42" i="1"/>
  <c r="A41" i="2" l="1"/>
  <c r="B40" i="2"/>
  <c r="T40" i="2"/>
  <c r="U40" i="2"/>
  <c r="G40" i="2"/>
  <c r="E40" i="2"/>
  <c r="O40" i="2"/>
  <c r="Q40" i="2"/>
  <c r="R40" i="2"/>
  <c r="P40" i="2"/>
  <c r="N40" i="2"/>
  <c r="C40" i="2"/>
  <c r="J40" i="2"/>
  <c r="H40" i="2"/>
  <c r="F40" i="2"/>
  <c r="D40" i="2"/>
  <c r="I40" i="2"/>
  <c r="K40" i="2"/>
  <c r="L40" i="2"/>
  <c r="S40" i="2"/>
  <c r="M40" i="2"/>
  <c r="L43" i="1"/>
  <c r="A42" i="2" l="1"/>
  <c r="N41" i="2"/>
  <c r="L41" i="2"/>
  <c r="J41" i="2"/>
  <c r="H41" i="2"/>
  <c r="S41" i="2"/>
  <c r="F41" i="2"/>
  <c r="D41" i="2"/>
  <c r="B41" i="2"/>
  <c r="O41" i="2"/>
  <c r="P41" i="2"/>
  <c r="I41" i="2"/>
  <c r="Q41" i="2"/>
  <c r="C41" i="2"/>
  <c r="U41" i="2"/>
  <c r="G41" i="2"/>
  <c r="K41" i="2"/>
  <c r="T41" i="2"/>
  <c r="R41" i="2"/>
  <c r="E41" i="2"/>
  <c r="M41" i="2"/>
  <c r="L44" i="1"/>
  <c r="A43" i="2" l="1"/>
  <c r="E42" i="2"/>
  <c r="C42" i="2"/>
  <c r="R42" i="2"/>
  <c r="P42" i="2"/>
  <c r="N42" i="2"/>
  <c r="U42" i="2"/>
  <c r="J42" i="2"/>
  <c r="H42" i="2"/>
  <c r="F42" i="2"/>
  <c r="D42" i="2"/>
  <c r="K42" i="2"/>
  <c r="M42" i="2"/>
  <c r="O42" i="2"/>
  <c r="G42" i="2"/>
  <c r="B42" i="2"/>
  <c r="T42" i="2"/>
  <c r="L42" i="2"/>
  <c r="S42" i="2"/>
  <c r="Q42" i="2"/>
  <c r="I42" i="2"/>
  <c r="L45" i="1"/>
  <c r="A44" i="2" l="1"/>
  <c r="F43" i="2"/>
  <c r="D43" i="2"/>
  <c r="B43" i="2"/>
  <c r="U43" i="2"/>
  <c r="S43" i="2"/>
  <c r="E43" i="2"/>
  <c r="M43" i="2"/>
  <c r="P43" i="2"/>
  <c r="K43" i="2"/>
  <c r="H43" i="2"/>
  <c r="I43" i="2"/>
  <c r="T43" i="2"/>
  <c r="R43" i="2"/>
  <c r="Q43" i="2"/>
  <c r="C43" i="2"/>
  <c r="N43" i="2"/>
  <c r="L43" i="2"/>
  <c r="J43" i="2"/>
  <c r="O43" i="2"/>
  <c r="G43" i="2"/>
  <c r="L46" i="1"/>
  <c r="A45" i="2" l="1"/>
  <c r="M44" i="2"/>
  <c r="R44" i="2"/>
  <c r="P44" i="2"/>
  <c r="N44" i="2"/>
  <c r="T44" i="2"/>
  <c r="C44" i="2"/>
  <c r="K44" i="2"/>
  <c r="J44" i="2"/>
  <c r="H44" i="2"/>
  <c r="F44" i="2"/>
  <c r="B44" i="2"/>
  <c r="D44" i="2"/>
  <c r="L44" i="2"/>
  <c r="U44" i="2"/>
  <c r="I44" i="2"/>
  <c r="E44" i="2"/>
  <c r="S44" i="2"/>
  <c r="Q44" i="2"/>
  <c r="G44" i="2"/>
  <c r="O44" i="2"/>
  <c r="L47" i="1"/>
  <c r="A46" i="2" l="1"/>
  <c r="G45" i="2"/>
  <c r="H45" i="2"/>
  <c r="U45" i="2"/>
  <c r="T45" i="2"/>
  <c r="R45" i="2"/>
  <c r="P45" i="2"/>
  <c r="E45" i="2"/>
  <c r="Q45" i="2"/>
  <c r="N45" i="2"/>
  <c r="L45" i="2"/>
  <c r="J45" i="2"/>
  <c r="C45" i="2"/>
  <c r="S45" i="2"/>
  <c r="F45" i="2"/>
  <c r="D45" i="2"/>
  <c r="B45" i="2"/>
  <c r="M45" i="2"/>
  <c r="I45" i="2"/>
  <c r="O45" i="2"/>
  <c r="K45" i="2"/>
  <c r="L48" i="1"/>
  <c r="A47" i="2" l="1"/>
  <c r="J46" i="2"/>
  <c r="H46" i="2"/>
  <c r="F46" i="2"/>
  <c r="C46" i="2"/>
  <c r="S46" i="2"/>
  <c r="G46" i="2"/>
  <c r="O46" i="2"/>
  <c r="B46" i="2"/>
  <c r="R46" i="2"/>
  <c r="P46" i="2"/>
  <c r="N46" i="2"/>
  <c r="I46" i="2"/>
  <c r="U46" i="2"/>
  <c r="E46" i="2"/>
  <c r="L46" i="2"/>
  <c r="Q46" i="2"/>
  <c r="K46" i="2"/>
  <c r="T46" i="2"/>
  <c r="M46" i="2"/>
  <c r="D46" i="2"/>
  <c r="L49" i="1"/>
  <c r="A48" i="2" l="1"/>
  <c r="C47" i="2"/>
  <c r="T47" i="2"/>
  <c r="R47" i="2"/>
  <c r="H47" i="2"/>
  <c r="N47" i="2"/>
  <c r="L47" i="2"/>
  <c r="J47" i="2"/>
  <c r="U47" i="2"/>
  <c r="I47" i="2"/>
  <c r="F47" i="2"/>
  <c r="D47" i="2"/>
  <c r="B47" i="2"/>
  <c r="Q47" i="2"/>
  <c r="K47" i="2"/>
  <c r="E47" i="2"/>
  <c r="O47" i="2"/>
  <c r="G47" i="2"/>
  <c r="P47" i="2"/>
  <c r="M47" i="2"/>
  <c r="S47" i="2"/>
  <c r="L50" i="1"/>
  <c r="A49" i="2" l="1"/>
  <c r="B48" i="2"/>
  <c r="O48" i="2"/>
  <c r="G48" i="2"/>
  <c r="E48" i="2"/>
  <c r="Q48" i="2"/>
  <c r="U48" i="2"/>
  <c r="C48" i="2"/>
  <c r="R48" i="2"/>
  <c r="P48" i="2"/>
  <c r="N48" i="2"/>
  <c r="L48" i="2"/>
  <c r="D48" i="2"/>
  <c r="M48" i="2"/>
  <c r="I48" i="2"/>
  <c r="T48" i="2"/>
  <c r="K48" i="2"/>
  <c r="S48" i="2"/>
  <c r="J48" i="2"/>
  <c r="H48" i="2"/>
  <c r="F48" i="2"/>
  <c r="L51" i="1"/>
  <c r="A50" i="2" l="1"/>
  <c r="N49" i="2"/>
  <c r="L49" i="2"/>
  <c r="J49" i="2"/>
  <c r="C49" i="2"/>
  <c r="F49" i="2"/>
  <c r="D49" i="2"/>
  <c r="B49" i="2"/>
  <c r="P49" i="2"/>
  <c r="O49" i="2"/>
  <c r="M49" i="2"/>
  <c r="H49" i="2"/>
  <c r="Q49" i="2"/>
  <c r="K49" i="2"/>
  <c r="S49" i="2"/>
  <c r="I49" i="2"/>
  <c r="E49" i="2"/>
  <c r="T49" i="2"/>
  <c r="R49" i="2"/>
  <c r="U49" i="2"/>
  <c r="G49" i="2"/>
  <c r="L52" i="1"/>
  <c r="A51" i="2" l="1"/>
  <c r="M50" i="2"/>
  <c r="R50" i="2"/>
  <c r="P50" i="2"/>
  <c r="N50" i="2"/>
  <c r="D50" i="2"/>
  <c r="T50" i="2"/>
  <c r="J50" i="2"/>
  <c r="H50" i="2"/>
  <c r="F50" i="2"/>
  <c r="L50" i="2"/>
  <c r="C50" i="2"/>
  <c r="I50" i="2"/>
  <c r="K50" i="2"/>
  <c r="G50" i="2"/>
  <c r="Q50" i="2"/>
  <c r="B50" i="2"/>
  <c r="S50" i="2"/>
  <c r="E50" i="2"/>
  <c r="O50" i="2"/>
  <c r="U50" i="2"/>
  <c r="L53" i="1"/>
  <c r="A52" i="2" l="1"/>
  <c r="F51" i="2"/>
  <c r="D51" i="2"/>
  <c r="B51" i="2"/>
  <c r="P51" i="2"/>
  <c r="H51" i="2"/>
  <c r="Q51" i="2"/>
  <c r="U51" i="2"/>
  <c r="O51" i="2"/>
  <c r="T51" i="2"/>
  <c r="R51" i="2"/>
  <c r="K51" i="2"/>
  <c r="S51" i="2"/>
  <c r="N51" i="2"/>
  <c r="L51" i="2"/>
  <c r="J51" i="2"/>
  <c r="C51" i="2"/>
  <c r="I51" i="2"/>
  <c r="G51" i="2"/>
  <c r="E51" i="2"/>
  <c r="M51" i="2"/>
  <c r="L54" i="1"/>
  <c r="A53" i="2" l="1"/>
  <c r="R52" i="2"/>
  <c r="P52" i="2"/>
  <c r="N52" i="2"/>
  <c r="U52" i="2"/>
  <c r="O52" i="2"/>
  <c r="J52" i="2"/>
  <c r="H52" i="2"/>
  <c r="F52" i="2"/>
  <c r="D52" i="2"/>
  <c r="S52" i="2"/>
  <c r="C52" i="2"/>
  <c r="E52" i="2"/>
  <c r="B52" i="2"/>
  <c r="I52" i="2"/>
  <c r="L52" i="2"/>
  <c r="Q52" i="2"/>
  <c r="K52" i="2"/>
  <c r="M52" i="2"/>
  <c r="G52" i="2"/>
  <c r="T52" i="2"/>
  <c r="L55" i="1"/>
  <c r="A54" i="2" l="1"/>
  <c r="P53" i="2"/>
  <c r="K53" i="2"/>
  <c r="I53" i="2"/>
  <c r="T53" i="2"/>
  <c r="R53" i="2"/>
  <c r="C53" i="2"/>
  <c r="N53" i="2"/>
  <c r="L53" i="2"/>
  <c r="J53" i="2"/>
  <c r="G53" i="2"/>
  <c r="F53" i="2"/>
  <c r="D53" i="2"/>
  <c r="B53" i="2"/>
  <c r="S53" i="2"/>
  <c r="Q53" i="2"/>
  <c r="H53" i="2"/>
  <c r="E53" i="2"/>
  <c r="O53" i="2"/>
  <c r="U53" i="2"/>
  <c r="M53" i="2"/>
  <c r="L56" i="1"/>
  <c r="A55" i="2" l="1"/>
  <c r="E54" i="2"/>
  <c r="J54" i="2"/>
  <c r="H54" i="2"/>
  <c r="F54" i="2"/>
  <c r="K54" i="2"/>
  <c r="G54" i="2"/>
  <c r="C54" i="2"/>
  <c r="B54" i="2"/>
  <c r="U54" i="2"/>
  <c r="I54" i="2"/>
  <c r="T54" i="2"/>
  <c r="L54" i="2"/>
  <c r="S54" i="2"/>
  <c r="D54" i="2"/>
  <c r="R54" i="2"/>
  <c r="P54" i="2"/>
  <c r="N54" i="2"/>
  <c r="M54" i="2"/>
  <c r="Q54" i="2"/>
  <c r="O54" i="2"/>
  <c r="L57" i="1"/>
  <c r="A56" i="2" l="1"/>
  <c r="L55" i="2"/>
  <c r="M55" i="2"/>
  <c r="S55" i="2"/>
  <c r="K55" i="2"/>
  <c r="U55" i="2"/>
  <c r="P55" i="2"/>
  <c r="R55" i="2"/>
  <c r="N55" i="2"/>
  <c r="J55" i="2"/>
  <c r="O55" i="2"/>
  <c r="F55" i="2"/>
  <c r="D55" i="2"/>
  <c r="B55" i="2"/>
  <c r="Q55" i="2"/>
  <c r="H55" i="2"/>
  <c r="T55" i="2"/>
  <c r="E55" i="2"/>
  <c r="C55" i="2"/>
  <c r="I55" i="2"/>
  <c r="G55" i="2"/>
  <c r="L58" i="1"/>
  <c r="A57" i="2" l="1"/>
  <c r="G56" i="2"/>
  <c r="D56" i="2"/>
  <c r="N56" i="2"/>
  <c r="J56" i="2"/>
  <c r="F56" i="2"/>
  <c r="O56" i="2"/>
  <c r="P56" i="2"/>
  <c r="R56" i="2"/>
  <c r="S56" i="2"/>
  <c r="Q56" i="2"/>
  <c r="B56" i="2"/>
  <c r="H56" i="2"/>
  <c r="T56" i="2"/>
  <c r="I56" i="2"/>
  <c r="K56" i="2"/>
  <c r="L56" i="2"/>
  <c r="U56" i="2"/>
  <c r="E56" i="2"/>
  <c r="C56" i="2"/>
  <c r="M56" i="2"/>
  <c r="L59" i="1"/>
  <c r="A58" i="2" l="1"/>
  <c r="D57" i="2"/>
  <c r="P57" i="2"/>
  <c r="H57" i="2"/>
  <c r="N57" i="2"/>
  <c r="C57" i="2"/>
  <c r="T57" i="2"/>
  <c r="R57" i="2"/>
  <c r="G57" i="2"/>
  <c r="U57" i="2"/>
  <c r="O57" i="2"/>
  <c r="I57" i="2"/>
  <c r="M57" i="2"/>
  <c r="E57" i="2"/>
  <c r="Q57" i="2"/>
  <c r="L57" i="2"/>
  <c r="J57" i="2"/>
  <c r="F57" i="2"/>
  <c r="B57" i="2"/>
  <c r="K57" i="2"/>
  <c r="S57" i="2"/>
  <c r="L60" i="1"/>
  <c r="A59" i="2" l="1"/>
  <c r="P58" i="2"/>
  <c r="G58" i="2"/>
  <c r="M58" i="2"/>
  <c r="H58" i="2"/>
  <c r="T58" i="2"/>
  <c r="R58" i="2"/>
  <c r="N58" i="2"/>
  <c r="K58" i="2"/>
  <c r="L58" i="2"/>
  <c r="F58" i="2"/>
  <c r="B58" i="2"/>
  <c r="J58" i="2"/>
  <c r="Q58" i="2"/>
  <c r="D58" i="2"/>
  <c r="I58" i="2"/>
  <c r="C58" i="2"/>
  <c r="S58" i="2"/>
  <c r="O58" i="2"/>
  <c r="E58" i="2"/>
  <c r="U58" i="2"/>
  <c r="L61" i="1"/>
  <c r="A60" i="2" l="1"/>
  <c r="H59" i="2"/>
  <c r="R59" i="2"/>
  <c r="N59" i="2"/>
  <c r="J59" i="2"/>
  <c r="F59" i="2"/>
  <c r="M59" i="2"/>
  <c r="S59" i="2"/>
  <c r="T59" i="2"/>
  <c r="B59" i="2"/>
  <c r="I59" i="2"/>
  <c r="L59" i="2"/>
  <c r="C59" i="2"/>
  <c r="Q59" i="2"/>
  <c r="G59" i="2"/>
  <c r="D59" i="2"/>
  <c r="P59" i="2"/>
  <c r="E59" i="2"/>
  <c r="K59" i="2"/>
  <c r="O59" i="2"/>
  <c r="U59" i="2"/>
  <c r="L62" i="1"/>
  <c r="A61" i="2" l="1"/>
  <c r="K60" i="2"/>
  <c r="O60" i="2"/>
  <c r="H60" i="2"/>
  <c r="T60" i="2"/>
  <c r="R60" i="2"/>
  <c r="B60" i="2"/>
  <c r="L60" i="2"/>
  <c r="C60" i="2"/>
  <c r="S60" i="2"/>
  <c r="U60" i="2"/>
  <c r="D60" i="2"/>
  <c r="M60" i="2"/>
  <c r="I60" i="2"/>
  <c r="P60" i="2"/>
  <c r="G60" i="2"/>
  <c r="Q60" i="2"/>
  <c r="N60" i="2"/>
  <c r="J60" i="2"/>
  <c r="F60" i="2"/>
  <c r="E60" i="2"/>
  <c r="L63" i="1"/>
  <c r="A62" i="2" l="1"/>
  <c r="T61" i="2"/>
  <c r="E61" i="2"/>
  <c r="L61" i="2"/>
  <c r="U61" i="2"/>
  <c r="K61" i="2"/>
  <c r="O61" i="2"/>
  <c r="D61" i="2"/>
  <c r="R61" i="2"/>
  <c r="P61" i="2"/>
  <c r="N61" i="2"/>
  <c r="F61" i="2"/>
  <c r="B61" i="2"/>
  <c r="I61" i="2"/>
  <c r="C61" i="2"/>
  <c r="M61" i="2"/>
  <c r="Q61" i="2"/>
  <c r="J61" i="2"/>
  <c r="S61" i="2"/>
  <c r="H61" i="2"/>
  <c r="G61" i="2"/>
  <c r="L64" i="1"/>
  <c r="A63" i="2" l="1"/>
  <c r="N62" i="2"/>
  <c r="L62" i="2"/>
  <c r="Q62" i="2"/>
  <c r="K62" i="2"/>
  <c r="F62" i="2"/>
  <c r="D62" i="2"/>
  <c r="R62" i="2"/>
  <c r="J62" i="2"/>
  <c r="B62" i="2"/>
  <c r="O62" i="2"/>
  <c r="P62" i="2"/>
  <c r="M62" i="2"/>
  <c r="I62" i="2"/>
  <c r="S62" i="2"/>
  <c r="T62" i="2"/>
  <c r="C62" i="2"/>
  <c r="H62" i="2"/>
  <c r="U62" i="2"/>
  <c r="E62" i="2"/>
  <c r="G62" i="2"/>
  <c r="L65" i="1"/>
  <c r="A64" i="2" l="1"/>
  <c r="D63" i="2"/>
  <c r="T63" i="2"/>
  <c r="U63" i="2"/>
  <c r="C63" i="2"/>
  <c r="K63" i="2"/>
  <c r="L63" i="2"/>
  <c r="R63" i="2"/>
  <c r="O63" i="2"/>
  <c r="P63" i="2"/>
  <c r="F63" i="2"/>
  <c r="J63" i="2"/>
  <c r="H63" i="2"/>
  <c r="I63" i="2"/>
  <c r="Q63" i="2"/>
  <c r="B63" i="2"/>
  <c r="N63" i="2"/>
  <c r="G63" i="2"/>
  <c r="M63" i="2"/>
  <c r="E63" i="2"/>
  <c r="S63" i="2"/>
  <c r="L66" i="1"/>
  <c r="A65" i="2" l="1"/>
  <c r="P64" i="2"/>
  <c r="F64" i="2"/>
  <c r="D64" i="2"/>
  <c r="R64" i="2"/>
  <c r="J64" i="2"/>
  <c r="B64" i="2"/>
  <c r="C64" i="2"/>
  <c r="E64" i="2"/>
  <c r="Q64" i="2"/>
  <c r="O64" i="2"/>
  <c r="T64" i="2"/>
  <c r="M64" i="2"/>
  <c r="L64" i="2"/>
  <c r="U64" i="2"/>
  <c r="G64" i="2"/>
  <c r="K64" i="2"/>
  <c r="I64" i="2"/>
  <c r="N64" i="2"/>
  <c r="S64" i="2"/>
  <c r="H64" i="2"/>
  <c r="L67" i="1"/>
  <c r="A66" i="2" l="1"/>
  <c r="T65" i="2"/>
  <c r="R65" i="2"/>
  <c r="P65" i="2"/>
  <c r="O65" i="2"/>
  <c r="L65" i="2"/>
  <c r="J65" i="2"/>
  <c r="H65" i="2"/>
  <c r="K65" i="2"/>
  <c r="E65" i="2"/>
  <c r="U65" i="2"/>
  <c r="G65" i="2"/>
  <c r="D65" i="2"/>
  <c r="B65" i="2"/>
  <c r="N65" i="2"/>
  <c r="Q65" i="2"/>
  <c r="F65" i="2"/>
  <c r="I65" i="2"/>
  <c r="S65" i="2"/>
  <c r="C65" i="2"/>
  <c r="M65" i="2"/>
  <c r="L68" i="1"/>
  <c r="A67" i="2" l="1"/>
  <c r="H66" i="2"/>
  <c r="U66" i="2"/>
  <c r="Q66" i="2"/>
  <c r="T66" i="2"/>
  <c r="N66" i="2"/>
  <c r="L66" i="2"/>
  <c r="S66" i="2"/>
  <c r="O66" i="2"/>
  <c r="G66" i="2"/>
  <c r="J66" i="2"/>
  <c r="B66" i="2"/>
  <c r="R66" i="2"/>
  <c r="C66" i="2"/>
  <c r="P66" i="2"/>
  <c r="D66" i="2"/>
  <c r="F66" i="2"/>
  <c r="K66" i="2"/>
  <c r="E66" i="2"/>
  <c r="M66" i="2"/>
  <c r="I66" i="2"/>
  <c r="L69" i="1"/>
  <c r="A68" i="2" l="1"/>
  <c r="T67" i="2"/>
  <c r="J67" i="2"/>
  <c r="H67" i="2"/>
  <c r="L67" i="2"/>
  <c r="B67" i="2"/>
  <c r="C67" i="2"/>
  <c r="D67" i="2"/>
  <c r="N67" i="2"/>
  <c r="O67" i="2"/>
  <c r="F67" i="2"/>
  <c r="M67" i="2"/>
  <c r="E67" i="2"/>
  <c r="I67" i="2"/>
  <c r="R67" i="2"/>
  <c r="G67" i="2"/>
  <c r="S67" i="2"/>
  <c r="P67" i="2"/>
  <c r="Q67" i="2"/>
  <c r="U67" i="2"/>
  <c r="K67" i="2"/>
  <c r="L70" i="1"/>
  <c r="A69" i="2" l="1"/>
  <c r="E68" i="2"/>
  <c r="H68" i="2"/>
  <c r="T68" i="2"/>
  <c r="J68" i="2"/>
  <c r="G68" i="2"/>
  <c r="M68" i="2"/>
  <c r="Q68" i="2"/>
  <c r="N68" i="2"/>
  <c r="L68" i="2"/>
  <c r="R68" i="2"/>
  <c r="U68" i="2"/>
  <c r="F68" i="2"/>
  <c r="D68" i="2"/>
  <c r="B68" i="2"/>
  <c r="S68" i="2"/>
  <c r="C68" i="2"/>
  <c r="P68" i="2"/>
  <c r="K68" i="2"/>
  <c r="O68" i="2"/>
  <c r="I68" i="2"/>
  <c r="L71" i="1"/>
  <c r="A70" i="2" l="1"/>
  <c r="O69" i="2"/>
  <c r="L69" i="2"/>
  <c r="B69" i="2"/>
  <c r="T69" i="2"/>
  <c r="N69" i="2"/>
  <c r="F69" i="2"/>
  <c r="C69" i="2"/>
  <c r="D69" i="2"/>
  <c r="R69" i="2"/>
  <c r="P69" i="2"/>
  <c r="M69" i="2"/>
  <c r="J69" i="2"/>
  <c r="I69" i="2"/>
  <c r="E69" i="2"/>
  <c r="H69" i="2"/>
  <c r="G69" i="2"/>
  <c r="S69" i="2"/>
  <c r="K69" i="2"/>
  <c r="U69" i="2"/>
  <c r="Q69" i="2"/>
  <c r="L72" i="1"/>
  <c r="A71" i="2" l="1"/>
  <c r="M70" i="2"/>
  <c r="H70" i="2"/>
  <c r="N70" i="2"/>
  <c r="L70" i="2"/>
  <c r="R70" i="2"/>
  <c r="J70" i="2"/>
  <c r="O70" i="2"/>
  <c r="F70" i="2"/>
  <c r="D70" i="2"/>
  <c r="S70" i="2"/>
  <c r="B70" i="2"/>
  <c r="C70" i="2"/>
  <c r="G70" i="2"/>
  <c r="T70" i="2"/>
  <c r="K70" i="2"/>
  <c r="P70" i="2"/>
  <c r="E70" i="2"/>
  <c r="I70" i="2"/>
  <c r="U70" i="2"/>
  <c r="Q70" i="2"/>
  <c r="L73" i="1"/>
  <c r="A72" i="2" l="1"/>
  <c r="T71" i="2"/>
  <c r="L71" i="2"/>
  <c r="D71" i="2"/>
  <c r="G71" i="2"/>
  <c r="F71" i="2"/>
  <c r="S71" i="2"/>
  <c r="O71" i="2"/>
  <c r="E71" i="2"/>
  <c r="R71" i="2"/>
  <c r="P71" i="2"/>
  <c r="J71" i="2"/>
  <c r="H71" i="2"/>
  <c r="N71" i="2"/>
  <c r="C71" i="2"/>
  <c r="K71" i="2"/>
  <c r="I71" i="2"/>
  <c r="U71" i="2"/>
  <c r="Q71" i="2"/>
  <c r="M71" i="2"/>
  <c r="B71" i="2"/>
  <c r="L74" i="1"/>
  <c r="A73" i="2" l="1"/>
  <c r="P72" i="2"/>
  <c r="F72" i="2"/>
  <c r="D72" i="2"/>
  <c r="H72" i="2"/>
  <c r="T72" i="2"/>
  <c r="K72" i="2"/>
  <c r="Q72" i="2"/>
  <c r="S72" i="2"/>
  <c r="M72" i="2"/>
  <c r="I72" i="2"/>
  <c r="U72" i="2"/>
  <c r="C72" i="2"/>
  <c r="L72" i="2"/>
  <c r="R72" i="2"/>
  <c r="J72" i="2"/>
  <c r="B72" i="2"/>
  <c r="O72" i="2"/>
  <c r="N72" i="2"/>
  <c r="G72" i="2"/>
  <c r="E72" i="2"/>
  <c r="L75" i="1"/>
  <c r="A74" i="2" l="1"/>
  <c r="Q73" i="2"/>
  <c r="L73" i="2"/>
  <c r="D73" i="2"/>
  <c r="R73" i="2"/>
  <c r="P73" i="2"/>
  <c r="G73" i="2"/>
  <c r="C73" i="2"/>
  <c r="J73" i="2"/>
  <c r="H73" i="2"/>
  <c r="K73" i="2"/>
  <c r="B73" i="2"/>
  <c r="N73" i="2"/>
  <c r="F73" i="2"/>
  <c r="O73" i="2"/>
  <c r="M73" i="2"/>
  <c r="U73" i="2"/>
  <c r="T73" i="2"/>
  <c r="I73" i="2"/>
  <c r="S73" i="2"/>
  <c r="E73" i="2"/>
  <c r="L76" i="1"/>
  <c r="A75" i="2" l="1"/>
  <c r="U74" i="2"/>
  <c r="C74" i="2"/>
  <c r="E74" i="2"/>
  <c r="R74" i="2"/>
  <c r="T74" i="2"/>
  <c r="S74" i="2"/>
  <c r="B74" i="2"/>
  <c r="F74" i="2"/>
  <c r="H74" i="2"/>
  <c r="N74" i="2"/>
  <c r="G74" i="2"/>
  <c r="O74" i="2"/>
  <c r="P74" i="2"/>
  <c r="Q74" i="2"/>
  <c r="J74" i="2"/>
  <c r="L74" i="2"/>
  <c r="M74" i="2"/>
  <c r="D74" i="2"/>
  <c r="K74" i="2"/>
  <c r="I74" i="2"/>
  <c r="L77" i="1"/>
  <c r="A76" i="2" l="1"/>
  <c r="C75" i="2"/>
  <c r="N75" i="2"/>
  <c r="J75" i="2"/>
  <c r="F75" i="2"/>
  <c r="B75" i="2"/>
  <c r="D75" i="2"/>
  <c r="U75" i="2"/>
  <c r="L75" i="2"/>
  <c r="I75" i="2"/>
  <c r="T75" i="2"/>
  <c r="P75" i="2"/>
  <c r="G75" i="2"/>
  <c r="E75" i="2"/>
  <c r="H75" i="2"/>
  <c r="Q75" i="2"/>
  <c r="R75" i="2"/>
  <c r="K75" i="2"/>
  <c r="M75" i="2"/>
  <c r="O75" i="2"/>
  <c r="S75" i="2"/>
  <c r="L78" i="1"/>
  <c r="A77" i="2" l="1"/>
  <c r="O76" i="2"/>
  <c r="C76" i="2"/>
  <c r="J76" i="2"/>
  <c r="F76" i="2"/>
  <c r="B76" i="2"/>
  <c r="N76" i="2"/>
  <c r="E76" i="2"/>
  <c r="H76" i="2"/>
  <c r="S76" i="2"/>
  <c r="P76" i="2"/>
  <c r="I76" i="2"/>
  <c r="D76" i="2"/>
  <c r="L76" i="2"/>
  <c r="U76" i="2"/>
  <c r="K76" i="2"/>
  <c r="G76" i="2"/>
  <c r="T76" i="2"/>
  <c r="Q76" i="2"/>
  <c r="R76" i="2"/>
  <c r="M76" i="2"/>
  <c r="L79" i="1"/>
  <c r="A78" i="2" l="1"/>
  <c r="G77" i="2"/>
  <c r="I77" i="2"/>
  <c r="T77" i="2"/>
  <c r="J77" i="2"/>
  <c r="O77" i="2"/>
  <c r="E77" i="2"/>
  <c r="C77" i="2"/>
  <c r="F77" i="2"/>
  <c r="B77" i="2"/>
  <c r="D77" i="2"/>
  <c r="P77" i="2"/>
  <c r="N77" i="2"/>
  <c r="U77" i="2"/>
  <c r="L77" i="2"/>
  <c r="Q77" i="2"/>
  <c r="M77" i="2"/>
  <c r="K77" i="2"/>
  <c r="R77" i="2"/>
  <c r="H77" i="2"/>
  <c r="S77" i="2"/>
  <c r="L80" i="1"/>
  <c r="A79" i="2" l="1"/>
  <c r="J78" i="2"/>
  <c r="K78" i="2"/>
  <c r="E78" i="2"/>
  <c r="D78" i="2"/>
  <c r="P78" i="2"/>
  <c r="T78" i="2"/>
  <c r="H78" i="2"/>
  <c r="I78" i="2"/>
  <c r="O78" i="2"/>
  <c r="M78" i="2"/>
  <c r="B78" i="2"/>
  <c r="S78" i="2"/>
  <c r="F78" i="2"/>
  <c r="C78" i="2"/>
  <c r="Q78" i="2"/>
  <c r="R78" i="2"/>
  <c r="N78" i="2"/>
  <c r="U78" i="2"/>
  <c r="L78" i="2"/>
  <c r="G78" i="2"/>
  <c r="L81" i="1"/>
  <c r="A80" i="2" l="1"/>
  <c r="B79" i="2"/>
  <c r="T79" i="2"/>
  <c r="L79" i="2"/>
  <c r="I79" i="2"/>
  <c r="C79" i="2"/>
  <c r="E79" i="2"/>
  <c r="K79" i="2"/>
  <c r="Q79" i="2"/>
  <c r="S79" i="2"/>
  <c r="D79" i="2"/>
  <c r="H79" i="2"/>
  <c r="R79" i="2"/>
  <c r="M79" i="2"/>
  <c r="N79" i="2"/>
  <c r="P79" i="2"/>
  <c r="J79" i="2"/>
  <c r="G79" i="2"/>
  <c r="F79" i="2"/>
  <c r="U79" i="2"/>
  <c r="O79" i="2"/>
  <c r="L82" i="1"/>
  <c r="A81" i="2" l="1"/>
  <c r="M80" i="2"/>
  <c r="D80" i="2"/>
  <c r="T80" i="2"/>
  <c r="P80" i="2"/>
  <c r="L80" i="2"/>
  <c r="H80" i="2"/>
  <c r="N80" i="2"/>
  <c r="I80" i="2"/>
  <c r="J80" i="2"/>
  <c r="F80" i="2"/>
  <c r="B80" i="2"/>
  <c r="O80" i="2"/>
  <c r="C80" i="2"/>
  <c r="E80" i="2"/>
  <c r="G80" i="2"/>
  <c r="U80" i="2"/>
  <c r="Q80" i="2"/>
  <c r="R80" i="2"/>
  <c r="K80" i="2"/>
  <c r="S80" i="2"/>
  <c r="L83" i="1"/>
  <c r="A82" i="2" l="1"/>
  <c r="M81" i="2"/>
  <c r="K81" i="2"/>
  <c r="N81" i="2"/>
  <c r="I81" i="2"/>
  <c r="Q81" i="2"/>
  <c r="O81" i="2"/>
  <c r="U81" i="2"/>
  <c r="P81" i="2"/>
  <c r="G81" i="2"/>
  <c r="J81" i="2"/>
  <c r="D81" i="2"/>
  <c r="L81" i="2"/>
  <c r="C81" i="2"/>
  <c r="S81" i="2"/>
  <c r="E81" i="2"/>
  <c r="F81" i="2"/>
  <c r="T81" i="2"/>
  <c r="H81" i="2"/>
  <c r="R81" i="2"/>
  <c r="B81" i="2"/>
  <c r="L84" i="1"/>
  <c r="A83" i="2" l="1"/>
  <c r="E82" i="2"/>
  <c r="M82" i="2"/>
  <c r="I82" i="2"/>
  <c r="U82" i="2"/>
  <c r="Q82" i="2"/>
  <c r="L82" i="2"/>
  <c r="P82" i="2"/>
  <c r="F82" i="2"/>
  <c r="C82" i="2"/>
  <c r="T82" i="2"/>
  <c r="S82" i="2"/>
  <c r="D82" i="2"/>
  <c r="R82" i="2"/>
  <c r="G82" i="2"/>
  <c r="N82" i="2"/>
  <c r="K82" i="2"/>
  <c r="O82" i="2"/>
  <c r="B82" i="2"/>
  <c r="H82" i="2"/>
  <c r="J82" i="2"/>
  <c r="L85" i="1"/>
  <c r="A84" i="2" l="1"/>
  <c r="I83" i="2"/>
  <c r="Q83" i="2"/>
  <c r="U83" i="2"/>
  <c r="E83" i="2"/>
  <c r="R83" i="2"/>
  <c r="M83" i="2"/>
  <c r="L83" i="2"/>
  <c r="P83" i="2"/>
  <c r="S83" i="2"/>
  <c r="N83" i="2"/>
  <c r="T83" i="2"/>
  <c r="K83" i="2"/>
  <c r="F83" i="2"/>
  <c r="B83" i="2"/>
  <c r="J83" i="2"/>
  <c r="G83" i="2"/>
  <c r="D83" i="2"/>
  <c r="O83" i="2"/>
  <c r="H83" i="2"/>
  <c r="C83" i="2"/>
  <c r="L86" i="1"/>
  <c r="A85" i="2" l="1"/>
  <c r="N84" i="2"/>
  <c r="Q84" i="2"/>
  <c r="E84" i="2"/>
  <c r="S84" i="2"/>
  <c r="M84" i="2"/>
  <c r="I84" i="2"/>
  <c r="U84" i="2"/>
  <c r="J84" i="2"/>
  <c r="B84" i="2"/>
  <c r="K84" i="2"/>
  <c r="D84" i="2"/>
  <c r="O84" i="2"/>
  <c r="F84" i="2"/>
  <c r="H84" i="2"/>
  <c r="G84" i="2"/>
  <c r="L84" i="2"/>
  <c r="P84" i="2"/>
  <c r="C84" i="2"/>
  <c r="T84" i="2"/>
  <c r="R84" i="2"/>
  <c r="L87" i="1"/>
  <c r="A86" i="2" l="1"/>
  <c r="P85" i="2"/>
  <c r="I85" i="2"/>
  <c r="Q85" i="2"/>
  <c r="U85" i="2"/>
  <c r="M85" i="2"/>
  <c r="D85" i="2"/>
  <c r="S85" i="2"/>
  <c r="O85" i="2"/>
  <c r="J85" i="2"/>
  <c r="E85" i="2"/>
  <c r="N85" i="2"/>
  <c r="K85" i="2"/>
  <c r="B85" i="2"/>
  <c r="T85" i="2"/>
  <c r="H85" i="2"/>
  <c r="L85" i="2"/>
  <c r="R85" i="2"/>
  <c r="C85" i="2"/>
  <c r="F85" i="2"/>
  <c r="G85" i="2"/>
  <c r="L88" i="1"/>
  <c r="A87" i="2" l="1"/>
  <c r="M86" i="2"/>
  <c r="U86" i="2"/>
  <c r="E86" i="2"/>
  <c r="J86" i="2"/>
  <c r="I86" i="2"/>
  <c r="G86" i="2"/>
  <c r="Q86" i="2"/>
  <c r="P86" i="2"/>
  <c r="S86" i="2"/>
  <c r="N86" i="2"/>
  <c r="T86" i="2"/>
  <c r="C86" i="2"/>
  <c r="L86" i="2"/>
  <c r="F86" i="2"/>
  <c r="D86" i="2"/>
  <c r="B86" i="2"/>
  <c r="R86" i="2"/>
  <c r="O86" i="2"/>
  <c r="H86" i="2"/>
  <c r="K86" i="2"/>
  <c r="L89" i="1"/>
  <c r="A88" i="2" l="1"/>
  <c r="U87" i="2"/>
  <c r="I87" i="2"/>
  <c r="E87" i="2"/>
  <c r="Q87" i="2"/>
  <c r="M87" i="2"/>
  <c r="S87" i="2"/>
  <c r="D87" i="2"/>
  <c r="F87" i="2"/>
  <c r="B87" i="2"/>
  <c r="J87" i="2"/>
  <c r="P87" i="2"/>
  <c r="R87" i="2"/>
  <c r="T87" i="2"/>
  <c r="L87" i="2"/>
  <c r="O87" i="2"/>
  <c r="K87" i="2"/>
  <c r="N87" i="2"/>
  <c r="C87" i="2"/>
  <c r="H87" i="2"/>
  <c r="G87" i="2"/>
  <c r="L90" i="1"/>
  <c r="A89" i="2" l="1"/>
  <c r="E88" i="2"/>
  <c r="Q88" i="2"/>
  <c r="M88" i="2"/>
  <c r="U88" i="2"/>
  <c r="C88" i="2"/>
  <c r="S88" i="2"/>
  <c r="I88" i="2"/>
  <c r="F88" i="2"/>
  <c r="H88" i="2"/>
  <c r="N88" i="2"/>
  <c r="D88" i="2"/>
  <c r="B88" i="2"/>
  <c r="R88" i="2"/>
  <c r="T88" i="2"/>
  <c r="G88" i="2"/>
  <c r="K88" i="2"/>
  <c r="O88" i="2"/>
  <c r="L88" i="2"/>
  <c r="P88" i="2"/>
  <c r="J88" i="2"/>
  <c r="L91" i="1"/>
  <c r="A90" i="2" l="1"/>
  <c r="Q89" i="2"/>
  <c r="B89" i="2"/>
  <c r="I89" i="2"/>
  <c r="M89" i="2"/>
  <c r="U89" i="2"/>
  <c r="O89" i="2"/>
  <c r="T89" i="2"/>
  <c r="H89" i="2"/>
  <c r="E89" i="2"/>
  <c r="J89" i="2"/>
  <c r="K89" i="2"/>
  <c r="C89" i="2"/>
  <c r="F89" i="2"/>
  <c r="G89" i="2"/>
  <c r="R89" i="2"/>
  <c r="S89" i="2"/>
  <c r="L89" i="2"/>
  <c r="P89" i="2"/>
  <c r="N89" i="2"/>
  <c r="D89" i="2"/>
  <c r="L92" i="1"/>
  <c r="A91" i="2" l="1"/>
  <c r="E90" i="2"/>
  <c r="U90" i="2"/>
  <c r="Q90" i="2"/>
  <c r="M90" i="2"/>
  <c r="I90" i="2"/>
  <c r="S90" i="2"/>
  <c r="R90" i="2"/>
  <c r="T90" i="2"/>
  <c r="D90" i="2"/>
  <c r="K90" i="2"/>
  <c r="O90" i="2"/>
  <c r="N90" i="2"/>
  <c r="J90" i="2"/>
  <c r="G90" i="2"/>
  <c r="H90" i="2"/>
  <c r="C90" i="2"/>
  <c r="P90" i="2"/>
  <c r="B90" i="2"/>
  <c r="F90" i="2"/>
  <c r="L90" i="2"/>
  <c r="L93" i="1"/>
  <c r="A92" i="2" l="1"/>
  <c r="Q91" i="2"/>
  <c r="E91" i="2"/>
  <c r="I91" i="2"/>
  <c r="M91" i="2"/>
  <c r="C91" i="2"/>
  <c r="U91" i="2"/>
  <c r="O91" i="2"/>
  <c r="S91" i="2"/>
  <c r="B91" i="2"/>
  <c r="J91" i="2"/>
  <c r="D91" i="2"/>
  <c r="R91" i="2"/>
  <c r="H91" i="2"/>
  <c r="K91" i="2"/>
  <c r="L91" i="2"/>
  <c r="F91" i="2"/>
  <c r="P91" i="2"/>
  <c r="T91" i="2"/>
  <c r="N91" i="2"/>
  <c r="G91" i="2"/>
  <c r="L94" i="1"/>
  <c r="A93" i="2" l="1"/>
  <c r="I92" i="2"/>
  <c r="E92" i="2"/>
  <c r="S92" i="2"/>
  <c r="M92" i="2"/>
  <c r="K92" i="2"/>
  <c r="U92" i="2"/>
  <c r="C92" i="2"/>
  <c r="Q92" i="2"/>
  <c r="L92" i="2"/>
  <c r="B92" i="2"/>
  <c r="N92" i="2"/>
  <c r="O92" i="2"/>
  <c r="G92" i="2"/>
  <c r="D92" i="2"/>
  <c r="J92" i="2"/>
  <c r="P92" i="2"/>
  <c r="T92" i="2"/>
  <c r="H92" i="2"/>
  <c r="F92" i="2"/>
  <c r="R92" i="2"/>
  <c r="L95" i="1"/>
  <c r="A94" i="2" l="1"/>
  <c r="D93" i="2"/>
  <c r="K93" i="2"/>
  <c r="I93" i="2"/>
  <c r="E93" i="2"/>
  <c r="O93" i="2"/>
  <c r="Q93" i="2"/>
  <c r="U93" i="2"/>
  <c r="G93" i="2"/>
  <c r="M93" i="2"/>
  <c r="N93" i="2"/>
  <c r="C93" i="2"/>
  <c r="S93" i="2"/>
  <c r="R93" i="2"/>
  <c r="B93" i="2"/>
  <c r="J93" i="2"/>
  <c r="T93" i="2"/>
  <c r="L93" i="2"/>
  <c r="H93" i="2"/>
  <c r="F93" i="2"/>
  <c r="P93" i="2"/>
  <c r="L96" i="1"/>
  <c r="A95" i="2" l="1"/>
  <c r="K94" i="2"/>
  <c r="U94" i="2"/>
  <c r="C94" i="2"/>
  <c r="M94" i="2"/>
  <c r="Q94" i="2"/>
  <c r="E94" i="2"/>
  <c r="B94" i="2"/>
  <c r="I94" i="2"/>
  <c r="F94" i="2"/>
  <c r="D94" i="2"/>
  <c r="H94" i="2"/>
  <c r="J94" i="2"/>
  <c r="L94" i="2"/>
  <c r="G94" i="2"/>
  <c r="O94" i="2"/>
  <c r="R94" i="2"/>
  <c r="T94" i="2"/>
  <c r="S94" i="2"/>
  <c r="N94" i="2"/>
  <c r="P94" i="2"/>
  <c r="L97" i="1"/>
  <c r="A96" i="2" l="1"/>
  <c r="M95" i="2"/>
  <c r="I95" i="2"/>
  <c r="C95" i="2"/>
  <c r="L95" i="2"/>
  <c r="U95" i="2"/>
  <c r="Q95" i="2"/>
  <c r="J95" i="2"/>
  <c r="E95" i="2"/>
  <c r="G95" i="2"/>
  <c r="P95" i="2"/>
  <c r="F95" i="2"/>
  <c r="O95" i="2"/>
  <c r="D95" i="2"/>
  <c r="H95" i="2"/>
  <c r="K95" i="2"/>
  <c r="N95" i="2"/>
  <c r="R95" i="2"/>
  <c r="S95" i="2"/>
  <c r="T95" i="2"/>
  <c r="B95" i="2"/>
  <c r="L98" i="1"/>
  <c r="A97" i="2" l="1"/>
  <c r="C96" i="2"/>
  <c r="G96" i="2"/>
  <c r="E96" i="2"/>
  <c r="M96" i="2"/>
  <c r="I96" i="2"/>
  <c r="H96" i="2"/>
  <c r="U96" i="2"/>
  <c r="O96" i="2"/>
  <c r="Q96" i="2"/>
  <c r="B96" i="2"/>
  <c r="J96" i="2"/>
  <c r="N96" i="2"/>
  <c r="L96" i="2"/>
  <c r="P96" i="2"/>
  <c r="T96" i="2"/>
  <c r="F96" i="2"/>
  <c r="S96" i="2"/>
  <c r="D96" i="2"/>
  <c r="K96" i="2"/>
  <c r="R96" i="2"/>
  <c r="L99" i="1"/>
  <c r="A98" i="2" l="1"/>
  <c r="K97" i="2"/>
  <c r="C97" i="2"/>
  <c r="I97" i="2"/>
  <c r="E97" i="2"/>
  <c r="L97" i="2"/>
  <c r="Q97" i="2"/>
  <c r="U97" i="2"/>
  <c r="O97" i="2"/>
  <c r="S97" i="2"/>
  <c r="M97" i="2"/>
  <c r="G97" i="2"/>
  <c r="P97" i="2"/>
  <c r="D97" i="2"/>
  <c r="H97" i="2"/>
  <c r="B97" i="2"/>
  <c r="J97" i="2"/>
  <c r="F97" i="2"/>
  <c r="T97" i="2"/>
  <c r="N97" i="2"/>
  <c r="R97" i="2"/>
  <c r="L100" i="1"/>
  <c r="A99" i="2" l="1"/>
  <c r="E98" i="2"/>
  <c r="Q98" i="2"/>
  <c r="M98" i="2"/>
  <c r="B98" i="2"/>
  <c r="H98" i="2"/>
  <c r="G98" i="2"/>
  <c r="U98" i="2"/>
  <c r="O98" i="2"/>
  <c r="S98" i="2"/>
  <c r="I98" i="2"/>
  <c r="C98" i="2"/>
  <c r="N98" i="2"/>
  <c r="K98" i="2"/>
  <c r="R98" i="2"/>
  <c r="P98" i="2"/>
  <c r="J98" i="2"/>
  <c r="L98" i="2"/>
  <c r="D98" i="2"/>
  <c r="T98" i="2"/>
  <c r="F98" i="2"/>
  <c r="L101" i="1"/>
  <c r="A100" i="2" l="1"/>
  <c r="K99" i="2"/>
  <c r="S99" i="2"/>
  <c r="E99" i="2"/>
  <c r="I99" i="2"/>
  <c r="Q99" i="2"/>
  <c r="M99" i="2"/>
  <c r="O99" i="2"/>
  <c r="U99" i="2"/>
  <c r="R99" i="2"/>
  <c r="J99" i="2"/>
  <c r="H99" i="2"/>
  <c r="L99" i="2"/>
  <c r="P99" i="2"/>
  <c r="B99" i="2"/>
  <c r="D99" i="2"/>
  <c r="G99" i="2"/>
  <c r="T99" i="2"/>
  <c r="N99" i="2"/>
  <c r="F99" i="2"/>
  <c r="C99" i="2"/>
  <c r="L102" i="1"/>
  <c r="A101" i="2" l="1"/>
  <c r="E100" i="2"/>
  <c r="C100" i="2"/>
  <c r="M100" i="2"/>
  <c r="I100" i="2"/>
  <c r="P100" i="2"/>
  <c r="U100" i="2"/>
  <c r="Q100" i="2"/>
  <c r="O100" i="2"/>
  <c r="N100" i="2"/>
  <c r="T100" i="2"/>
  <c r="B100" i="2"/>
  <c r="F100" i="2"/>
  <c r="J100" i="2"/>
  <c r="R100" i="2"/>
  <c r="H100" i="2"/>
  <c r="L100" i="2"/>
  <c r="D100" i="2"/>
  <c r="S100" i="2"/>
  <c r="G100" i="2"/>
  <c r="K100" i="2"/>
  <c r="L103" i="1"/>
  <c r="A102" i="2" l="1"/>
  <c r="O101" i="2"/>
  <c r="I101" i="2"/>
  <c r="S101" i="2"/>
  <c r="U101" i="2"/>
  <c r="L101" i="2"/>
  <c r="Q101" i="2"/>
  <c r="E101" i="2"/>
  <c r="C101" i="2"/>
  <c r="N101" i="2"/>
  <c r="M101" i="2"/>
  <c r="R101" i="2"/>
  <c r="T101" i="2"/>
  <c r="K101" i="2"/>
  <c r="J101" i="2"/>
  <c r="B101" i="2"/>
  <c r="F101" i="2"/>
  <c r="P101" i="2"/>
  <c r="G101" i="2"/>
  <c r="D101" i="2"/>
  <c r="H101" i="2"/>
  <c r="L104" i="1"/>
  <c r="A103" i="2" l="1"/>
  <c r="E102" i="2"/>
  <c r="S102" i="2"/>
  <c r="M102" i="2"/>
  <c r="U102" i="2"/>
  <c r="Q102" i="2"/>
  <c r="I102" i="2"/>
  <c r="O102" i="2"/>
  <c r="J102" i="2"/>
  <c r="N102" i="2"/>
  <c r="F102" i="2"/>
  <c r="L102" i="2"/>
  <c r="B102" i="2"/>
  <c r="T102" i="2"/>
  <c r="H102" i="2"/>
  <c r="C102" i="2"/>
  <c r="K102" i="2"/>
  <c r="G102" i="2"/>
  <c r="D102" i="2"/>
  <c r="P102" i="2"/>
  <c r="R102" i="2"/>
  <c r="L105" i="1"/>
  <c r="A104" i="2" l="1"/>
  <c r="N103" i="2"/>
  <c r="K103" i="2"/>
  <c r="I103" i="2"/>
  <c r="Q103" i="2"/>
  <c r="M103" i="2"/>
  <c r="U103" i="2"/>
  <c r="E103" i="2"/>
  <c r="O103" i="2"/>
  <c r="L103" i="2"/>
  <c r="C103" i="2"/>
  <c r="T103" i="2"/>
  <c r="D103" i="2"/>
  <c r="P103" i="2"/>
  <c r="F103" i="2"/>
  <c r="H103" i="2"/>
  <c r="J103" i="2"/>
  <c r="R103" i="2"/>
  <c r="G103" i="2"/>
  <c r="B103" i="2"/>
  <c r="S103" i="2"/>
  <c r="L106" i="1"/>
  <c r="A105" i="2" l="1"/>
  <c r="Q104" i="2"/>
  <c r="D104" i="2"/>
  <c r="J104" i="2"/>
  <c r="M104" i="2"/>
  <c r="E104" i="2"/>
  <c r="I104" i="2"/>
  <c r="U104" i="2"/>
  <c r="S104" i="2"/>
  <c r="K104" i="2"/>
  <c r="O104" i="2"/>
  <c r="T104" i="2"/>
  <c r="R104" i="2"/>
  <c r="G104" i="2"/>
  <c r="N104" i="2"/>
  <c r="H104" i="2"/>
  <c r="C104" i="2"/>
  <c r="P104" i="2"/>
  <c r="B104" i="2"/>
  <c r="F104" i="2"/>
  <c r="L104" i="2"/>
  <c r="L107" i="1"/>
  <c r="A106" i="2" l="1"/>
  <c r="U105" i="2"/>
  <c r="M105" i="2"/>
  <c r="D105" i="2"/>
  <c r="O105" i="2"/>
  <c r="S105" i="2"/>
  <c r="T105" i="2"/>
  <c r="E105" i="2"/>
  <c r="C105" i="2"/>
  <c r="Q105" i="2"/>
  <c r="G105" i="2"/>
  <c r="K105" i="2"/>
  <c r="J105" i="2"/>
  <c r="R105" i="2"/>
  <c r="P105" i="2"/>
  <c r="F105" i="2"/>
  <c r="I105" i="2"/>
  <c r="L105" i="2"/>
  <c r="H105" i="2"/>
  <c r="B105" i="2"/>
  <c r="N105" i="2"/>
  <c r="L108" i="1"/>
  <c r="A107" i="2" l="1"/>
  <c r="S106" i="2"/>
  <c r="G106" i="2"/>
  <c r="C106" i="2"/>
  <c r="I106" i="2"/>
  <c r="M106" i="2"/>
  <c r="E106" i="2"/>
  <c r="Q106" i="2"/>
  <c r="O106" i="2"/>
  <c r="K106" i="2"/>
  <c r="R106" i="2"/>
  <c r="T106" i="2"/>
  <c r="U106" i="2"/>
  <c r="P106" i="2"/>
  <c r="B106" i="2"/>
  <c r="J106" i="2"/>
  <c r="F106" i="2"/>
  <c r="N106" i="2"/>
  <c r="H106" i="2"/>
  <c r="D106" i="2"/>
  <c r="L106" i="2"/>
  <c r="L109" i="1"/>
  <c r="A108" i="2" l="1"/>
  <c r="P107" i="2"/>
  <c r="I107" i="2"/>
  <c r="C107" i="2"/>
  <c r="G107" i="2"/>
  <c r="K107" i="2"/>
  <c r="R107" i="2"/>
  <c r="T107" i="2"/>
  <c r="S107" i="2"/>
  <c r="M107" i="2"/>
  <c r="O107" i="2"/>
  <c r="E107" i="2"/>
  <c r="D107" i="2"/>
  <c r="F107" i="2"/>
  <c r="H107" i="2"/>
  <c r="J107" i="2"/>
  <c r="B107" i="2"/>
  <c r="N107" i="2"/>
  <c r="L107" i="2"/>
  <c r="U107" i="2"/>
  <c r="Q107" i="2"/>
  <c r="L110" i="1"/>
  <c r="A109" i="2" l="1"/>
  <c r="U108" i="2"/>
  <c r="O108" i="2"/>
  <c r="J108" i="2"/>
  <c r="C108" i="2"/>
  <c r="D108" i="2"/>
  <c r="R108" i="2"/>
  <c r="F108" i="2"/>
  <c r="N108" i="2"/>
  <c r="T108" i="2"/>
  <c r="L108" i="2"/>
  <c r="P108" i="2"/>
  <c r="G108" i="2"/>
  <c r="K108" i="2"/>
  <c r="Q108" i="2"/>
  <c r="S108" i="2"/>
  <c r="H108" i="2"/>
  <c r="M108" i="2"/>
  <c r="I108" i="2"/>
  <c r="E108" i="2"/>
  <c r="B108" i="2"/>
  <c r="L111" i="1"/>
  <c r="A110" i="2" l="1"/>
  <c r="F109" i="2"/>
  <c r="H109" i="2"/>
  <c r="L109" i="2"/>
  <c r="J109" i="2"/>
  <c r="R109" i="2"/>
  <c r="P109" i="2"/>
  <c r="S109" i="2"/>
  <c r="O109" i="2"/>
  <c r="M109" i="2"/>
  <c r="T109" i="2"/>
  <c r="C109" i="2"/>
  <c r="N109" i="2"/>
  <c r="K109" i="2"/>
  <c r="U109" i="2"/>
  <c r="B109" i="2"/>
  <c r="I109" i="2"/>
  <c r="E109" i="2"/>
  <c r="G109" i="2"/>
  <c r="D109" i="2"/>
  <c r="Q109" i="2"/>
  <c r="L112" i="1"/>
  <c r="A111" i="2" l="1"/>
  <c r="T110" i="2"/>
  <c r="H110" i="2"/>
  <c r="M110" i="2"/>
  <c r="J110" i="2"/>
  <c r="N110" i="2"/>
  <c r="D110" i="2"/>
  <c r="B110" i="2"/>
  <c r="F110" i="2"/>
  <c r="O110" i="2"/>
  <c r="P110" i="2"/>
  <c r="S110" i="2"/>
  <c r="G110" i="2"/>
  <c r="L110" i="2"/>
  <c r="C110" i="2"/>
  <c r="E110" i="2"/>
  <c r="R110" i="2"/>
  <c r="K110" i="2"/>
  <c r="I110" i="2"/>
  <c r="Q110" i="2"/>
  <c r="U110" i="2"/>
  <c r="L113" i="1"/>
  <c r="A112" i="2" l="1"/>
  <c r="J111" i="2"/>
  <c r="I111" i="2"/>
  <c r="H111" i="2"/>
  <c r="F111" i="2"/>
  <c r="D111" i="2"/>
  <c r="P111" i="2"/>
  <c r="T111" i="2"/>
  <c r="B111" i="2"/>
  <c r="R111" i="2"/>
  <c r="L111" i="2"/>
  <c r="U111" i="2"/>
  <c r="O111" i="2"/>
  <c r="E111" i="2"/>
  <c r="C111" i="2"/>
  <c r="N111" i="2"/>
  <c r="G111" i="2"/>
  <c r="K111" i="2"/>
  <c r="Q111" i="2"/>
  <c r="M111" i="2"/>
  <c r="S111" i="2"/>
  <c r="L114" i="1"/>
  <c r="A113" i="2" l="1"/>
  <c r="D112" i="2"/>
  <c r="H112" i="2"/>
  <c r="K112" i="2"/>
  <c r="Q112" i="2"/>
  <c r="S112" i="2"/>
  <c r="O112" i="2"/>
  <c r="R112" i="2"/>
  <c r="J112" i="2"/>
  <c r="F112" i="2"/>
  <c r="N112" i="2"/>
  <c r="U112" i="2"/>
  <c r="G112" i="2"/>
  <c r="M112" i="2"/>
  <c r="I112" i="2"/>
  <c r="T112" i="2"/>
  <c r="C112" i="2"/>
  <c r="P112" i="2"/>
  <c r="E112" i="2"/>
  <c r="L112" i="2"/>
  <c r="B112" i="2"/>
  <c r="L115" i="1"/>
  <c r="A114" i="2" l="1"/>
  <c r="B113" i="2"/>
  <c r="Q113" i="2"/>
  <c r="N113" i="2"/>
  <c r="R113" i="2"/>
  <c r="P113" i="2"/>
  <c r="G113" i="2"/>
  <c r="H113" i="2"/>
  <c r="O113" i="2"/>
  <c r="K113" i="2"/>
  <c r="D113" i="2"/>
  <c r="F113" i="2"/>
  <c r="C113" i="2"/>
  <c r="T113" i="2"/>
  <c r="S113" i="2"/>
  <c r="L113" i="2"/>
  <c r="I113" i="2"/>
  <c r="E113" i="2"/>
  <c r="M113" i="2"/>
  <c r="U113" i="2"/>
  <c r="J113" i="2"/>
  <c r="L116" i="1"/>
  <c r="A115" i="2" l="1"/>
  <c r="R114" i="2"/>
  <c r="M114" i="2"/>
  <c r="J114" i="2"/>
  <c r="N114" i="2"/>
  <c r="L114" i="2"/>
  <c r="F114" i="2"/>
  <c r="O114" i="2"/>
  <c r="D114" i="2"/>
  <c r="C114" i="2"/>
  <c r="H114" i="2"/>
  <c r="B114" i="2"/>
  <c r="T114" i="2"/>
  <c r="K114" i="2"/>
  <c r="G114" i="2"/>
  <c r="I114" i="2"/>
  <c r="S114" i="2"/>
  <c r="P114" i="2"/>
  <c r="U114" i="2"/>
  <c r="Q114" i="2"/>
  <c r="E114" i="2"/>
  <c r="L117" i="1"/>
  <c r="A116" i="2" l="1"/>
  <c r="T115" i="2"/>
  <c r="B115" i="2"/>
  <c r="I115" i="2"/>
  <c r="H115" i="2"/>
  <c r="R115" i="2"/>
  <c r="O115" i="2"/>
  <c r="G115" i="2"/>
  <c r="L115" i="2"/>
  <c r="S115" i="2"/>
  <c r="U115" i="2"/>
  <c r="K115" i="2"/>
  <c r="E115" i="2"/>
  <c r="N115" i="2"/>
  <c r="J115" i="2"/>
  <c r="D115" i="2"/>
  <c r="P115" i="2"/>
  <c r="Q115" i="2"/>
  <c r="M115" i="2"/>
  <c r="C115" i="2"/>
  <c r="F115" i="2"/>
  <c r="L118" i="1"/>
  <c r="A117" i="2" l="1"/>
  <c r="B116" i="2"/>
  <c r="F116" i="2"/>
  <c r="J116" i="2"/>
  <c r="R116" i="2"/>
  <c r="G116" i="2"/>
  <c r="L116" i="2"/>
  <c r="P116" i="2"/>
  <c r="D116" i="2"/>
  <c r="K116" i="2"/>
  <c r="H116" i="2"/>
  <c r="N116" i="2"/>
  <c r="S116" i="2"/>
  <c r="C116" i="2"/>
  <c r="T116" i="2"/>
  <c r="M116" i="2"/>
  <c r="U116" i="2"/>
  <c r="Q116" i="2"/>
  <c r="O116" i="2"/>
  <c r="I116" i="2"/>
  <c r="E116" i="2"/>
  <c r="L119" i="1"/>
  <c r="A118" i="2" l="1"/>
  <c r="Q117" i="2"/>
  <c r="F117" i="2"/>
  <c r="C117" i="2"/>
  <c r="O117" i="2"/>
  <c r="H117" i="2"/>
  <c r="N117" i="2"/>
  <c r="R117" i="2"/>
  <c r="P117" i="2"/>
  <c r="K117" i="2"/>
  <c r="I117" i="2"/>
  <c r="L117" i="2"/>
  <c r="U117" i="2"/>
  <c r="B117" i="2"/>
  <c r="J117" i="2"/>
  <c r="T117" i="2"/>
  <c r="G117" i="2"/>
  <c r="E117" i="2"/>
  <c r="S117" i="2"/>
  <c r="M117" i="2"/>
  <c r="D117" i="2"/>
  <c r="L120" i="1"/>
  <c r="A119" i="2" l="1"/>
  <c r="B118" i="2"/>
  <c r="N118" i="2"/>
  <c r="C118" i="2"/>
  <c r="J118" i="2"/>
  <c r="R118" i="2"/>
  <c r="D118" i="2"/>
  <c r="L118" i="2"/>
  <c r="E118" i="2"/>
  <c r="Q118" i="2"/>
  <c r="K118" i="2"/>
  <c r="P118" i="2"/>
  <c r="S118" i="2"/>
  <c r="F118" i="2"/>
  <c r="G118" i="2"/>
  <c r="T118" i="2"/>
  <c r="O118" i="2"/>
  <c r="H118" i="2"/>
  <c r="U118" i="2"/>
  <c r="M118" i="2"/>
  <c r="I118" i="2"/>
  <c r="L121" i="1"/>
  <c r="A120" i="2" l="1"/>
  <c r="I119" i="2"/>
  <c r="F119" i="2"/>
  <c r="N119" i="2"/>
  <c r="L119" i="2"/>
  <c r="K119" i="2"/>
  <c r="T119" i="2"/>
  <c r="P119" i="2"/>
  <c r="J119" i="2"/>
  <c r="Q119" i="2"/>
  <c r="S119" i="2"/>
  <c r="E119" i="2"/>
  <c r="M119" i="2"/>
  <c r="O119" i="2"/>
  <c r="D119" i="2"/>
  <c r="G119" i="2"/>
  <c r="U119" i="2"/>
  <c r="H119" i="2"/>
  <c r="C119" i="2"/>
  <c r="R119" i="2"/>
  <c r="B119" i="2"/>
  <c r="L122" i="1"/>
  <c r="A121" i="2" l="1"/>
  <c r="U120" i="2"/>
  <c r="G120" i="2"/>
  <c r="B120" i="2"/>
  <c r="K120" i="2"/>
  <c r="F120" i="2"/>
  <c r="N120" i="2"/>
  <c r="O120" i="2"/>
  <c r="R120" i="2"/>
  <c r="P120" i="2"/>
  <c r="J120" i="2"/>
  <c r="L120" i="2"/>
  <c r="T120" i="2"/>
  <c r="M120" i="2"/>
  <c r="Q120" i="2"/>
  <c r="C120" i="2"/>
  <c r="D120" i="2"/>
  <c r="S120" i="2"/>
  <c r="I120" i="2"/>
  <c r="H120" i="2"/>
  <c r="E120" i="2"/>
  <c r="L123" i="1"/>
  <c r="A122" i="2" l="1"/>
  <c r="N121" i="2"/>
  <c r="H121" i="2"/>
  <c r="F121" i="2"/>
  <c r="P121" i="2"/>
  <c r="I121" i="2"/>
  <c r="U121" i="2"/>
  <c r="T121" i="2"/>
  <c r="E121" i="2"/>
  <c r="D121" i="2"/>
  <c r="G121" i="2"/>
  <c r="O121" i="2"/>
  <c r="L121" i="2"/>
  <c r="C121" i="2"/>
  <c r="S121" i="2"/>
  <c r="J121" i="2"/>
  <c r="B121" i="2"/>
  <c r="Q121" i="2"/>
  <c r="M121" i="2"/>
  <c r="K121" i="2"/>
  <c r="R121" i="2"/>
  <c r="L124" i="1"/>
  <c r="A123" i="2" l="1"/>
  <c r="R122" i="2"/>
  <c r="B122" i="2"/>
  <c r="J122" i="2"/>
  <c r="P122" i="2"/>
  <c r="N122" i="2"/>
  <c r="K122" i="2"/>
  <c r="I122" i="2"/>
  <c r="F122" i="2"/>
  <c r="G122" i="2"/>
  <c r="S122" i="2"/>
  <c r="T122" i="2"/>
  <c r="U122" i="2"/>
  <c r="C122" i="2"/>
  <c r="H122" i="2"/>
  <c r="O122" i="2"/>
  <c r="L122" i="2"/>
  <c r="E122" i="2"/>
  <c r="M122" i="2"/>
  <c r="Q122" i="2"/>
  <c r="D122" i="2"/>
  <c r="L125" i="1"/>
  <c r="A124" i="2" l="1"/>
  <c r="N123" i="2"/>
  <c r="F123" i="2"/>
  <c r="J123" i="2"/>
  <c r="O123" i="2"/>
  <c r="D123" i="2"/>
  <c r="C123" i="2"/>
  <c r="P123" i="2"/>
  <c r="G123" i="2"/>
  <c r="B123" i="2"/>
  <c r="Q123" i="2"/>
  <c r="R123" i="2"/>
  <c r="H123" i="2"/>
  <c r="S123" i="2"/>
  <c r="M123" i="2"/>
  <c r="L123" i="2"/>
  <c r="U123" i="2"/>
  <c r="I123" i="2"/>
  <c r="E123" i="2"/>
  <c r="K123" i="2"/>
  <c r="T123" i="2"/>
  <c r="L126" i="1"/>
  <c r="A125" i="2" l="1"/>
  <c r="Q124" i="2"/>
  <c r="J124" i="2"/>
  <c r="C124" i="2"/>
  <c r="B124" i="2"/>
  <c r="L124" i="2"/>
  <c r="T124" i="2"/>
  <c r="M124" i="2"/>
  <c r="G124" i="2"/>
  <c r="U124" i="2"/>
  <c r="F124" i="2"/>
  <c r="D124" i="2"/>
  <c r="S124" i="2"/>
  <c r="P124" i="2"/>
  <c r="I124" i="2"/>
  <c r="O124" i="2"/>
  <c r="E124" i="2"/>
  <c r="K124" i="2"/>
  <c r="H124" i="2"/>
  <c r="N124" i="2"/>
  <c r="R124" i="2"/>
  <c r="L127" i="1"/>
  <c r="A126" i="2" l="1"/>
  <c r="N125" i="2"/>
  <c r="B125" i="2"/>
  <c r="F125" i="2"/>
  <c r="T125" i="2"/>
  <c r="E125" i="2"/>
  <c r="L125" i="2"/>
  <c r="G125" i="2"/>
  <c r="D125" i="2"/>
  <c r="S125" i="2"/>
  <c r="R125" i="2"/>
  <c r="O125" i="2"/>
  <c r="J125" i="2"/>
  <c r="K125" i="2"/>
  <c r="P125" i="2"/>
  <c r="I125" i="2"/>
  <c r="H125" i="2"/>
  <c r="U125" i="2"/>
  <c r="C125" i="2"/>
  <c r="M125" i="2"/>
  <c r="Q125" i="2"/>
  <c r="L128" i="1"/>
  <c r="A127" i="2" l="1"/>
  <c r="R126" i="2"/>
  <c r="N126" i="2"/>
  <c r="B126" i="2"/>
  <c r="J126" i="2"/>
  <c r="U126" i="2"/>
  <c r="E126" i="2"/>
  <c r="G126" i="2"/>
  <c r="S126" i="2"/>
  <c r="F126" i="2"/>
  <c r="T126" i="2"/>
  <c r="C126" i="2"/>
  <c r="O126" i="2"/>
  <c r="D126" i="2"/>
  <c r="L126" i="2"/>
  <c r="I126" i="2"/>
  <c r="M126" i="2"/>
  <c r="H126" i="2"/>
  <c r="P126" i="2"/>
  <c r="Q126" i="2"/>
  <c r="K126" i="2"/>
  <c r="L129" i="1"/>
  <c r="A128" i="2" l="1"/>
  <c r="N127" i="2"/>
  <c r="I127" i="2"/>
  <c r="P127" i="2"/>
  <c r="B127" i="2"/>
  <c r="T127" i="2"/>
  <c r="K127" i="2"/>
  <c r="H127" i="2"/>
  <c r="U127" i="2"/>
  <c r="L127" i="2"/>
  <c r="S127" i="2"/>
  <c r="D127" i="2"/>
  <c r="M127" i="2"/>
  <c r="E127" i="2"/>
  <c r="G127" i="2"/>
  <c r="F127" i="2"/>
  <c r="J127" i="2"/>
  <c r="C127" i="2"/>
  <c r="O127" i="2"/>
  <c r="R127" i="2"/>
  <c r="Q127" i="2"/>
  <c r="L130" i="1"/>
  <c r="A129" i="2" l="1"/>
  <c r="F128" i="2"/>
  <c r="P128" i="2"/>
  <c r="R128" i="2"/>
  <c r="D128" i="2"/>
  <c r="E128" i="2"/>
  <c r="N128" i="2"/>
  <c r="H128" i="2"/>
  <c r="O128" i="2"/>
  <c r="M128" i="2"/>
  <c r="Q128" i="2"/>
  <c r="J128" i="2"/>
  <c r="U128" i="2"/>
  <c r="K128" i="2"/>
  <c r="B128" i="2"/>
  <c r="I128" i="2"/>
  <c r="T128" i="2"/>
  <c r="G128" i="2"/>
  <c r="C128" i="2"/>
  <c r="L128" i="2"/>
  <c r="S128" i="2"/>
  <c r="L131" i="1"/>
  <c r="A130" i="2" l="1"/>
  <c r="U129" i="2"/>
  <c r="O129" i="2"/>
  <c r="B129" i="2"/>
  <c r="F129" i="2"/>
  <c r="L129" i="2"/>
  <c r="K129" i="2"/>
  <c r="M129" i="2"/>
  <c r="R129" i="2"/>
  <c r="G129" i="2"/>
  <c r="E129" i="2"/>
  <c r="S129" i="2"/>
  <c r="N129" i="2"/>
  <c r="H129" i="2"/>
  <c r="T129" i="2"/>
  <c r="C129" i="2"/>
  <c r="J129" i="2"/>
  <c r="D129" i="2"/>
  <c r="P129" i="2"/>
  <c r="Q129" i="2"/>
  <c r="I129" i="2"/>
  <c r="L132" i="1"/>
  <c r="A131" i="2" l="1"/>
  <c r="U130" i="2"/>
  <c r="T130" i="2"/>
  <c r="C130" i="2"/>
  <c r="Q130" i="2"/>
  <c r="O130" i="2"/>
  <c r="I130" i="2"/>
  <c r="E130" i="2"/>
  <c r="D130" i="2"/>
  <c r="P130" i="2"/>
  <c r="N130" i="2"/>
  <c r="J130" i="2"/>
  <c r="B130" i="2"/>
  <c r="G130" i="2"/>
  <c r="L130" i="2"/>
  <c r="R130" i="2"/>
  <c r="H130" i="2"/>
  <c r="S130" i="2"/>
  <c r="M130" i="2"/>
  <c r="F130" i="2"/>
  <c r="K130" i="2"/>
  <c r="L133" i="1"/>
  <c r="A132" i="2" l="1"/>
  <c r="J131" i="2"/>
  <c r="L131" i="2"/>
  <c r="F131" i="2"/>
  <c r="R131" i="2"/>
  <c r="T131" i="2"/>
  <c r="I131" i="2"/>
  <c r="S131" i="2"/>
  <c r="N131" i="2"/>
  <c r="D131" i="2"/>
  <c r="C131" i="2"/>
  <c r="O131" i="2"/>
  <c r="E131" i="2"/>
  <c r="Q131" i="2"/>
  <c r="H131" i="2"/>
  <c r="B131" i="2"/>
  <c r="U131" i="2"/>
  <c r="M131" i="2"/>
  <c r="K131" i="2"/>
  <c r="P131" i="2"/>
  <c r="G131" i="2"/>
  <c r="L134" i="1"/>
  <c r="A133" i="2" l="1"/>
  <c r="T132" i="2"/>
  <c r="S132" i="2"/>
  <c r="R132" i="2"/>
  <c r="N132" i="2"/>
  <c r="P132" i="2"/>
  <c r="O132" i="2"/>
  <c r="U132" i="2"/>
  <c r="D132" i="2"/>
  <c r="B132" i="2"/>
  <c r="K132" i="2"/>
  <c r="J132" i="2"/>
  <c r="M132" i="2"/>
  <c r="Q132" i="2"/>
  <c r="L132" i="2"/>
  <c r="G132" i="2"/>
  <c r="C132" i="2"/>
  <c r="H132" i="2"/>
  <c r="I132" i="2"/>
  <c r="E132" i="2"/>
  <c r="F132" i="2"/>
  <c r="L135" i="1"/>
  <c r="A134" i="2" l="1"/>
  <c r="G133" i="2"/>
  <c r="N133" i="2"/>
  <c r="J133" i="2"/>
  <c r="I133" i="2"/>
  <c r="M133" i="2"/>
  <c r="S133" i="2"/>
  <c r="H133" i="2"/>
  <c r="C133" i="2"/>
  <c r="B133" i="2"/>
  <c r="D133" i="2"/>
  <c r="U133" i="2"/>
  <c r="Q133" i="2"/>
  <c r="R133" i="2"/>
  <c r="T133" i="2"/>
  <c r="P133" i="2"/>
  <c r="F133" i="2"/>
  <c r="L133" i="2"/>
  <c r="O133" i="2"/>
  <c r="K133" i="2"/>
  <c r="E133" i="2"/>
  <c r="L136" i="1"/>
  <c r="A135" i="2" l="1"/>
  <c r="L134" i="2"/>
  <c r="C134" i="2"/>
  <c r="R134" i="2"/>
  <c r="N134" i="2"/>
  <c r="M134" i="2"/>
  <c r="J134" i="2"/>
  <c r="B134" i="2"/>
  <c r="F134" i="2"/>
  <c r="Q134" i="2"/>
  <c r="D134" i="2"/>
  <c r="K134" i="2"/>
  <c r="G134" i="2"/>
  <c r="U134" i="2"/>
  <c r="H134" i="2"/>
  <c r="E134" i="2"/>
  <c r="S134" i="2"/>
  <c r="O134" i="2"/>
  <c r="I134" i="2"/>
  <c r="T134" i="2"/>
  <c r="P134" i="2"/>
  <c r="L137" i="1"/>
  <c r="A136" i="2" l="1"/>
  <c r="O135" i="2"/>
  <c r="H135" i="2"/>
  <c r="J135" i="2"/>
  <c r="M135" i="2"/>
  <c r="T135" i="2"/>
  <c r="N135" i="2"/>
  <c r="B135" i="2"/>
  <c r="U135" i="2"/>
  <c r="I135" i="2"/>
  <c r="D135" i="2"/>
  <c r="K135" i="2"/>
  <c r="F135" i="2"/>
  <c r="Q135" i="2"/>
  <c r="P135" i="2"/>
  <c r="L135" i="2"/>
  <c r="S135" i="2"/>
  <c r="E135" i="2"/>
  <c r="R135" i="2"/>
  <c r="G135" i="2"/>
  <c r="C135" i="2"/>
  <c r="L138" i="1"/>
  <c r="A137" i="2" l="1"/>
  <c r="Q136" i="2"/>
  <c r="M136" i="2"/>
  <c r="S136" i="2"/>
  <c r="E136" i="2"/>
  <c r="D136" i="2"/>
  <c r="U136" i="2"/>
  <c r="N136" i="2"/>
  <c r="P136" i="2"/>
  <c r="F136" i="2"/>
  <c r="O136" i="2"/>
  <c r="K136" i="2"/>
  <c r="J136" i="2"/>
  <c r="B136" i="2"/>
  <c r="L136" i="2"/>
  <c r="H136" i="2"/>
  <c r="T136" i="2"/>
  <c r="G136" i="2"/>
  <c r="C136" i="2"/>
  <c r="I136" i="2"/>
  <c r="R136" i="2"/>
  <c r="L139" i="1"/>
  <c r="A138" i="2" l="1"/>
  <c r="M137" i="2"/>
  <c r="P137" i="2"/>
  <c r="I137" i="2"/>
  <c r="Q137" i="2"/>
  <c r="F137" i="2"/>
  <c r="B137" i="2"/>
  <c r="R137" i="2"/>
  <c r="S137" i="2"/>
  <c r="C137" i="2"/>
  <c r="H137" i="2"/>
  <c r="D137" i="2"/>
  <c r="U137" i="2"/>
  <c r="N137" i="2"/>
  <c r="L137" i="2"/>
  <c r="K137" i="2"/>
  <c r="O137" i="2"/>
  <c r="G137" i="2"/>
  <c r="J137" i="2"/>
  <c r="T137" i="2"/>
  <c r="E137" i="2"/>
  <c r="L140" i="1"/>
  <c r="A139" i="2" l="1"/>
  <c r="U138" i="2"/>
  <c r="E138" i="2"/>
  <c r="I138" i="2"/>
  <c r="K138" i="2"/>
  <c r="M138" i="2"/>
  <c r="B138" i="2"/>
  <c r="C138" i="2"/>
  <c r="R138" i="2"/>
  <c r="F138" i="2"/>
  <c r="G138" i="2"/>
  <c r="O138" i="2"/>
  <c r="J138" i="2"/>
  <c r="H138" i="2"/>
  <c r="L138" i="2"/>
  <c r="S138" i="2"/>
  <c r="Q138" i="2"/>
  <c r="T138" i="2"/>
  <c r="P138" i="2"/>
  <c r="N138" i="2"/>
  <c r="D138" i="2"/>
  <c r="L141" i="1"/>
  <c r="A140" i="2" l="1"/>
  <c r="Q139" i="2"/>
  <c r="I139" i="2"/>
  <c r="E139" i="2"/>
  <c r="U139" i="2"/>
  <c r="N139" i="2"/>
  <c r="H139" i="2"/>
  <c r="F139" i="2"/>
  <c r="C139" i="2"/>
  <c r="T139" i="2"/>
  <c r="S139" i="2"/>
  <c r="D139" i="2"/>
  <c r="K139" i="2"/>
  <c r="G139" i="2"/>
  <c r="B139" i="2"/>
  <c r="P139" i="2"/>
  <c r="L139" i="2"/>
  <c r="J139" i="2"/>
  <c r="O139" i="2"/>
  <c r="M139" i="2"/>
  <c r="R139" i="2"/>
  <c r="L142" i="1"/>
  <c r="A141" i="2" l="1"/>
  <c r="Q140" i="2"/>
  <c r="T140" i="2"/>
  <c r="U140" i="2"/>
  <c r="M140" i="2"/>
  <c r="E140" i="2"/>
  <c r="G140" i="2"/>
  <c r="F140" i="2"/>
  <c r="J140" i="2"/>
  <c r="R140" i="2"/>
  <c r="N140" i="2"/>
  <c r="O140" i="2"/>
  <c r="P140" i="2"/>
  <c r="L140" i="2"/>
  <c r="H140" i="2"/>
  <c r="C140" i="2"/>
  <c r="B140" i="2"/>
  <c r="D140" i="2"/>
  <c r="I140" i="2"/>
  <c r="S140" i="2"/>
  <c r="K140" i="2"/>
  <c r="L143" i="1"/>
  <c r="A142" i="2" l="1"/>
  <c r="Q141" i="2"/>
  <c r="R141" i="2"/>
  <c r="U141" i="2"/>
  <c r="K141" i="2"/>
  <c r="J141" i="2"/>
  <c r="I141" i="2"/>
  <c r="L141" i="2"/>
  <c r="C141" i="2"/>
  <c r="N141" i="2"/>
  <c r="T141" i="2"/>
  <c r="S141" i="2"/>
  <c r="F141" i="2"/>
  <c r="B141" i="2"/>
  <c r="P141" i="2"/>
  <c r="G141" i="2"/>
  <c r="E141" i="2"/>
  <c r="M141" i="2"/>
  <c r="O141" i="2"/>
  <c r="H141" i="2"/>
  <c r="D141" i="2"/>
  <c r="L144" i="1"/>
  <c r="A143" i="2" l="1"/>
  <c r="H142" i="2"/>
  <c r="L142" i="2"/>
  <c r="M142" i="2"/>
  <c r="D142" i="2"/>
  <c r="P142" i="2"/>
  <c r="O142" i="2"/>
  <c r="J142" i="2"/>
  <c r="B142" i="2"/>
  <c r="Q142" i="2"/>
  <c r="U142" i="2"/>
  <c r="S142" i="2"/>
  <c r="F142" i="2"/>
  <c r="E142" i="2"/>
  <c r="G142" i="2"/>
  <c r="K142" i="2"/>
  <c r="T142" i="2"/>
  <c r="C142" i="2"/>
  <c r="I142" i="2"/>
  <c r="N142" i="2"/>
  <c r="R142" i="2"/>
  <c r="L145" i="1"/>
  <c r="A144" i="2" l="1"/>
  <c r="D143" i="2"/>
  <c r="M143" i="2"/>
  <c r="Q143" i="2"/>
  <c r="T143" i="2"/>
  <c r="H143" i="2"/>
  <c r="L143" i="2"/>
  <c r="R143" i="2"/>
  <c r="I143" i="2"/>
  <c r="C143" i="2"/>
  <c r="K143" i="2"/>
  <c r="B143" i="2"/>
  <c r="N143" i="2"/>
  <c r="U143" i="2"/>
  <c r="O143" i="2"/>
  <c r="G143" i="2"/>
  <c r="P143" i="2"/>
  <c r="J143" i="2"/>
  <c r="E143" i="2"/>
  <c r="S143" i="2"/>
  <c r="F143" i="2"/>
  <c r="L146" i="1"/>
  <c r="A145" i="2" l="1"/>
  <c r="T144" i="2"/>
  <c r="E144" i="2"/>
  <c r="U144" i="2"/>
  <c r="P144" i="2"/>
  <c r="I144" i="2"/>
  <c r="D144" i="2"/>
  <c r="M144" i="2"/>
  <c r="H144" i="2"/>
  <c r="B144" i="2"/>
  <c r="K144" i="2"/>
  <c r="G144" i="2"/>
  <c r="C144" i="2"/>
  <c r="N144" i="2"/>
  <c r="S144" i="2"/>
  <c r="O144" i="2"/>
  <c r="Q144" i="2"/>
  <c r="R144" i="2"/>
  <c r="J144" i="2"/>
  <c r="L144" i="2"/>
  <c r="F144" i="2"/>
  <c r="L147" i="1"/>
  <c r="A146" i="2" l="1"/>
  <c r="P145" i="2"/>
  <c r="E145" i="2"/>
  <c r="T145" i="2"/>
  <c r="L145" i="2"/>
  <c r="I145" i="2"/>
  <c r="D145" i="2"/>
  <c r="Q145" i="2"/>
  <c r="U145" i="2"/>
  <c r="S145" i="2"/>
  <c r="K145" i="2"/>
  <c r="F145" i="2"/>
  <c r="B145" i="2"/>
  <c r="G145" i="2"/>
  <c r="R145" i="2"/>
  <c r="J145" i="2"/>
  <c r="O145" i="2"/>
  <c r="N145" i="2"/>
  <c r="M145" i="2"/>
  <c r="C145" i="2"/>
  <c r="H145" i="2"/>
  <c r="L148" i="1"/>
  <c r="A147" i="2" l="1"/>
  <c r="M146" i="2"/>
  <c r="Q146" i="2"/>
  <c r="U146" i="2"/>
  <c r="H146" i="2"/>
  <c r="L146" i="2"/>
  <c r="E146" i="2"/>
  <c r="P146" i="2"/>
  <c r="R146" i="2"/>
  <c r="F146" i="2"/>
  <c r="O146" i="2"/>
  <c r="G146" i="2"/>
  <c r="N146" i="2"/>
  <c r="D146" i="2"/>
  <c r="J146" i="2"/>
  <c r="B146" i="2"/>
  <c r="T146" i="2"/>
  <c r="C146" i="2"/>
  <c r="S146" i="2"/>
  <c r="K146" i="2"/>
  <c r="I146" i="2"/>
  <c r="L149" i="1"/>
  <c r="A148" i="2" l="1"/>
  <c r="D147" i="2"/>
  <c r="T147" i="2"/>
  <c r="F147" i="2"/>
  <c r="J147" i="2"/>
  <c r="M147" i="2"/>
  <c r="H147" i="2"/>
  <c r="Q147" i="2"/>
  <c r="L147" i="2"/>
  <c r="I147" i="2"/>
  <c r="O147" i="2"/>
  <c r="R147" i="2"/>
  <c r="C147" i="2"/>
  <c r="G147" i="2"/>
  <c r="B147" i="2"/>
  <c r="N147" i="2"/>
  <c r="E147" i="2"/>
  <c r="S147" i="2"/>
  <c r="U147" i="2"/>
  <c r="P147" i="2"/>
  <c r="K147" i="2"/>
  <c r="L150" i="1"/>
  <c r="A149" i="2" l="1"/>
  <c r="T148" i="2"/>
  <c r="U148" i="2"/>
  <c r="I148" i="2"/>
  <c r="D148" i="2"/>
  <c r="R148" i="2"/>
  <c r="E148" i="2"/>
  <c r="P148" i="2"/>
  <c r="M148" i="2"/>
  <c r="H148" i="2"/>
  <c r="F148" i="2"/>
  <c r="S148" i="2"/>
  <c r="B148" i="2"/>
  <c r="G148" i="2"/>
  <c r="O148" i="2"/>
  <c r="K148" i="2"/>
  <c r="C148" i="2"/>
  <c r="Q148" i="2"/>
  <c r="J148" i="2"/>
  <c r="L148" i="2"/>
  <c r="N148" i="2"/>
  <c r="L151" i="1"/>
  <c r="A150" i="2" l="1"/>
  <c r="U149" i="2"/>
  <c r="L149" i="2"/>
  <c r="E149" i="2"/>
  <c r="P149" i="2"/>
  <c r="D149" i="2"/>
  <c r="G149" i="2"/>
  <c r="I149" i="2"/>
  <c r="T149" i="2"/>
  <c r="S149" i="2"/>
  <c r="Q149" i="2"/>
  <c r="K149" i="2"/>
  <c r="J149" i="2"/>
  <c r="H149" i="2"/>
  <c r="B149" i="2"/>
  <c r="C149" i="2"/>
  <c r="O149" i="2"/>
  <c r="R149" i="2"/>
  <c r="N149" i="2"/>
  <c r="F149" i="2"/>
  <c r="M149" i="2"/>
  <c r="L152" i="1"/>
  <c r="A151" i="2" l="1"/>
  <c r="E150" i="2"/>
  <c r="J150" i="2"/>
  <c r="S150" i="2"/>
  <c r="H150" i="2"/>
  <c r="N150" i="2"/>
  <c r="M150" i="2"/>
  <c r="Q150" i="2"/>
  <c r="L150" i="2"/>
  <c r="P150" i="2"/>
  <c r="K150" i="2"/>
  <c r="G150" i="2"/>
  <c r="U150" i="2"/>
  <c r="I150" i="2"/>
  <c r="O150" i="2"/>
  <c r="C150" i="2"/>
  <c r="D150" i="2"/>
  <c r="B150" i="2"/>
  <c r="R150" i="2"/>
  <c r="T150" i="2"/>
  <c r="F150" i="2"/>
  <c r="L153" i="1"/>
  <c r="A152" i="2" l="1"/>
  <c r="I151" i="2"/>
  <c r="T151" i="2"/>
  <c r="Q151" i="2"/>
  <c r="L151" i="2"/>
  <c r="H151" i="2"/>
  <c r="D151" i="2"/>
  <c r="C151" i="2"/>
  <c r="K151" i="2"/>
  <c r="J151" i="2"/>
  <c r="N151" i="2"/>
  <c r="S151" i="2"/>
  <c r="O151" i="2"/>
  <c r="G151" i="2"/>
  <c r="E151" i="2"/>
  <c r="F151" i="2"/>
  <c r="U151" i="2"/>
  <c r="M151" i="2"/>
  <c r="P151" i="2"/>
  <c r="B151" i="2"/>
  <c r="R151" i="2"/>
  <c r="L154" i="1"/>
  <c r="A153" i="2" l="1"/>
  <c r="P152" i="2"/>
  <c r="E152" i="2"/>
  <c r="D152" i="2"/>
  <c r="U152" i="2"/>
  <c r="H152" i="2"/>
  <c r="I152" i="2"/>
  <c r="T152" i="2"/>
  <c r="M152" i="2"/>
  <c r="O152" i="2"/>
  <c r="G152" i="2"/>
  <c r="C152" i="2"/>
  <c r="L152" i="2"/>
  <c r="J152" i="2"/>
  <c r="F152" i="2"/>
  <c r="R152" i="2"/>
  <c r="B152" i="2"/>
  <c r="K152" i="2"/>
  <c r="S152" i="2"/>
  <c r="Q152" i="2"/>
  <c r="N152" i="2"/>
  <c r="L155" i="1"/>
  <c r="A154" i="2" l="1"/>
  <c r="E153" i="2"/>
  <c r="Q153" i="2"/>
  <c r="U153" i="2"/>
  <c r="P153" i="2"/>
  <c r="I153" i="2"/>
  <c r="L153" i="2"/>
  <c r="D153" i="2"/>
  <c r="T153" i="2"/>
  <c r="K153" i="2"/>
  <c r="C153" i="2"/>
  <c r="S153" i="2"/>
  <c r="O153" i="2"/>
  <c r="M153" i="2"/>
  <c r="F153" i="2"/>
  <c r="J153" i="2"/>
  <c r="B153" i="2"/>
  <c r="H153" i="2"/>
  <c r="N153" i="2"/>
  <c r="G153" i="2"/>
  <c r="R153" i="2"/>
  <c r="L156" i="1"/>
  <c r="A155" i="2" l="1"/>
  <c r="R154" i="2"/>
  <c r="F154" i="2"/>
  <c r="H154" i="2"/>
  <c r="C154" i="2"/>
  <c r="Q154" i="2"/>
  <c r="L154" i="2"/>
  <c r="E154" i="2"/>
  <c r="U154" i="2"/>
  <c r="P154" i="2"/>
  <c r="M154" i="2"/>
  <c r="B154" i="2"/>
  <c r="O154" i="2"/>
  <c r="N154" i="2"/>
  <c r="G154" i="2"/>
  <c r="I154" i="2"/>
  <c r="S154" i="2"/>
  <c r="K154" i="2"/>
  <c r="D154" i="2"/>
  <c r="T154" i="2"/>
  <c r="J154" i="2"/>
  <c r="L157" i="1"/>
  <c r="A156" i="2" l="1"/>
  <c r="D155" i="2"/>
  <c r="H155" i="2"/>
  <c r="R155" i="2"/>
  <c r="O155" i="2"/>
  <c r="L155" i="2"/>
  <c r="T155" i="2"/>
  <c r="I155" i="2"/>
  <c r="Q155" i="2"/>
  <c r="F155" i="2"/>
  <c r="M155" i="2"/>
  <c r="S155" i="2"/>
  <c r="C155" i="2"/>
  <c r="G155" i="2"/>
  <c r="B155" i="2"/>
  <c r="N155" i="2"/>
  <c r="P155" i="2"/>
  <c r="K155" i="2"/>
  <c r="J155" i="2"/>
  <c r="E155" i="2"/>
  <c r="U155" i="2"/>
  <c r="L158" i="1"/>
  <c r="A157" i="2" l="1"/>
  <c r="U156" i="2"/>
  <c r="I156" i="2"/>
  <c r="P156" i="2"/>
  <c r="M156" i="2"/>
  <c r="E156" i="2"/>
  <c r="H156" i="2"/>
  <c r="D156" i="2"/>
  <c r="T156" i="2"/>
  <c r="S156" i="2"/>
  <c r="B156" i="2"/>
  <c r="R156" i="2"/>
  <c r="J156" i="2"/>
  <c r="Q156" i="2"/>
  <c r="G156" i="2"/>
  <c r="C156" i="2"/>
  <c r="O156" i="2"/>
  <c r="L156" i="2"/>
  <c r="K156" i="2"/>
  <c r="N156" i="2"/>
  <c r="F156" i="2"/>
  <c r="L159" i="1"/>
  <c r="A158" i="2" l="1"/>
  <c r="Q157" i="2"/>
  <c r="L157" i="2"/>
  <c r="U157" i="2"/>
  <c r="P157" i="2"/>
  <c r="I157" i="2"/>
  <c r="D157" i="2"/>
  <c r="J157" i="2"/>
  <c r="E157" i="2"/>
  <c r="S157" i="2"/>
  <c r="T157" i="2"/>
  <c r="K157" i="2"/>
  <c r="B157" i="2"/>
  <c r="N157" i="2"/>
  <c r="F157" i="2"/>
  <c r="O157" i="2"/>
  <c r="C157" i="2"/>
  <c r="M157" i="2"/>
  <c r="G157" i="2"/>
  <c r="R157" i="2"/>
  <c r="H157" i="2"/>
  <c r="L160" i="1"/>
  <c r="A159" i="2" l="1"/>
  <c r="L158" i="2"/>
  <c r="N158" i="2"/>
  <c r="T158" i="2"/>
  <c r="C158" i="2"/>
  <c r="O158" i="2"/>
  <c r="B158" i="2"/>
  <c r="H158" i="2"/>
  <c r="E158" i="2"/>
  <c r="P158" i="2"/>
  <c r="S158" i="2"/>
  <c r="M158" i="2"/>
  <c r="R158" i="2"/>
  <c r="G158" i="2"/>
  <c r="Q158" i="2"/>
  <c r="K158" i="2"/>
  <c r="F158" i="2"/>
  <c r="I158" i="2"/>
  <c r="U158" i="2"/>
  <c r="J158" i="2"/>
  <c r="D158" i="2"/>
  <c r="L161" i="1"/>
  <c r="A160" i="2" l="1"/>
  <c r="P159" i="2"/>
  <c r="G159" i="2"/>
  <c r="B159" i="2"/>
  <c r="K159" i="2"/>
  <c r="O159" i="2"/>
  <c r="T159" i="2"/>
  <c r="U159" i="2"/>
  <c r="F159" i="2"/>
  <c r="Q159" i="2"/>
  <c r="H159" i="2"/>
  <c r="L159" i="2"/>
  <c r="J159" i="2"/>
  <c r="N159" i="2"/>
  <c r="M159" i="2"/>
  <c r="E159" i="2"/>
  <c r="C159" i="2"/>
  <c r="S159" i="2"/>
  <c r="D159" i="2"/>
  <c r="I159" i="2"/>
  <c r="R159" i="2"/>
  <c r="L162" i="1"/>
  <c r="A161" i="2" l="1"/>
  <c r="C160" i="2"/>
  <c r="P160" i="2"/>
  <c r="S160" i="2"/>
  <c r="E160" i="2"/>
  <c r="L160" i="2"/>
  <c r="T160" i="2"/>
  <c r="G160" i="2"/>
  <c r="K160" i="2"/>
  <c r="M160" i="2"/>
  <c r="D160" i="2"/>
  <c r="Q160" i="2"/>
  <c r="F160" i="2"/>
  <c r="I160" i="2"/>
  <c r="B160" i="2"/>
  <c r="U160" i="2"/>
  <c r="H160" i="2"/>
  <c r="N160" i="2"/>
  <c r="O160" i="2"/>
  <c r="J160" i="2"/>
  <c r="R160" i="2"/>
  <c r="L163" i="1"/>
  <c r="A162" i="2" l="1"/>
  <c r="C161" i="2"/>
  <c r="J161" i="2"/>
  <c r="S161" i="2"/>
  <c r="G161" i="2"/>
  <c r="O161" i="2"/>
  <c r="D161" i="2"/>
  <c r="M161" i="2"/>
  <c r="L161" i="2"/>
  <c r="P161" i="2"/>
  <c r="E161" i="2"/>
  <c r="Q161" i="2"/>
  <c r="H161" i="2"/>
  <c r="K161" i="2"/>
  <c r="F161" i="2"/>
  <c r="R161" i="2"/>
  <c r="I161" i="2"/>
  <c r="N161" i="2"/>
  <c r="T161" i="2"/>
  <c r="B161" i="2"/>
  <c r="U161" i="2"/>
  <c r="L164" i="1"/>
  <c r="A163" i="2" l="1"/>
  <c r="L162" i="2"/>
  <c r="H162" i="2"/>
  <c r="P162" i="2"/>
  <c r="F162" i="2"/>
  <c r="O162" i="2"/>
  <c r="C162" i="2"/>
  <c r="S162" i="2"/>
  <c r="U162" i="2"/>
  <c r="Q162" i="2"/>
  <c r="T162" i="2"/>
  <c r="R162" i="2"/>
  <c r="D162" i="2"/>
  <c r="M162" i="2"/>
  <c r="B162" i="2"/>
  <c r="N162" i="2"/>
  <c r="J162" i="2"/>
  <c r="G162" i="2"/>
  <c r="K162" i="2"/>
  <c r="E162" i="2"/>
  <c r="I162" i="2"/>
  <c r="L165" i="1"/>
  <c r="A164" i="2" l="1"/>
  <c r="D163" i="2"/>
  <c r="B163" i="2"/>
  <c r="K163" i="2"/>
  <c r="G163" i="2"/>
  <c r="O163" i="2"/>
  <c r="T163" i="2"/>
  <c r="P163" i="2"/>
  <c r="E163" i="2"/>
  <c r="J163" i="2"/>
  <c r="F163" i="2"/>
  <c r="L163" i="2"/>
  <c r="U163" i="2"/>
  <c r="I163" i="2"/>
  <c r="H163" i="2"/>
  <c r="M163" i="2"/>
  <c r="C163" i="2"/>
  <c r="N163" i="2"/>
  <c r="R163" i="2"/>
  <c r="Q163" i="2"/>
  <c r="S163" i="2"/>
  <c r="L166" i="1"/>
  <c r="A165" i="2" l="1"/>
  <c r="N164" i="2"/>
  <c r="H164" i="2"/>
  <c r="K164" i="2"/>
  <c r="S164" i="2"/>
  <c r="C164" i="2"/>
  <c r="G164" i="2"/>
  <c r="P164" i="2"/>
  <c r="U164" i="2"/>
  <c r="I164" i="2"/>
  <c r="D164" i="2"/>
  <c r="E164" i="2"/>
  <c r="O164" i="2"/>
  <c r="M164" i="2"/>
  <c r="Q164" i="2"/>
  <c r="J164" i="2"/>
  <c r="T164" i="2"/>
  <c r="R164" i="2"/>
  <c r="F164" i="2"/>
  <c r="L164" i="2"/>
  <c r="B164" i="2"/>
  <c r="L167" i="1"/>
  <c r="A166" i="2" l="1"/>
  <c r="L165" i="2"/>
  <c r="C165" i="2"/>
  <c r="J165" i="2"/>
  <c r="O165" i="2"/>
  <c r="S165" i="2"/>
  <c r="G165" i="2"/>
  <c r="T165" i="2"/>
  <c r="P165" i="2"/>
  <c r="Q165" i="2"/>
  <c r="F165" i="2"/>
  <c r="I165" i="2"/>
  <c r="M165" i="2"/>
  <c r="R165" i="2"/>
  <c r="E165" i="2"/>
  <c r="N165" i="2"/>
  <c r="K165" i="2"/>
  <c r="D165" i="2"/>
  <c r="B165" i="2"/>
  <c r="H165" i="2"/>
  <c r="U165" i="2"/>
  <c r="L168" i="1"/>
  <c r="A167" i="2" l="1"/>
  <c r="I166" i="2"/>
  <c r="U166" i="2"/>
  <c r="K166" i="2"/>
  <c r="F166" i="2"/>
  <c r="O166" i="2"/>
  <c r="T166" i="2"/>
  <c r="C166" i="2"/>
  <c r="E166" i="2"/>
  <c r="L166" i="2"/>
  <c r="D166" i="2"/>
  <c r="S166" i="2"/>
  <c r="B166" i="2"/>
  <c r="N166" i="2"/>
  <c r="Q166" i="2"/>
  <c r="J166" i="2"/>
  <c r="H166" i="2"/>
  <c r="M166" i="2"/>
  <c r="G166" i="2"/>
  <c r="P166" i="2"/>
  <c r="R166" i="2"/>
  <c r="L169" i="1"/>
  <c r="A168" i="2" l="1"/>
  <c r="G167" i="2"/>
  <c r="D167" i="2"/>
  <c r="O167" i="2"/>
  <c r="R167" i="2"/>
  <c r="K167" i="2"/>
  <c r="L167" i="2"/>
  <c r="T167" i="2"/>
  <c r="I167" i="2"/>
  <c r="U167" i="2"/>
  <c r="E167" i="2"/>
  <c r="Q167" i="2"/>
  <c r="S167" i="2"/>
  <c r="B167" i="2"/>
  <c r="H167" i="2"/>
  <c r="M167" i="2"/>
  <c r="N167" i="2"/>
  <c r="P167" i="2"/>
  <c r="C167" i="2"/>
  <c r="F167" i="2"/>
  <c r="J167" i="2"/>
  <c r="L170" i="1"/>
  <c r="A169" i="2" l="1"/>
  <c r="G168" i="2"/>
  <c r="C168" i="2"/>
  <c r="S168" i="2"/>
  <c r="K168" i="2"/>
  <c r="P168" i="2"/>
  <c r="N168" i="2"/>
  <c r="U168" i="2"/>
  <c r="J168" i="2"/>
  <c r="E168" i="2"/>
  <c r="M168" i="2"/>
  <c r="D168" i="2"/>
  <c r="R168" i="2"/>
  <c r="O168" i="2"/>
  <c r="T168" i="2"/>
  <c r="L168" i="2"/>
  <c r="F168" i="2"/>
  <c r="B168" i="2"/>
  <c r="Q168" i="2"/>
  <c r="I168" i="2"/>
  <c r="H168" i="2"/>
  <c r="L171" i="1"/>
  <c r="A170" i="2" l="1"/>
  <c r="S169" i="2"/>
  <c r="L169" i="2"/>
  <c r="Q169" i="2"/>
  <c r="C169" i="2"/>
  <c r="D169" i="2"/>
  <c r="G169" i="2"/>
  <c r="U169" i="2"/>
  <c r="J169" i="2"/>
  <c r="H169" i="2"/>
  <c r="E169" i="2"/>
  <c r="R169" i="2"/>
  <c r="K169" i="2"/>
  <c r="N169" i="2"/>
  <c r="T169" i="2"/>
  <c r="F169" i="2"/>
  <c r="B169" i="2"/>
  <c r="P169" i="2"/>
  <c r="M169" i="2"/>
  <c r="O169" i="2"/>
  <c r="I169" i="2"/>
  <c r="L172" i="1"/>
  <c r="A171" i="2" l="1"/>
  <c r="S170" i="2"/>
  <c r="P170" i="2"/>
  <c r="U170" i="2"/>
  <c r="H170" i="2"/>
  <c r="I170" i="2"/>
  <c r="Q170" i="2"/>
  <c r="C170" i="2"/>
  <c r="L170" i="2"/>
  <c r="E170" i="2"/>
  <c r="R170" i="2"/>
  <c r="B170" i="2"/>
  <c r="O170" i="2"/>
  <c r="T170" i="2"/>
  <c r="F170" i="2"/>
  <c r="K170" i="2"/>
  <c r="M170" i="2"/>
  <c r="N170" i="2"/>
  <c r="J170" i="2"/>
  <c r="D170" i="2"/>
  <c r="G170" i="2"/>
  <c r="L173" i="1"/>
  <c r="A172" i="2" l="1"/>
  <c r="M171" i="2"/>
  <c r="K171" i="2"/>
  <c r="R171" i="2"/>
  <c r="T171" i="2"/>
  <c r="B171" i="2"/>
  <c r="D171" i="2"/>
  <c r="U171" i="2"/>
  <c r="N171" i="2"/>
  <c r="G171" i="2"/>
  <c r="Q171" i="2"/>
  <c r="H171" i="2"/>
  <c r="P171" i="2"/>
  <c r="S171" i="2"/>
  <c r="O171" i="2"/>
  <c r="L171" i="2"/>
  <c r="I171" i="2"/>
  <c r="J171" i="2"/>
  <c r="C171" i="2"/>
  <c r="F171" i="2"/>
  <c r="E171" i="2"/>
  <c r="L174" i="1"/>
  <c r="A173" i="2" l="1"/>
  <c r="I172" i="2"/>
  <c r="G172" i="2"/>
  <c r="N172" i="2"/>
  <c r="H172" i="2"/>
  <c r="P172" i="2"/>
  <c r="T172" i="2"/>
  <c r="E172" i="2"/>
  <c r="C172" i="2"/>
  <c r="O172" i="2"/>
  <c r="R172" i="2"/>
  <c r="K172" i="2"/>
  <c r="Q172" i="2"/>
  <c r="F172" i="2"/>
  <c r="B172" i="2"/>
  <c r="D172" i="2"/>
  <c r="U172" i="2"/>
  <c r="L172" i="2"/>
  <c r="J172" i="2"/>
  <c r="S172" i="2"/>
  <c r="M172" i="2"/>
  <c r="L175" i="1"/>
  <c r="A174" i="2" l="1"/>
  <c r="S173" i="2"/>
  <c r="M173" i="2"/>
  <c r="E173" i="2"/>
  <c r="L173" i="2"/>
  <c r="T173" i="2"/>
  <c r="H173" i="2"/>
  <c r="U173" i="2"/>
  <c r="I173" i="2"/>
  <c r="B173" i="2"/>
  <c r="P173" i="2"/>
  <c r="Q173" i="2"/>
  <c r="C173" i="2"/>
  <c r="F173" i="2"/>
  <c r="O173" i="2"/>
  <c r="D173" i="2"/>
  <c r="J173" i="2"/>
  <c r="R173" i="2"/>
  <c r="N173" i="2"/>
  <c r="K173" i="2"/>
  <c r="G173" i="2"/>
  <c r="L176" i="1"/>
  <c r="A175" i="2" l="1"/>
  <c r="Q174" i="2"/>
  <c r="L174" i="2"/>
  <c r="F174" i="2"/>
  <c r="O174" i="2"/>
  <c r="H174" i="2"/>
  <c r="R174" i="2"/>
  <c r="B174" i="2"/>
  <c r="T174" i="2"/>
  <c r="D174" i="2"/>
  <c r="K174" i="2"/>
  <c r="M174" i="2"/>
  <c r="U174" i="2"/>
  <c r="S174" i="2"/>
  <c r="I174" i="2"/>
  <c r="N174" i="2"/>
  <c r="G174" i="2"/>
  <c r="J174" i="2"/>
  <c r="C174" i="2"/>
  <c r="P174" i="2"/>
  <c r="E174" i="2"/>
  <c r="L177" i="1"/>
  <c r="A176" i="2" l="1"/>
  <c r="D175" i="2"/>
  <c r="H175" i="2"/>
  <c r="U175" i="2"/>
  <c r="S175" i="2"/>
  <c r="E175" i="2"/>
  <c r="M175" i="2"/>
  <c r="B175" i="2"/>
  <c r="K175" i="2"/>
  <c r="P175" i="2"/>
  <c r="G175" i="2"/>
  <c r="T175" i="2"/>
  <c r="I175" i="2"/>
  <c r="O175" i="2"/>
  <c r="J175" i="2"/>
  <c r="C175" i="2"/>
  <c r="F175" i="2"/>
  <c r="Q175" i="2"/>
  <c r="L175" i="2"/>
  <c r="R175" i="2"/>
  <c r="N175" i="2"/>
  <c r="L178" i="1"/>
  <c r="A177" i="2" l="1"/>
  <c r="H176" i="2"/>
  <c r="Q176" i="2"/>
  <c r="M176" i="2"/>
  <c r="T176" i="2"/>
  <c r="D176" i="2"/>
  <c r="R176" i="2"/>
  <c r="B176" i="2"/>
  <c r="U176" i="2"/>
  <c r="K176" i="2"/>
  <c r="G176" i="2"/>
  <c r="E176" i="2"/>
  <c r="C176" i="2"/>
  <c r="P176" i="2"/>
  <c r="I176" i="2"/>
  <c r="N176" i="2"/>
  <c r="F176" i="2"/>
  <c r="L176" i="2"/>
  <c r="S176" i="2"/>
  <c r="O176" i="2"/>
  <c r="J176" i="2"/>
  <c r="L179" i="1"/>
  <c r="A178" i="2" l="1"/>
  <c r="R177" i="2"/>
  <c r="D177" i="2"/>
  <c r="E177" i="2"/>
  <c r="M177" i="2"/>
  <c r="K177" i="2"/>
  <c r="N177" i="2"/>
  <c r="H177" i="2"/>
  <c r="P177" i="2"/>
  <c r="G177" i="2"/>
  <c r="T177" i="2"/>
  <c r="Q177" i="2"/>
  <c r="B177" i="2"/>
  <c r="L177" i="2"/>
  <c r="U177" i="2"/>
  <c r="S177" i="2"/>
  <c r="O177" i="2"/>
  <c r="J177" i="2"/>
  <c r="C177" i="2"/>
  <c r="F177" i="2"/>
  <c r="I177" i="2"/>
  <c r="L180" i="1"/>
  <c r="A179" i="2" l="1"/>
  <c r="R178" i="2"/>
  <c r="G178" i="2"/>
  <c r="P178" i="2"/>
  <c r="L178" i="2"/>
  <c r="Q178" i="2"/>
  <c r="I178" i="2"/>
  <c r="J178" i="2"/>
  <c r="T178" i="2"/>
  <c r="C178" i="2"/>
  <c r="U178" i="2"/>
  <c r="B178" i="2"/>
  <c r="M178" i="2"/>
  <c r="N178" i="2"/>
  <c r="F178" i="2"/>
  <c r="O178" i="2"/>
  <c r="K178" i="2"/>
  <c r="H178" i="2"/>
  <c r="S178" i="2"/>
  <c r="D178" i="2"/>
  <c r="E178" i="2"/>
  <c r="L181" i="1"/>
  <c r="A180" i="2" l="1"/>
  <c r="L179" i="2"/>
  <c r="H179" i="2"/>
  <c r="E179" i="2"/>
  <c r="C179" i="2"/>
  <c r="F179" i="2"/>
  <c r="U179" i="2"/>
  <c r="Q179" i="2"/>
  <c r="J179" i="2"/>
  <c r="O179" i="2"/>
  <c r="G179" i="2"/>
  <c r="P179" i="2"/>
  <c r="T179" i="2"/>
  <c r="K179" i="2"/>
  <c r="B179" i="2"/>
  <c r="N179" i="2"/>
  <c r="S179" i="2"/>
  <c r="R179" i="2"/>
  <c r="D179" i="2"/>
  <c r="M179" i="2"/>
  <c r="I179" i="2"/>
  <c r="L182" i="1"/>
  <c r="A181" i="2" l="1"/>
  <c r="U180" i="2"/>
  <c r="E180" i="2"/>
  <c r="L180" i="2"/>
  <c r="S180" i="2"/>
  <c r="C180" i="2"/>
  <c r="J180" i="2"/>
  <c r="I180" i="2"/>
  <c r="D180" i="2"/>
  <c r="R180" i="2"/>
  <c r="Q180" i="2"/>
  <c r="K180" i="2"/>
  <c r="M180" i="2"/>
  <c r="T180" i="2"/>
  <c r="G180" i="2"/>
  <c r="N180" i="2"/>
  <c r="P180" i="2"/>
  <c r="F180" i="2"/>
  <c r="B180" i="2"/>
  <c r="H180" i="2"/>
  <c r="O180" i="2"/>
  <c r="L183" i="1"/>
  <c r="A182" i="2" l="1"/>
  <c r="Q181" i="2"/>
  <c r="H181" i="2"/>
  <c r="O181" i="2"/>
  <c r="F181" i="2"/>
  <c r="I181" i="2"/>
  <c r="D181" i="2"/>
  <c r="C181" i="2"/>
  <c r="R181" i="2"/>
  <c r="L181" i="2"/>
  <c r="S181" i="2"/>
  <c r="B181" i="2"/>
  <c r="U181" i="2"/>
  <c r="K181" i="2"/>
  <c r="M181" i="2"/>
  <c r="T181" i="2"/>
  <c r="G181" i="2"/>
  <c r="N181" i="2"/>
  <c r="P181" i="2"/>
  <c r="E181" i="2"/>
  <c r="J181" i="2"/>
  <c r="L184" i="1"/>
  <c r="A183" i="2" l="1"/>
  <c r="Q182" i="2"/>
  <c r="T182" i="2"/>
  <c r="D182" i="2"/>
  <c r="C182" i="2"/>
  <c r="R182" i="2"/>
  <c r="M182" i="2"/>
  <c r="L182" i="2"/>
  <c r="K182" i="2"/>
  <c r="J182" i="2"/>
  <c r="E182" i="2"/>
  <c r="O182" i="2"/>
  <c r="B182" i="2"/>
  <c r="P182" i="2"/>
  <c r="N182" i="2"/>
  <c r="U182" i="2"/>
  <c r="H182" i="2"/>
  <c r="F182" i="2"/>
  <c r="I182" i="2"/>
  <c r="S182" i="2"/>
  <c r="G182" i="2"/>
  <c r="L185" i="1"/>
  <c r="A184" i="2" l="1"/>
  <c r="M183" i="2"/>
  <c r="B183" i="2"/>
  <c r="T183" i="2"/>
  <c r="D183" i="2"/>
  <c r="O183" i="2"/>
  <c r="I183" i="2"/>
  <c r="H183" i="2"/>
  <c r="G183" i="2"/>
  <c r="P183" i="2"/>
  <c r="K183" i="2"/>
  <c r="U183" i="2"/>
  <c r="L183" i="2"/>
  <c r="R183" i="2"/>
  <c r="C183" i="2"/>
  <c r="J183" i="2"/>
  <c r="Q183" i="2"/>
  <c r="N183" i="2"/>
  <c r="F183" i="2"/>
  <c r="S183" i="2"/>
  <c r="E183" i="2"/>
  <c r="L186" i="1"/>
  <c r="A185" i="2" l="1"/>
  <c r="I184" i="2"/>
  <c r="P184" i="2"/>
  <c r="K184" i="2"/>
  <c r="J184" i="2"/>
  <c r="M184" i="2"/>
  <c r="F184" i="2"/>
  <c r="H184" i="2"/>
  <c r="N184" i="2"/>
  <c r="G184" i="2"/>
  <c r="E184" i="2"/>
  <c r="S184" i="2"/>
  <c r="B184" i="2"/>
  <c r="R184" i="2"/>
  <c r="T184" i="2"/>
  <c r="O184" i="2"/>
  <c r="U184" i="2"/>
  <c r="L184" i="2"/>
  <c r="C184" i="2"/>
  <c r="Q184" i="2"/>
  <c r="D184" i="2"/>
  <c r="L187" i="1"/>
  <c r="A186" i="2" l="1"/>
  <c r="U185" i="2"/>
  <c r="E185" i="2"/>
  <c r="J185" i="2"/>
  <c r="L185" i="2"/>
  <c r="B185" i="2"/>
  <c r="G185" i="2"/>
  <c r="M185" i="2"/>
  <c r="H185" i="2"/>
  <c r="K185" i="2"/>
  <c r="F185" i="2"/>
  <c r="Q185" i="2"/>
  <c r="D185" i="2"/>
  <c r="N185" i="2"/>
  <c r="I185" i="2"/>
  <c r="S185" i="2"/>
  <c r="T185" i="2"/>
  <c r="O185" i="2"/>
  <c r="P185" i="2"/>
  <c r="C185" i="2"/>
  <c r="R185" i="2"/>
  <c r="L188" i="1"/>
  <c r="Q186" i="2" l="1"/>
  <c r="H186" i="2"/>
  <c r="S186" i="2"/>
  <c r="C186" i="2"/>
  <c r="R186" i="2"/>
  <c r="M186" i="2"/>
  <c r="L186" i="2"/>
  <c r="K186" i="2"/>
  <c r="B186" i="2"/>
  <c r="P186" i="2"/>
  <c r="G186" i="2"/>
  <c r="U186" i="2"/>
  <c r="D186" i="2"/>
  <c r="I186" i="2"/>
  <c r="N186" i="2"/>
  <c r="J186" i="2"/>
  <c r="T186" i="2"/>
  <c r="O186" i="2"/>
  <c r="E186" i="2"/>
  <c r="F186" i="2"/>
  <c r="L189" i="1"/>
  <c r="F193" i="2" l="1"/>
  <c r="F214" i="2"/>
  <c r="F225" i="2"/>
  <c r="F202" i="2"/>
  <c r="F230" i="2"/>
  <c r="F196" i="2"/>
  <c r="F210" i="2"/>
  <c r="F220" i="2"/>
  <c r="F217" i="2"/>
  <c r="F206" i="2"/>
  <c r="F221" i="2"/>
  <c r="F228" i="2"/>
  <c r="F209" i="2"/>
  <c r="F201" i="2"/>
  <c r="F229" i="2"/>
  <c r="F216" i="2"/>
  <c r="F236" i="2" s="1"/>
  <c r="F203" i="2"/>
  <c r="F199" i="2"/>
  <c r="F226" i="2"/>
  <c r="F246" i="2" s="1"/>
  <c r="F227" i="2"/>
  <c r="F194" i="2"/>
  <c r="F223" i="2"/>
  <c r="F243" i="2" s="1"/>
  <c r="F198" i="2"/>
  <c r="F195" i="2"/>
  <c r="F224" i="2"/>
  <c r="F212" i="2"/>
  <c r="F191" i="2"/>
  <c r="F218" i="2"/>
  <c r="F205" i="2"/>
  <c r="F215" i="2"/>
  <c r="F211" i="2"/>
  <c r="F213" i="2"/>
  <c r="F233" i="2" s="1"/>
  <c r="F208" i="2"/>
  <c r="F248" i="2" s="1"/>
  <c r="F204" i="2"/>
  <c r="F192" i="2"/>
  <c r="F232" i="2" s="1"/>
  <c r="F207" i="2"/>
  <c r="F197" i="2"/>
  <c r="F237" i="2" s="1"/>
  <c r="F200" i="2"/>
  <c r="F222" i="2"/>
  <c r="F219" i="2"/>
  <c r="F239" i="2" s="1"/>
  <c r="J227" i="2"/>
  <c r="J228" i="2"/>
  <c r="J216" i="2"/>
  <c r="J207" i="2"/>
  <c r="J199" i="2"/>
  <c r="J201" i="2"/>
  <c r="J192" i="2"/>
  <c r="J225" i="2"/>
  <c r="J210" i="2"/>
  <c r="J196" i="2"/>
  <c r="J203" i="2"/>
  <c r="J217" i="2"/>
  <c r="J204" i="2"/>
  <c r="J202" i="2"/>
  <c r="J195" i="2"/>
  <c r="J200" i="2"/>
  <c r="J222" i="2"/>
  <c r="J198" i="2"/>
  <c r="J206" i="2"/>
  <c r="J205" i="2"/>
  <c r="J226" i="2"/>
  <c r="J219" i="2"/>
  <c r="J239" i="2" s="1"/>
  <c r="J208" i="2"/>
  <c r="J248" i="2" s="1"/>
  <c r="J209" i="2"/>
  <c r="J230" i="2"/>
  <c r="J191" i="2"/>
  <c r="J211" i="2"/>
  <c r="J212" i="2"/>
  <c r="J215" i="2"/>
  <c r="J197" i="2"/>
  <c r="J237" i="2" s="1"/>
  <c r="J193" i="2"/>
  <c r="J194" i="2"/>
  <c r="J220" i="2"/>
  <c r="J240" i="2" s="1"/>
  <c r="J223" i="2"/>
  <c r="J229" i="2"/>
  <c r="J249" i="2" s="1"/>
  <c r="J214" i="2"/>
  <c r="J234" i="2" s="1"/>
  <c r="J221" i="2"/>
  <c r="J241" i="2" s="1"/>
  <c r="J218" i="2"/>
  <c r="J238" i="2" s="1"/>
  <c r="J213" i="2"/>
  <c r="J233" i="2" s="1"/>
  <c r="J224" i="2"/>
  <c r="J244" i="2" s="1"/>
  <c r="U221" i="2"/>
  <c r="U216" i="2"/>
  <c r="U215" i="2"/>
  <c r="U217" i="2"/>
  <c r="U197" i="2"/>
  <c r="U202" i="2"/>
  <c r="U220" i="2"/>
  <c r="U208" i="2"/>
  <c r="U204" i="2"/>
  <c r="U219" i="2"/>
  <c r="U206" i="2"/>
  <c r="U210" i="2"/>
  <c r="U203" i="2"/>
  <c r="U205" i="2"/>
  <c r="U199" i="2"/>
  <c r="U193" i="2"/>
  <c r="U209" i="2"/>
  <c r="U194" i="2"/>
  <c r="U195" i="2"/>
  <c r="U211" i="2"/>
  <c r="U207" i="2"/>
  <c r="U223" i="2"/>
  <c r="U227" i="2"/>
  <c r="U230" i="2"/>
  <c r="U201" i="2"/>
  <c r="U229" i="2"/>
  <c r="U224" i="2"/>
  <c r="U214" i="2"/>
  <c r="U234" i="2" s="1"/>
  <c r="U192" i="2"/>
  <c r="U226" i="2"/>
  <c r="U198" i="2"/>
  <c r="U225" i="2"/>
  <c r="U245" i="2" s="1"/>
  <c r="U218" i="2"/>
  <c r="U200" i="2"/>
  <c r="U228" i="2"/>
  <c r="U191" i="2"/>
  <c r="U213" i="2"/>
  <c r="U233" i="2" s="1"/>
  <c r="U212" i="2"/>
  <c r="U222" i="2"/>
  <c r="U196" i="2"/>
  <c r="K218" i="2"/>
  <c r="K196" i="2"/>
  <c r="K214" i="2"/>
  <c r="K227" i="2"/>
  <c r="K222" i="2"/>
  <c r="K197" i="2"/>
  <c r="K195" i="2"/>
  <c r="K230" i="2"/>
  <c r="K204" i="2"/>
  <c r="K192" i="2"/>
  <c r="K229" i="2"/>
  <c r="K217" i="2"/>
  <c r="K224" i="2"/>
  <c r="K244" i="2" s="1"/>
  <c r="K205" i="2"/>
  <c r="K213" i="2"/>
  <c r="K194" i="2"/>
  <c r="K207" i="2"/>
  <c r="K228" i="2"/>
  <c r="K223" i="2"/>
  <c r="K201" i="2"/>
  <c r="K203" i="2"/>
  <c r="K211" i="2"/>
  <c r="K200" i="2"/>
  <c r="K208" i="2"/>
  <c r="K199" i="2"/>
  <c r="K212" i="2"/>
  <c r="K210" i="2"/>
  <c r="K202" i="2"/>
  <c r="K209" i="2"/>
  <c r="K219" i="2"/>
  <c r="K191" i="2"/>
  <c r="K216" i="2"/>
  <c r="K236" i="2" s="1"/>
  <c r="K221" i="2"/>
  <c r="K206" i="2"/>
  <c r="K215" i="2"/>
  <c r="K235" i="2" s="1"/>
  <c r="K225" i="2"/>
  <c r="K245" i="2" s="1"/>
  <c r="K193" i="2"/>
  <c r="K198" i="2"/>
  <c r="K220" i="2"/>
  <c r="K240" i="2" s="1"/>
  <c r="K226" i="2"/>
  <c r="C225" i="2"/>
  <c r="C196" i="2"/>
  <c r="C215" i="2"/>
  <c r="C200" i="2"/>
  <c r="C218" i="2"/>
  <c r="C212" i="2"/>
  <c r="C214" i="2"/>
  <c r="C217" i="2"/>
  <c r="C207" i="2"/>
  <c r="C192" i="2"/>
  <c r="C232" i="2" s="1"/>
  <c r="C226" i="2"/>
  <c r="C206" i="2"/>
  <c r="C205" i="2"/>
  <c r="C222" i="2"/>
  <c r="C213" i="2"/>
  <c r="C201" i="2"/>
  <c r="C208" i="2"/>
  <c r="C230" i="2"/>
  <c r="C209" i="2"/>
  <c r="C223" i="2"/>
  <c r="C193" i="2"/>
  <c r="C220" i="2"/>
  <c r="C191" i="2"/>
  <c r="C204" i="2"/>
  <c r="C195" i="2"/>
  <c r="C216" i="2"/>
  <c r="C236" i="2" s="1"/>
  <c r="C199" i="2"/>
  <c r="C194" i="2"/>
  <c r="C211" i="2"/>
  <c r="C197" i="2"/>
  <c r="C202" i="2"/>
  <c r="C242" i="2" s="1"/>
  <c r="C229" i="2"/>
  <c r="C219" i="2"/>
  <c r="C227" i="2"/>
  <c r="C228" i="2"/>
  <c r="C203" i="2"/>
  <c r="C198" i="2"/>
  <c r="C210" i="2"/>
  <c r="C250" i="2" s="1"/>
  <c r="C224" i="2"/>
  <c r="C221" i="2"/>
  <c r="C241" i="2" s="1"/>
  <c r="E204" i="2"/>
  <c r="E194" i="2"/>
  <c r="E201" i="2"/>
  <c r="E202" i="2"/>
  <c r="E224" i="2"/>
  <c r="E192" i="2"/>
  <c r="E205" i="2"/>
  <c r="E191" i="2"/>
  <c r="E217" i="2"/>
  <c r="E212" i="2"/>
  <c r="E209" i="2"/>
  <c r="E198" i="2"/>
  <c r="E203" i="2"/>
  <c r="E200" i="2"/>
  <c r="E210" i="2"/>
  <c r="E196" i="2"/>
  <c r="E208" i="2"/>
  <c r="E229" i="2"/>
  <c r="E206" i="2"/>
  <c r="E197" i="2"/>
  <c r="E211" i="2"/>
  <c r="E222" i="2"/>
  <c r="E228" i="2"/>
  <c r="E193" i="2"/>
  <c r="E225" i="2"/>
  <c r="E213" i="2"/>
  <c r="E215" i="2"/>
  <c r="E214" i="2"/>
  <c r="E216" i="2"/>
  <c r="E227" i="2"/>
  <c r="E220" i="2"/>
  <c r="E240" i="2" s="1"/>
  <c r="E230" i="2"/>
  <c r="E207" i="2"/>
  <c r="E219" i="2"/>
  <c r="E226" i="2"/>
  <c r="E246" i="2" s="1"/>
  <c r="E199" i="2"/>
  <c r="E195" i="2"/>
  <c r="E218" i="2"/>
  <c r="E221" i="2"/>
  <c r="E241" i="2" s="1"/>
  <c r="E223" i="2"/>
  <c r="N207" i="2"/>
  <c r="N203" i="2"/>
  <c r="N217" i="2"/>
  <c r="N230" i="2"/>
  <c r="N212" i="2"/>
  <c r="N206" i="2"/>
  <c r="N214" i="2"/>
  <c r="N191" i="2"/>
  <c r="N200" i="2"/>
  <c r="N192" i="2"/>
  <c r="N209" i="2"/>
  <c r="N201" i="2"/>
  <c r="N204" i="2"/>
  <c r="N222" i="2"/>
  <c r="N194" i="2"/>
  <c r="N234" i="2" s="1"/>
  <c r="N225" i="2"/>
  <c r="N228" i="2"/>
  <c r="N197" i="2"/>
  <c r="N205" i="2"/>
  <c r="N215" i="2"/>
  <c r="N219" i="2"/>
  <c r="N195" i="2"/>
  <c r="N208" i="2"/>
  <c r="N211" i="2"/>
  <c r="N198" i="2"/>
  <c r="N224" i="2"/>
  <c r="N213" i="2"/>
  <c r="N221" i="2"/>
  <c r="N241" i="2" s="1"/>
  <c r="N199" i="2"/>
  <c r="N239" i="2" s="1"/>
  <c r="N218" i="2"/>
  <c r="N196" i="2"/>
  <c r="N202" i="2"/>
  <c r="N242" i="2" s="1"/>
  <c r="N210" i="2"/>
  <c r="N223" i="2"/>
  <c r="N243" i="2" s="1"/>
  <c r="N193" i="2"/>
  <c r="N216" i="2"/>
  <c r="N220" i="2"/>
  <c r="N240" i="2" s="1"/>
  <c r="N226" i="2"/>
  <c r="N246" i="2" s="1"/>
  <c r="N229" i="2"/>
  <c r="N249" i="2" s="1"/>
  <c r="N227" i="2"/>
  <c r="G199" i="2"/>
  <c r="G204" i="2"/>
  <c r="G201" i="2"/>
  <c r="G205" i="2"/>
  <c r="G191" i="2"/>
  <c r="G202" i="2"/>
  <c r="G217" i="2"/>
  <c r="G222" i="2"/>
  <c r="G203" i="2"/>
  <c r="G196" i="2"/>
  <c r="G215" i="2"/>
  <c r="G207" i="2"/>
  <c r="G194" i="2"/>
  <c r="G213" i="2"/>
  <c r="G192" i="2"/>
  <c r="G198" i="2"/>
  <c r="G216" i="2"/>
  <c r="G208" i="2"/>
  <c r="G226" i="2"/>
  <c r="G197" i="2"/>
  <c r="G212" i="2"/>
  <c r="G225" i="2"/>
  <c r="G209" i="2"/>
  <c r="G230" i="2"/>
  <c r="G224" i="2"/>
  <c r="G195" i="2"/>
  <c r="G200" i="2"/>
  <c r="G206" i="2"/>
  <c r="G193" i="2"/>
  <c r="G219" i="2"/>
  <c r="G211" i="2"/>
  <c r="G214" i="2"/>
  <c r="G229" i="2"/>
  <c r="G228" i="2"/>
  <c r="G210" i="2"/>
  <c r="G218" i="2"/>
  <c r="G238" i="2" s="1"/>
  <c r="G227" i="2"/>
  <c r="G223" i="2"/>
  <c r="G220" i="2"/>
  <c r="G240" i="2" s="1"/>
  <c r="G221" i="2"/>
  <c r="L204" i="2"/>
  <c r="L216" i="2"/>
  <c r="L222" i="2"/>
  <c r="L192" i="2"/>
  <c r="L202" i="2"/>
  <c r="L199" i="2"/>
  <c r="L224" i="2"/>
  <c r="L228" i="2"/>
  <c r="L193" i="2"/>
  <c r="L201" i="2"/>
  <c r="L230" i="2"/>
  <c r="L206" i="2"/>
  <c r="L191" i="2"/>
  <c r="L217" i="2"/>
  <c r="L212" i="2"/>
  <c r="L197" i="2"/>
  <c r="L200" i="2"/>
  <c r="L210" i="2"/>
  <c r="L195" i="2"/>
  <c r="L207" i="2"/>
  <c r="L214" i="2"/>
  <c r="L208" i="2"/>
  <c r="L196" i="2"/>
  <c r="L215" i="2"/>
  <c r="L209" i="2"/>
  <c r="L223" i="2"/>
  <c r="L203" i="2"/>
  <c r="L213" i="2"/>
  <c r="L220" i="2"/>
  <c r="L240" i="2" s="1"/>
  <c r="L221" i="2"/>
  <c r="L241" i="2" s="1"/>
  <c r="L194" i="2"/>
  <c r="L218" i="2"/>
  <c r="L219" i="2"/>
  <c r="L211" i="2"/>
  <c r="L229" i="2"/>
  <c r="L198" i="2"/>
  <c r="L205" i="2"/>
  <c r="L225" i="2"/>
  <c r="L226" i="2"/>
  <c r="L227" i="2"/>
  <c r="L247" i="2" s="1"/>
  <c r="S207" i="2"/>
  <c r="S205" i="2"/>
  <c r="S216" i="2"/>
  <c r="S198" i="2"/>
  <c r="S222" i="2"/>
  <c r="S211" i="2"/>
  <c r="S200" i="2"/>
  <c r="S224" i="2"/>
  <c r="S209" i="2"/>
  <c r="S192" i="2"/>
  <c r="S210" i="2"/>
  <c r="S214" i="2"/>
  <c r="S196" i="2"/>
  <c r="S229" i="2"/>
  <c r="S223" i="2"/>
  <c r="S227" i="2"/>
  <c r="S197" i="2"/>
  <c r="S220" i="2"/>
  <c r="S208" i="2"/>
  <c r="S194" i="2"/>
  <c r="S213" i="2"/>
  <c r="S193" i="2"/>
  <c r="S218" i="2"/>
  <c r="S202" i="2"/>
  <c r="S212" i="2"/>
  <c r="S215" i="2"/>
  <c r="S204" i="2"/>
  <c r="S217" i="2"/>
  <c r="S219" i="2"/>
  <c r="S225" i="2"/>
  <c r="S245" i="2" s="1"/>
  <c r="S201" i="2"/>
  <c r="S203" i="2"/>
  <c r="S230" i="2"/>
  <c r="S226" i="2"/>
  <c r="S221" i="2"/>
  <c r="S241" i="2" s="1"/>
  <c r="S199" i="2"/>
  <c r="S191" i="2"/>
  <c r="S228" i="2"/>
  <c r="S195" i="2"/>
  <c r="S206" i="2"/>
  <c r="O191" i="2"/>
  <c r="O217" i="2"/>
  <c r="O204" i="2"/>
  <c r="O222" i="2"/>
  <c r="O195" i="2"/>
  <c r="O200" i="2"/>
  <c r="O206" i="2"/>
  <c r="O209" i="2"/>
  <c r="O203" i="2"/>
  <c r="O197" i="2"/>
  <c r="O237" i="2" s="1"/>
  <c r="O194" i="2"/>
  <c r="O193" i="2"/>
  <c r="O218" i="2"/>
  <c r="O196" i="2"/>
  <c r="O208" i="2"/>
  <c r="O192" i="2"/>
  <c r="O228" i="2"/>
  <c r="O229" i="2"/>
  <c r="O230" i="2"/>
  <c r="O207" i="2"/>
  <c r="O226" i="2"/>
  <c r="O210" i="2"/>
  <c r="O202" i="2"/>
  <c r="O219" i="2"/>
  <c r="O213" i="2"/>
  <c r="O221" i="2"/>
  <c r="O224" i="2"/>
  <c r="O244" i="2" s="1"/>
  <c r="O199" i="2"/>
  <c r="O198" i="2"/>
  <c r="O225" i="2"/>
  <c r="O212" i="2"/>
  <c r="O201" i="2"/>
  <c r="O205" i="2"/>
  <c r="O223" i="2"/>
  <c r="O220" i="2"/>
  <c r="O216" i="2"/>
  <c r="O236" i="2" s="1"/>
  <c r="O214" i="2"/>
  <c r="O234" i="2" s="1"/>
  <c r="O227" i="2"/>
  <c r="O215" i="2"/>
  <c r="O211" i="2"/>
  <c r="I214" i="2"/>
  <c r="I191" i="2"/>
  <c r="I226" i="2"/>
  <c r="I219" i="2"/>
  <c r="I215" i="2"/>
  <c r="I211" i="2"/>
  <c r="I212" i="2"/>
  <c r="I209" i="2"/>
  <c r="I204" i="2"/>
  <c r="I194" i="2"/>
  <c r="I225" i="2"/>
  <c r="I199" i="2"/>
  <c r="I198" i="2"/>
  <c r="I195" i="2"/>
  <c r="I228" i="2"/>
  <c r="I220" i="2"/>
  <c r="I217" i="2"/>
  <c r="I222" i="2"/>
  <c r="I206" i="2"/>
  <c r="I223" i="2"/>
  <c r="I207" i="2"/>
  <c r="I227" i="2"/>
  <c r="I203" i="2"/>
  <c r="I202" i="2"/>
  <c r="I193" i="2"/>
  <c r="I218" i="2"/>
  <c r="I213" i="2"/>
  <c r="I197" i="2"/>
  <c r="I192" i="2"/>
  <c r="I232" i="2" s="1"/>
  <c r="I210" i="2"/>
  <c r="I201" i="2"/>
  <c r="I221" i="2"/>
  <c r="I208" i="2"/>
  <c r="I230" i="2"/>
  <c r="I216" i="2"/>
  <c r="I205" i="2"/>
  <c r="I200" i="2"/>
  <c r="I196" i="2"/>
  <c r="I224" i="2"/>
  <c r="I229" i="2"/>
  <c r="I249" i="2" s="1"/>
  <c r="P204" i="2"/>
  <c r="P192" i="2"/>
  <c r="P196" i="2"/>
  <c r="P209" i="2"/>
  <c r="P199" i="2"/>
  <c r="P208" i="2"/>
  <c r="P224" i="2"/>
  <c r="P197" i="2"/>
  <c r="P194" i="2"/>
  <c r="P200" i="2"/>
  <c r="P195" i="2"/>
  <c r="P206" i="2"/>
  <c r="P228" i="2"/>
  <c r="P210" i="2"/>
  <c r="P217" i="2"/>
  <c r="P207" i="2"/>
  <c r="P202" i="2"/>
  <c r="P229" i="2"/>
  <c r="P198" i="2"/>
  <c r="P212" i="2"/>
  <c r="P205" i="2"/>
  <c r="P201" i="2"/>
  <c r="P215" i="2"/>
  <c r="P235" i="2" s="1"/>
  <c r="P203" i="2"/>
  <c r="P222" i="2"/>
  <c r="P193" i="2"/>
  <c r="P230" i="2"/>
  <c r="P214" i="2"/>
  <c r="P227" i="2"/>
  <c r="P191" i="2"/>
  <c r="P226" i="2"/>
  <c r="P211" i="2"/>
  <c r="P225" i="2"/>
  <c r="P245" i="2" s="1"/>
  <c r="P220" i="2"/>
  <c r="P240" i="2" s="1"/>
  <c r="P213" i="2"/>
  <c r="P218" i="2"/>
  <c r="P223" i="2"/>
  <c r="P221" i="2"/>
  <c r="P241" i="2" s="1"/>
  <c r="P216" i="2"/>
  <c r="P236" i="2" s="1"/>
  <c r="P219" i="2"/>
  <c r="M213" i="2"/>
  <c r="M202" i="2"/>
  <c r="M214" i="2"/>
  <c r="M216" i="2"/>
  <c r="M191" i="2"/>
  <c r="M192" i="2"/>
  <c r="M198" i="2"/>
  <c r="M226" i="2"/>
  <c r="M204" i="2"/>
  <c r="M203" i="2"/>
  <c r="M220" i="2"/>
  <c r="M227" i="2"/>
  <c r="M194" i="2"/>
  <c r="M230" i="2"/>
  <c r="M218" i="2"/>
  <c r="M238" i="2" s="1"/>
  <c r="M225" i="2"/>
  <c r="M195" i="2"/>
  <c r="M212" i="2"/>
  <c r="M206" i="2"/>
  <c r="M208" i="2"/>
  <c r="M200" i="2"/>
  <c r="M199" i="2"/>
  <c r="M211" i="2"/>
  <c r="M196" i="2"/>
  <c r="M209" i="2"/>
  <c r="M197" i="2"/>
  <c r="M201" i="2"/>
  <c r="M221" i="2"/>
  <c r="M223" i="2"/>
  <c r="M224" i="2"/>
  <c r="M228" i="2"/>
  <c r="M210" i="2"/>
  <c r="M217" i="2"/>
  <c r="M193" i="2"/>
  <c r="M207" i="2"/>
  <c r="M205" i="2"/>
  <c r="M229" i="2"/>
  <c r="M249" i="2" s="1"/>
  <c r="M219" i="2"/>
  <c r="M239" i="2" s="1"/>
  <c r="M215" i="2"/>
  <c r="M222" i="2"/>
  <c r="H216" i="2"/>
  <c r="H229" i="2"/>
  <c r="H201" i="2"/>
  <c r="H221" i="2"/>
  <c r="H192" i="2"/>
  <c r="H200" i="2"/>
  <c r="H215" i="2"/>
  <c r="H206" i="2"/>
  <c r="H228" i="2"/>
  <c r="H223" i="2"/>
  <c r="H212" i="2"/>
  <c r="H193" i="2"/>
  <c r="H191" i="2"/>
  <c r="H204" i="2"/>
  <c r="H195" i="2"/>
  <c r="H226" i="2"/>
  <c r="H246" i="2" s="1"/>
  <c r="H194" i="2"/>
  <c r="H196" i="2"/>
  <c r="H210" i="2"/>
  <c r="H214" i="2"/>
  <c r="H230" i="2"/>
  <c r="H203" i="2"/>
  <c r="H198" i="2"/>
  <c r="H202" i="2"/>
  <c r="H222" i="2"/>
  <c r="H208" i="2"/>
  <c r="H205" i="2"/>
  <c r="H209" i="2"/>
  <c r="H225" i="2"/>
  <c r="H199" i="2"/>
  <c r="H217" i="2"/>
  <c r="H197" i="2"/>
  <c r="H218" i="2"/>
  <c r="H207" i="2"/>
  <c r="H227" i="2"/>
  <c r="H213" i="2"/>
  <c r="H233" i="2" s="1"/>
  <c r="H224" i="2"/>
  <c r="H220" i="2"/>
  <c r="H240" i="2" s="1"/>
  <c r="H211" i="2"/>
  <c r="H219" i="2"/>
  <c r="T208" i="2"/>
  <c r="T193" i="2"/>
  <c r="T207" i="2"/>
  <c r="T228" i="2"/>
  <c r="T204" i="2"/>
  <c r="T203" i="2"/>
  <c r="T210" i="2"/>
  <c r="T201" i="2"/>
  <c r="T212" i="2"/>
  <c r="T205" i="2"/>
  <c r="T221" i="2"/>
  <c r="T229" i="2"/>
  <c r="T206" i="2"/>
  <c r="T217" i="2"/>
  <c r="T196" i="2"/>
  <c r="T227" i="2"/>
  <c r="T202" i="2"/>
  <c r="T230" i="2"/>
  <c r="T200" i="2"/>
  <c r="T199" i="2"/>
  <c r="T219" i="2"/>
  <c r="T222" i="2"/>
  <c r="T191" i="2"/>
  <c r="T213" i="2"/>
  <c r="T192" i="2"/>
  <c r="T232" i="2" s="1"/>
  <c r="T211" i="2"/>
  <c r="T218" i="2"/>
  <c r="T195" i="2"/>
  <c r="T194" i="2"/>
  <c r="T214" i="2"/>
  <c r="T216" i="2"/>
  <c r="T236" i="2" s="1"/>
  <c r="T220" i="2"/>
  <c r="T209" i="2"/>
  <c r="T198" i="2"/>
  <c r="T197" i="2"/>
  <c r="T225" i="2"/>
  <c r="T224" i="2"/>
  <c r="T244" i="2" s="1"/>
  <c r="T223" i="2"/>
  <c r="T243" i="2" s="1"/>
  <c r="T215" i="2"/>
  <c r="T226" i="2"/>
  <c r="D196" i="2"/>
  <c r="D220" i="2"/>
  <c r="D216" i="2"/>
  <c r="D213" i="2"/>
  <c r="D222" i="2"/>
  <c r="D228" i="2"/>
  <c r="D230" i="2"/>
  <c r="D208" i="2"/>
  <c r="D209" i="2"/>
  <c r="D199" i="2"/>
  <c r="D205" i="2"/>
  <c r="D204" i="2"/>
  <c r="D200" i="2"/>
  <c r="D226" i="2"/>
  <c r="D221" i="2"/>
  <c r="D192" i="2"/>
  <c r="D194" i="2"/>
  <c r="D197" i="2"/>
  <c r="D224" i="2"/>
  <c r="D223" i="2"/>
  <c r="D195" i="2"/>
  <c r="D201" i="2"/>
  <c r="D210" i="2"/>
  <c r="D250" i="2" s="1"/>
  <c r="D193" i="2"/>
  <c r="D206" i="2"/>
  <c r="D225" i="2"/>
  <c r="D198" i="2"/>
  <c r="D217" i="2"/>
  <c r="D207" i="2"/>
  <c r="D191" i="2"/>
  <c r="D214" i="2"/>
  <c r="D203" i="2"/>
  <c r="D229" i="2"/>
  <c r="D249" i="2" s="1"/>
  <c r="D212" i="2"/>
  <c r="D215" i="2"/>
  <c r="D202" i="2"/>
  <c r="D219" i="2"/>
  <c r="D211" i="2"/>
  <c r="D227" i="2"/>
  <c r="D218" i="2"/>
  <c r="B226" i="2"/>
  <c r="B215" i="2"/>
  <c r="B210" i="2"/>
  <c r="B223" i="2"/>
  <c r="B199" i="2"/>
  <c r="B228" i="2"/>
  <c r="B198" i="2"/>
  <c r="B202" i="2"/>
  <c r="B230" i="2"/>
  <c r="B204" i="2"/>
  <c r="B219" i="2"/>
  <c r="B207" i="2"/>
  <c r="B220" i="2"/>
  <c r="B218" i="2"/>
  <c r="B192" i="2"/>
  <c r="B212" i="2"/>
  <c r="B200" i="2"/>
  <c r="B197" i="2"/>
  <c r="B208" i="2"/>
  <c r="B196" i="2"/>
  <c r="B195" i="2"/>
  <c r="B206" i="2"/>
  <c r="B191" i="2"/>
  <c r="B227" i="2"/>
  <c r="B247" i="2" s="1"/>
  <c r="B229" i="2"/>
  <c r="B222" i="2"/>
  <c r="B201" i="2"/>
  <c r="B221" i="2"/>
  <c r="B211" i="2"/>
  <c r="B209" i="2"/>
  <c r="B205" i="2"/>
  <c r="B203" i="2"/>
  <c r="B214" i="2"/>
  <c r="B194" i="2"/>
  <c r="B213" i="2"/>
  <c r="B193" i="2"/>
  <c r="B225" i="2"/>
  <c r="B224" i="2"/>
  <c r="B244" i="2" s="1"/>
  <c r="B216" i="2"/>
  <c r="B217" i="2"/>
  <c r="R229" i="2"/>
  <c r="R220" i="2"/>
  <c r="R213" i="2"/>
  <c r="R205" i="2"/>
  <c r="R214" i="2"/>
  <c r="R211" i="2"/>
  <c r="R212" i="2"/>
  <c r="R210" i="2"/>
  <c r="R197" i="2"/>
  <c r="R198" i="2"/>
  <c r="R228" i="2"/>
  <c r="R201" i="2"/>
  <c r="R202" i="2"/>
  <c r="R199" i="2"/>
  <c r="R192" i="2"/>
  <c r="R232" i="2" s="1"/>
  <c r="R200" i="2"/>
  <c r="R208" i="2"/>
  <c r="R203" i="2"/>
  <c r="R204" i="2"/>
  <c r="R226" i="2"/>
  <c r="R206" i="2"/>
  <c r="R196" i="2"/>
  <c r="R230" i="2"/>
  <c r="R215" i="2"/>
  <c r="R227" i="2"/>
  <c r="R207" i="2"/>
  <c r="R218" i="2"/>
  <c r="R216" i="2"/>
  <c r="R191" i="2"/>
  <c r="R217" i="2"/>
  <c r="R194" i="2"/>
  <c r="R193" i="2"/>
  <c r="R195" i="2"/>
  <c r="R219" i="2"/>
  <c r="R239" i="2" s="1"/>
  <c r="R223" i="2"/>
  <c r="R222" i="2"/>
  <c r="R225" i="2"/>
  <c r="R224" i="2"/>
  <c r="R221" i="2"/>
  <c r="R209" i="2"/>
  <c r="Q196" i="2"/>
  <c r="Q210" i="2"/>
  <c r="Q202" i="2"/>
  <c r="Q195" i="2"/>
  <c r="Q214" i="2"/>
  <c r="Q217" i="2"/>
  <c r="Q198" i="2"/>
  <c r="Q228" i="2"/>
  <c r="Q230" i="2"/>
  <c r="Q204" i="2"/>
  <c r="Q207" i="2"/>
  <c r="Q209" i="2"/>
  <c r="Q213" i="2"/>
  <c r="Q193" i="2"/>
  <c r="Q194" i="2"/>
  <c r="Q222" i="2"/>
  <c r="Q206" i="2"/>
  <c r="Q200" i="2"/>
  <c r="Q212" i="2"/>
  <c r="Q191" i="2"/>
  <c r="Q205" i="2"/>
  <c r="Q197" i="2"/>
  <c r="Q237" i="2" s="1"/>
  <c r="Q201" i="2"/>
  <c r="Q199" i="2"/>
  <c r="Q208" i="2"/>
  <c r="Q219" i="2"/>
  <c r="Q221" i="2"/>
  <c r="Q241" i="2" s="1"/>
  <c r="Q192" i="2"/>
  <c r="Q203" i="2"/>
  <c r="Q227" i="2"/>
  <c r="Q223" i="2"/>
  <c r="Q218" i="2"/>
  <c r="Q215" i="2"/>
  <c r="Q229" i="2"/>
  <c r="Q225" i="2"/>
  <c r="Q211" i="2"/>
  <c r="Q226" i="2"/>
  <c r="Q246" i="2" s="1"/>
  <c r="Q216" i="2"/>
  <c r="Q224" i="2"/>
  <c r="Q220" i="2"/>
  <c r="L190" i="1"/>
  <c r="L239" i="2" l="1"/>
  <c r="G233" i="2"/>
  <c r="G244" i="2"/>
  <c r="G236" i="2"/>
  <c r="K246" i="2"/>
  <c r="K248" i="2"/>
  <c r="K242" i="2"/>
  <c r="U244" i="2"/>
  <c r="C247" i="2"/>
  <c r="U249" i="2"/>
  <c r="U243" i="2"/>
  <c r="Q238" i="2"/>
  <c r="P238" i="2"/>
  <c r="G241" i="2"/>
  <c r="I248" i="2"/>
  <c r="O246" i="2"/>
  <c r="Q232" i="2"/>
  <c r="T247" i="2"/>
  <c r="L246" i="2"/>
  <c r="C244" i="2"/>
  <c r="K250" i="2"/>
  <c r="Q235" i="2"/>
  <c r="R245" i="2"/>
  <c r="T249" i="2"/>
  <c r="H238" i="2"/>
  <c r="G247" i="2"/>
  <c r="N250" i="2"/>
  <c r="K239" i="2"/>
  <c r="Q240" i="2"/>
  <c r="R240" i="2"/>
  <c r="B237" i="2"/>
  <c r="D237" i="2"/>
  <c r="T245" i="2"/>
  <c r="T233" i="2"/>
  <c r="H239" i="2"/>
  <c r="M250" i="2"/>
  <c r="I242" i="2"/>
  <c r="Q244" i="2"/>
  <c r="R243" i="2"/>
  <c r="R238" i="2"/>
  <c r="D239" i="2"/>
  <c r="T239" i="2"/>
  <c r="H244" i="2"/>
  <c r="M243" i="2"/>
  <c r="R236" i="2"/>
  <c r="B234" i="2"/>
  <c r="S233" i="2"/>
  <c r="R233" i="2"/>
  <c r="D238" i="2"/>
  <c r="R248" i="2"/>
  <c r="R247" i="2"/>
  <c r="D248" i="2"/>
  <c r="U247" i="2"/>
  <c r="T240" i="2"/>
  <c r="L235" i="2"/>
  <c r="G237" i="2"/>
  <c r="C249" i="2"/>
  <c r="F249" i="2"/>
  <c r="F250" i="2"/>
  <c r="Q247" i="2"/>
  <c r="R244" i="2"/>
  <c r="B238" i="2"/>
  <c r="D245" i="2"/>
  <c r="P249" i="2"/>
  <c r="O247" i="2"/>
  <c r="O250" i="2"/>
  <c r="O249" i="2"/>
  <c r="S240" i="2"/>
  <c r="L248" i="2"/>
  <c r="L250" i="2"/>
  <c r="G245" i="2"/>
  <c r="N237" i="2"/>
  <c r="E238" i="2"/>
  <c r="E239" i="2"/>
  <c r="E233" i="2"/>
  <c r="E249" i="2"/>
  <c r="C237" i="2"/>
  <c r="C240" i="2"/>
  <c r="U246" i="2"/>
  <c r="J243" i="2"/>
  <c r="F235" i="2"/>
  <c r="Q248" i="2"/>
  <c r="B245" i="2"/>
  <c r="P243" i="2"/>
  <c r="P247" i="2"/>
  <c r="O233" i="2"/>
  <c r="S236" i="2"/>
  <c r="L242" i="2"/>
  <c r="G249" i="2"/>
  <c r="E245" i="2"/>
  <c r="C239" i="2"/>
  <c r="K241" i="2"/>
  <c r="J235" i="2"/>
  <c r="J247" i="2"/>
  <c r="I241" i="2"/>
  <c r="F238" i="2"/>
  <c r="I236" i="2"/>
  <c r="U238" i="2"/>
  <c r="J246" i="2"/>
  <c r="R250" i="2"/>
  <c r="B233" i="2"/>
  <c r="B241" i="2"/>
  <c r="B242" i="2"/>
  <c r="H237" i="2"/>
  <c r="H241" i="2"/>
  <c r="M241" i="2"/>
  <c r="M248" i="2"/>
  <c r="M247" i="2"/>
  <c r="M246" i="2"/>
  <c r="P237" i="2"/>
  <c r="I243" i="2"/>
  <c r="O232" i="2"/>
  <c r="S244" i="2"/>
  <c r="L232" i="2"/>
  <c r="N245" i="2"/>
  <c r="P250" i="2"/>
  <c r="S235" i="2"/>
  <c r="L243" i="2"/>
  <c r="L236" i="2"/>
  <c r="R242" i="2"/>
  <c r="R249" i="2"/>
  <c r="B246" i="2"/>
  <c r="D236" i="2"/>
  <c r="T234" i="2"/>
  <c r="T242" i="2"/>
  <c r="T248" i="2"/>
  <c r="H245" i="2"/>
  <c r="H232" i="2"/>
  <c r="M233" i="2"/>
  <c r="I233" i="2"/>
  <c r="I235" i="2"/>
  <c r="S239" i="2"/>
  <c r="S237" i="2"/>
  <c r="L234" i="2"/>
  <c r="N247" i="2"/>
  <c r="E248" i="2"/>
  <c r="E244" i="2"/>
  <c r="Q189" i="2"/>
  <c r="Q231" i="2"/>
  <c r="R235" i="2"/>
  <c r="R246" i="2"/>
  <c r="B243" i="2"/>
  <c r="D242" i="2"/>
  <c r="D243" i="2"/>
  <c r="D232" i="2"/>
  <c r="D233" i="2"/>
  <c r="T246" i="2"/>
  <c r="H242" i="2"/>
  <c r="H234" i="2"/>
  <c r="M245" i="2"/>
  <c r="M236" i="2"/>
  <c r="P239" i="2"/>
  <c r="P231" i="2"/>
  <c r="P190" i="2"/>
  <c r="P234" i="2"/>
  <c r="I237" i="2"/>
  <c r="I240" i="2"/>
  <c r="I239" i="2"/>
  <c r="O231" i="2"/>
  <c r="O190" i="2"/>
  <c r="O239" i="2"/>
  <c r="S242" i="2"/>
  <c r="S247" i="2"/>
  <c r="S234" i="2"/>
  <c r="L238" i="2"/>
  <c r="L233" i="2"/>
  <c r="L237" i="2"/>
  <c r="G234" i="2"/>
  <c r="N231" i="2"/>
  <c r="N190" i="2"/>
  <c r="N235" i="2"/>
  <c r="N189" i="2"/>
  <c r="E243" i="2"/>
  <c r="E237" i="2"/>
  <c r="E236" i="2"/>
  <c r="E189" i="2"/>
  <c r="E242" i="2"/>
  <c r="C243" i="2"/>
  <c r="K247" i="2"/>
  <c r="U189" i="2"/>
  <c r="U231" i="2"/>
  <c r="U190" i="2"/>
  <c r="U250" i="2"/>
  <c r="U248" i="2"/>
  <c r="U237" i="2"/>
  <c r="J245" i="2"/>
  <c r="F247" i="2"/>
  <c r="F240" i="2"/>
  <c r="F242" i="2"/>
  <c r="R189" i="2"/>
  <c r="B231" i="2"/>
  <c r="B190" i="2"/>
  <c r="H189" i="2"/>
  <c r="M189" i="2"/>
  <c r="P242" i="2"/>
  <c r="S189" i="2"/>
  <c r="S231" i="2"/>
  <c r="G189" i="2"/>
  <c r="E231" i="2"/>
  <c r="E190" i="2"/>
  <c r="Q245" i="2"/>
  <c r="Q243" i="2"/>
  <c r="Q234" i="2"/>
  <c r="Q242" i="2"/>
  <c r="R241" i="2"/>
  <c r="R234" i="2"/>
  <c r="B236" i="2"/>
  <c r="B189" i="2"/>
  <c r="B248" i="2"/>
  <c r="B232" i="2"/>
  <c r="B239" i="2"/>
  <c r="B250" i="2"/>
  <c r="D247" i="2"/>
  <c r="D235" i="2"/>
  <c r="D234" i="2"/>
  <c r="D244" i="2"/>
  <c r="D241" i="2"/>
  <c r="T235" i="2"/>
  <c r="T237" i="2"/>
  <c r="T238" i="2"/>
  <c r="T189" i="2"/>
  <c r="T241" i="2"/>
  <c r="T250" i="2"/>
  <c r="H231" i="2"/>
  <c r="H190" i="2"/>
  <c r="H247" i="2"/>
  <c r="H250" i="2"/>
  <c r="H235" i="2"/>
  <c r="M235" i="2"/>
  <c r="M231" i="2"/>
  <c r="M190" i="2"/>
  <c r="M240" i="2"/>
  <c r="M234" i="2"/>
  <c r="P233" i="2"/>
  <c r="P246" i="2"/>
  <c r="P244" i="2"/>
  <c r="I244" i="2"/>
  <c r="I245" i="2"/>
  <c r="I246" i="2"/>
  <c r="O235" i="2"/>
  <c r="O240" i="2"/>
  <c r="O242" i="2"/>
  <c r="O248" i="2"/>
  <c r="S238" i="2"/>
  <c r="S248" i="2"/>
  <c r="S243" i="2"/>
  <c r="S250" i="2"/>
  <c r="L249" i="2"/>
  <c r="L244" i="2"/>
  <c r="G250" i="2"/>
  <c r="G231" i="2"/>
  <c r="G190" i="2"/>
  <c r="G246" i="2"/>
  <c r="G232" i="2"/>
  <c r="G235" i="2"/>
  <c r="N236" i="2"/>
  <c r="N233" i="2"/>
  <c r="N248" i="2"/>
  <c r="E235" i="2"/>
  <c r="E250" i="2"/>
  <c r="C189" i="2"/>
  <c r="C233" i="2"/>
  <c r="C246" i="2"/>
  <c r="C234" i="2"/>
  <c r="C235" i="2"/>
  <c r="K189" i="2"/>
  <c r="K243" i="2"/>
  <c r="K233" i="2"/>
  <c r="K249" i="2"/>
  <c r="K234" i="2"/>
  <c r="U240" i="2"/>
  <c r="U235" i="2"/>
  <c r="J231" i="2"/>
  <c r="J190" i="2"/>
  <c r="J232" i="2"/>
  <c r="J236" i="2"/>
  <c r="F190" i="2"/>
  <c r="F189" i="2"/>
  <c r="F231" i="2"/>
  <c r="F241" i="2"/>
  <c r="F245" i="2"/>
  <c r="B240" i="2"/>
  <c r="O238" i="2"/>
  <c r="O189" i="2"/>
  <c r="L189" i="2"/>
  <c r="Q190" i="2"/>
  <c r="Q236" i="2"/>
  <c r="Q249" i="2"/>
  <c r="Q239" i="2"/>
  <c r="Q233" i="2"/>
  <c r="Q250" i="2"/>
  <c r="R237" i="2"/>
  <c r="R231" i="2"/>
  <c r="R190" i="2"/>
  <c r="B249" i="2"/>
  <c r="B235" i="2"/>
  <c r="D231" i="2"/>
  <c r="D190" i="2"/>
  <c r="D189" i="2"/>
  <c r="D246" i="2"/>
  <c r="D240" i="2"/>
  <c r="T231" i="2"/>
  <c r="T190" i="2"/>
  <c r="H248" i="2"/>
  <c r="H236" i="2"/>
  <c r="H243" i="2"/>
  <c r="H249" i="2"/>
  <c r="M244" i="2"/>
  <c r="M237" i="2"/>
  <c r="M232" i="2"/>
  <c r="M242" i="2"/>
  <c r="P189" i="2"/>
  <c r="P248" i="2"/>
  <c r="P232" i="2"/>
  <c r="I250" i="2"/>
  <c r="I238" i="2"/>
  <c r="I247" i="2"/>
  <c r="I234" i="2"/>
  <c r="I231" i="2"/>
  <c r="I190" i="2"/>
  <c r="I189" i="2"/>
  <c r="O243" i="2"/>
  <c r="O245" i="2"/>
  <c r="O241" i="2"/>
  <c r="S246" i="2"/>
  <c r="S249" i="2"/>
  <c r="S232" i="2"/>
  <c r="S190" i="2"/>
  <c r="L245" i="2"/>
  <c r="L231" i="2"/>
  <c r="L190" i="2"/>
  <c r="G243" i="2"/>
  <c r="G239" i="2"/>
  <c r="G248" i="2"/>
  <c r="G242" i="2"/>
  <c r="N238" i="2"/>
  <c r="N244" i="2"/>
  <c r="N232" i="2"/>
  <c r="E247" i="2"/>
  <c r="E232" i="2"/>
  <c r="E234" i="2"/>
  <c r="K231" i="2"/>
  <c r="K190" i="2"/>
  <c r="K232" i="2"/>
  <c r="K237" i="2"/>
  <c r="U239" i="2"/>
  <c r="U242" i="2"/>
  <c r="U236" i="2"/>
  <c r="J189" i="2"/>
  <c r="J242" i="2"/>
  <c r="F234" i="2"/>
  <c r="C231" i="2"/>
  <c r="C190" i="2"/>
  <c r="C248" i="2"/>
  <c r="C238" i="2"/>
  <c r="C245" i="2"/>
  <c r="K238" i="2"/>
  <c r="U232" i="2"/>
  <c r="U241" i="2"/>
  <c r="J250" i="2"/>
  <c r="F244" i="2"/>
  <c r="L191" i="1"/>
  <c r="L192" i="1" l="1"/>
  <c r="L193" i="1" l="1"/>
  <c r="L194" i="1" l="1"/>
  <c r="L195" i="1" l="1"/>
  <c r="L196" i="1" l="1"/>
  <c r="L197" i="1" l="1"/>
  <c r="L198" i="1" l="1"/>
  <c r="L199" i="1" l="1"/>
  <c r="L200" i="1" l="1"/>
  <c r="L201" i="1" l="1"/>
  <c r="L202" i="1" l="1"/>
  <c r="L203" i="1" l="1"/>
  <c r="L204" i="1" l="1"/>
  <c r="L205" i="1" l="1"/>
  <c r="L206" i="1" l="1"/>
  <c r="L207" i="1" l="1"/>
  <c r="L208" i="1" l="1"/>
  <c r="L209" i="1" l="1"/>
  <c r="L210" i="1" l="1"/>
  <c r="L211" i="1" l="1"/>
  <c r="L212" i="1" l="1"/>
  <c r="L213" i="1" l="1"/>
  <c r="L214" i="1" l="1"/>
  <c r="L215" i="1" l="1"/>
  <c r="L216" i="1" l="1"/>
  <c r="L217" i="1" l="1"/>
  <c r="L218" i="1" l="1"/>
  <c r="L219" i="1" l="1"/>
  <c r="L220" i="1" l="1"/>
  <c r="L221" i="1" l="1"/>
  <c r="L222" i="1" l="1"/>
  <c r="L223" i="1" l="1"/>
  <c r="L224" i="1" l="1"/>
  <c r="L225" i="1" l="1"/>
  <c r="L226" i="1" l="1"/>
  <c r="L227" i="1" l="1"/>
  <c r="L228" i="1" l="1"/>
  <c r="L229" i="1" l="1"/>
  <c r="L230" i="1" l="1"/>
  <c r="L231" i="1" l="1"/>
  <c r="L232" i="1" l="1"/>
  <c r="L233" i="1" l="1"/>
  <c r="L234" i="1" l="1"/>
  <c r="L235" i="1" l="1"/>
  <c r="L236" i="1" l="1"/>
  <c r="L237" i="1" l="1"/>
  <c r="L238" i="1" l="1"/>
  <c r="L239" i="1" l="1"/>
  <c r="L240" i="1" l="1"/>
  <c r="L241" i="1" l="1"/>
  <c r="L242" i="1" l="1"/>
  <c r="L243" i="1" l="1"/>
  <c r="L244" i="1" l="1"/>
  <c r="L245" i="1" l="1"/>
  <c r="L246" i="1" l="1"/>
  <c r="L247" i="1" l="1"/>
  <c r="L248" i="1" l="1"/>
  <c r="L249" i="1" l="1"/>
  <c r="L250" i="1" l="1"/>
  <c r="L251" i="1" l="1"/>
  <c r="L252" i="1" l="1"/>
  <c r="L253" i="1" l="1"/>
  <c r="L254" i="1" l="1"/>
  <c r="L255" i="1" l="1"/>
  <c r="L256" i="1" l="1"/>
  <c r="L257" i="1" l="1"/>
  <c r="L258" i="1" l="1"/>
  <c r="L259" i="1" l="1"/>
  <c r="L260" i="1" l="1"/>
  <c r="L261" i="1" l="1"/>
  <c r="L262" i="1" l="1"/>
  <c r="L263" i="1" l="1"/>
  <c r="L264" i="1" l="1"/>
  <c r="L265" i="1" l="1"/>
  <c r="L266" i="1" l="1"/>
  <c r="L267" i="1" l="1"/>
  <c r="L268" i="1" l="1"/>
  <c r="L269" i="1" l="1"/>
  <c r="L270" i="1" l="1"/>
  <c r="L271" i="1" l="1"/>
  <c r="L272" i="1" l="1"/>
  <c r="L273" i="1" l="1"/>
  <c r="L274" i="1" l="1"/>
  <c r="L275" i="1" l="1"/>
  <c r="L276" i="1" l="1"/>
  <c r="L277" i="1" l="1"/>
  <c r="L278" i="1" l="1"/>
  <c r="L279" i="1" l="1"/>
  <c r="L280" i="1" l="1"/>
  <c r="L281" i="1" l="1"/>
  <c r="L282" i="1" l="1"/>
  <c r="L283" i="1" l="1"/>
  <c r="L284" i="1" l="1"/>
  <c r="L285" i="1" l="1"/>
  <c r="L286" i="1" l="1"/>
  <c r="L287" i="1" l="1"/>
  <c r="L288" i="1" l="1"/>
  <c r="L289" i="1" l="1"/>
  <c r="L290" i="1" l="1"/>
  <c r="L291" i="1" l="1"/>
  <c r="L292" i="1" l="1"/>
  <c r="L293" i="1" l="1"/>
  <c r="L294" i="1" l="1"/>
  <c r="L295" i="1" l="1"/>
  <c r="L296" i="1" l="1"/>
  <c r="L297" i="1" l="1"/>
  <c r="L298" i="1" l="1"/>
  <c r="L299" i="1" l="1"/>
  <c r="L300" i="1" l="1"/>
  <c r="L301" i="1" l="1"/>
  <c r="L302" i="1" l="1"/>
  <c r="L303" i="1" l="1"/>
  <c r="L304" i="1" l="1"/>
  <c r="L305" i="1" l="1"/>
  <c r="L306" i="1" l="1"/>
  <c r="L307" i="1" l="1"/>
  <c r="L308" i="1" l="1"/>
  <c r="L309" i="1" l="1"/>
  <c r="L310" i="1" l="1"/>
  <c r="L311" i="1" l="1"/>
  <c r="L312" i="1" l="1"/>
  <c r="L313" i="1" l="1"/>
  <c r="L314" i="1" l="1"/>
  <c r="L315" i="1" l="1"/>
  <c r="L316" i="1" l="1"/>
  <c r="L317" i="1" l="1"/>
  <c r="L318" i="1" l="1"/>
  <c r="L319" i="1" l="1"/>
  <c r="L320" i="1" l="1"/>
  <c r="L321" i="1" l="1"/>
  <c r="L322" i="1" l="1"/>
  <c r="L323" i="1" l="1"/>
  <c r="L324" i="1" l="1"/>
  <c r="L325" i="1" l="1"/>
  <c r="L326" i="1" l="1"/>
  <c r="L327" i="1" l="1"/>
  <c r="L328" i="1" l="1"/>
  <c r="L329" i="1" l="1"/>
  <c r="L330" i="1" l="1"/>
  <c r="L331" i="1" l="1"/>
  <c r="L332" i="1" l="1"/>
  <c r="L333" i="1" l="1"/>
  <c r="L334" i="1" l="1"/>
  <c r="L335" i="1" l="1"/>
  <c r="L336" i="1" l="1"/>
  <c r="L337" i="1" l="1"/>
  <c r="L338" i="1" l="1"/>
  <c r="L339" i="1" l="1"/>
  <c r="L340" i="1" l="1"/>
  <c r="L341" i="1" l="1"/>
  <c r="L342" i="1" l="1"/>
  <c r="L343" i="1" l="1"/>
  <c r="L344" i="1" l="1"/>
  <c r="L345" i="1" l="1"/>
  <c r="L346" i="1" l="1"/>
  <c r="L347" i="1" l="1"/>
  <c r="L348" i="1" l="1"/>
  <c r="L349" i="1" l="1"/>
  <c r="L350" i="1" l="1"/>
  <c r="L351" i="1" l="1"/>
  <c r="L352" i="1" l="1"/>
  <c r="L353" i="1" l="1"/>
  <c r="L354" i="1" l="1"/>
  <c r="L355" i="1" l="1"/>
  <c r="L356" i="1" l="1"/>
  <c r="L357" i="1" l="1"/>
  <c r="L358" i="1" l="1"/>
  <c r="L359" i="1" l="1"/>
  <c r="L360" i="1" l="1"/>
  <c r="L361" i="1" l="1"/>
  <c r="L362" i="1" l="1"/>
  <c r="L363" i="1" l="1"/>
  <c r="L364" i="1" l="1"/>
  <c r="L365" i="1" l="1"/>
  <c r="L366" i="1" l="1"/>
  <c r="L367" i="1" l="1"/>
  <c r="L368" i="1" l="1"/>
  <c r="L369" i="1" l="1"/>
  <c r="L370" i="1" l="1"/>
  <c r="L371" i="1" l="1"/>
  <c r="L372" i="1" l="1"/>
  <c r="L373" i="1" l="1"/>
  <c r="L374" i="1" l="1"/>
  <c r="L375" i="1" l="1"/>
  <c r="L376" i="1" l="1"/>
  <c r="L377" i="1" l="1"/>
  <c r="L378" i="1" l="1"/>
  <c r="L379" i="1" l="1"/>
  <c r="L380" i="1" l="1"/>
  <c r="L381" i="1" l="1"/>
  <c r="L382" i="1" l="1"/>
  <c r="L383" i="1" l="1"/>
  <c r="L384" i="1" l="1"/>
  <c r="L385" i="1" l="1"/>
  <c r="L386" i="1" l="1"/>
  <c r="L387" i="1" l="1"/>
  <c r="L388" i="1" l="1"/>
  <c r="L389" i="1" l="1"/>
  <c r="L390" i="1" l="1"/>
  <c r="L391" i="1" l="1"/>
  <c r="L392" i="1" l="1"/>
  <c r="L393" i="1" l="1"/>
  <c r="L394" i="1" l="1"/>
  <c r="L395" i="1" l="1"/>
  <c r="L396" i="1" l="1"/>
  <c r="L397" i="1" l="1"/>
  <c r="L398" i="1" l="1"/>
  <c r="L399" i="1" l="1"/>
  <c r="L400" i="1" l="1"/>
  <c r="L401" i="1" l="1"/>
  <c r="L402" i="1" l="1"/>
  <c r="L403" i="1" l="1"/>
  <c r="L404" i="1" l="1"/>
  <c r="L405" i="1" l="1"/>
  <c r="L406" i="1" l="1"/>
  <c r="L407" i="1" l="1"/>
  <c r="L408" i="1" l="1"/>
  <c r="L409" i="1" l="1"/>
  <c r="L410" i="1" l="1"/>
  <c r="L411" i="1" l="1"/>
  <c r="L412" i="1" l="1"/>
  <c r="L413" i="1" l="1"/>
  <c r="L414" i="1" l="1"/>
  <c r="L415" i="1" l="1"/>
  <c r="L416" i="1" l="1"/>
  <c r="L417" i="1" l="1"/>
  <c r="L418" i="1" l="1"/>
  <c r="L419" i="1" l="1"/>
  <c r="L420" i="1" l="1"/>
  <c r="L421" i="1" l="1"/>
  <c r="L422" i="1" l="1"/>
  <c r="L423" i="1" l="1"/>
  <c r="L424" i="1" l="1"/>
  <c r="L425" i="1" l="1"/>
  <c r="L426" i="1" l="1"/>
  <c r="L427" i="1" l="1"/>
  <c r="L428" i="1" l="1"/>
  <c r="L429" i="1" l="1"/>
  <c r="L430" i="1" l="1"/>
  <c r="L431" i="1" l="1"/>
  <c r="L432" i="1" l="1"/>
  <c r="L433" i="1" l="1"/>
  <c r="L434" i="1" l="1"/>
  <c r="L435" i="1" l="1"/>
  <c r="L436" i="1" l="1"/>
  <c r="L437" i="1" l="1"/>
  <c r="L438" i="1" l="1"/>
  <c r="L439" i="1" l="1"/>
  <c r="L440" i="1" l="1"/>
  <c r="L441" i="1" l="1"/>
  <c r="L442" i="1" l="1"/>
  <c r="L443" i="1" l="1"/>
  <c r="L444" i="1" l="1"/>
  <c r="L445" i="1" l="1"/>
  <c r="L446" i="1" l="1"/>
  <c r="L447" i="1" l="1"/>
  <c r="L448" i="1" l="1"/>
  <c r="L449" i="1" l="1"/>
  <c r="L450" i="1" l="1"/>
  <c r="L451" i="1" l="1"/>
  <c r="L452" i="1" l="1"/>
  <c r="L453" i="1" l="1"/>
  <c r="L454" i="1" l="1"/>
  <c r="L455" i="1" l="1"/>
  <c r="L456" i="1" l="1"/>
  <c r="L457" i="1" l="1"/>
  <c r="L458" i="1" l="1"/>
  <c r="L459" i="1" l="1"/>
  <c r="L460" i="1" l="1"/>
  <c r="L461" i="1" l="1"/>
  <c r="L462" i="1" l="1"/>
  <c r="L463" i="1" l="1"/>
  <c r="L464" i="1" l="1"/>
  <c r="L465" i="1" l="1"/>
  <c r="L466" i="1" l="1"/>
  <c r="L467" i="1" l="1"/>
  <c r="L468" i="1" l="1"/>
  <c r="L469" i="1" l="1"/>
  <c r="L470" i="1" l="1"/>
  <c r="L471" i="1" l="1"/>
  <c r="L472" i="1" l="1"/>
  <c r="L473" i="1" l="1"/>
  <c r="L474" i="1" l="1"/>
  <c r="L475" i="1" l="1"/>
  <c r="L476" i="1" l="1"/>
  <c r="L477" i="1" l="1"/>
  <c r="L478" i="1" l="1"/>
  <c r="L479" i="1" l="1"/>
  <c r="L480" i="1" l="1"/>
  <c r="L481" i="1" l="1"/>
  <c r="L482" i="1" l="1"/>
  <c r="L483" i="1" l="1"/>
  <c r="L484" i="1" l="1"/>
  <c r="L485" i="1" l="1"/>
  <c r="L486" i="1" l="1"/>
  <c r="L487" i="1" l="1"/>
  <c r="L488" i="1" l="1"/>
  <c r="L489" i="1" l="1"/>
  <c r="L490" i="1" l="1"/>
  <c r="L491" i="1" l="1"/>
  <c r="L492" i="1" l="1"/>
  <c r="L493" i="1" l="1"/>
  <c r="L494" i="1" l="1"/>
  <c r="L495" i="1" l="1"/>
  <c r="L496" i="1" l="1"/>
  <c r="L497" i="1" l="1"/>
  <c r="L498" i="1" l="1"/>
  <c r="L499" i="1" l="1"/>
  <c r="L500" i="1" l="1"/>
  <c r="L501" i="1" l="1"/>
  <c r="L502" i="1" l="1"/>
  <c r="L503" i="1" l="1"/>
  <c r="L504" i="1" l="1"/>
  <c r="L505" i="1" l="1"/>
  <c r="L506" i="1" l="1"/>
  <c r="L507" i="1" l="1"/>
  <c r="L508" i="1" l="1"/>
  <c r="L509" i="1" l="1"/>
  <c r="L510" i="1" l="1"/>
  <c r="L511" i="1" l="1"/>
  <c r="L512" i="1" l="1"/>
  <c r="L513" i="1" l="1"/>
  <c r="L514" i="1" l="1"/>
  <c r="L515" i="1" l="1"/>
  <c r="L516" i="1" l="1"/>
  <c r="L517" i="1" l="1"/>
  <c r="L518" i="1" l="1"/>
  <c r="L519" i="1" l="1"/>
  <c r="L520" i="1" l="1"/>
  <c r="L521" i="1" l="1"/>
  <c r="L522" i="1" l="1"/>
  <c r="L523" i="1" l="1"/>
  <c r="L524" i="1" l="1"/>
  <c r="L525" i="1" l="1"/>
  <c r="L526" i="1" l="1"/>
  <c r="L527" i="1" l="1"/>
  <c r="L528" i="1" l="1"/>
  <c r="L529" i="1" l="1"/>
  <c r="L530" i="1" l="1"/>
  <c r="L531" i="1" l="1"/>
  <c r="L532" i="1" l="1"/>
  <c r="L533" i="1" l="1"/>
  <c r="L534" i="1" l="1"/>
  <c r="L535" i="1" l="1"/>
  <c r="L536" i="1" l="1"/>
  <c r="L537" i="1" l="1"/>
  <c r="L538" i="1" l="1"/>
  <c r="L539" i="1" l="1"/>
  <c r="L540" i="1" l="1"/>
  <c r="L541" i="1" l="1"/>
  <c r="L542" i="1" l="1"/>
  <c r="L543" i="1" l="1"/>
  <c r="L544" i="1" l="1"/>
  <c r="L545" i="1" l="1"/>
  <c r="L546" i="1" l="1"/>
  <c r="L547" i="1" l="1"/>
  <c r="L548" i="1" l="1"/>
  <c r="L549" i="1" l="1"/>
  <c r="L550" i="1" l="1"/>
  <c r="L551" i="1" l="1"/>
  <c r="L552" i="1" l="1"/>
  <c r="L553" i="1" l="1"/>
  <c r="L554" i="1" l="1"/>
  <c r="L555" i="1" l="1"/>
  <c r="L556" i="1" l="1"/>
  <c r="L557" i="1" l="1"/>
  <c r="L558" i="1" l="1"/>
  <c r="L559" i="1" l="1"/>
  <c r="L560" i="1" l="1"/>
  <c r="L561" i="1" l="1"/>
  <c r="L562" i="1" l="1"/>
  <c r="L563" i="1" l="1"/>
  <c r="L564" i="1" l="1"/>
  <c r="L565" i="1" l="1"/>
  <c r="L566" i="1" l="1"/>
  <c r="L567" i="1" l="1"/>
  <c r="L568" i="1" l="1"/>
  <c r="L569" i="1" l="1"/>
  <c r="L570" i="1" l="1"/>
  <c r="L571" i="1" l="1"/>
  <c r="L572" i="1" l="1"/>
  <c r="L573" i="1" l="1"/>
  <c r="L574" i="1" l="1"/>
  <c r="L575" i="1" l="1"/>
  <c r="L576" i="1" l="1"/>
  <c r="L577" i="1" l="1"/>
  <c r="L578" i="1" l="1"/>
  <c r="L579" i="1" l="1"/>
  <c r="L580" i="1" l="1"/>
  <c r="L581" i="1" l="1"/>
  <c r="L582" i="1" l="1"/>
  <c r="L583" i="1" l="1"/>
  <c r="L584" i="1" l="1"/>
  <c r="L585" i="1" l="1"/>
  <c r="L586" i="1" l="1"/>
  <c r="L587" i="1" l="1"/>
  <c r="L588" i="1" l="1"/>
  <c r="L589" i="1" l="1"/>
  <c r="L590" i="1" l="1"/>
  <c r="L591" i="1" l="1"/>
  <c r="L592" i="1" l="1"/>
  <c r="L593" i="1" l="1"/>
  <c r="L594" i="1" l="1"/>
  <c r="L595" i="1" l="1"/>
  <c r="L596" i="1" l="1"/>
  <c r="L597" i="1" l="1"/>
  <c r="L598" i="1" l="1"/>
  <c r="L599" i="1" l="1"/>
  <c r="L600" i="1" l="1"/>
  <c r="L601" i="1" l="1"/>
  <c r="L602" i="1" l="1"/>
  <c r="L603" i="1" l="1"/>
  <c r="L604" i="1" l="1"/>
  <c r="L605" i="1" l="1"/>
  <c r="L606" i="1" l="1"/>
  <c r="L607" i="1" l="1"/>
  <c r="L608" i="1" l="1"/>
  <c r="L609" i="1" l="1"/>
  <c r="L610" i="1" l="1"/>
  <c r="L611" i="1" l="1"/>
  <c r="L612" i="1" l="1"/>
  <c r="L613" i="1" l="1"/>
  <c r="L614" i="1" l="1"/>
  <c r="L615" i="1" l="1"/>
  <c r="L616" i="1" l="1"/>
  <c r="L617" i="1" l="1"/>
  <c r="L618" i="1" l="1"/>
  <c r="L619" i="1" l="1"/>
  <c r="L620" i="1" l="1"/>
  <c r="L621" i="1" l="1"/>
  <c r="L622" i="1" l="1"/>
  <c r="L623" i="1" l="1"/>
  <c r="L624" i="1" l="1"/>
  <c r="L625" i="1" l="1"/>
  <c r="L626" i="1" l="1"/>
  <c r="L627" i="1" l="1"/>
  <c r="L628" i="1" l="1"/>
  <c r="L629" i="1" l="1"/>
  <c r="L630" i="1" l="1"/>
  <c r="L631" i="1" l="1"/>
  <c r="L632" i="1" l="1"/>
  <c r="L633" i="1" l="1"/>
  <c r="L634" i="1" l="1"/>
  <c r="L635" i="1" l="1"/>
  <c r="L636" i="1" l="1"/>
  <c r="L637" i="1" l="1"/>
  <c r="L638" i="1" l="1"/>
  <c r="L639" i="1" l="1"/>
  <c r="L640" i="1" l="1"/>
  <c r="L641" i="1" l="1"/>
  <c r="L642" i="1" l="1"/>
  <c r="L643" i="1" l="1"/>
  <c r="L644" i="1" l="1"/>
  <c r="L645" i="1" l="1"/>
  <c r="L646" i="1" l="1"/>
  <c r="L647" i="1" l="1"/>
  <c r="L648" i="1" l="1"/>
  <c r="L649" i="1" l="1"/>
  <c r="L650" i="1" l="1"/>
  <c r="L651" i="1" l="1"/>
  <c r="L652" i="1" l="1"/>
  <c r="L653" i="1" l="1"/>
  <c r="L654" i="1" l="1"/>
  <c r="L655" i="1" l="1"/>
  <c r="L656" i="1" l="1"/>
  <c r="L657" i="1" l="1"/>
  <c r="L658" i="1" l="1"/>
  <c r="L659" i="1" l="1"/>
  <c r="L660" i="1" l="1"/>
  <c r="L661" i="1" l="1"/>
  <c r="L662" i="1" l="1"/>
  <c r="L663" i="1" l="1"/>
  <c r="L664" i="1" l="1"/>
  <c r="L665" i="1" l="1"/>
  <c r="L666" i="1" l="1"/>
  <c r="L667" i="1" l="1"/>
  <c r="L668" i="1" l="1"/>
  <c r="L669" i="1" l="1"/>
  <c r="L670" i="1" l="1"/>
  <c r="L671" i="1" l="1"/>
  <c r="L672" i="1" l="1"/>
  <c r="L673" i="1" l="1"/>
  <c r="L674" i="1" l="1"/>
  <c r="L675" i="1" l="1"/>
  <c r="L676" i="1" l="1"/>
  <c r="L677" i="1" l="1"/>
  <c r="L678" i="1" l="1"/>
  <c r="L679" i="1" l="1"/>
  <c r="L680" i="1" l="1"/>
  <c r="L681" i="1" l="1"/>
  <c r="L682" i="1" l="1"/>
  <c r="L683" i="1" l="1"/>
  <c r="L684" i="1" l="1"/>
  <c r="L685" i="1" l="1"/>
  <c r="L686" i="1" l="1"/>
  <c r="L687" i="1" l="1"/>
  <c r="L688" i="1" l="1"/>
  <c r="L689" i="1" l="1"/>
  <c r="L690" i="1" l="1"/>
  <c r="L691" i="1" l="1"/>
  <c r="L692" i="1" l="1"/>
  <c r="L693" i="1" l="1"/>
  <c r="L694" i="1" l="1"/>
  <c r="L695" i="1" l="1"/>
  <c r="L696" i="1" l="1"/>
  <c r="L697" i="1" l="1"/>
  <c r="L698" i="1" l="1"/>
  <c r="L699" i="1" l="1"/>
  <c r="L700" i="1" l="1"/>
  <c r="L701" i="1" l="1"/>
  <c r="L702" i="1" l="1"/>
  <c r="L703" i="1" l="1"/>
  <c r="L704" i="1" l="1"/>
  <c r="L705" i="1" l="1"/>
  <c r="L706" i="1" l="1"/>
  <c r="L707" i="1" l="1"/>
  <c r="L708" i="1" l="1"/>
  <c r="L709" i="1" l="1"/>
  <c r="L710" i="1" l="1"/>
  <c r="L711" i="1" l="1"/>
  <c r="L712" i="1" l="1"/>
  <c r="L713" i="1" l="1"/>
  <c r="L714" i="1" l="1"/>
  <c r="L715" i="1" l="1"/>
  <c r="L716" i="1" l="1"/>
  <c r="L717" i="1" l="1"/>
  <c r="L718" i="1" l="1"/>
  <c r="L719" i="1" l="1"/>
  <c r="L720" i="1" l="1"/>
  <c r="L721" i="1" l="1"/>
  <c r="L722" i="1" l="1"/>
  <c r="L723" i="1" l="1"/>
  <c r="L724" i="1" l="1"/>
  <c r="L725" i="1" l="1"/>
  <c r="L726" i="1" l="1"/>
  <c r="L727" i="1" l="1"/>
  <c r="L728" i="1" l="1"/>
  <c r="L729" i="1" l="1"/>
  <c r="L730" i="1" l="1"/>
  <c r="L731" i="1" l="1"/>
  <c r="L732" i="1" l="1"/>
  <c r="L733" i="1" l="1"/>
  <c r="L734" i="1" l="1"/>
  <c r="L735" i="1" l="1"/>
  <c r="L736" i="1" l="1"/>
  <c r="L737" i="1" l="1"/>
  <c r="L738" i="1" l="1"/>
  <c r="L739" i="1" l="1"/>
  <c r="L740" i="1" l="1"/>
  <c r="L741" i="1" l="1"/>
  <c r="L742" i="1" l="1"/>
  <c r="L743" i="1" l="1"/>
  <c r="L744" i="1" l="1"/>
  <c r="L745" i="1" l="1"/>
  <c r="L746" i="1" l="1"/>
  <c r="L747" i="1" l="1"/>
  <c r="L748" i="1" l="1"/>
  <c r="L749" i="1" l="1"/>
  <c r="L750" i="1" l="1"/>
  <c r="L751" i="1" l="1"/>
  <c r="L752" i="1" l="1"/>
  <c r="L753" i="1" l="1"/>
  <c r="L754" i="1" l="1"/>
  <c r="L755" i="1" l="1"/>
  <c r="L756" i="1" l="1"/>
  <c r="L757" i="1" l="1"/>
  <c r="L758" i="1" l="1"/>
  <c r="L759" i="1" l="1"/>
  <c r="L760" i="1" l="1"/>
  <c r="L761" i="1" l="1"/>
  <c r="L762" i="1" l="1"/>
  <c r="L763" i="1" l="1"/>
  <c r="L764" i="1" l="1"/>
  <c r="L765" i="1" l="1"/>
  <c r="L766" i="1" l="1"/>
  <c r="L767" i="1" l="1"/>
  <c r="L768" i="1" l="1"/>
  <c r="L769" i="1" l="1"/>
  <c r="L770" i="1" l="1"/>
  <c r="L771" i="1" l="1"/>
  <c r="L772" i="1" l="1"/>
  <c r="L773" i="1" l="1"/>
  <c r="L774" i="1" l="1"/>
  <c r="L775" i="1" l="1"/>
  <c r="L776" i="1" l="1"/>
  <c r="L777" i="1" l="1"/>
  <c r="L778" i="1" l="1"/>
  <c r="L779" i="1" l="1"/>
  <c r="L780" i="1" l="1"/>
  <c r="L781" i="1" l="1"/>
  <c r="L782" i="1" l="1"/>
  <c r="L783" i="1" l="1"/>
  <c r="L784" i="1" l="1"/>
  <c r="L785" i="1" l="1"/>
  <c r="L786" i="1" l="1"/>
  <c r="L787" i="1" l="1"/>
  <c r="L788" i="1" l="1"/>
  <c r="L789" i="1" l="1"/>
  <c r="L790" i="1" l="1"/>
  <c r="L791" i="1" l="1"/>
  <c r="L792" i="1" l="1"/>
  <c r="L793" i="1" l="1"/>
  <c r="L794" i="1" l="1"/>
  <c r="L795" i="1" l="1"/>
  <c r="L796" i="1" l="1"/>
  <c r="L797" i="1" l="1"/>
  <c r="L798" i="1" l="1"/>
  <c r="L799" i="1" l="1"/>
  <c r="L800" i="1" l="1"/>
  <c r="L801" i="1" l="1"/>
  <c r="L802" i="1" l="1"/>
  <c r="L803" i="1" l="1"/>
  <c r="L804" i="1" l="1"/>
  <c r="L805" i="1" l="1"/>
  <c r="L806" i="1" l="1"/>
  <c r="L807" i="1" l="1"/>
  <c r="L808" i="1" l="1"/>
  <c r="L809" i="1" l="1"/>
  <c r="L810" i="1" l="1"/>
  <c r="L811" i="1" l="1"/>
  <c r="L812" i="1" l="1"/>
  <c r="L813" i="1" l="1"/>
  <c r="L814" i="1" l="1"/>
  <c r="L815" i="1" l="1"/>
  <c r="L816" i="1" l="1"/>
  <c r="L817" i="1" l="1"/>
  <c r="L818" i="1" l="1"/>
  <c r="L819" i="1" l="1"/>
  <c r="L820" i="1" l="1"/>
  <c r="L821" i="1" l="1"/>
  <c r="L822" i="1" l="1"/>
  <c r="L823" i="1" l="1"/>
  <c r="L824" i="1" l="1"/>
  <c r="L825" i="1" l="1"/>
  <c r="L826" i="1" l="1"/>
  <c r="L827" i="1" l="1"/>
  <c r="L828" i="1" l="1"/>
  <c r="L829" i="1" l="1"/>
  <c r="L830" i="1" l="1"/>
  <c r="L831" i="1" l="1"/>
  <c r="L832" i="1" l="1"/>
  <c r="L833" i="1" l="1"/>
  <c r="L834" i="1" l="1"/>
  <c r="L835" i="1" l="1"/>
  <c r="L836" i="1" l="1"/>
  <c r="L837" i="1" l="1"/>
  <c r="L838" i="1" l="1"/>
  <c r="L839" i="1" l="1"/>
  <c r="L840" i="1" l="1"/>
  <c r="L841" i="1" l="1"/>
  <c r="L842" i="1" l="1"/>
  <c r="L843" i="1" l="1"/>
  <c r="L844" i="1" l="1"/>
  <c r="L845" i="1" l="1"/>
  <c r="L846" i="1" l="1"/>
  <c r="L847" i="1" l="1"/>
  <c r="L848" i="1" l="1"/>
  <c r="L849" i="1" l="1"/>
  <c r="L850" i="1" l="1"/>
  <c r="L851" i="1" l="1"/>
  <c r="L852" i="1" l="1"/>
  <c r="L853" i="1" l="1"/>
  <c r="L854" i="1" l="1"/>
  <c r="L855" i="1" l="1"/>
  <c r="L856" i="1" l="1"/>
  <c r="L857" i="1" l="1"/>
  <c r="L858" i="1" l="1"/>
  <c r="L859" i="1" l="1"/>
  <c r="L860" i="1" l="1"/>
  <c r="L861" i="1" l="1"/>
  <c r="L862" i="1" l="1"/>
  <c r="L863" i="1" l="1"/>
  <c r="L864" i="1" l="1"/>
  <c r="L865" i="1" l="1"/>
  <c r="L866" i="1" l="1"/>
  <c r="L867" i="1" l="1"/>
  <c r="L868" i="1" l="1"/>
  <c r="L869" i="1" l="1"/>
  <c r="L870" i="1" l="1"/>
  <c r="L871" i="1" l="1"/>
  <c r="L872" i="1" l="1"/>
  <c r="L873" i="1" l="1"/>
  <c r="L874" i="1" l="1"/>
  <c r="L875" i="1" l="1"/>
  <c r="L876" i="1" l="1"/>
  <c r="L877" i="1" l="1"/>
  <c r="L878" i="1" l="1"/>
  <c r="L879" i="1" l="1"/>
  <c r="L880" i="1" l="1"/>
  <c r="L881" i="1" l="1"/>
  <c r="L882" i="1" l="1"/>
  <c r="L883" i="1" l="1"/>
  <c r="L884" i="1" l="1"/>
  <c r="L885" i="1" l="1"/>
  <c r="L886" i="1" l="1"/>
  <c r="L887" i="1" l="1"/>
  <c r="L888" i="1" l="1"/>
  <c r="L889" i="1" l="1"/>
  <c r="L890" i="1" l="1"/>
  <c r="L891" i="1" l="1"/>
  <c r="L892" i="1" l="1"/>
  <c r="L893" i="1" l="1"/>
  <c r="L894" i="1" l="1"/>
  <c r="L895" i="1" l="1"/>
  <c r="L896" i="1" l="1"/>
  <c r="L897" i="1" l="1"/>
  <c r="L898" i="1" l="1"/>
  <c r="L899" i="1" l="1"/>
  <c r="L900" i="1" l="1"/>
  <c r="L901" i="1" l="1"/>
  <c r="L902" i="1" l="1"/>
  <c r="L903" i="1" l="1"/>
  <c r="L904" i="1" l="1"/>
  <c r="L905" i="1" l="1"/>
  <c r="L906" i="1" l="1"/>
  <c r="L907" i="1" l="1"/>
  <c r="L908" i="1" l="1"/>
  <c r="L909" i="1" l="1"/>
  <c r="L910" i="1" l="1"/>
  <c r="L911" i="1" l="1"/>
  <c r="L912" i="1" l="1"/>
  <c r="L913" i="1" l="1"/>
  <c r="L914" i="1" l="1"/>
  <c r="L915" i="1" l="1"/>
  <c r="L916" i="1" l="1"/>
  <c r="L917" i="1" l="1"/>
  <c r="L918" i="1" l="1"/>
  <c r="L919" i="1" l="1"/>
  <c r="L920" i="1" l="1"/>
  <c r="L921" i="1" l="1"/>
  <c r="L922" i="1" l="1"/>
  <c r="L923" i="1" l="1"/>
  <c r="L924" i="1" l="1"/>
  <c r="L925" i="1" l="1"/>
  <c r="L926" i="1" l="1"/>
  <c r="L927" i="1" l="1"/>
  <c r="L928" i="1" l="1"/>
  <c r="L929" i="1" l="1"/>
  <c r="L930" i="1" l="1"/>
  <c r="L931" i="1" l="1"/>
  <c r="L932" i="1" l="1"/>
  <c r="L933" i="1" l="1"/>
  <c r="L934" i="1" l="1"/>
  <c r="L935" i="1" l="1"/>
  <c r="L936" i="1" l="1"/>
  <c r="L937" i="1" l="1"/>
  <c r="L938" i="1" l="1"/>
  <c r="L939" i="1" l="1"/>
  <c r="L940" i="1" l="1"/>
  <c r="L941" i="1" l="1"/>
  <c r="L942" i="1" l="1"/>
  <c r="L943" i="1" l="1"/>
  <c r="L944" i="1" l="1"/>
  <c r="L945" i="1" l="1"/>
  <c r="L946" i="1" l="1"/>
  <c r="L947" i="1" l="1"/>
  <c r="L948" i="1" l="1"/>
  <c r="L949" i="1" l="1"/>
  <c r="L950" i="1" l="1"/>
  <c r="L951" i="1" l="1"/>
  <c r="L952" i="1" l="1"/>
  <c r="L953" i="1" l="1"/>
  <c r="L954" i="1" l="1"/>
  <c r="L955" i="1" l="1"/>
  <c r="L956" i="1" l="1"/>
  <c r="L957" i="1" l="1"/>
  <c r="L958" i="1" l="1"/>
  <c r="L959" i="1" l="1"/>
  <c r="L960" i="1" l="1"/>
  <c r="L961" i="1" l="1"/>
  <c r="L962" i="1" l="1"/>
  <c r="L963" i="1" l="1"/>
  <c r="L964" i="1" l="1"/>
  <c r="L965" i="1" l="1"/>
  <c r="L966" i="1" l="1"/>
  <c r="L967" i="1" l="1"/>
  <c r="L968" i="1" l="1"/>
  <c r="L969" i="1" l="1"/>
  <c r="L970" i="1" l="1"/>
  <c r="L971" i="1" l="1"/>
  <c r="L972" i="1" l="1"/>
  <c r="L973" i="1" l="1"/>
  <c r="L974" i="1" l="1"/>
  <c r="L975" i="1" l="1"/>
  <c r="L976" i="1" l="1"/>
  <c r="L977" i="1" l="1"/>
  <c r="L978" i="1" l="1"/>
  <c r="L979" i="1" l="1"/>
  <c r="L980" i="1" l="1"/>
  <c r="L981" i="1" l="1"/>
  <c r="L982" i="1" l="1"/>
  <c r="L983" i="1" l="1"/>
  <c r="L984" i="1" l="1"/>
  <c r="L985" i="1" l="1"/>
  <c r="L986" i="1" l="1"/>
  <c r="L987" i="1" l="1"/>
  <c r="L988" i="1" l="1"/>
  <c r="L989" i="1" l="1"/>
  <c r="L990" i="1" l="1"/>
  <c r="L991" i="1" l="1"/>
  <c r="L992" i="1" l="1"/>
  <c r="L993" i="1" l="1"/>
  <c r="L994" i="1" l="1"/>
  <c r="L995" i="1" l="1"/>
  <c r="L996" i="1" l="1"/>
  <c r="L997" i="1" l="1"/>
  <c r="L998" i="1" l="1"/>
  <c r="L999" i="1" l="1"/>
  <c r="L1000" i="1" l="1"/>
  <c r="L1001" i="1" l="1"/>
  <c r="L1002" i="1" l="1"/>
  <c r="L1003" i="1" l="1"/>
  <c r="L1004" i="1" l="1"/>
  <c r="L1005" i="1" l="1"/>
  <c r="L1006" i="1" l="1"/>
  <c r="L1007" i="1" l="1"/>
  <c r="L1008" i="1" l="1"/>
  <c r="L1009" i="1" l="1"/>
  <c r="L1010" i="1" l="1"/>
  <c r="L1011" i="1" l="1"/>
  <c r="L1012" i="1" l="1"/>
  <c r="L1013" i="1" l="1"/>
  <c r="L1014" i="1" l="1"/>
  <c r="L1015" i="1" l="1"/>
  <c r="L1016" i="1" l="1"/>
  <c r="L1017" i="1" l="1"/>
  <c r="L1018" i="1" l="1"/>
  <c r="L1019" i="1" l="1"/>
  <c r="L1020" i="1" l="1"/>
  <c r="L1021" i="1" l="1"/>
  <c r="L1022" i="1" l="1"/>
  <c r="L1023" i="1" l="1"/>
  <c r="L1024" i="1" l="1"/>
  <c r="L1025" i="1" l="1"/>
  <c r="L1026" i="1" l="1"/>
  <c r="L1027" i="1" l="1"/>
  <c r="L1028" i="1" l="1"/>
  <c r="L1029" i="1" l="1"/>
  <c r="L1030" i="1" l="1"/>
  <c r="L1031" i="1" l="1"/>
  <c r="L1032" i="1" l="1"/>
  <c r="L1033" i="1" l="1"/>
  <c r="L1034" i="1" l="1"/>
  <c r="L1035" i="1" l="1"/>
  <c r="L1036" i="1" l="1"/>
  <c r="L1037" i="1" l="1"/>
  <c r="L1038" i="1" l="1"/>
  <c r="L1039" i="1" l="1"/>
  <c r="L1040" i="1" l="1"/>
  <c r="L1041" i="1" l="1"/>
  <c r="L1042" i="1" l="1"/>
  <c r="L1043" i="1" l="1"/>
  <c r="L1044" i="1" l="1"/>
  <c r="L1045" i="1" l="1"/>
  <c r="L1046" i="1" l="1"/>
  <c r="L1047" i="1" l="1"/>
  <c r="L1048" i="1" l="1"/>
  <c r="L1049" i="1" l="1"/>
  <c r="L1050" i="1" l="1"/>
  <c r="L1051" i="1" l="1"/>
  <c r="L1052" i="1" l="1"/>
  <c r="L1053" i="1" l="1"/>
  <c r="L1054" i="1" l="1"/>
  <c r="L1055" i="1" l="1"/>
  <c r="L1056" i="1" l="1"/>
  <c r="L1057" i="1" l="1"/>
  <c r="L1058" i="1" l="1"/>
  <c r="L1059" i="1" l="1"/>
  <c r="L1060" i="1" l="1"/>
  <c r="L1061" i="1" l="1"/>
  <c r="L1062" i="1" l="1"/>
  <c r="L1063" i="1" l="1"/>
  <c r="L1064" i="1" l="1"/>
  <c r="L1065" i="1" l="1"/>
  <c r="L1066" i="1" l="1"/>
  <c r="L1067" i="1" l="1"/>
  <c r="L1068" i="1" l="1"/>
  <c r="L1069" i="1" l="1"/>
  <c r="L1070" i="1" l="1"/>
  <c r="L1071" i="1" l="1"/>
  <c r="L1072" i="1" l="1"/>
  <c r="L1073" i="1" l="1"/>
  <c r="L1074" i="1" l="1"/>
  <c r="L1075" i="1" l="1"/>
  <c r="L1076" i="1" l="1"/>
  <c r="L1077" i="1" l="1"/>
  <c r="L1078" i="1" l="1"/>
  <c r="L1079" i="1" l="1"/>
  <c r="L1080" i="1" l="1"/>
  <c r="L1081" i="1" l="1"/>
  <c r="L1082" i="1" l="1"/>
  <c r="L1083" i="1" l="1"/>
  <c r="L1084" i="1" l="1"/>
  <c r="L1085" i="1" l="1"/>
  <c r="L1086" i="1" l="1"/>
  <c r="L1087" i="1" l="1"/>
  <c r="L1088" i="1" l="1"/>
  <c r="L1089" i="1" l="1"/>
  <c r="L1090" i="1" l="1"/>
  <c r="L1091" i="1" l="1"/>
  <c r="L1092" i="1" l="1"/>
  <c r="L1093" i="1" l="1"/>
  <c r="L1094" i="1" l="1"/>
  <c r="L1095" i="1" l="1"/>
  <c r="L1096" i="1" l="1"/>
  <c r="L1097" i="1" l="1"/>
  <c r="L1098" i="1" l="1"/>
  <c r="L1099" i="1" l="1"/>
  <c r="L1100" i="1" l="1"/>
  <c r="L1101" i="1" l="1"/>
  <c r="L1102" i="1" l="1"/>
  <c r="L1103" i="1" l="1"/>
  <c r="L1104" i="1" l="1"/>
  <c r="L1105" i="1" l="1"/>
  <c r="L1106" i="1" l="1"/>
  <c r="L1107" i="1" l="1"/>
  <c r="L1108" i="1" l="1"/>
  <c r="L1109" i="1" l="1"/>
  <c r="L1110" i="1" l="1"/>
  <c r="L1111" i="1" l="1"/>
  <c r="L1112" i="1" l="1"/>
  <c r="L1113" i="1" l="1"/>
  <c r="L1114" i="1" l="1"/>
  <c r="L1115" i="1" l="1"/>
  <c r="L1116" i="1" l="1"/>
  <c r="L1117" i="1" l="1"/>
  <c r="L1118" i="1" l="1"/>
  <c r="L1119" i="1" l="1"/>
  <c r="L1120" i="1" l="1"/>
  <c r="L1121" i="1" l="1"/>
  <c r="L1122" i="1" l="1"/>
  <c r="L1123" i="1" l="1"/>
  <c r="L1124" i="1" l="1"/>
  <c r="L1125" i="1" l="1"/>
  <c r="L1126" i="1" l="1"/>
  <c r="L1127" i="1" l="1"/>
  <c r="L1128" i="1" l="1"/>
  <c r="L1129" i="1" l="1"/>
  <c r="L1130" i="1" l="1"/>
  <c r="L1131" i="1" l="1"/>
  <c r="L1132" i="1" l="1"/>
  <c r="L1133" i="1" l="1"/>
  <c r="L1134" i="1" l="1"/>
  <c r="L1135" i="1" l="1"/>
  <c r="L1136" i="1" l="1"/>
  <c r="L1137" i="1" l="1"/>
  <c r="L1138" i="1" l="1"/>
  <c r="L1139" i="1" l="1"/>
  <c r="L1140" i="1" l="1"/>
  <c r="L1141" i="1" l="1"/>
  <c r="L1142" i="1" l="1"/>
  <c r="L1143" i="1" l="1"/>
  <c r="L1144" i="1" l="1"/>
  <c r="L1145" i="1" l="1"/>
  <c r="L1146" i="1" l="1"/>
  <c r="L1147" i="1" l="1"/>
  <c r="L1148" i="1" l="1"/>
  <c r="L1149" i="1" l="1"/>
  <c r="L1150" i="1" l="1"/>
  <c r="L1151" i="1" l="1"/>
  <c r="L1152" i="1" l="1"/>
  <c r="L1153" i="1" l="1"/>
  <c r="L1154" i="1" l="1"/>
  <c r="L1155" i="1" l="1"/>
  <c r="L1156" i="1" l="1"/>
  <c r="L1157" i="1" l="1"/>
  <c r="L1158" i="1" l="1"/>
  <c r="L1159" i="1" l="1"/>
  <c r="L1160" i="1" l="1"/>
  <c r="L1161" i="1" l="1"/>
  <c r="L1162" i="1" l="1"/>
  <c r="L1163" i="1" l="1"/>
  <c r="L1164" i="1" l="1"/>
  <c r="L1165" i="1" l="1"/>
  <c r="L1166" i="1" l="1"/>
  <c r="L1167" i="1" l="1"/>
  <c r="L1168" i="1" l="1"/>
  <c r="L1169" i="1" l="1"/>
  <c r="L1170" i="1" l="1"/>
  <c r="L1171" i="1" l="1"/>
  <c r="L1172" i="1" l="1"/>
  <c r="L1173" i="1" l="1"/>
  <c r="L1174" i="1" l="1"/>
  <c r="L1175" i="1" l="1"/>
  <c r="L1176" i="1" l="1"/>
  <c r="L1177" i="1" l="1"/>
  <c r="L1178" i="1" l="1"/>
  <c r="L1179" i="1" l="1"/>
  <c r="L1180" i="1" l="1"/>
  <c r="L1181" i="1" l="1"/>
  <c r="L1182" i="1" l="1"/>
  <c r="L1183" i="1" l="1"/>
  <c r="L1184" i="1" l="1"/>
  <c r="L1185" i="1" l="1"/>
  <c r="L1186" i="1" l="1"/>
  <c r="L1187" i="1" l="1"/>
  <c r="L1188" i="1" l="1"/>
  <c r="L1189" i="1" l="1"/>
  <c r="L1190" i="1" l="1"/>
  <c r="L1191" i="1" l="1"/>
  <c r="L1192" i="1" l="1"/>
  <c r="L1193" i="1" l="1"/>
  <c r="L1194" i="1" l="1"/>
  <c r="L1195" i="1" l="1"/>
  <c r="L1196" i="1" l="1"/>
  <c r="L1197" i="1" l="1"/>
  <c r="L1198" i="1" l="1"/>
  <c r="L1199" i="1" l="1"/>
  <c r="L1200" i="1" l="1"/>
  <c r="L1201" i="1" l="1"/>
  <c r="L1202" i="1" l="1"/>
  <c r="L1203" i="1" l="1"/>
  <c r="L1204" i="1" l="1"/>
  <c r="L1205" i="1" l="1"/>
  <c r="L1206" i="1" l="1"/>
  <c r="L1207" i="1" l="1"/>
  <c r="L1208" i="1" l="1"/>
  <c r="L1209" i="1" l="1"/>
  <c r="L1210" i="1" l="1"/>
  <c r="L1211" i="1" l="1"/>
  <c r="L1212" i="1" l="1"/>
  <c r="L1213" i="1" l="1"/>
  <c r="L1214" i="1" l="1"/>
  <c r="L1215" i="1" l="1"/>
  <c r="L1216" i="1" l="1"/>
  <c r="L1217" i="1" l="1"/>
  <c r="L1218" i="1" l="1"/>
  <c r="L1219" i="1" l="1"/>
  <c r="L1220" i="1" l="1"/>
  <c r="L1221" i="1" l="1"/>
  <c r="L1222" i="1" l="1"/>
  <c r="L1223" i="1" l="1"/>
  <c r="L1224" i="1" l="1"/>
  <c r="L1225" i="1" l="1"/>
  <c r="L1226" i="1" l="1"/>
  <c r="L1227" i="1" l="1"/>
  <c r="L1228" i="1" l="1"/>
  <c r="L1229" i="1" l="1"/>
  <c r="L1230" i="1" l="1"/>
  <c r="L1231" i="1" l="1"/>
  <c r="L1232" i="1" l="1"/>
  <c r="L1233" i="1" l="1"/>
  <c r="L1234" i="1" l="1"/>
  <c r="L1235" i="1" l="1"/>
  <c r="L1236" i="1" l="1"/>
  <c r="L1237" i="1" l="1"/>
  <c r="L1238" i="1" l="1"/>
  <c r="L1239" i="1" l="1"/>
  <c r="L1240" i="1" l="1"/>
  <c r="L1241" i="1" l="1"/>
  <c r="L1242" i="1" l="1"/>
  <c r="L1243" i="1" l="1"/>
  <c r="L1244" i="1" l="1"/>
  <c r="L1245" i="1" l="1"/>
  <c r="L1246" i="1" l="1"/>
  <c r="L1247" i="1" l="1"/>
  <c r="L1248" i="1" l="1"/>
  <c r="L1249" i="1" l="1"/>
  <c r="L1250" i="1" l="1"/>
  <c r="L1251" i="1" l="1"/>
  <c r="L1252" i="1" l="1"/>
  <c r="L1253" i="1" l="1"/>
  <c r="L1254" i="1" l="1"/>
  <c r="L1255" i="1" l="1"/>
  <c r="L1256" i="1" l="1"/>
  <c r="L1257" i="1" l="1"/>
  <c r="L1258" i="1" l="1"/>
  <c r="L1259" i="1" l="1"/>
  <c r="L1260" i="1" l="1"/>
  <c r="L1261" i="1" l="1"/>
  <c r="L1262" i="1" l="1"/>
  <c r="L1263" i="1" l="1"/>
  <c r="L1264" i="1" l="1"/>
  <c r="L1265" i="1" l="1"/>
  <c r="L1266" i="1" l="1"/>
  <c r="L1267" i="1" l="1"/>
  <c r="L1268" i="1" l="1"/>
  <c r="L1269" i="1" l="1"/>
  <c r="L1270" i="1" l="1"/>
  <c r="L1271" i="1" l="1"/>
  <c r="L1272" i="1" l="1"/>
  <c r="L1273" i="1" l="1"/>
  <c r="L1274" i="1" l="1"/>
  <c r="L1275" i="1" l="1"/>
  <c r="L1276" i="1" l="1"/>
  <c r="L1277" i="1" l="1"/>
  <c r="L1278" i="1" l="1"/>
  <c r="L1279" i="1" l="1"/>
  <c r="L1280" i="1" l="1"/>
  <c r="L1281" i="1" l="1"/>
  <c r="L1282" i="1" l="1"/>
  <c r="L1283" i="1" l="1"/>
  <c r="L1284" i="1" l="1"/>
  <c r="L1285" i="1" l="1"/>
  <c r="L1286" i="1" l="1"/>
  <c r="L1287" i="1" l="1"/>
  <c r="L1288" i="1" l="1"/>
  <c r="L1289" i="1" l="1"/>
  <c r="L1290" i="1" l="1"/>
  <c r="L1291" i="1" l="1"/>
  <c r="L1292" i="1" l="1"/>
  <c r="L1293" i="1" l="1"/>
  <c r="L1294" i="1" l="1"/>
  <c r="L1295" i="1" l="1"/>
  <c r="L1296" i="1" l="1"/>
  <c r="L1297" i="1" l="1"/>
  <c r="L1298" i="1" l="1"/>
  <c r="L1299" i="1" l="1"/>
  <c r="L1300" i="1" l="1"/>
  <c r="L1301" i="1" l="1"/>
  <c r="L1302" i="1" l="1"/>
  <c r="L1303" i="1" l="1"/>
  <c r="L1304" i="1" l="1"/>
  <c r="L1305" i="1" l="1"/>
  <c r="L1306" i="1" l="1"/>
  <c r="L1307" i="1" l="1"/>
  <c r="L1308" i="1" l="1"/>
  <c r="L1309" i="1" l="1"/>
  <c r="L1310" i="1" l="1"/>
  <c r="L1311" i="1" l="1"/>
  <c r="L1312" i="1" l="1"/>
  <c r="L1313" i="1" l="1"/>
  <c r="L1314" i="1" l="1"/>
  <c r="L1315" i="1" l="1"/>
  <c r="L1316" i="1" l="1"/>
  <c r="L1317" i="1" l="1"/>
  <c r="L1318" i="1" l="1"/>
  <c r="L1319" i="1" l="1"/>
  <c r="L1320" i="1" l="1"/>
  <c r="L1321" i="1" l="1"/>
  <c r="L1322" i="1" l="1"/>
  <c r="L1323" i="1" l="1"/>
  <c r="L1324" i="1" l="1"/>
  <c r="L1325" i="1" l="1"/>
  <c r="L1326" i="1" l="1"/>
  <c r="L1327" i="1" l="1"/>
  <c r="L1328" i="1" l="1"/>
  <c r="L1329" i="1" l="1"/>
  <c r="L1330" i="1" l="1"/>
  <c r="L1331" i="1" l="1"/>
  <c r="L1332" i="1" l="1"/>
  <c r="L1333" i="1" l="1"/>
  <c r="L1334" i="1" l="1"/>
  <c r="L1335" i="1" l="1"/>
  <c r="L1336" i="1" l="1"/>
  <c r="L1337" i="1" l="1"/>
  <c r="L1338" i="1" l="1"/>
  <c r="L1339" i="1" l="1"/>
  <c r="L1340" i="1" l="1"/>
  <c r="L1341" i="1" l="1"/>
  <c r="L1342" i="1" l="1"/>
  <c r="L1343" i="1" l="1"/>
  <c r="L1344" i="1" l="1"/>
  <c r="L1345" i="1" l="1"/>
  <c r="L1346" i="1" l="1"/>
  <c r="L1347" i="1" l="1"/>
  <c r="L1348" i="1" l="1"/>
  <c r="L1349" i="1" l="1"/>
  <c r="L1350" i="1" l="1"/>
  <c r="L1351" i="1" l="1"/>
  <c r="L1352" i="1" l="1"/>
  <c r="L1353" i="1" l="1"/>
  <c r="L1354" i="1" l="1"/>
  <c r="L1355" i="1" l="1"/>
  <c r="L1356" i="1" l="1"/>
  <c r="L1357" i="1" l="1"/>
  <c r="L1358" i="1" l="1"/>
  <c r="L1359" i="1" l="1"/>
  <c r="L1360" i="1" l="1"/>
  <c r="L1361" i="1" l="1"/>
  <c r="L1362" i="1" l="1"/>
  <c r="L1363" i="1" l="1"/>
  <c r="L1364" i="1" l="1"/>
  <c r="L1365" i="1" l="1"/>
  <c r="L1366" i="1" l="1"/>
  <c r="L1367" i="1" l="1"/>
  <c r="L1368" i="1" l="1"/>
  <c r="L1369" i="1" l="1"/>
  <c r="L1370" i="1" l="1"/>
  <c r="L1371" i="1" l="1"/>
  <c r="L1372" i="1" l="1"/>
  <c r="L1373" i="1" l="1"/>
  <c r="L1374" i="1" l="1"/>
  <c r="L1375" i="1" l="1"/>
  <c r="L1376" i="1" l="1"/>
  <c r="L1377" i="1" l="1"/>
  <c r="L1378" i="1" l="1"/>
  <c r="L1379" i="1" l="1"/>
  <c r="L1380" i="1" l="1"/>
  <c r="L1381" i="1" l="1"/>
  <c r="L1382" i="1" l="1"/>
  <c r="L1383" i="1" l="1"/>
  <c r="L1384" i="1" l="1"/>
  <c r="L1385" i="1" l="1"/>
  <c r="L1386" i="1" l="1"/>
  <c r="L1387" i="1" l="1"/>
  <c r="L1388" i="1" l="1"/>
  <c r="L1389" i="1" l="1"/>
  <c r="L1390" i="1" l="1"/>
  <c r="L1391" i="1" l="1"/>
  <c r="L1392" i="1" l="1"/>
  <c r="L1393" i="1" l="1"/>
  <c r="L1394" i="1" l="1"/>
  <c r="L1395" i="1" l="1"/>
  <c r="L1396" i="1" l="1"/>
  <c r="L1397" i="1" l="1"/>
  <c r="L1398" i="1" l="1"/>
  <c r="L1399" i="1" l="1"/>
  <c r="L1400" i="1" l="1"/>
  <c r="L1401" i="1" l="1"/>
  <c r="L1402" i="1" l="1"/>
  <c r="L1403" i="1" l="1"/>
  <c r="L1404" i="1" l="1"/>
  <c r="L1405" i="1" l="1"/>
  <c r="L1406" i="1" l="1"/>
  <c r="L1407" i="1" l="1"/>
  <c r="L1408" i="1" l="1"/>
  <c r="L1409" i="1" l="1"/>
  <c r="L1410" i="1" l="1"/>
  <c r="L1411" i="1" l="1"/>
  <c r="L1412" i="1" l="1"/>
  <c r="L1413" i="1" l="1"/>
  <c r="L1414" i="1" l="1"/>
  <c r="L1415" i="1" l="1"/>
  <c r="L1416" i="1" l="1"/>
  <c r="L1417" i="1" l="1"/>
  <c r="L1418" i="1" l="1"/>
  <c r="L1419" i="1" l="1"/>
  <c r="L1420" i="1" l="1"/>
  <c r="L1421" i="1" l="1"/>
  <c r="L1422" i="1" l="1"/>
  <c r="L1423" i="1" l="1"/>
  <c r="L1424" i="1" l="1"/>
  <c r="L1425" i="1" l="1"/>
  <c r="L1426" i="1" l="1"/>
  <c r="L1427" i="1" l="1"/>
  <c r="L1428" i="1" l="1"/>
  <c r="L1429" i="1" l="1"/>
  <c r="L1430" i="1" l="1"/>
  <c r="L1431" i="1" l="1"/>
  <c r="L1432" i="1" l="1"/>
  <c r="L1433" i="1" l="1"/>
  <c r="L1434" i="1" l="1"/>
  <c r="L1435" i="1" l="1"/>
  <c r="L1436" i="1" l="1"/>
  <c r="L1437" i="1" l="1"/>
  <c r="L1438" i="1" l="1"/>
  <c r="L1439" i="1" l="1"/>
  <c r="L1440" i="1" l="1"/>
  <c r="L1441" i="1" l="1"/>
  <c r="L1442" i="1" l="1"/>
  <c r="L1443" i="1" l="1"/>
  <c r="L1444" i="1" l="1"/>
  <c r="L1445" i="1" l="1"/>
  <c r="L1446" i="1" l="1"/>
  <c r="L1447" i="1" l="1"/>
  <c r="L1448" i="1" l="1"/>
  <c r="L1449" i="1" l="1"/>
  <c r="L1450" i="1" l="1"/>
  <c r="L1451" i="1" l="1"/>
  <c r="L1452" i="1" l="1"/>
  <c r="L1453" i="1" l="1"/>
  <c r="L1454" i="1" l="1"/>
  <c r="L1455" i="1" l="1"/>
  <c r="L1456" i="1" l="1"/>
  <c r="L1457" i="1" l="1"/>
  <c r="L1458" i="1" l="1"/>
  <c r="L1459" i="1" l="1"/>
  <c r="L1460" i="1" l="1"/>
  <c r="L1461" i="1" l="1"/>
  <c r="L1462" i="1" l="1"/>
  <c r="L1463" i="1" l="1"/>
  <c r="L1464" i="1" l="1"/>
  <c r="L1465" i="1" l="1"/>
  <c r="L1466" i="1" l="1"/>
  <c r="L1467" i="1" l="1"/>
  <c r="L1468" i="1" l="1"/>
  <c r="L1469" i="1" l="1"/>
  <c r="L1470" i="1" l="1"/>
  <c r="L1471" i="1" l="1"/>
  <c r="L1472" i="1" l="1"/>
  <c r="L1473" i="1" l="1"/>
  <c r="L1474" i="1" l="1"/>
  <c r="L1475" i="1" l="1"/>
  <c r="L1476" i="1" l="1"/>
  <c r="L1477" i="1" l="1"/>
  <c r="L1478" i="1" l="1"/>
  <c r="L1479" i="1" l="1"/>
  <c r="L1480" i="1" l="1"/>
  <c r="L1481" i="1" l="1"/>
  <c r="L1482" i="1" l="1"/>
  <c r="L1483" i="1" l="1"/>
  <c r="L1484" i="1" l="1"/>
  <c r="L1485" i="1" l="1"/>
  <c r="L1486" i="1" l="1"/>
  <c r="L1487" i="1" l="1"/>
  <c r="L1488" i="1" l="1"/>
  <c r="L1489" i="1" l="1"/>
  <c r="L1490" i="1" l="1"/>
  <c r="L1491" i="1" l="1"/>
  <c r="L1492" i="1" l="1"/>
  <c r="L1493" i="1" l="1"/>
  <c r="L1494" i="1" l="1"/>
  <c r="L1495" i="1" l="1"/>
  <c r="L1496" i="1" l="1"/>
  <c r="L1497" i="1" l="1"/>
  <c r="L1498" i="1" l="1"/>
  <c r="L1499" i="1" l="1"/>
  <c r="L1500" i="1" l="1"/>
  <c r="L1501" i="1" l="1"/>
  <c r="L1502" i="1" l="1"/>
  <c r="L1503" i="1" l="1"/>
  <c r="L1504" i="1" l="1"/>
  <c r="L1505" i="1" l="1"/>
  <c r="L1506" i="1" l="1"/>
  <c r="L1507" i="1" l="1"/>
  <c r="L1508" i="1" l="1"/>
  <c r="L1509" i="1" l="1"/>
  <c r="L1510" i="1" l="1"/>
  <c r="L1511" i="1" l="1"/>
  <c r="L1517" i="1" l="1"/>
  <c r="L1512" i="1" l="1"/>
  <c r="L1518" i="1" l="1"/>
  <c r="L1519" i="1" l="1"/>
  <c r="L1513" i="1" l="1"/>
  <c r="L1516" i="1" l="1"/>
  <c r="L1514" i="1" l="1"/>
  <c r="L1515" i="1" l="1"/>
  <c r="L1523" i="1" l="1"/>
  <c r="L1529" i="1" l="1"/>
  <c r="L1524" i="1" l="1"/>
  <c r="L1520" i="1" l="1"/>
  <c r="L1527" i="1" l="1"/>
  <c r="L1522" i="1" l="1"/>
  <c r="L1528" i="1" l="1"/>
  <c r="L1521" i="1" l="1"/>
  <c r="L1525" i="1" l="1"/>
  <c r="L1526" i="1" l="1"/>
  <c r="L1534" i="1" l="1"/>
  <c r="L1536" i="1" l="1"/>
  <c r="L1539" i="1" l="1"/>
  <c r="L1532" i="1" l="1"/>
  <c r="L1531" i="1" l="1"/>
  <c r="L1535" i="1" l="1"/>
  <c r="L1538" i="1" l="1"/>
  <c r="L1530" i="1" l="1"/>
  <c r="L1533" i="1" l="1"/>
  <c r="L1537" i="1" l="1"/>
  <c r="L1543" i="1" l="1"/>
  <c r="L1544" i="1" l="1"/>
  <c r="L1546" i="1" l="1"/>
  <c r="L1548" i="1" l="1"/>
  <c r="L1540" i="1" l="1"/>
  <c r="L1549" i="1" l="1"/>
  <c r="L1542" i="1" l="1"/>
  <c r="L1545" i="1" l="1"/>
  <c r="L1547" i="1" l="1"/>
  <c r="L1541" i="1" l="1"/>
  <c r="L1550" i="1" l="1"/>
  <c r="L1555" i="1" l="1"/>
  <c r="L1557" i="1" l="1"/>
  <c r="L1560" i="1" l="1"/>
  <c r="L1558" i="1" l="1"/>
  <c r="L1551" i="1" l="1"/>
  <c r="L1556" i="1" l="1"/>
  <c r="L1552" i="1" l="1"/>
  <c r="L1554" i="1" l="1"/>
  <c r="L1553" i="1" l="1"/>
  <c r="L1559" i="1" l="1"/>
  <c r="L1566" i="1" l="1"/>
  <c r="L1562" i="1" l="1"/>
  <c r="L1570" i="1" l="1"/>
  <c r="L1563" i="1" l="1"/>
  <c r="L1564" i="1" l="1"/>
  <c r="L1568" i="1" l="1"/>
  <c r="L1569" i="1" l="1"/>
  <c r="L1567" i="1" l="1"/>
  <c r="L1565" i="1" l="1"/>
  <c r="L1561" i="1" l="1"/>
  <c r="L1575" i="1" l="1"/>
  <c r="L1574" i="1" l="1"/>
  <c r="L1579" i="1" l="1"/>
  <c r="L1573" i="1" l="1"/>
  <c r="L1571" i="1" l="1"/>
  <c r="L1580" i="1" l="1"/>
  <c r="L1577" i="1" l="1"/>
  <c r="L1576" i="1" l="1"/>
  <c r="L1572" i="1" l="1"/>
  <c r="L1578" i="1" l="1"/>
  <c r="L1588" i="1" l="1"/>
  <c r="L1590" i="1" l="1"/>
  <c r="L1585" i="1" l="1"/>
  <c r="L1589" i="1" l="1"/>
  <c r="L1581" i="1" l="1"/>
  <c r="L1584" i="1" l="1"/>
  <c r="L1586" i="1" l="1"/>
  <c r="L1587" i="1" l="1"/>
  <c r="L1583" i="1" l="1"/>
  <c r="L1582" i="1" l="1"/>
  <c r="L1591" i="1" l="1"/>
  <c r="L1592" i="1" l="1"/>
  <c r="L1597" i="1" l="1"/>
  <c r="L1593" i="1" l="1"/>
  <c r="L1595" i="1" l="1"/>
  <c r="L1594" i="1" l="1"/>
  <c r="L1596" i="1" l="1"/>
  <c r="L1598" i="1" l="1"/>
  <c r="L1599" i="1" l="1"/>
  <c r="L1601" i="1" l="1"/>
  <c r="L1600" i="1" l="1"/>
  <c r="L1606" i="1" l="1"/>
  <c r="L1611" i="1" l="1"/>
  <c r="L1609" i="1" l="1"/>
  <c r="L1610" i="1" l="1"/>
  <c r="L1602" i="1" l="1"/>
  <c r="L1608" i="1" l="1"/>
  <c r="L1603" i="1" l="1"/>
  <c r="L1605" i="1" l="1"/>
  <c r="L1607" i="1" l="1"/>
  <c r="L1604" i="1" l="1"/>
  <c r="L1618" i="1" l="1"/>
  <c r="L1614" i="1" l="1"/>
  <c r="L1613" i="1" l="1"/>
  <c r="L1621" i="1" l="1"/>
  <c r="L1615" i="1" l="1"/>
  <c r="L1616" i="1" l="1"/>
  <c r="L1612" i="1" l="1"/>
  <c r="L1620" i="1" l="1"/>
  <c r="L1617" i="1" l="1"/>
  <c r="L1619" i="1"/>
</calcChain>
</file>

<file path=xl/sharedStrings.xml><?xml version="1.0" encoding="utf-8"?>
<sst xmlns="http://schemas.openxmlformats.org/spreadsheetml/2006/main" count="108" uniqueCount="65">
  <si>
    <t>FDH</t>
  </si>
  <si>
    <t>NEP</t>
  </si>
  <si>
    <t>TEW</t>
  </si>
  <si>
    <t>CTW</t>
  </si>
  <si>
    <t>CIN</t>
  </si>
  <si>
    <t>BBG</t>
  </si>
  <si>
    <t>CEN</t>
  </si>
  <si>
    <t>BAR</t>
  </si>
  <si>
    <t>away</t>
  </si>
  <si>
    <t>home</t>
  </si>
  <si>
    <t>Team#</t>
  </si>
  <si>
    <t>Division</t>
  </si>
  <si>
    <t>Team</t>
  </si>
  <si>
    <t>DIAGNOSTICS</t>
  </si>
  <si>
    <t>OKO</t>
  </si>
  <si>
    <t>RMO</t>
  </si>
  <si>
    <t>FFR</t>
  </si>
  <si>
    <t>Combo Home</t>
  </si>
  <si>
    <t>Combo Away</t>
  </si>
  <si>
    <t>Seq</t>
  </si>
  <si>
    <t>Game Date</t>
  </si>
  <si>
    <t>Vis</t>
  </si>
  <si>
    <t>Home</t>
  </si>
  <si>
    <t>Type</t>
  </si>
  <si>
    <t>Status</t>
  </si>
  <si>
    <t>god</t>
  </si>
  <si>
    <t>ID</t>
  </si>
  <si>
    <t>Div</t>
  </si>
  <si>
    <t>b4</t>
  </si>
  <si>
    <t>3a</t>
  </si>
  <si>
    <t>e1</t>
  </si>
  <si>
    <t>ff</t>
  </si>
  <si>
    <t>dd</t>
  </si>
  <si>
    <t>cd</t>
  </si>
  <si>
    <t>0e</t>
  </si>
  <si>
    <t>1a</t>
  </si>
  <si>
    <t>3f</t>
  </si>
  <si>
    <t>6a</t>
  </si>
  <si>
    <t>5f</t>
  </si>
  <si>
    <t>c7</t>
  </si>
  <si>
    <t>db</t>
  </si>
  <si>
    <t>c6</t>
  </si>
  <si>
    <t>8e</t>
  </si>
  <si>
    <t>a4</t>
  </si>
  <si>
    <t>6d</t>
  </si>
  <si>
    <t>C R U I S E</t>
  </si>
  <si>
    <t>RGB Color Palette</t>
  </si>
  <si>
    <t>Bright</t>
  </si>
  <si>
    <t>Dull</t>
  </si>
  <si>
    <t>Hex</t>
  </si>
  <si>
    <t>Decimal</t>
  </si>
  <si>
    <t>Paste as text for import</t>
  </si>
  <si>
    <t>J U M P I N G</t>
  </si>
  <si>
    <t>B A R C E L O N A</t>
  </si>
  <si>
    <t>G O O D B Y E</t>
  </si>
  <si>
    <t>INCHES - 2004 - Les Savy Fav</t>
  </si>
  <si>
    <t>GAR</t>
  </si>
  <si>
    <t>REN</t>
  </si>
  <si>
    <t>DIG</t>
  </si>
  <si>
    <t>NNN</t>
  </si>
  <si>
    <t>BRK</t>
  </si>
  <si>
    <t>CBB</t>
  </si>
  <si>
    <t>HAR</t>
  </si>
  <si>
    <t>NYD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</si>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</sst>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 mm/dd"/>
  </numFmts>
  <fonts count="1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6"/>
      </bottom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14" fontId="2" fillId="0" borderId="0" xfId="0" applyNumberFormat="1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164" fontId="7" fillId="0" borderId="0" xfId="0" applyNumberFormat="1" applyFont="1" applyFill="1" applyAlignment="1">
      <alignment horizontal="right"/>
    </xf>
    <xf numFmtId="0" fontId="8" fillId="0" borderId="0" xfId="0" applyFont="1"/>
    <xf numFmtId="164" fontId="7" fillId="0" borderId="0" xfId="0" applyNumberFormat="1" applyFont="1" applyFill="1"/>
    <xf numFmtId="0" fontId="7" fillId="0" borderId="0" xfId="0" applyFont="1" applyFill="1"/>
    <xf numFmtId="0" fontId="8" fillId="0" borderId="0" xfId="0" applyFont="1" applyFill="1"/>
    <xf numFmtId="164" fontId="7" fillId="0" borderId="0" xfId="0" applyNumberFormat="1" applyFont="1" applyFill="1" applyBorder="1"/>
    <xf numFmtId="0" fontId="8" fillId="0" borderId="0" xfId="0" applyFont="1" applyFill="1" applyBorder="1"/>
    <xf numFmtId="164" fontId="7" fillId="0" borderId="7" xfId="0" applyNumberFormat="1" applyFont="1" applyFill="1" applyBorder="1"/>
    <xf numFmtId="0" fontId="8" fillId="0" borderId="7" xfId="0" applyFont="1" applyFill="1" applyBorder="1"/>
    <xf numFmtId="0" fontId="7" fillId="0" borderId="0" xfId="0" applyFont="1" applyFill="1" applyBorder="1"/>
    <xf numFmtId="0" fontId="7" fillId="0" borderId="7" xfId="0" applyFont="1" applyFill="1" applyBorder="1"/>
    <xf numFmtId="0" fontId="9" fillId="2" borderId="9" xfId="0" applyFont="1" applyFill="1" applyBorder="1" applyAlignment="1">
      <alignment vertical="center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164" fontId="11" fillId="2" borderId="0" xfId="0" applyNumberFormat="1" applyFont="1" applyFill="1" applyAlignment="1">
      <alignment horizontal="right"/>
    </xf>
    <xf numFmtId="164" fontId="11" fillId="2" borderId="0" xfId="0" applyNumberFormat="1" applyFont="1" applyFill="1"/>
    <xf numFmtId="164" fontId="11" fillId="2" borderId="10" xfId="0" applyNumberFormat="1" applyFont="1" applyFill="1" applyBorder="1" applyAlignment="1">
      <alignment horizontal="right"/>
    </xf>
    <xf numFmtId="0" fontId="12" fillId="5" borderId="10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6" fillId="6" borderId="10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8" fillId="7" borderId="0" xfId="0" applyFont="1" applyFill="1" applyBorder="1"/>
    <xf numFmtId="0" fontId="8" fillId="7" borderId="7" xfId="0" applyFont="1" applyFill="1" applyBorder="1"/>
    <xf numFmtId="0" fontId="2" fillId="7" borderId="0" xfId="0" applyFont="1" applyFill="1"/>
  </cellXfs>
  <cellStyles count="1">
    <cellStyle name="Normal" xfId="0" builtinId="0"/>
  </cellStyles>
  <dxfs count="4">
    <dxf>
      <font>
        <color theme="3"/>
        <name val="Cambria"/>
        <scheme val="none"/>
      </font>
      <fill>
        <patternFill>
          <bgColor theme="3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ndense val="0"/>
        <extend val="0"/>
        <color auto="1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val="012110"/>
      </a:dk1>
      <a:lt1>
        <a:srgbClr val="E1FFDD"/>
      </a:lt1>
      <a:dk2>
        <a:srgbClr val="0E1A13"/>
      </a:dk2>
      <a:lt2>
        <a:srgbClr val="C7DBC6"/>
      </a:lt2>
      <a:accent1>
        <a:srgbClr val="247935"/>
      </a:accent1>
      <a:accent2>
        <a:srgbClr val="55B43A"/>
      </a:accent2>
      <a:accent3>
        <a:srgbClr val="95CD43"/>
      </a:accent3>
      <a:accent4>
        <a:srgbClr val="3F6045"/>
      </a:accent4>
      <a:accent5>
        <a:srgbClr val="6A905F"/>
      </a:accent5>
      <a:accent6>
        <a:srgbClr val="8EA46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50"/>
  <sheetViews>
    <sheetView tabSelected="1" zoomScale="75" zoomScaleNormal="75" zoomScaleSheetLayoutView="85" workbookViewId="0">
      <pane ySplit="4" topLeftCell="A197" activePane="bottomLeft" state="frozen"/>
      <selection pane="bottomLeft" activeCell="I229" sqref="I229"/>
    </sheetView>
    <sheetView workbookViewId="1"/>
  </sheetViews>
  <sheetFormatPr defaultColWidth="9.140625" defaultRowHeight="15.75" x14ac:dyDescent="0.25"/>
  <cols>
    <col min="1" max="1" width="14" style="21" bestFit="1" customWidth="1"/>
    <col min="2" max="21" width="7.7109375" style="20" customWidth="1"/>
    <col min="22" max="16384" width="9.140625" style="19"/>
  </cols>
  <sheetData>
    <row r="1" spans="1:21" s="18" customFormat="1" ht="21.75" thickBot="1" x14ac:dyDescent="0.35">
      <c r="A1" s="33"/>
      <c r="B1" s="48" t="s">
        <v>55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s="26" customFormat="1" ht="15" x14ac:dyDescent="0.25">
      <c r="A2" s="22" t="s">
        <v>10</v>
      </c>
      <c r="B2" s="23">
        <v>13</v>
      </c>
      <c r="C2" s="23">
        <v>7</v>
      </c>
      <c r="D2" s="23">
        <v>8</v>
      </c>
      <c r="E2" s="23">
        <v>9</v>
      </c>
      <c r="F2" s="23">
        <v>17</v>
      </c>
      <c r="G2" s="23">
        <v>14</v>
      </c>
      <c r="H2" s="23">
        <v>20</v>
      </c>
      <c r="I2" s="23">
        <v>2</v>
      </c>
      <c r="J2" s="23">
        <v>10</v>
      </c>
      <c r="K2" s="23">
        <v>3</v>
      </c>
      <c r="L2" s="23">
        <v>16</v>
      </c>
      <c r="M2" s="23">
        <v>1</v>
      </c>
      <c r="N2" s="23">
        <v>4</v>
      </c>
      <c r="O2" s="23">
        <v>5</v>
      </c>
      <c r="P2" s="23">
        <v>12</v>
      </c>
      <c r="Q2" s="23">
        <v>23</v>
      </c>
      <c r="R2" s="23">
        <v>22</v>
      </c>
      <c r="S2" s="23">
        <v>11</v>
      </c>
      <c r="T2" s="23">
        <v>21</v>
      </c>
      <c r="U2" s="23">
        <v>24</v>
      </c>
    </row>
    <row r="3" spans="1:21" s="23" customFormat="1" x14ac:dyDescent="0.25">
      <c r="A3" s="39" t="s">
        <v>11</v>
      </c>
      <c r="B3" s="50" t="s">
        <v>52</v>
      </c>
      <c r="C3" s="50"/>
      <c r="D3" s="50"/>
      <c r="E3" s="50"/>
      <c r="F3" s="50"/>
      <c r="G3" s="51" t="s">
        <v>45</v>
      </c>
      <c r="H3" s="51"/>
      <c r="I3" s="51"/>
      <c r="J3" s="51"/>
      <c r="K3" s="51"/>
      <c r="L3" s="52" t="s">
        <v>53</v>
      </c>
      <c r="M3" s="52"/>
      <c r="N3" s="52"/>
      <c r="O3" s="52"/>
      <c r="P3" s="52"/>
      <c r="Q3" s="53" t="s">
        <v>54</v>
      </c>
      <c r="R3" s="53"/>
      <c r="S3" s="53"/>
      <c r="T3" s="53"/>
      <c r="U3" s="53"/>
    </row>
    <row r="4" spans="1:21" s="23" customFormat="1" x14ac:dyDescent="0.25">
      <c r="A4" s="41" t="s">
        <v>12</v>
      </c>
      <c r="B4" s="42" t="s">
        <v>5</v>
      </c>
      <c r="C4" s="42" t="s">
        <v>7</v>
      </c>
      <c r="D4" s="42" t="s">
        <v>3</v>
      </c>
      <c r="E4" s="42" t="s">
        <v>4</v>
      </c>
      <c r="F4" s="42" t="s">
        <v>56</v>
      </c>
      <c r="G4" s="43" t="s">
        <v>6</v>
      </c>
      <c r="H4" s="43" t="s">
        <v>0</v>
      </c>
      <c r="I4" s="43" t="s">
        <v>1</v>
      </c>
      <c r="J4" s="43" t="s">
        <v>57</v>
      </c>
      <c r="K4" s="43" t="s">
        <v>2</v>
      </c>
      <c r="L4" s="44" t="s">
        <v>58</v>
      </c>
      <c r="M4" s="44" t="s">
        <v>16</v>
      </c>
      <c r="N4" s="44" t="s">
        <v>59</v>
      </c>
      <c r="O4" s="44" t="s">
        <v>14</v>
      </c>
      <c r="P4" s="44" t="s">
        <v>15</v>
      </c>
      <c r="Q4" s="45" t="s">
        <v>60</v>
      </c>
      <c r="R4" s="45" t="s">
        <v>61</v>
      </c>
      <c r="S4" s="45" t="s">
        <v>62</v>
      </c>
      <c r="T4" s="45" t="s">
        <v>63</v>
      </c>
      <c r="U4" s="45" t="s">
        <v>64</v>
      </c>
    </row>
    <row r="5" spans="1:21" x14ac:dyDescent="0.25">
      <c r="A5" s="40">
        <v>38082</v>
      </c>
      <c r="B5" s="36" t="str">
        <f>IF(ISNA(VLOOKUP($A5&amp;B$2,'2004'!$B$2:$K$1621,10,0)),VLOOKUP($A5&amp;B$2,'2004'!$A$2:$K$1621,10,0),VLOOKUP($A5&amp;B$2,'2004'!$B$2:$K$1621,10,0))</f>
        <v>CBB</v>
      </c>
      <c r="C5" s="36" t="str">
        <f>IF(ISNA(VLOOKUP($A5&amp;C$2,'2004'!$B$2:$K$1621,10,0)),VLOOKUP($A5&amp;C$2,'2004'!$A$2:$K$1621,10,0),VLOOKUP($A5&amp;C$2,'2004'!$B$2:$K$1621,10,0))</f>
        <v>PHI</v>
      </c>
      <c r="D5" s="36" t="str">
        <f>IF(ISNA(VLOOKUP($A5&amp;D$2,'2004'!$B$2:$K$1621,10,0)),VLOOKUP($A5&amp;D$2,'2004'!$A$2:$K$1621,10,0),VLOOKUP($A5&amp;D$2,'2004'!$B$2:$K$1621,10,0))</f>
        <v>NYD</v>
      </c>
      <c r="E5" s="36" t="str">
        <f>IF(ISNA(VLOOKUP($A5&amp;E$2,'2004'!$B$2:$K$1621,10,0)),VLOOKUP($A5&amp;E$2,'2004'!$A$2:$K$1621,10,0),VLOOKUP($A5&amp;E$2,'2004'!$B$2:$K$1621,10,0))</f>
        <v>HAR</v>
      </c>
      <c r="F5" s="36" t="str">
        <f>IF(ISNA(VLOOKUP($A5&amp;F$2,'2004'!$B$2:$K$1621,10,0)),VLOOKUP($A5&amp;F$2,'2004'!$A$2:$K$1621,10,0),VLOOKUP($A5&amp;F$2,'2004'!$B$2:$K$1621,10,0))</f>
        <v>BRK</v>
      </c>
      <c r="G5" s="35" t="str">
        <f>IF(ISNA(VLOOKUP($A5&amp;G$2,'2004'!$B$2:$K$1621,10,0)),VLOOKUP($A5&amp;G$2,'2004'!$A$2:$K$1621,10,0),VLOOKUP($A5&amp;G$2,'2004'!$B$2:$K$1621,10,0))</f>
        <v>RMO</v>
      </c>
      <c r="H5" s="35" t="str">
        <f>IF(ISNA(VLOOKUP($A5&amp;H$2,'2004'!$B$2:$K$1621,10,0)),VLOOKUP($A5&amp;H$2,'2004'!$A$2:$K$1621,10,0),VLOOKUP($A5&amp;H$2,'2004'!$B$2:$K$1621,10,0))</f>
        <v>FFR</v>
      </c>
      <c r="I5" s="35" t="str">
        <f>IF(ISNA(VLOOKUP($A5&amp;I$2,'2004'!$B$2:$K$1621,10,0)),VLOOKUP($A5&amp;I$2,'2004'!$A$2:$K$1621,10,0),VLOOKUP($A5&amp;I$2,'2004'!$B$2:$K$1621,10,0))</f>
        <v>NNN</v>
      </c>
      <c r="J5" s="35" t="str">
        <f>IF(ISNA(VLOOKUP($A5&amp;J$2,'2004'!$B$2:$K$1621,10,0)),VLOOKUP($A5&amp;J$2,'2004'!$A$2:$K$1621,10,0),VLOOKUP($A5&amp;J$2,'2004'!$B$2:$K$1621,10,0))</f>
        <v>DIG</v>
      </c>
      <c r="K5" s="35" t="str">
        <f>IF(ISNA(VLOOKUP($A5&amp;K$2,'2004'!$B$2:$K$1621,10,0)),VLOOKUP($A5&amp;K$2,'2004'!$A$2:$K$1621,10,0),VLOOKUP($A5&amp;K$2,'2004'!$B$2:$K$1621,10,0))</f>
        <v>OKO</v>
      </c>
      <c r="L5" s="34" t="str">
        <f>IF(ISNA(VLOOKUP($A5&amp;L$2,'2004'!$B$2:$K$1621,10,0)),VLOOKUP($A5&amp;L$2,'2004'!$A$2:$K$1621,10,0),VLOOKUP($A5&amp;L$2,'2004'!$B$2:$K$1621,10,0))</f>
        <v>@REN</v>
      </c>
      <c r="M5" s="34" t="str">
        <f>IF(ISNA(VLOOKUP($A5&amp;M$2,'2004'!$B$2:$K$1621,10,0)),VLOOKUP($A5&amp;M$2,'2004'!$A$2:$K$1621,10,0),VLOOKUP($A5&amp;M$2,'2004'!$B$2:$K$1621,10,0))</f>
        <v>@FDH</v>
      </c>
      <c r="N5" s="34" t="str">
        <f>IF(ISNA(VLOOKUP($A5&amp;N$2,'2004'!$B$2:$K$1621,10,0)),VLOOKUP($A5&amp;N$2,'2004'!$A$2:$K$1621,10,0),VLOOKUP($A5&amp;N$2,'2004'!$B$2:$K$1621,10,0))</f>
        <v>@NEP</v>
      </c>
      <c r="O5" s="34" t="str">
        <f>IF(ISNA(VLOOKUP($A5&amp;O$2,'2004'!$B$2:$K$1621,10,0)),VLOOKUP($A5&amp;O$2,'2004'!$A$2:$K$1621,10,0),VLOOKUP($A5&amp;O$2,'2004'!$B$2:$K$1621,10,0))</f>
        <v>@TEW</v>
      </c>
      <c r="P5" s="34" t="str">
        <f>IF(ISNA(VLOOKUP($A5&amp;P$2,'2004'!$B$2:$K$1621,10,0)),VLOOKUP($A5&amp;P$2,'2004'!$A$2:$K$1621,10,0),VLOOKUP($A5&amp;P$2,'2004'!$B$2:$K$1621,10,0))</f>
        <v>@CEN</v>
      </c>
      <c r="Q5" s="38" t="str">
        <f>IF(ISNA(VLOOKUP($A5&amp;Q$2,'2004'!$B$2:$K$1621,10,0)),VLOOKUP($A5&amp;Q$2,'2004'!$A$2:$K$1621,10,0),VLOOKUP($A5&amp;Q$2,'2004'!$B$2:$K$1621,10,0))</f>
        <v>@GAR</v>
      </c>
      <c r="R5" s="38" t="str">
        <f>IF(ISNA(VLOOKUP($A5&amp;R$2,'2004'!$B$2:$K$1621,10,0)),VLOOKUP($A5&amp;R$2,'2004'!$A$2:$K$1621,10,0),VLOOKUP($A5&amp;R$2,'2004'!$B$2:$K$1621,10,0))</f>
        <v>@BBG</v>
      </c>
      <c r="S5" s="38" t="str">
        <f>IF(ISNA(VLOOKUP($A5&amp;S$2,'2004'!$B$2:$K$1621,10,0)),VLOOKUP($A5&amp;S$2,'2004'!$A$2:$K$1621,10,0),VLOOKUP($A5&amp;S$2,'2004'!$B$2:$K$1621,10,0))</f>
        <v>@CIN</v>
      </c>
      <c r="T5" s="38" t="str">
        <f>IF(ISNA(VLOOKUP($A5&amp;T$2,'2004'!$B$2:$K$1621,10,0)),VLOOKUP($A5&amp;T$2,'2004'!$A$2:$K$1621,10,0),VLOOKUP($A5&amp;T$2,'2004'!$B$2:$K$1621,10,0))</f>
        <v>@CTW</v>
      </c>
      <c r="U5" s="38" t="str">
        <f>IF(ISNA(VLOOKUP($A5&amp;U$2,'2004'!$B$2:$K$1621,10,0)),VLOOKUP($A5&amp;U$2,'2004'!$A$2:$K$1621,10,0),VLOOKUP($A5&amp;U$2,'2004'!$B$2:$K$1621,10,0))</f>
        <v>@BAR</v>
      </c>
    </row>
    <row r="6" spans="1:21" x14ac:dyDescent="0.25">
      <c r="A6" s="40">
        <f t="shared" ref="A6:A63" si="0">A5+1</f>
        <v>38083</v>
      </c>
      <c r="B6" s="36" t="str">
        <f>IF(ISNA(VLOOKUP($A6&amp;B$2,'2004'!$B$2:$K$1621,10,0)),VLOOKUP($A6&amp;B$2,'2004'!$A$2:$K$1621,10,0),VLOOKUP($A6&amp;B$2,'2004'!$B$2:$K$1621,10,0))</f>
        <v>CBB</v>
      </c>
      <c r="C6" s="36" t="str">
        <f>IF(ISNA(VLOOKUP($A6&amp;C$2,'2004'!$B$2:$K$1621,10,0)),VLOOKUP($A6&amp;C$2,'2004'!$A$2:$K$1621,10,0),VLOOKUP($A6&amp;C$2,'2004'!$B$2:$K$1621,10,0))</f>
        <v>PHI</v>
      </c>
      <c r="D6" s="36" t="str">
        <f>IF(ISNA(VLOOKUP($A6&amp;D$2,'2004'!$B$2:$K$1621,10,0)),VLOOKUP($A6&amp;D$2,'2004'!$A$2:$K$1621,10,0),VLOOKUP($A6&amp;D$2,'2004'!$B$2:$K$1621,10,0))</f>
        <v>NYD</v>
      </c>
      <c r="E6" s="36" t="str">
        <f>IF(ISNA(VLOOKUP($A6&amp;E$2,'2004'!$B$2:$K$1621,10,0)),VLOOKUP($A6&amp;E$2,'2004'!$A$2:$K$1621,10,0),VLOOKUP($A6&amp;E$2,'2004'!$B$2:$K$1621,10,0))</f>
        <v>HAR</v>
      </c>
      <c r="F6" s="36" t="str">
        <f>IF(ISNA(VLOOKUP($A6&amp;F$2,'2004'!$B$2:$K$1621,10,0)),VLOOKUP($A6&amp;F$2,'2004'!$A$2:$K$1621,10,0),VLOOKUP($A6&amp;F$2,'2004'!$B$2:$K$1621,10,0))</f>
        <v>BRK</v>
      </c>
      <c r="G6" s="35" t="str">
        <f>IF(ISNA(VLOOKUP($A6&amp;G$2,'2004'!$B$2:$K$1621,10,0)),VLOOKUP($A6&amp;G$2,'2004'!$A$2:$K$1621,10,0),VLOOKUP($A6&amp;G$2,'2004'!$B$2:$K$1621,10,0))</f>
        <v>RMO</v>
      </c>
      <c r="H6" s="35" t="str">
        <f>IF(ISNA(VLOOKUP($A6&amp;H$2,'2004'!$B$2:$K$1621,10,0)),VLOOKUP($A6&amp;H$2,'2004'!$A$2:$K$1621,10,0),VLOOKUP($A6&amp;H$2,'2004'!$B$2:$K$1621,10,0))</f>
        <v>FFR</v>
      </c>
      <c r="I6" s="35" t="str">
        <f>IF(ISNA(VLOOKUP($A6&amp;I$2,'2004'!$B$2:$K$1621,10,0)),VLOOKUP($A6&amp;I$2,'2004'!$A$2:$K$1621,10,0),VLOOKUP($A6&amp;I$2,'2004'!$B$2:$K$1621,10,0))</f>
        <v>NNN</v>
      </c>
      <c r="J6" s="35" t="str">
        <f>IF(ISNA(VLOOKUP($A6&amp;J$2,'2004'!$B$2:$K$1621,10,0)),VLOOKUP($A6&amp;J$2,'2004'!$A$2:$K$1621,10,0),VLOOKUP($A6&amp;J$2,'2004'!$B$2:$K$1621,10,0))</f>
        <v>DIG</v>
      </c>
      <c r="K6" s="35" t="str">
        <f>IF(ISNA(VLOOKUP($A6&amp;K$2,'2004'!$B$2:$K$1621,10,0)),VLOOKUP($A6&amp;K$2,'2004'!$A$2:$K$1621,10,0),VLOOKUP($A6&amp;K$2,'2004'!$B$2:$K$1621,10,0))</f>
        <v>OKO</v>
      </c>
      <c r="L6" s="34" t="str">
        <f>IF(ISNA(VLOOKUP($A6&amp;L$2,'2004'!$B$2:$K$1621,10,0)),VLOOKUP($A6&amp;L$2,'2004'!$A$2:$K$1621,10,0),VLOOKUP($A6&amp;L$2,'2004'!$B$2:$K$1621,10,0))</f>
        <v>@REN</v>
      </c>
      <c r="M6" s="34" t="str">
        <f>IF(ISNA(VLOOKUP($A6&amp;M$2,'2004'!$B$2:$K$1621,10,0)),VLOOKUP($A6&amp;M$2,'2004'!$A$2:$K$1621,10,0),VLOOKUP($A6&amp;M$2,'2004'!$B$2:$K$1621,10,0))</f>
        <v>@FDH</v>
      </c>
      <c r="N6" s="34" t="str">
        <f>IF(ISNA(VLOOKUP($A6&amp;N$2,'2004'!$B$2:$K$1621,10,0)),VLOOKUP($A6&amp;N$2,'2004'!$A$2:$K$1621,10,0),VLOOKUP($A6&amp;N$2,'2004'!$B$2:$K$1621,10,0))</f>
        <v>@NEP</v>
      </c>
      <c r="O6" s="34" t="str">
        <f>IF(ISNA(VLOOKUP($A6&amp;O$2,'2004'!$B$2:$K$1621,10,0)),VLOOKUP($A6&amp;O$2,'2004'!$A$2:$K$1621,10,0),VLOOKUP($A6&amp;O$2,'2004'!$B$2:$K$1621,10,0))</f>
        <v>@TEW</v>
      </c>
      <c r="P6" s="34" t="str">
        <f>IF(ISNA(VLOOKUP($A6&amp;P$2,'2004'!$B$2:$K$1621,10,0)),VLOOKUP($A6&amp;P$2,'2004'!$A$2:$K$1621,10,0),VLOOKUP($A6&amp;P$2,'2004'!$B$2:$K$1621,10,0))</f>
        <v>@CEN</v>
      </c>
      <c r="Q6" s="38" t="str">
        <f>IF(ISNA(VLOOKUP($A6&amp;Q$2,'2004'!$B$2:$K$1621,10,0)),VLOOKUP($A6&amp;Q$2,'2004'!$A$2:$K$1621,10,0),VLOOKUP($A6&amp;Q$2,'2004'!$B$2:$K$1621,10,0))</f>
        <v>@GAR</v>
      </c>
      <c r="R6" s="38" t="str">
        <f>IF(ISNA(VLOOKUP($A6&amp;R$2,'2004'!$B$2:$K$1621,10,0)),VLOOKUP($A6&amp;R$2,'2004'!$A$2:$K$1621,10,0),VLOOKUP($A6&amp;R$2,'2004'!$B$2:$K$1621,10,0))</f>
        <v>@BBG</v>
      </c>
      <c r="S6" s="38" t="str">
        <f>IF(ISNA(VLOOKUP($A6&amp;S$2,'2004'!$B$2:$K$1621,10,0)),VLOOKUP($A6&amp;S$2,'2004'!$A$2:$K$1621,10,0),VLOOKUP($A6&amp;S$2,'2004'!$B$2:$K$1621,10,0))</f>
        <v>@CIN</v>
      </c>
      <c r="T6" s="38" t="str">
        <f>IF(ISNA(VLOOKUP($A6&amp;T$2,'2004'!$B$2:$K$1621,10,0)),VLOOKUP($A6&amp;T$2,'2004'!$A$2:$K$1621,10,0),VLOOKUP($A6&amp;T$2,'2004'!$B$2:$K$1621,10,0))</f>
        <v>@CTW</v>
      </c>
      <c r="U6" s="38" t="str">
        <f>IF(ISNA(VLOOKUP($A6&amp;U$2,'2004'!$B$2:$K$1621,10,0)),VLOOKUP($A6&amp;U$2,'2004'!$A$2:$K$1621,10,0),VLOOKUP($A6&amp;U$2,'2004'!$B$2:$K$1621,10,0))</f>
        <v>@BAR</v>
      </c>
    </row>
    <row r="7" spans="1:21" x14ac:dyDescent="0.25">
      <c r="A7" s="40">
        <f t="shared" si="0"/>
        <v>38084</v>
      </c>
      <c r="B7" s="36" t="str">
        <f>IF(ISNA(VLOOKUP($A7&amp;B$2,'2004'!$B$2:$K$1621,10,0)),VLOOKUP($A7&amp;B$2,'2004'!$A$2:$K$1621,10,0),VLOOKUP($A7&amp;B$2,'2004'!$B$2:$K$1621,10,0))</f>
        <v>CBB</v>
      </c>
      <c r="C7" s="36" t="str">
        <f>IF(ISNA(VLOOKUP($A7&amp;C$2,'2004'!$B$2:$K$1621,10,0)),VLOOKUP($A7&amp;C$2,'2004'!$A$2:$K$1621,10,0),VLOOKUP($A7&amp;C$2,'2004'!$B$2:$K$1621,10,0))</f>
        <v>PHI</v>
      </c>
      <c r="D7" s="36" t="str">
        <f>IF(ISNA(VLOOKUP($A7&amp;D$2,'2004'!$B$2:$K$1621,10,0)),VLOOKUP($A7&amp;D$2,'2004'!$A$2:$K$1621,10,0),VLOOKUP($A7&amp;D$2,'2004'!$B$2:$K$1621,10,0))</f>
        <v>NYD</v>
      </c>
      <c r="E7" s="36" t="str">
        <f>IF(ISNA(VLOOKUP($A7&amp;E$2,'2004'!$B$2:$K$1621,10,0)),VLOOKUP($A7&amp;E$2,'2004'!$A$2:$K$1621,10,0),VLOOKUP($A7&amp;E$2,'2004'!$B$2:$K$1621,10,0))</f>
        <v>HAR</v>
      </c>
      <c r="F7" s="36" t="str">
        <f>IF(ISNA(VLOOKUP($A7&amp;F$2,'2004'!$B$2:$K$1621,10,0)),VLOOKUP($A7&amp;F$2,'2004'!$A$2:$K$1621,10,0),VLOOKUP($A7&amp;F$2,'2004'!$B$2:$K$1621,10,0))</f>
        <v>BRK</v>
      </c>
      <c r="G7" s="35" t="str">
        <f>IF(ISNA(VLOOKUP($A7&amp;G$2,'2004'!$B$2:$K$1621,10,0)),VLOOKUP($A7&amp;G$2,'2004'!$A$2:$K$1621,10,0),VLOOKUP($A7&amp;G$2,'2004'!$B$2:$K$1621,10,0))</f>
        <v>RMO</v>
      </c>
      <c r="H7" s="35" t="str">
        <f>IF(ISNA(VLOOKUP($A7&amp;H$2,'2004'!$B$2:$K$1621,10,0)),VLOOKUP($A7&amp;H$2,'2004'!$A$2:$K$1621,10,0),VLOOKUP($A7&amp;H$2,'2004'!$B$2:$K$1621,10,0))</f>
        <v>FFR</v>
      </c>
      <c r="I7" s="35" t="str">
        <f>IF(ISNA(VLOOKUP($A7&amp;I$2,'2004'!$B$2:$K$1621,10,0)),VLOOKUP($A7&amp;I$2,'2004'!$A$2:$K$1621,10,0),VLOOKUP($A7&amp;I$2,'2004'!$B$2:$K$1621,10,0))</f>
        <v>NNN</v>
      </c>
      <c r="J7" s="35" t="str">
        <f>IF(ISNA(VLOOKUP($A7&amp;J$2,'2004'!$B$2:$K$1621,10,0)),VLOOKUP($A7&amp;J$2,'2004'!$A$2:$K$1621,10,0),VLOOKUP($A7&amp;J$2,'2004'!$B$2:$K$1621,10,0))</f>
        <v>DIG</v>
      </c>
      <c r="K7" s="35" t="str">
        <f>IF(ISNA(VLOOKUP($A7&amp;K$2,'2004'!$B$2:$K$1621,10,0)),VLOOKUP($A7&amp;K$2,'2004'!$A$2:$K$1621,10,0),VLOOKUP($A7&amp;K$2,'2004'!$B$2:$K$1621,10,0))</f>
        <v>OKO</v>
      </c>
      <c r="L7" s="34" t="str">
        <f>IF(ISNA(VLOOKUP($A7&amp;L$2,'2004'!$B$2:$K$1621,10,0)),VLOOKUP($A7&amp;L$2,'2004'!$A$2:$K$1621,10,0),VLOOKUP($A7&amp;L$2,'2004'!$B$2:$K$1621,10,0))</f>
        <v>@REN</v>
      </c>
      <c r="M7" s="34" t="str">
        <f>IF(ISNA(VLOOKUP($A7&amp;M$2,'2004'!$B$2:$K$1621,10,0)),VLOOKUP($A7&amp;M$2,'2004'!$A$2:$K$1621,10,0),VLOOKUP($A7&amp;M$2,'2004'!$B$2:$K$1621,10,0))</f>
        <v>@FDH</v>
      </c>
      <c r="N7" s="34" t="str">
        <f>IF(ISNA(VLOOKUP($A7&amp;N$2,'2004'!$B$2:$K$1621,10,0)),VLOOKUP($A7&amp;N$2,'2004'!$A$2:$K$1621,10,0),VLOOKUP($A7&amp;N$2,'2004'!$B$2:$K$1621,10,0))</f>
        <v>@NEP</v>
      </c>
      <c r="O7" s="34" t="str">
        <f>IF(ISNA(VLOOKUP($A7&amp;O$2,'2004'!$B$2:$K$1621,10,0)),VLOOKUP($A7&amp;O$2,'2004'!$A$2:$K$1621,10,0),VLOOKUP($A7&amp;O$2,'2004'!$B$2:$K$1621,10,0))</f>
        <v>@TEW</v>
      </c>
      <c r="P7" s="34" t="str">
        <f>IF(ISNA(VLOOKUP($A7&amp;P$2,'2004'!$B$2:$K$1621,10,0)),VLOOKUP($A7&amp;P$2,'2004'!$A$2:$K$1621,10,0),VLOOKUP($A7&amp;P$2,'2004'!$B$2:$K$1621,10,0))</f>
        <v>@CEN</v>
      </c>
      <c r="Q7" s="38" t="str">
        <f>IF(ISNA(VLOOKUP($A7&amp;Q$2,'2004'!$B$2:$K$1621,10,0)),VLOOKUP($A7&amp;Q$2,'2004'!$A$2:$K$1621,10,0),VLOOKUP($A7&amp;Q$2,'2004'!$B$2:$K$1621,10,0))</f>
        <v>@GAR</v>
      </c>
      <c r="R7" s="38" t="str">
        <f>IF(ISNA(VLOOKUP($A7&amp;R$2,'2004'!$B$2:$K$1621,10,0)),VLOOKUP($A7&amp;R$2,'2004'!$A$2:$K$1621,10,0),VLOOKUP($A7&amp;R$2,'2004'!$B$2:$K$1621,10,0))</f>
        <v>@BBG</v>
      </c>
      <c r="S7" s="38" t="str">
        <f>IF(ISNA(VLOOKUP($A7&amp;S$2,'2004'!$B$2:$K$1621,10,0)),VLOOKUP($A7&amp;S$2,'2004'!$A$2:$K$1621,10,0),VLOOKUP($A7&amp;S$2,'2004'!$B$2:$K$1621,10,0))</f>
        <v>@CIN</v>
      </c>
      <c r="T7" s="38" t="str">
        <f>IF(ISNA(VLOOKUP($A7&amp;T$2,'2004'!$B$2:$K$1621,10,0)),VLOOKUP($A7&amp;T$2,'2004'!$A$2:$K$1621,10,0),VLOOKUP($A7&amp;T$2,'2004'!$B$2:$K$1621,10,0))</f>
        <v>@CTW</v>
      </c>
      <c r="U7" s="38" t="str">
        <f>IF(ISNA(VLOOKUP($A7&amp;U$2,'2004'!$B$2:$K$1621,10,0)),VLOOKUP($A7&amp;U$2,'2004'!$A$2:$K$1621,10,0),VLOOKUP($A7&amp;U$2,'2004'!$B$2:$K$1621,10,0))</f>
        <v>@BAR</v>
      </c>
    </row>
    <row r="8" spans="1:21" x14ac:dyDescent="0.25">
      <c r="A8" s="40">
        <f t="shared" si="0"/>
        <v>38085</v>
      </c>
      <c r="B8" s="36" t="str">
        <f>IF(ISNA(VLOOKUP($A8&amp;B$2,'2004'!$B$2:$K$1621,10,0)),VLOOKUP($A8&amp;B$2,'2004'!$A$2:$K$1621,10,0),VLOOKUP($A8&amp;B$2,'2004'!$B$2:$K$1621,10,0))</f>
        <v>CBB</v>
      </c>
      <c r="C8" s="36" t="str">
        <f>IF(ISNA(VLOOKUP($A8&amp;C$2,'2004'!$B$2:$K$1621,10,0)),VLOOKUP($A8&amp;C$2,'2004'!$A$2:$K$1621,10,0),VLOOKUP($A8&amp;C$2,'2004'!$B$2:$K$1621,10,0))</f>
        <v>PHI</v>
      </c>
      <c r="D8" s="36" t="str">
        <f>IF(ISNA(VLOOKUP($A8&amp;D$2,'2004'!$B$2:$K$1621,10,0)),VLOOKUP($A8&amp;D$2,'2004'!$A$2:$K$1621,10,0),VLOOKUP($A8&amp;D$2,'2004'!$B$2:$K$1621,10,0))</f>
        <v>NYD</v>
      </c>
      <c r="E8" s="36" t="str">
        <f>IF(ISNA(VLOOKUP($A8&amp;E$2,'2004'!$B$2:$K$1621,10,0)),VLOOKUP($A8&amp;E$2,'2004'!$A$2:$K$1621,10,0),VLOOKUP($A8&amp;E$2,'2004'!$B$2:$K$1621,10,0))</f>
        <v>HAR</v>
      </c>
      <c r="F8" s="36" t="str">
        <f>IF(ISNA(VLOOKUP($A8&amp;F$2,'2004'!$B$2:$K$1621,10,0)),VLOOKUP($A8&amp;F$2,'2004'!$A$2:$K$1621,10,0),VLOOKUP($A8&amp;F$2,'2004'!$B$2:$K$1621,10,0))</f>
        <v>BRK</v>
      </c>
      <c r="G8" s="35" t="str">
        <f>IF(ISNA(VLOOKUP($A8&amp;G$2,'2004'!$B$2:$K$1621,10,0)),VLOOKUP($A8&amp;G$2,'2004'!$A$2:$K$1621,10,0),VLOOKUP($A8&amp;G$2,'2004'!$B$2:$K$1621,10,0))</f>
        <v>RMO</v>
      </c>
      <c r="H8" s="35" t="str">
        <f>IF(ISNA(VLOOKUP($A8&amp;H$2,'2004'!$B$2:$K$1621,10,0)),VLOOKUP($A8&amp;H$2,'2004'!$A$2:$K$1621,10,0),VLOOKUP($A8&amp;H$2,'2004'!$B$2:$K$1621,10,0))</f>
        <v>FFR</v>
      </c>
      <c r="I8" s="35" t="str">
        <f>IF(ISNA(VLOOKUP($A8&amp;I$2,'2004'!$B$2:$K$1621,10,0)),VLOOKUP($A8&amp;I$2,'2004'!$A$2:$K$1621,10,0),VLOOKUP($A8&amp;I$2,'2004'!$B$2:$K$1621,10,0))</f>
        <v>NNN</v>
      </c>
      <c r="J8" s="35" t="str">
        <f>IF(ISNA(VLOOKUP($A8&amp;J$2,'2004'!$B$2:$K$1621,10,0)),VLOOKUP($A8&amp;J$2,'2004'!$A$2:$K$1621,10,0),VLOOKUP($A8&amp;J$2,'2004'!$B$2:$K$1621,10,0))</f>
        <v>DIG</v>
      </c>
      <c r="K8" s="35" t="str">
        <f>IF(ISNA(VLOOKUP($A8&amp;K$2,'2004'!$B$2:$K$1621,10,0)),VLOOKUP($A8&amp;K$2,'2004'!$A$2:$K$1621,10,0),VLOOKUP($A8&amp;K$2,'2004'!$B$2:$K$1621,10,0))</f>
        <v>OKO</v>
      </c>
      <c r="L8" s="34" t="str">
        <f>IF(ISNA(VLOOKUP($A8&amp;L$2,'2004'!$B$2:$K$1621,10,0)),VLOOKUP($A8&amp;L$2,'2004'!$A$2:$K$1621,10,0),VLOOKUP($A8&amp;L$2,'2004'!$B$2:$K$1621,10,0))</f>
        <v>@REN</v>
      </c>
      <c r="M8" s="34" t="str">
        <f>IF(ISNA(VLOOKUP($A8&amp;M$2,'2004'!$B$2:$K$1621,10,0)),VLOOKUP($A8&amp;M$2,'2004'!$A$2:$K$1621,10,0),VLOOKUP($A8&amp;M$2,'2004'!$B$2:$K$1621,10,0))</f>
        <v>@FDH</v>
      </c>
      <c r="N8" s="34" t="str">
        <f>IF(ISNA(VLOOKUP($A8&amp;N$2,'2004'!$B$2:$K$1621,10,0)),VLOOKUP($A8&amp;N$2,'2004'!$A$2:$K$1621,10,0),VLOOKUP($A8&amp;N$2,'2004'!$B$2:$K$1621,10,0))</f>
        <v>@NEP</v>
      </c>
      <c r="O8" s="34" t="str">
        <f>IF(ISNA(VLOOKUP($A8&amp;O$2,'2004'!$B$2:$K$1621,10,0)),VLOOKUP($A8&amp;O$2,'2004'!$A$2:$K$1621,10,0),VLOOKUP($A8&amp;O$2,'2004'!$B$2:$K$1621,10,0))</f>
        <v>@TEW</v>
      </c>
      <c r="P8" s="34" t="str">
        <f>IF(ISNA(VLOOKUP($A8&amp;P$2,'2004'!$B$2:$K$1621,10,0)),VLOOKUP($A8&amp;P$2,'2004'!$A$2:$K$1621,10,0),VLOOKUP($A8&amp;P$2,'2004'!$B$2:$K$1621,10,0))</f>
        <v>@CEN</v>
      </c>
      <c r="Q8" s="38" t="str">
        <f>IF(ISNA(VLOOKUP($A8&amp;Q$2,'2004'!$B$2:$K$1621,10,0)),VLOOKUP($A8&amp;Q$2,'2004'!$A$2:$K$1621,10,0),VLOOKUP($A8&amp;Q$2,'2004'!$B$2:$K$1621,10,0))</f>
        <v>@GAR</v>
      </c>
      <c r="R8" s="38" t="str">
        <f>IF(ISNA(VLOOKUP($A8&amp;R$2,'2004'!$B$2:$K$1621,10,0)),VLOOKUP($A8&amp;R$2,'2004'!$A$2:$K$1621,10,0),VLOOKUP($A8&amp;R$2,'2004'!$B$2:$K$1621,10,0))</f>
        <v>@BBG</v>
      </c>
      <c r="S8" s="38" t="str">
        <f>IF(ISNA(VLOOKUP($A8&amp;S$2,'2004'!$B$2:$K$1621,10,0)),VLOOKUP($A8&amp;S$2,'2004'!$A$2:$K$1621,10,0),VLOOKUP($A8&amp;S$2,'2004'!$B$2:$K$1621,10,0))</f>
        <v>@CIN</v>
      </c>
      <c r="T8" s="38" t="str">
        <f>IF(ISNA(VLOOKUP($A8&amp;T$2,'2004'!$B$2:$K$1621,10,0)),VLOOKUP($A8&amp;T$2,'2004'!$A$2:$K$1621,10,0),VLOOKUP($A8&amp;T$2,'2004'!$B$2:$K$1621,10,0))</f>
        <v>@CTW</v>
      </c>
      <c r="U8" s="38" t="str">
        <f>IF(ISNA(VLOOKUP($A8&amp;U$2,'2004'!$B$2:$K$1621,10,0)),VLOOKUP($A8&amp;U$2,'2004'!$A$2:$K$1621,10,0),VLOOKUP($A8&amp;U$2,'2004'!$B$2:$K$1621,10,0))</f>
        <v>@BAR</v>
      </c>
    </row>
    <row r="9" spans="1:21" x14ac:dyDescent="0.25">
      <c r="A9" s="40">
        <f t="shared" si="0"/>
        <v>38086</v>
      </c>
      <c r="B9" s="36" t="str">
        <f>IF(ISNA(VLOOKUP($A9&amp;B$2,'2004'!$B$2:$K$1621,10,0)),VLOOKUP($A9&amp;B$2,'2004'!$A$2:$K$1621,10,0),VLOOKUP($A9&amp;B$2,'2004'!$B$2:$K$1621,10,0))</f>
        <v>@TEW</v>
      </c>
      <c r="C9" s="36" t="str">
        <f>IF(ISNA(VLOOKUP($A9&amp;C$2,'2004'!$B$2:$K$1621,10,0)),VLOOKUP($A9&amp;C$2,'2004'!$A$2:$K$1621,10,0),VLOOKUP($A9&amp;C$2,'2004'!$B$2:$K$1621,10,0))</f>
        <v>CTW</v>
      </c>
      <c r="D9" s="36" t="str">
        <f>IF(ISNA(VLOOKUP($A9&amp;D$2,'2004'!$B$2:$K$1621,10,0)),VLOOKUP($A9&amp;D$2,'2004'!$A$2:$K$1621,10,0),VLOOKUP($A9&amp;D$2,'2004'!$B$2:$K$1621,10,0))</f>
        <v>@BAR</v>
      </c>
      <c r="E9" s="36" t="str">
        <f>IF(ISNA(VLOOKUP($A9&amp;E$2,'2004'!$B$2:$K$1621,10,0)),VLOOKUP($A9&amp;E$2,'2004'!$A$2:$K$1621,10,0),VLOOKUP($A9&amp;E$2,'2004'!$B$2:$K$1621,10,0))</f>
        <v>GAR</v>
      </c>
      <c r="F9" s="36" t="str">
        <f>IF(ISNA(VLOOKUP($A9&amp;F$2,'2004'!$B$2:$K$1621,10,0)),VLOOKUP($A9&amp;F$2,'2004'!$A$2:$K$1621,10,0),VLOOKUP($A9&amp;F$2,'2004'!$B$2:$K$1621,10,0))</f>
        <v>@CIN</v>
      </c>
      <c r="G9" s="35" t="str">
        <f>IF(ISNA(VLOOKUP($A9&amp;G$2,'2004'!$B$2:$K$1621,10,0)),VLOOKUP($A9&amp;G$2,'2004'!$A$2:$K$1621,10,0),VLOOKUP($A9&amp;G$2,'2004'!$B$2:$K$1621,10,0))</f>
        <v>NEP</v>
      </c>
      <c r="H9" s="35" t="str">
        <f>IF(ISNA(VLOOKUP($A9&amp;H$2,'2004'!$B$2:$K$1621,10,0)),VLOOKUP($A9&amp;H$2,'2004'!$A$2:$K$1621,10,0),VLOOKUP($A9&amp;H$2,'2004'!$B$2:$K$1621,10,0))</f>
        <v>REN</v>
      </c>
      <c r="I9" s="35" t="str">
        <f>IF(ISNA(VLOOKUP($A9&amp;I$2,'2004'!$B$2:$K$1621,10,0)),VLOOKUP($A9&amp;I$2,'2004'!$A$2:$K$1621,10,0),VLOOKUP($A9&amp;I$2,'2004'!$B$2:$K$1621,10,0))</f>
        <v>@CEN</v>
      </c>
      <c r="J9" s="35" t="str">
        <f>IF(ISNA(VLOOKUP($A9&amp;J$2,'2004'!$B$2:$K$1621,10,0)),VLOOKUP($A9&amp;J$2,'2004'!$A$2:$K$1621,10,0),VLOOKUP($A9&amp;J$2,'2004'!$B$2:$K$1621,10,0))</f>
        <v>@FDH</v>
      </c>
      <c r="K9" s="35" t="str">
        <f>IF(ISNA(VLOOKUP($A9&amp;K$2,'2004'!$B$2:$K$1621,10,0)),VLOOKUP($A9&amp;K$2,'2004'!$A$2:$K$1621,10,0),VLOOKUP($A9&amp;K$2,'2004'!$B$2:$K$1621,10,0))</f>
        <v>BBG</v>
      </c>
      <c r="L9" s="34" t="str">
        <f>IF(ISNA(VLOOKUP($A9&amp;L$2,'2004'!$B$2:$K$1621,10,0)),VLOOKUP($A9&amp;L$2,'2004'!$A$2:$K$1621,10,0),VLOOKUP($A9&amp;L$2,'2004'!$B$2:$K$1621,10,0))</f>
        <v>NNN</v>
      </c>
      <c r="M9" s="34" t="str">
        <f>IF(ISNA(VLOOKUP($A9&amp;M$2,'2004'!$B$2:$K$1621,10,0)),VLOOKUP($A9&amp;M$2,'2004'!$A$2:$K$1621,10,0),VLOOKUP($A9&amp;M$2,'2004'!$B$2:$K$1621,10,0))</f>
        <v>@HAR</v>
      </c>
      <c r="N9" s="34" t="str">
        <f>IF(ISNA(VLOOKUP($A9&amp;N$2,'2004'!$B$2:$K$1621,10,0)),VLOOKUP($A9&amp;N$2,'2004'!$A$2:$K$1621,10,0),VLOOKUP($A9&amp;N$2,'2004'!$B$2:$K$1621,10,0))</f>
        <v>@DIG</v>
      </c>
      <c r="O9" s="34" t="str">
        <f>IF(ISNA(VLOOKUP($A9&amp;O$2,'2004'!$B$2:$K$1621,10,0)),VLOOKUP($A9&amp;O$2,'2004'!$A$2:$K$1621,10,0),VLOOKUP($A9&amp;O$2,'2004'!$B$2:$K$1621,10,0))</f>
        <v>RMO</v>
      </c>
      <c r="P9" s="34" t="str">
        <f>IF(ISNA(VLOOKUP($A9&amp;P$2,'2004'!$B$2:$K$1621,10,0)),VLOOKUP($A9&amp;P$2,'2004'!$A$2:$K$1621,10,0),VLOOKUP($A9&amp;P$2,'2004'!$B$2:$K$1621,10,0))</f>
        <v>@OKO</v>
      </c>
      <c r="Q9" s="38" t="str">
        <f>IF(ISNA(VLOOKUP($A9&amp;Q$2,'2004'!$B$2:$K$1621,10,0)),VLOOKUP($A9&amp;Q$2,'2004'!$A$2:$K$1621,10,0),VLOOKUP($A9&amp;Q$2,'2004'!$B$2:$K$1621,10,0))</f>
        <v>NYD</v>
      </c>
      <c r="R9" s="38" t="str">
        <f>IF(ISNA(VLOOKUP($A9&amp;R$2,'2004'!$B$2:$K$1621,10,0)),VLOOKUP($A9&amp;R$2,'2004'!$A$2:$K$1621,10,0),VLOOKUP($A9&amp;R$2,'2004'!$B$2:$K$1621,10,0))</f>
        <v>PHI</v>
      </c>
      <c r="S9" s="38" t="str">
        <f>IF(ISNA(VLOOKUP($A9&amp;S$2,'2004'!$B$2:$K$1621,10,0)),VLOOKUP($A9&amp;S$2,'2004'!$A$2:$K$1621,10,0),VLOOKUP($A9&amp;S$2,'2004'!$B$2:$K$1621,10,0))</f>
        <v>FFR</v>
      </c>
      <c r="T9" s="38" t="str">
        <f>IF(ISNA(VLOOKUP($A9&amp;T$2,'2004'!$B$2:$K$1621,10,0)),VLOOKUP($A9&amp;T$2,'2004'!$A$2:$K$1621,10,0),VLOOKUP($A9&amp;T$2,'2004'!$B$2:$K$1621,10,0))</f>
        <v>@BRK</v>
      </c>
      <c r="U9" s="38" t="str">
        <f>IF(ISNA(VLOOKUP($A9&amp;U$2,'2004'!$B$2:$K$1621,10,0)),VLOOKUP($A9&amp;U$2,'2004'!$A$2:$K$1621,10,0),VLOOKUP($A9&amp;U$2,'2004'!$B$2:$K$1621,10,0))</f>
        <v>@CBB</v>
      </c>
    </row>
    <row r="10" spans="1:21" x14ac:dyDescent="0.25">
      <c r="A10" s="40">
        <f t="shared" si="0"/>
        <v>38087</v>
      </c>
      <c r="B10" s="36" t="str">
        <f>IF(ISNA(VLOOKUP($A10&amp;B$2,'2004'!$B$2:$K$1621,10,0)),VLOOKUP($A10&amp;B$2,'2004'!$A$2:$K$1621,10,0),VLOOKUP($A10&amp;B$2,'2004'!$B$2:$K$1621,10,0))</f>
        <v>@TEW</v>
      </c>
      <c r="C10" s="36" t="str">
        <f>IF(ISNA(VLOOKUP($A10&amp;C$2,'2004'!$B$2:$K$1621,10,0)),VLOOKUP($A10&amp;C$2,'2004'!$A$2:$K$1621,10,0),VLOOKUP($A10&amp;C$2,'2004'!$B$2:$K$1621,10,0))</f>
        <v>CTW</v>
      </c>
      <c r="D10" s="36" t="str">
        <f>IF(ISNA(VLOOKUP($A10&amp;D$2,'2004'!$B$2:$K$1621,10,0)),VLOOKUP($A10&amp;D$2,'2004'!$A$2:$K$1621,10,0),VLOOKUP($A10&amp;D$2,'2004'!$B$2:$K$1621,10,0))</f>
        <v>@BAR</v>
      </c>
      <c r="E10" s="36" t="str">
        <f>IF(ISNA(VLOOKUP($A10&amp;E$2,'2004'!$B$2:$K$1621,10,0)),VLOOKUP($A10&amp;E$2,'2004'!$A$2:$K$1621,10,0),VLOOKUP($A10&amp;E$2,'2004'!$B$2:$K$1621,10,0))</f>
        <v>GAR</v>
      </c>
      <c r="F10" s="36" t="str">
        <f>IF(ISNA(VLOOKUP($A10&amp;F$2,'2004'!$B$2:$K$1621,10,0)),VLOOKUP($A10&amp;F$2,'2004'!$A$2:$K$1621,10,0),VLOOKUP($A10&amp;F$2,'2004'!$B$2:$K$1621,10,0))</f>
        <v>@CIN</v>
      </c>
      <c r="G10" s="35" t="str">
        <f>IF(ISNA(VLOOKUP($A10&amp;G$2,'2004'!$B$2:$K$1621,10,0)),VLOOKUP($A10&amp;G$2,'2004'!$A$2:$K$1621,10,0),VLOOKUP($A10&amp;G$2,'2004'!$B$2:$K$1621,10,0))</f>
        <v>NEP</v>
      </c>
      <c r="H10" s="35" t="str">
        <f>IF(ISNA(VLOOKUP($A10&amp;H$2,'2004'!$B$2:$K$1621,10,0)),VLOOKUP($A10&amp;H$2,'2004'!$A$2:$K$1621,10,0),VLOOKUP($A10&amp;H$2,'2004'!$B$2:$K$1621,10,0))</f>
        <v>REN</v>
      </c>
      <c r="I10" s="35" t="str">
        <f>IF(ISNA(VLOOKUP($A10&amp;I$2,'2004'!$B$2:$K$1621,10,0)),VLOOKUP($A10&amp;I$2,'2004'!$A$2:$K$1621,10,0),VLOOKUP($A10&amp;I$2,'2004'!$B$2:$K$1621,10,0))</f>
        <v>@CEN</v>
      </c>
      <c r="J10" s="35" t="str">
        <f>IF(ISNA(VLOOKUP($A10&amp;J$2,'2004'!$B$2:$K$1621,10,0)),VLOOKUP($A10&amp;J$2,'2004'!$A$2:$K$1621,10,0),VLOOKUP($A10&amp;J$2,'2004'!$B$2:$K$1621,10,0))</f>
        <v>@FDH</v>
      </c>
      <c r="K10" s="35" t="str">
        <f>IF(ISNA(VLOOKUP($A10&amp;K$2,'2004'!$B$2:$K$1621,10,0)),VLOOKUP($A10&amp;K$2,'2004'!$A$2:$K$1621,10,0),VLOOKUP($A10&amp;K$2,'2004'!$B$2:$K$1621,10,0))</f>
        <v>BBG</v>
      </c>
      <c r="L10" s="34" t="str">
        <f>IF(ISNA(VLOOKUP($A10&amp;L$2,'2004'!$B$2:$K$1621,10,0)),VLOOKUP($A10&amp;L$2,'2004'!$A$2:$K$1621,10,0),VLOOKUP($A10&amp;L$2,'2004'!$B$2:$K$1621,10,0))</f>
        <v>NNN</v>
      </c>
      <c r="M10" s="34" t="str">
        <f>IF(ISNA(VLOOKUP($A10&amp;M$2,'2004'!$B$2:$K$1621,10,0)),VLOOKUP($A10&amp;M$2,'2004'!$A$2:$K$1621,10,0),VLOOKUP($A10&amp;M$2,'2004'!$B$2:$K$1621,10,0))</f>
        <v>@HAR</v>
      </c>
      <c r="N10" s="34" t="str">
        <f>IF(ISNA(VLOOKUP($A10&amp;N$2,'2004'!$B$2:$K$1621,10,0)),VLOOKUP($A10&amp;N$2,'2004'!$A$2:$K$1621,10,0),VLOOKUP($A10&amp;N$2,'2004'!$B$2:$K$1621,10,0))</f>
        <v>@DIG</v>
      </c>
      <c r="O10" s="34" t="str">
        <f>IF(ISNA(VLOOKUP($A10&amp;O$2,'2004'!$B$2:$K$1621,10,0)),VLOOKUP($A10&amp;O$2,'2004'!$A$2:$K$1621,10,0),VLOOKUP($A10&amp;O$2,'2004'!$B$2:$K$1621,10,0))</f>
        <v>RMO</v>
      </c>
      <c r="P10" s="34" t="str">
        <f>IF(ISNA(VLOOKUP($A10&amp;P$2,'2004'!$B$2:$K$1621,10,0)),VLOOKUP($A10&amp;P$2,'2004'!$A$2:$K$1621,10,0),VLOOKUP($A10&amp;P$2,'2004'!$B$2:$K$1621,10,0))</f>
        <v>@OKO</v>
      </c>
      <c r="Q10" s="38" t="str">
        <f>IF(ISNA(VLOOKUP($A10&amp;Q$2,'2004'!$B$2:$K$1621,10,0)),VLOOKUP($A10&amp;Q$2,'2004'!$A$2:$K$1621,10,0),VLOOKUP($A10&amp;Q$2,'2004'!$B$2:$K$1621,10,0))</f>
        <v>NYD</v>
      </c>
      <c r="R10" s="38" t="str">
        <f>IF(ISNA(VLOOKUP($A10&amp;R$2,'2004'!$B$2:$K$1621,10,0)),VLOOKUP($A10&amp;R$2,'2004'!$A$2:$K$1621,10,0),VLOOKUP($A10&amp;R$2,'2004'!$B$2:$K$1621,10,0))</f>
        <v>PHI</v>
      </c>
      <c r="S10" s="38" t="str">
        <f>IF(ISNA(VLOOKUP($A10&amp;S$2,'2004'!$B$2:$K$1621,10,0)),VLOOKUP($A10&amp;S$2,'2004'!$A$2:$K$1621,10,0),VLOOKUP($A10&amp;S$2,'2004'!$B$2:$K$1621,10,0))</f>
        <v>FFR</v>
      </c>
      <c r="T10" s="38" t="str">
        <f>IF(ISNA(VLOOKUP($A10&amp;T$2,'2004'!$B$2:$K$1621,10,0)),VLOOKUP($A10&amp;T$2,'2004'!$A$2:$K$1621,10,0),VLOOKUP($A10&amp;T$2,'2004'!$B$2:$K$1621,10,0))</f>
        <v>@BRK</v>
      </c>
      <c r="U10" s="38" t="str">
        <f>IF(ISNA(VLOOKUP($A10&amp;U$2,'2004'!$B$2:$K$1621,10,0)),VLOOKUP($A10&amp;U$2,'2004'!$A$2:$K$1621,10,0),VLOOKUP($A10&amp;U$2,'2004'!$B$2:$K$1621,10,0))</f>
        <v>@CBB</v>
      </c>
    </row>
    <row r="11" spans="1:21" x14ac:dyDescent="0.25">
      <c r="A11" s="40">
        <f t="shared" si="0"/>
        <v>38088</v>
      </c>
      <c r="B11" s="36" t="str">
        <f>IF(ISNA(VLOOKUP($A11&amp;B$2,'2004'!$B$2:$K$1621,10,0)),VLOOKUP($A11&amp;B$2,'2004'!$A$2:$K$1621,10,0),VLOOKUP($A11&amp;B$2,'2004'!$B$2:$K$1621,10,0))</f>
        <v>@TEW</v>
      </c>
      <c r="C11" s="36" t="str">
        <f>IF(ISNA(VLOOKUP($A11&amp;C$2,'2004'!$B$2:$K$1621,10,0)),VLOOKUP($A11&amp;C$2,'2004'!$A$2:$K$1621,10,0),VLOOKUP($A11&amp;C$2,'2004'!$B$2:$K$1621,10,0))</f>
        <v>CTW</v>
      </c>
      <c r="D11" s="36" t="str">
        <f>IF(ISNA(VLOOKUP($A11&amp;D$2,'2004'!$B$2:$K$1621,10,0)),VLOOKUP($A11&amp;D$2,'2004'!$A$2:$K$1621,10,0),VLOOKUP($A11&amp;D$2,'2004'!$B$2:$K$1621,10,0))</f>
        <v>@BAR</v>
      </c>
      <c r="E11" s="36" t="str">
        <f>IF(ISNA(VLOOKUP($A11&amp;E$2,'2004'!$B$2:$K$1621,10,0)),VLOOKUP($A11&amp;E$2,'2004'!$A$2:$K$1621,10,0),VLOOKUP($A11&amp;E$2,'2004'!$B$2:$K$1621,10,0))</f>
        <v>GAR</v>
      </c>
      <c r="F11" s="36" t="str">
        <f>IF(ISNA(VLOOKUP($A11&amp;F$2,'2004'!$B$2:$K$1621,10,0)),VLOOKUP($A11&amp;F$2,'2004'!$A$2:$K$1621,10,0),VLOOKUP($A11&amp;F$2,'2004'!$B$2:$K$1621,10,0))</f>
        <v>@CIN</v>
      </c>
      <c r="G11" s="35" t="str">
        <f>IF(ISNA(VLOOKUP($A11&amp;G$2,'2004'!$B$2:$K$1621,10,0)),VLOOKUP($A11&amp;G$2,'2004'!$A$2:$K$1621,10,0),VLOOKUP($A11&amp;G$2,'2004'!$B$2:$K$1621,10,0))</f>
        <v>NEP</v>
      </c>
      <c r="H11" s="35" t="str">
        <f>IF(ISNA(VLOOKUP($A11&amp;H$2,'2004'!$B$2:$K$1621,10,0)),VLOOKUP($A11&amp;H$2,'2004'!$A$2:$K$1621,10,0),VLOOKUP($A11&amp;H$2,'2004'!$B$2:$K$1621,10,0))</f>
        <v>REN</v>
      </c>
      <c r="I11" s="35" t="str">
        <f>IF(ISNA(VLOOKUP($A11&amp;I$2,'2004'!$B$2:$K$1621,10,0)),VLOOKUP($A11&amp;I$2,'2004'!$A$2:$K$1621,10,0),VLOOKUP($A11&amp;I$2,'2004'!$B$2:$K$1621,10,0))</f>
        <v>@CEN</v>
      </c>
      <c r="J11" s="35" t="str">
        <f>IF(ISNA(VLOOKUP($A11&amp;J$2,'2004'!$B$2:$K$1621,10,0)),VLOOKUP($A11&amp;J$2,'2004'!$A$2:$K$1621,10,0),VLOOKUP($A11&amp;J$2,'2004'!$B$2:$K$1621,10,0))</f>
        <v>@FDH</v>
      </c>
      <c r="K11" s="35" t="str">
        <f>IF(ISNA(VLOOKUP($A11&amp;K$2,'2004'!$B$2:$K$1621,10,0)),VLOOKUP($A11&amp;K$2,'2004'!$A$2:$K$1621,10,0),VLOOKUP($A11&amp;K$2,'2004'!$B$2:$K$1621,10,0))</f>
        <v>BBG</v>
      </c>
      <c r="L11" s="34" t="str">
        <f>IF(ISNA(VLOOKUP($A11&amp;L$2,'2004'!$B$2:$K$1621,10,0)),VLOOKUP($A11&amp;L$2,'2004'!$A$2:$K$1621,10,0),VLOOKUP($A11&amp;L$2,'2004'!$B$2:$K$1621,10,0))</f>
        <v>NNN</v>
      </c>
      <c r="M11" s="34" t="str">
        <f>IF(ISNA(VLOOKUP($A11&amp;M$2,'2004'!$B$2:$K$1621,10,0)),VLOOKUP($A11&amp;M$2,'2004'!$A$2:$K$1621,10,0),VLOOKUP($A11&amp;M$2,'2004'!$B$2:$K$1621,10,0))</f>
        <v>@HAR</v>
      </c>
      <c r="N11" s="34" t="str">
        <f>IF(ISNA(VLOOKUP($A11&amp;N$2,'2004'!$B$2:$K$1621,10,0)),VLOOKUP($A11&amp;N$2,'2004'!$A$2:$K$1621,10,0),VLOOKUP($A11&amp;N$2,'2004'!$B$2:$K$1621,10,0))</f>
        <v>@DIG</v>
      </c>
      <c r="O11" s="34" t="str">
        <f>IF(ISNA(VLOOKUP($A11&amp;O$2,'2004'!$B$2:$K$1621,10,0)),VLOOKUP($A11&amp;O$2,'2004'!$A$2:$K$1621,10,0),VLOOKUP($A11&amp;O$2,'2004'!$B$2:$K$1621,10,0))</f>
        <v>RMO</v>
      </c>
      <c r="P11" s="34" t="str">
        <f>IF(ISNA(VLOOKUP($A11&amp;P$2,'2004'!$B$2:$K$1621,10,0)),VLOOKUP($A11&amp;P$2,'2004'!$A$2:$K$1621,10,0),VLOOKUP($A11&amp;P$2,'2004'!$B$2:$K$1621,10,0))</f>
        <v>@OKO</v>
      </c>
      <c r="Q11" s="38" t="str">
        <f>IF(ISNA(VLOOKUP($A11&amp;Q$2,'2004'!$B$2:$K$1621,10,0)),VLOOKUP($A11&amp;Q$2,'2004'!$A$2:$K$1621,10,0),VLOOKUP($A11&amp;Q$2,'2004'!$B$2:$K$1621,10,0))</f>
        <v>NYD</v>
      </c>
      <c r="R11" s="38" t="str">
        <f>IF(ISNA(VLOOKUP($A11&amp;R$2,'2004'!$B$2:$K$1621,10,0)),VLOOKUP($A11&amp;R$2,'2004'!$A$2:$K$1621,10,0),VLOOKUP($A11&amp;R$2,'2004'!$B$2:$K$1621,10,0))</f>
        <v>PHI</v>
      </c>
      <c r="S11" s="38" t="str">
        <f>IF(ISNA(VLOOKUP($A11&amp;S$2,'2004'!$B$2:$K$1621,10,0)),VLOOKUP($A11&amp;S$2,'2004'!$A$2:$K$1621,10,0),VLOOKUP($A11&amp;S$2,'2004'!$B$2:$K$1621,10,0))</f>
        <v>FFR</v>
      </c>
      <c r="T11" s="38" t="str">
        <f>IF(ISNA(VLOOKUP($A11&amp;T$2,'2004'!$B$2:$K$1621,10,0)),VLOOKUP($A11&amp;T$2,'2004'!$A$2:$K$1621,10,0),VLOOKUP($A11&amp;T$2,'2004'!$B$2:$K$1621,10,0))</f>
        <v>@BRK</v>
      </c>
      <c r="U11" s="38" t="str">
        <f>IF(ISNA(VLOOKUP($A11&amp;U$2,'2004'!$B$2:$K$1621,10,0)),VLOOKUP($A11&amp;U$2,'2004'!$A$2:$K$1621,10,0),VLOOKUP($A11&amp;U$2,'2004'!$B$2:$K$1621,10,0))</f>
        <v>@CBB</v>
      </c>
    </row>
    <row r="12" spans="1:21" x14ac:dyDescent="0.25">
      <c r="A12" s="40">
        <f t="shared" si="0"/>
        <v>38089</v>
      </c>
      <c r="B12" s="36" t="str">
        <f>IF(ISNA(VLOOKUP($A12&amp;B$2,'2004'!$B$2:$K$1621,10,0)),VLOOKUP($A12&amp;B$2,'2004'!$A$2:$K$1621,10,0),VLOOKUP($A12&amp;B$2,'2004'!$B$2:$K$1621,10,0))</f>
        <v>@TEW</v>
      </c>
      <c r="C12" s="36" t="e">
        <f>IF(ISNA(VLOOKUP($A12&amp;C$2,'2004'!$B$2:$K$1621,10,0)),VLOOKUP($A12&amp;C$2,'2004'!$A$2:$K$1621,10,0),VLOOKUP($A12&amp;C$2,'2004'!$B$2:$K$1621,10,0))</f>
        <v>#N/A</v>
      </c>
      <c r="D12" s="36" t="e">
        <f>IF(ISNA(VLOOKUP($A12&amp;D$2,'2004'!$B$2:$K$1621,10,0)),VLOOKUP($A12&amp;D$2,'2004'!$A$2:$K$1621,10,0),VLOOKUP($A12&amp;D$2,'2004'!$B$2:$K$1621,10,0))</f>
        <v>#N/A</v>
      </c>
      <c r="E12" s="36" t="e">
        <f>IF(ISNA(VLOOKUP($A12&amp;E$2,'2004'!$B$2:$K$1621,10,0)),VLOOKUP($A12&amp;E$2,'2004'!$A$2:$K$1621,10,0),VLOOKUP($A12&amp;E$2,'2004'!$B$2:$K$1621,10,0))</f>
        <v>#N/A</v>
      </c>
      <c r="F12" s="36" t="e">
        <f>IF(ISNA(VLOOKUP($A12&amp;F$2,'2004'!$B$2:$K$1621,10,0)),VLOOKUP($A12&amp;F$2,'2004'!$A$2:$K$1621,10,0),VLOOKUP($A12&amp;F$2,'2004'!$B$2:$K$1621,10,0))</f>
        <v>#N/A</v>
      </c>
      <c r="G12" s="35" t="e">
        <f>IF(ISNA(VLOOKUP($A12&amp;G$2,'2004'!$B$2:$K$1621,10,0)),VLOOKUP($A12&amp;G$2,'2004'!$A$2:$K$1621,10,0),VLOOKUP($A12&amp;G$2,'2004'!$B$2:$K$1621,10,0))</f>
        <v>#N/A</v>
      </c>
      <c r="H12" s="35" t="e">
        <f>IF(ISNA(VLOOKUP($A12&amp;H$2,'2004'!$B$2:$K$1621,10,0)),VLOOKUP($A12&amp;H$2,'2004'!$A$2:$K$1621,10,0),VLOOKUP($A12&amp;H$2,'2004'!$B$2:$K$1621,10,0))</f>
        <v>#N/A</v>
      </c>
      <c r="I12" s="35" t="e">
        <f>IF(ISNA(VLOOKUP($A12&amp;I$2,'2004'!$B$2:$K$1621,10,0)),VLOOKUP($A12&amp;I$2,'2004'!$A$2:$K$1621,10,0),VLOOKUP($A12&amp;I$2,'2004'!$B$2:$K$1621,10,0))</f>
        <v>#N/A</v>
      </c>
      <c r="J12" s="35" t="e">
        <f>IF(ISNA(VLOOKUP($A12&amp;J$2,'2004'!$B$2:$K$1621,10,0)),VLOOKUP($A12&amp;J$2,'2004'!$A$2:$K$1621,10,0),VLOOKUP($A12&amp;J$2,'2004'!$B$2:$K$1621,10,0))</f>
        <v>#N/A</v>
      </c>
      <c r="K12" s="35" t="str">
        <f>IF(ISNA(VLOOKUP($A12&amp;K$2,'2004'!$B$2:$K$1621,10,0)),VLOOKUP($A12&amp;K$2,'2004'!$A$2:$K$1621,10,0),VLOOKUP($A12&amp;K$2,'2004'!$B$2:$K$1621,10,0))</f>
        <v>BBG</v>
      </c>
      <c r="L12" s="34" t="e">
        <f>IF(ISNA(VLOOKUP($A12&amp;L$2,'2004'!$B$2:$K$1621,10,0)),VLOOKUP($A12&amp;L$2,'2004'!$A$2:$K$1621,10,0),VLOOKUP($A12&amp;L$2,'2004'!$B$2:$K$1621,10,0))</f>
        <v>#N/A</v>
      </c>
      <c r="M12" s="34" t="str">
        <f>IF(ISNA(VLOOKUP($A12&amp;M$2,'2004'!$B$2:$K$1621,10,0)),VLOOKUP($A12&amp;M$2,'2004'!$A$2:$K$1621,10,0),VLOOKUP($A12&amp;M$2,'2004'!$B$2:$K$1621,10,0))</f>
        <v>@HAR</v>
      </c>
      <c r="N12" s="34" t="e">
        <f>IF(ISNA(VLOOKUP($A12&amp;N$2,'2004'!$B$2:$K$1621,10,0)),VLOOKUP($A12&amp;N$2,'2004'!$A$2:$K$1621,10,0),VLOOKUP($A12&amp;N$2,'2004'!$B$2:$K$1621,10,0))</f>
        <v>#N/A</v>
      </c>
      <c r="O12" s="34" t="e">
        <f>IF(ISNA(VLOOKUP($A12&amp;O$2,'2004'!$B$2:$K$1621,10,0)),VLOOKUP($A12&amp;O$2,'2004'!$A$2:$K$1621,10,0),VLOOKUP($A12&amp;O$2,'2004'!$B$2:$K$1621,10,0))</f>
        <v>#N/A</v>
      </c>
      <c r="P12" s="34" t="e">
        <f>IF(ISNA(VLOOKUP($A12&amp;P$2,'2004'!$B$2:$K$1621,10,0)),VLOOKUP($A12&amp;P$2,'2004'!$A$2:$K$1621,10,0),VLOOKUP($A12&amp;P$2,'2004'!$B$2:$K$1621,10,0))</f>
        <v>#N/A</v>
      </c>
      <c r="Q12" s="38" t="e">
        <f>IF(ISNA(VLOOKUP($A12&amp;Q$2,'2004'!$B$2:$K$1621,10,0)),VLOOKUP($A12&amp;Q$2,'2004'!$A$2:$K$1621,10,0),VLOOKUP($A12&amp;Q$2,'2004'!$B$2:$K$1621,10,0))</f>
        <v>#N/A</v>
      </c>
      <c r="R12" s="38" t="e">
        <f>IF(ISNA(VLOOKUP($A12&amp;R$2,'2004'!$B$2:$K$1621,10,0)),VLOOKUP($A12&amp;R$2,'2004'!$A$2:$K$1621,10,0),VLOOKUP($A12&amp;R$2,'2004'!$B$2:$K$1621,10,0))</f>
        <v>#N/A</v>
      </c>
      <c r="S12" s="38" t="str">
        <f>IF(ISNA(VLOOKUP($A12&amp;S$2,'2004'!$B$2:$K$1621,10,0)),VLOOKUP($A12&amp;S$2,'2004'!$A$2:$K$1621,10,0),VLOOKUP($A12&amp;S$2,'2004'!$B$2:$K$1621,10,0))</f>
        <v>FFR</v>
      </c>
      <c r="T12" s="38" t="e">
        <f>IF(ISNA(VLOOKUP($A12&amp;T$2,'2004'!$B$2:$K$1621,10,0)),VLOOKUP($A12&amp;T$2,'2004'!$A$2:$K$1621,10,0),VLOOKUP($A12&amp;T$2,'2004'!$B$2:$K$1621,10,0))</f>
        <v>#N/A</v>
      </c>
      <c r="U12" s="38" t="e">
        <f>IF(ISNA(VLOOKUP($A12&amp;U$2,'2004'!$B$2:$K$1621,10,0)),VLOOKUP($A12&amp;U$2,'2004'!$A$2:$K$1621,10,0),VLOOKUP($A12&amp;U$2,'2004'!$B$2:$K$1621,10,0))</f>
        <v>#N/A</v>
      </c>
    </row>
    <row r="13" spans="1:21" x14ac:dyDescent="0.25">
      <c r="A13" s="40">
        <f t="shared" si="0"/>
        <v>38090</v>
      </c>
      <c r="B13" s="36" t="str">
        <f>IF(ISNA(VLOOKUP($A13&amp;B$2,'2004'!$B$2:$K$1621,10,0)),VLOOKUP($A13&amp;B$2,'2004'!$A$2:$K$1621,10,0),VLOOKUP($A13&amp;B$2,'2004'!$B$2:$K$1621,10,0))</f>
        <v>HAR</v>
      </c>
      <c r="C13" s="36" t="str">
        <f>IF(ISNA(VLOOKUP($A13&amp;C$2,'2004'!$B$2:$K$1621,10,0)),VLOOKUP($A13&amp;C$2,'2004'!$A$2:$K$1621,10,0),VLOOKUP($A13&amp;C$2,'2004'!$B$2:$K$1621,10,0))</f>
        <v>CBB</v>
      </c>
      <c r="D13" s="36" t="str">
        <f>IF(ISNA(VLOOKUP($A13&amp;D$2,'2004'!$B$2:$K$1621,10,0)),VLOOKUP($A13&amp;D$2,'2004'!$A$2:$K$1621,10,0),VLOOKUP($A13&amp;D$2,'2004'!$B$2:$K$1621,10,0))</f>
        <v>PHI</v>
      </c>
      <c r="E13" s="36" t="str">
        <f>IF(ISNA(VLOOKUP($A13&amp;E$2,'2004'!$B$2:$K$1621,10,0)),VLOOKUP($A13&amp;E$2,'2004'!$A$2:$K$1621,10,0),VLOOKUP($A13&amp;E$2,'2004'!$B$2:$K$1621,10,0))</f>
        <v>BRK</v>
      </c>
      <c r="F13" s="36" t="str">
        <f>IF(ISNA(VLOOKUP($A13&amp;F$2,'2004'!$B$2:$K$1621,10,0)),VLOOKUP($A13&amp;F$2,'2004'!$A$2:$K$1621,10,0),VLOOKUP($A13&amp;F$2,'2004'!$B$2:$K$1621,10,0))</f>
        <v>NYD</v>
      </c>
      <c r="G13" s="35" t="str">
        <f>IF(ISNA(VLOOKUP($A13&amp;G$2,'2004'!$B$2:$K$1621,10,0)),VLOOKUP($A13&amp;G$2,'2004'!$A$2:$K$1621,10,0),VLOOKUP($A13&amp;G$2,'2004'!$B$2:$K$1621,10,0))</f>
        <v>OKO</v>
      </c>
      <c r="H13" s="35" t="str">
        <f>IF(ISNA(VLOOKUP($A13&amp;H$2,'2004'!$B$2:$K$1621,10,0)),VLOOKUP($A13&amp;H$2,'2004'!$A$2:$K$1621,10,0),VLOOKUP($A13&amp;H$2,'2004'!$B$2:$K$1621,10,0))</f>
        <v>DIG</v>
      </c>
      <c r="I13" s="35" t="str">
        <f>IF(ISNA(VLOOKUP($A13&amp;I$2,'2004'!$B$2:$K$1621,10,0)),VLOOKUP($A13&amp;I$2,'2004'!$A$2:$K$1621,10,0),VLOOKUP($A13&amp;I$2,'2004'!$B$2:$K$1621,10,0))</f>
        <v>RMO</v>
      </c>
      <c r="J13" s="35" t="str">
        <f>IF(ISNA(VLOOKUP($A13&amp;J$2,'2004'!$B$2:$K$1621,10,0)),VLOOKUP($A13&amp;J$2,'2004'!$A$2:$K$1621,10,0),VLOOKUP($A13&amp;J$2,'2004'!$B$2:$K$1621,10,0))</f>
        <v>NNN</v>
      </c>
      <c r="K13" s="35" t="str">
        <f>IF(ISNA(VLOOKUP($A13&amp;K$2,'2004'!$B$2:$K$1621,10,0)),VLOOKUP($A13&amp;K$2,'2004'!$A$2:$K$1621,10,0),VLOOKUP($A13&amp;K$2,'2004'!$B$2:$K$1621,10,0))</f>
        <v>FFR</v>
      </c>
      <c r="L13" s="34" t="str">
        <f>IF(ISNA(VLOOKUP($A13&amp;L$2,'2004'!$B$2:$K$1621,10,0)),VLOOKUP($A13&amp;L$2,'2004'!$A$2:$K$1621,10,0),VLOOKUP($A13&amp;L$2,'2004'!$B$2:$K$1621,10,0))</f>
        <v>@FDH</v>
      </c>
      <c r="M13" s="34" t="str">
        <f>IF(ISNA(VLOOKUP($A13&amp;M$2,'2004'!$B$2:$K$1621,10,0)),VLOOKUP($A13&amp;M$2,'2004'!$A$2:$K$1621,10,0),VLOOKUP($A13&amp;M$2,'2004'!$B$2:$K$1621,10,0))</f>
        <v>@TEW</v>
      </c>
      <c r="N13" s="34" t="str">
        <f>IF(ISNA(VLOOKUP($A13&amp;N$2,'2004'!$B$2:$K$1621,10,0)),VLOOKUP($A13&amp;N$2,'2004'!$A$2:$K$1621,10,0),VLOOKUP($A13&amp;N$2,'2004'!$B$2:$K$1621,10,0))</f>
        <v>@REN</v>
      </c>
      <c r="O13" s="34" t="str">
        <f>IF(ISNA(VLOOKUP($A13&amp;O$2,'2004'!$B$2:$K$1621,10,0)),VLOOKUP($A13&amp;O$2,'2004'!$A$2:$K$1621,10,0),VLOOKUP($A13&amp;O$2,'2004'!$B$2:$K$1621,10,0))</f>
        <v>@CEN</v>
      </c>
      <c r="P13" s="34" t="str">
        <f>IF(ISNA(VLOOKUP($A13&amp;P$2,'2004'!$B$2:$K$1621,10,0)),VLOOKUP($A13&amp;P$2,'2004'!$A$2:$K$1621,10,0),VLOOKUP($A13&amp;P$2,'2004'!$B$2:$K$1621,10,0))</f>
        <v>@NEP</v>
      </c>
      <c r="Q13" s="38" t="str">
        <f>IF(ISNA(VLOOKUP($A13&amp;Q$2,'2004'!$B$2:$K$1621,10,0)),VLOOKUP($A13&amp;Q$2,'2004'!$A$2:$K$1621,10,0),VLOOKUP($A13&amp;Q$2,'2004'!$B$2:$K$1621,10,0))</f>
        <v>@CIN</v>
      </c>
      <c r="R13" s="38" t="str">
        <f>IF(ISNA(VLOOKUP($A13&amp;R$2,'2004'!$B$2:$K$1621,10,0)),VLOOKUP($A13&amp;R$2,'2004'!$A$2:$K$1621,10,0),VLOOKUP($A13&amp;R$2,'2004'!$B$2:$K$1621,10,0))</f>
        <v>@BAR</v>
      </c>
      <c r="S13" s="38" t="str">
        <f>IF(ISNA(VLOOKUP($A13&amp;S$2,'2004'!$B$2:$K$1621,10,0)),VLOOKUP($A13&amp;S$2,'2004'!$A$2:$K$1621,10,0),VLOOKUP($A13&amp;S$2,'2004'!$B$2:$K$1621,10,0))</f>
        <v>@BBG</v>
      </c>
      <c r="T13" s="38" t="str">
        <f>IF(ISNA(VLOOKUP($A13&amp;T$2,'2004'!$B$2:$K$1621,10,0)),VLOOKUP($A13&amp;T$2,'2004'!$A$2:$K$1621,10,0),VLOOKUP($A13&amp;T$2,'2004'!$B$2:$K$1621,10,0))</f>
        <v>@GAR</v>
      </c>
      <c r="U13" s="38" t="str">
        <f>IF(ISNA(VLOOKUP($A13&amp;U$2,'2004'!$B$2:$K$1621,10,0)),VLOOKUP($A13&amp;U$2,'2004'!$A$2:$K$1621,10,0),VLOOKUP($A13&amp;U$2,'2004'!$B$2:$K$1621,10,0))</f>
        <v>@CTW</v>
      </c>
    </row>
    <row r="14" spans="1:21" x14ac:dyDescent="0.25">
      <c r="A14" s="40">
        <f t="shared" si="0"/>
        <v>38091</v>
      </c>
      <c r="B14" s="36" t="str">
        <f>IF(ISNA(VLOOKUP($A14&amp;B$2,'2004'!$B$2:$K$1621,10,0)),VLOOKUP($A14&amp;B$2,'2004'!$A$2:$K$1621,10,0),VLOOKUP($A14&amp;B$2,'2004'!$B$2:$K$1621,10,0))</f>
        <v>HAR</v>
      </c>
      <c r="C14" s="36" t="str">
        <f>IF(ISNA(VLOOKUP($A14&amp;C$2,'2004'!$B$2:$K$1621,10,0)),VLOOKUP($A14&amp;C$2,'2004'!$A$2:$K$1621,10,0),VLOOKUP($A14&amp;C$2,'2004'!$B$2:$K$1621,10,0))</f>
        <v>CBB</v>
      </c>
      <c r="D14" s="36" t="str">
        <f>IF(ISNA(VLOOKUP($A14&amp;D$2,'2004'!$B$2:$K$1621,10,0)),VLOOKUP($A14&amp;D$2,'2004'!$A$2:$K$1621,10,0),VLOOKUP($A14&amp;D$2,'2004'!$B$2:$K$1621,10,0))</f>
        <v>PHI</v>
      </c>
      <c r="E14" s="36" t="str">
        <f>IF(ISNA(VLOOKUP($A14&amp;E$2,'2004'!$B$2:$K$1621,10,0)),VLOOKUP($A14&amp;E$2,'2004'!$A$2:$K$1621,10,0),VLOOKUP($A14&amp;E$2,'2004'!$B$2:$K$1621,10,0))</f>
        <v>BRK</v>
      </c>
      <c r="F14" s="36" t="str">
        <f>IF(ISNA(VLOOKUP($A14&amp;F$2,'2004'!$B$2:$K$1621,10,0)),VLOOKUP($A14&amp;F$2,'2004'!$A$2:$K$1621,10,0),VLOOKUP($A14&amp;F$2,'2004'!$B$2:$K$1621,10,0))</f>
        <v>NYD</v>
      </c>
      <c r="G14" s="35" t="str">
        <f>IF(ISNA(VLOOKUP($A14&amp;G$2,'2004'!$B$2:$K$1621,10,0)),VLOOKUP($A14&amp;G$2,'2004'!$A$2:$K$1621,10,0),VLOOKUP($A14&amp;G$2,'2004'!$B$2:$K$1621,10,0))</f>
        <v>OKO</v>
      </c>
      <c r="H14" s="35" t="str">
        <f>IF(ISNA(VLOOKUP($A14&amp;H$2,'2004'!$B$2:$K$1621,10,0)),VLOOKUP($A14&amp;H$2,'2004'!$A$2:$K$1621,10,0),VLOOKUP($A14&amp;H$2,'2004'!$B$2:$K$1621,10,0))</f>
        <v>DIG</v>
      </c>
      <c r="I14" s="35" t="str">
        <f>IF(ISNA(VLOOKUP($A14&amp;I$2,'2004'!$B$2:$K$1621,10,0)),VLOOKUP($A14&amp;I$2,'2004'!$A$2:$K$1621,10,0),VLOOKUP($A14&amp;I$2,'2004'!$B$2:$K$1621,10,0))</f>
        <v>RMO</v>
      </c>
      <c r="J14" s="35" t="str">
        <f>IF(ISNA(VLOOKUP($A14&amp;J$2,'2004'!$B$2:$K$1621,10,0)),VLOOKUP($A14&amp;J$2,'2004'!$A$2:$K$1621,10,0),VLOOKUP($A14&amp;J$2,'2004'!$B$2:$K$1621,10,0))</f>
        <v>NNN</v>
      </c>
      <c r="K14" s="35" t="str">
        <f>IF(ISNA(VLOOKUP($A14&amp;K$2,'2004'!$B$2:$K$1621,10,0)),VLOOKUP($A14&amp;K$2,'2004'!$A$2:$K$1621,10,0),VLOOKUP($A14&amp;K$2,'2004'!$B$2:$K$1621,10,0))</f>
        <v>FFR</v>
      </c>
      <c r="L14" s="34" t="str">
        <f>IF(ISNA(VLOOKUP($A14&amp;L$2,'2004'!$B$2:$K$1621,10,0)),VLOOKUP($A14&amp;L$2,'2004'!$A$2:$K$1621,10,0),VLOOKUP($A14&amp;L$2,'2004'!$B$2:$K$1621,10,0))</f>
        <v>@FDH</v>
      </c>
      <c r="M14" s="34" t="str">
        <f>IF(ISNA(VLOOKUP($A14&amp;M$2,'2004'!$B$2:$K$1621,10,0)),VLOOKUP($A14&amp;M$2,'2004'!$A$2:$K$1621,10,0),VLOOKUP($A14&amp;M$2,'2004'!$B$2:$K$1621,10,0))</f>
        <v>@TEW</v>
      </c>
      <c r="N14" s="34" t="str">
        <f>IF(ISNA(VLOOKUP($A14&amp;N$2,'2004'!$B$2:$K$1621,10,0)),VLOOKUP($A14&amp;N$2,'2004'!$A$2:$K$1621,10,0),VLOOKUP($A14&amp;N$2,'2004'!$B$2:$K$1621,10,0))</f>
        <v>@REN</v>
      </c>
      <c r="O14" s="34" t="str">
        <f>IF(ISNA(VLOOKUP($A14&amp;O$2,'2004'!$B$2:$K$1621,10,0)),VLOOKUP($A14&amp;O$2,'2004'!$A$2:$K$1621,10,0),VLOOKUP($A14&amp;O$2,'2004'!$B$2:$K$1621,10,0))</f>
        <v>@CEN</v>
      </c>
      <c r="P14" s="34" t="str">
        <f>IF(ISNA(VLOOKUP($A14&amp;P$2,'2004'!$B$2:$K$1621,10,0)),VLOOKUP($A14&amp;P$2,'2004'!$A$2:$K$1621,10,0),VLOOKUP($A14&amp;P$2,'2004'!$B$2:$K$1621,10,0))</f>
        <v>@NEP</v>
      </c>
      <c r="Q14" s="38" t="str">
        <f>IF(ISNA(VLOOKUP($A14&amp;Q$2,'2004'!$B$2:$K$1621,10,0)),VLOOKUP($A14&amp;Q$2,'2004'!$A$2:$K$1621,10,0),VLOOKUP($A14&amp;Q$2,'2004'!$B$2:$K$1621,10,0))</f>
        <v>@CIN</v>
      </c>
      <c r="R14" s="38" t="str">
        <f>IF(ISNA(VLOOKUP($A14&amp;R$2,'2004'!$B$2:$K$1621,10,0)),VLOOKUP($A14&amp;R$2,'2004'!$A$2:$K$1621,10,0),VLOOKUP($A14&amp;R$2,'2004'!$B$2:$K$1621,10,0))</f>
        <v>@BAR</v>
      </c>
      <c r="S14" s="38" t="str">
        <f>IF(ISNA(VLOOKUP($A14&amp;S$2,'2004'!$B$2:$K$1621,10,0)),VLOOKUP($A14&amp;S$2,'2004'!$A$2:$K$1621,10,0),VLOOKUP($A14&amp;S$2,'2004'!$B$2:$K$1621,10,0))</f>
        <v>@BBG</v>
      </c>
      <c r="T14" s="38" t="str">
        <f>IF(ISNA(VLOOKUP($A14&amp;T$2,'2004'!$B$2:$K$1621,10,0)),VLOOKUP($A14&amp;T$2,'2004'!$A$2:$K$1621,10,0),VLOOKUP($A14&amp;T$2,'2004'!$B$2:$K$1621,10,0))</f>
        <v>@GAR</v>
      </c>
      <c r="U14" s="38" t="str">
        <f>IF(ISNA(VLOOKUP($A14&amp;U$2,'2004'!$B$2:$K$1621,10,0)),VLOOKUP($A14&amp;U$2,'2004'!$A$2:$K$1621,10,0),VLOOKUP($A14&amp;U$2,'2004'!$B$2:$K$1621,10,0))</f>
        <v>@CTW</v>
      </c>
    </row>
    <row r="15" spans="1:21" x14ac:dyDescent="0.25">
      <c r="A15" s="40">
        <f t="shared" si="0"/>
        <v>38092</v>
      </c>
      <c r="B15" s="36" t="str">
        <f>IF(ISNA(VLOOKUP($A15&amp;B$2,'2004'!$B$2:$K$1621,10,0)),VLOOKUP($A15&amp;B$2,'2004'!$A$2:$K$1621,10,0),VLOOKUP($A15&amp;B$2,'2004'!$B$2:$K$1621,10,0))</f>
        <v>HAR</v>
      </c>
      <c r="C15" s="36" t="str">
        <f>IF(ISNA(VLOOKUP($A15&amp;C$2,'2004'!$B$2:$K$1621,10,0)),VLOOKUP($A15&amp;C$2,'2004'!$A$2:$K$1621,10,0),VLOOKUP($A15&amp;C$2,'2004'!$B$2:$K$1621,10,0))</f>
        <v>CBB</v>
      </c>
      <c r="D15" s="36" t="str">
        <f>IF(ISNA(VLOOKUP($A15&amp;D$2,'2004'!$B$2:$K$1621,10,0)),VLOOKUP($A15&amp;D$2,'2004'!$A$2:$K$1621,10,0),VLOOKUP($A15&amp;D$2,'2004'!$B$2:$K$1621,10,0))</f>
        <v>PHI</v>
      </c>
      <c r="E15" s="36" t="str">
        <f>IF(ISNA(VLOOKUP($A15&amp;E$2,'2004'!$B$2:$K$1621,10,0)),VLOOKUP($A15&amp;E$2,'2004'!$A$2:$K$1621,10,0),VLOOKUP($A15&amp;E$2,'2004'!$B$2:$K$1621,10,0))</f>
        <v>BRK</v>
      </c>
      <c r="F15" s="36" t="str">
        <f>IF(ISNA(VLOOKUP($A15&amp;F$2,'2004'!$B$2:$K$1621,10,0)),VLOOKUP($A15&amp;F$2,'2004'!$A$2:$K$1621,10,0),VLOOKUP($A15&amp;F$2,'2004'!$B$2:$K$1621,10,0))</f>
        <v>NYD</v>
      </c>
      <c r="G15" s="35" t="str">
        <f>IF(ISNA(VLOOKUP($A15&amp;G$2,'2004'!$B$2:$K$1621,10,0)),VLOOKUP($A15&amp;G$2,'2004'!$A$2:$K$1621,10,0),VLOOKUP($A15&amp;G$2,'2004'!$B$2:$K$1621,10,0))</f>
        <v>OKO</v>
      </c>
      <c r="H15" s="35" t="str">
        <f>IF(ISNA(VLOOKUP($A15&amp;H$2,'2004'!$B$2:$K$1621,10,0)),VLOOKUP($A15&amp;H$2,'2004'!$A$2:$K$1621,10,0),VLOOKUP($A15&amp;H$2,'2004'!$B$2:$K$1621,10,0))</f>
        <v>DIG</v>
      </c>
      <c r="I15" s="35" t="str">
        <f>IF(ISNA(VLOOKUP($A15&amp;I$2,'2004'!$B$2:$K$1621,10,0)),VLOOKUP($A15&amp;I$2,'2004'!$A$2:$K$1621,10,0),VLOOKUP($A15&amp;I$2,'2004'!$B$2:$K$1621,10,0))</f>
        <v>RMO</v>
      </c>
      <c r="J15" s="35" t="str">
        <f>IF(ISNA(VLOOKUP($A15&amp;J$2,'2004'!$B$2:$K$1621,10,0)),VLOOKUP($A15&amp;J$2,'2004'!$A$2:$K$1621,10,0),VLOOKUP($A15&amp;J$2,'2004'!$B$2:$K$1621,10,0))</f>
        <v>NNN</v>
      </c>
      <c r="K15" s="35" t="str">
        <f>IF(ISNA(VLOOKUP($A15&amp;K$2,'2004'!$B$2:$K$1621,10,0)),VLOOKUP($A15&amp;K$2,'2004'!$A$2:$K$1621,10,0),VLOOKUP($A15&amp;K$2,'2004'!$B$2:$K$1621,10,0))</f>
        <v>FFR</v>
      </c>
      <c r="L15" s="34" t="str">
        <f>IF(ISNA(VLOOKUP($A15&amp;L$2,'2004'!$B$2:$K$1621,10,0)),VLOOKUP($A15&amp;L$2,'2004'!$A$2:$K$1621,10,0),VLOOKUP($A15&amp;L$2,'2004'!$B$2:$K$1621,10,0))</f>
        <v>@FDH</v>
      </c>
      <c r="M15" s="34" t="str">
        <f>IF(ISNA(VLOOKUP($A15&amp;M$2,'2004'!$B$2:$K$1621,10,0)),VLOOKUP($A15&amp;M$2,'2004'!$A$2:$K$1621,10,0),VLOOKUP($A15&amp;M$2,'2004'!$B$2:$K$1621,10,0))</f>
        <v>@TEW</v>
      </c>
      <c r="N15" s="34" t="str">
        <f>IF(ISNA(VLOOKUP($A15&amp;N$2,'2004'!$B$2:$K$1621,10,0)),VLOOKUP($A15&amp;N$2,'2004'!$A$2:$K$1621,10,0),VLOOKUP($A15&amp;N$2,'2004'!$B$2:$K$1621,10,0))</f>
        <v>@REN</v>
      </c>
      <c r="O15" s="34" t="str">
        <f>IF(ISNA(VLOOKUP($A15&amp;O$2,'2004'!$B$2:$K$1621,10,0)),VLOOKUP($A15&amp;O$2,'2004'!$A$2:$K$1621,10,0),VLOOKUP($A15&amp;O$2,'2004'!$B$2:$K$1621,10,0))</f>
        <v>@CEN</v>
      </c>
      <c r="P15" s="34" t="str">
        <f>IF(ISNA(VLOOKUP($A15&amp;P$2,'2004'!$B$2:$K$1621,10,0)),VLOOKUP($A15&amp;P$2,'2004'!$A$2:$K$1621,10,0),VLOOKUP($A15&amp;P$2,'2004'!$B$2:$K$1621,10,0))</f>
        <v>@NEP</v>
      </c>
      <c r="Q15" s="38" t="str">
        <f>IF(ISNA(VLOOKUP($A15&amp;Q$2,'2004'!$B$2:$K$1621,10,0)),VLOOKUP($A15&amp;Q$2,'2004'!$A$2:$K$1621,10,0),VLOOKUP($A15&amp;Q$2,'2004'!$B$2:$K$1621,10,0))</f>
        <v>@CIN</v>
      </c>
      <c r="R15" s="38" t="str">
        <f>IF(ISNA(VLOOKUP($A15&amp;R$2,'2004'!$B$2:$K$1621,10,0)),VLOOKUP($A15&amp;R$2,'2004'!$A$2:$K$1621,10,0),VLOOKUP($A15&amp;R$2,'2004'!$B$2:$K$1621,10,0))</f>
        <v>@BAR</v>
      </c>
      <c r="S15" s="38" t="str">
        <f>IF(ISNA(VLOOKUP($A15&amp;S$2,'2004'!$B$2:$K$1621,10,0)),VLOOKUP($A15&amp;S$2,'2004'!$A$2:$K$1621,10,0),VLOOKUP($A15&amp;S$2,'2004'!$B$2:$K$1621,10,0))</f>
        <v>@BBG</v>
      </c>
      <c r="T15" s="38" t="str">
        <f>IF(ISNA(VLOOKUP($A15&amp;T$2,'2004'!$B$2:$K$1621,10,0)),VLOOKUP($A15&amp;T$2,'2004'!$A$2:$K$1621,10,0),VLOOKUP($A15&amp;T$2,'2004'!$B$2:$K$1621,10,0))</f>
        <v>@GAR</v>
      </c>
      <c r="U15" s="38" t="str">
        <f>IF(ISNA(VLOOKUP($A15&amp;U$2,'2004'!$B$2:$K$1621,10,0)),VLOOKUP($A15&amp;U$2,'2004'!$A$2:$K$1621,10,0),VLOOKUP($A15&amp;U$2,'2004'!$B$2:$K$1621,10,0))</f>
        <v>@CTW</v>
      </c>
    </row>
    <row r="16" spans="1:21" x14ac:dyDescent="0.25">
      <c r="A16" s="40">
        <f t="shared" si="0"/>
        <v>38093</v>
      </c>
      <c r="B16" s="36" t="str">
        <f>IF(ISNA(VLOOKUP($A16&amp;B$2,'2004'!$B$2:$K$1621,10,0)),VLOOKUP($A16&amp;B$2,'2004'!$A$2:$K$1621,10,0),VLOOKUP($A16&amp;B$2,'2004'!$B$2:$K$1621,10,0))</f>
        <v>HAR</v>
      </c>
      <c r="C16" s="36" t="str">
        <f>IF(ISNA(VLOOKUP($A16&amp;C$2,'2004'!$B$2:$K$1621,10,0)),VLOOKUP($A16&amp;C$2,'2004'!$A$2:$K$1621,10,0),VLOOKUP($A16&amp;C$2,'2004'!$B$2:$K$1621,10,0))</f>
        <v>CBB</v>
      </c>
      <c r="D16" s="36" t="str">
        <f>IF(ISNA(VLOOKUP($A16&amp;D$2,'2004'!$B$2:$K$1621,10,0)),VLOOKUP($A16&amp;D$2,'2004'!$A$2:$K$1621,10,0),VLOOKUP($A16&amp;D$2,'2004'!$B$2:$K$1621,10,0))</f>
        <v>PHI</v>
      </c>
      <c r="E16" s="36" t="str">
        <f>IF(ISNA(VLOOKUP($A16&amp;E$2,'2004'!$B$2:$K$1621,10,0)),VLOOKUP($A16&amp;E$2,'2004'!$A$2:$K$1621,10,0),VLOOKUP($A16&amp;E$2,'2004'!$B$2:$K$1621,10,0))</f>
        <v>BRK</v>
      </c>
      <c r="F16" s="36" t="str">
        <f>IF(ISNA(VLOOKUP($A16&amp;F$2,'2004'!$B$2:$K$1621,10,0)),VLOOKUP($A16&amp;F$2,'2004'!$A$2:$K$1621,10,0),VLOOKUP($A16&amp;F$2,'2004'!$B$2:$K$1621,10,0))</f>
        <v>NYD</v>
      </c>
      <c r="G16" s="35" t="str">
        <f>IF(ISNA(VLOOKUP($A16&amp;G$2,'2004'!$B$2:$K$1621,10,0)),VLOOKUP($A16&amp;G$2,'2004'!$A$2:$K$1621,10,0),VLOOKUP($A16&amp;G$2,'2004'!$B$2:$K$1621,10,0))</f>
        <v>OKO</v>
      </c>
      <c r="H16" s="35" t="str">
        <f>IF(ISNA(VLOOKUP($A16&amp;H$2,'2004'!$B$2:$K$1621,10,0)),VLOOKUP($A16&amp;H$2,'2004'!$A$2:$K$1621,10,0),VLOOKUP($A16&amp;H$2,'2004'!$B$2:$K$1621,10,0))</f>
        <v>DIG</v>
      </c>
      <c r="I16" s="35" t="str">
        <f>IF(ISNA(VLOOKUP($A16&amp;I$2,'2004'!$B$2:$K$1621,10,0)),VLOOKUP($A16&amp;I$2,'2004'!$A$2:$K$1621,10,0),VLOOKUP($A16&amp;I$2,'2004'!$B$2:$K$1621,10,0))</f>
        <v>RMO</v>
      </c>
      <c r="J16" s="35" t="str">
        <f>IF(ISNA(VLOOKUP($A16&amp;J$2,'2004'!$B$2:$K$1621,10,0)),VLOOKUP($A16&amp;J$2,'2004'!$A$2:$K$1621,10,0),VLOOKUP($A16&amp;J$2,'2004'!$B$2:$K$1621,10,0))</f>
        <v>NNN</v>
      </c>
      <c r="K16" s="35" t="str">
        <f>IF(ISNA(VLOOKUP($A16&amp;K$2,'2004'!$B$2:$K$1621,10,0)),VLOOKUP($A16&amp;K$2,'2004'!$A$2:$K$1621,10,0),VLOOKUP($A16&amp;K$2,'2004'!$B$2:$K$1621,10,0))</f>
        <v>FFR</v>
      </c>
      <c r="L16" s="34" t="str">
        <f>IF(ISNA(VLOOKUP($A16&amp;L$2,'2004'!$B$2:$K$1621,10,0)),VLOOKUP($A16&amp;L$2,'2004'!$A$2:$K$1621,10,0),VLOOKUP($A16&amp;L$2,'2004'!$B$2:$K$1621,10,0))</f>
        <v>@FDH</v>
      </c>
      <c r="M16" s="34" t="str">
        <f>IF(ISNA(VLOOKUP($A16&amp;M$2,'2004'!$B$2:$K$1621,10,0)),VLOOKUP($A16&amp;M$2,'2004'!$A$2:$K$1621,10,0),VLOOKUP($A16&amp;M$2,'2004'!$B$2:$K$1621,10,0))</f>
        <v>@TEW</v>
      </c>
      <c r="N16" s="34" t="str">
        <f>IF(ISNA(VLOOKUP($A16&amp;N$2,'2004'!$B$2:$K$1621,10,0)),VLOOKUP($A16&amp;N$2,'2004'!$A$2:$K$1621,10,0),VLOOKUP($A16&amp;N$2,'2004'!$B$2:$K$1621,10,0))</f>
        <v>@REN</v>
      </c>
      <c r="O16" s="34" t="str">
        <f>IF(ISNA(VLOOKUP($A16&amp;O$2,'2004'!$B$2:$K$1621,10,0)),VLOOKUP($A16&amp;O$2,'2004'!$A$2:$K$1621,10,0),VLOOKUP($A16&amp;O$2,'2004'!$B$2:$K$1621,10,0))</f>
        <v>@CEN</v>
      </c>
      <c r="P16" s="34" t="str">
        <f>IF(ISNA(VLOOKUP($A16&amp;P$2,'2004'!$B$2:$K$1621,10,0)),VLOOKUP($A16&amp;P$2,'2004'!$A$2:$K$1621,10,0),VLOOKUP($A16&amp;P$2,'2004'!$B$2:$K$1621,10,0))</f>
        <v>@NEP</v>
      </c>
      <c r="Q16" s="38" t="str">
        <f>IF(ISNA(VLOOKUP($A16&amp;Q$2,'2004'!$B$2:$K$1621,10,0)),VLOOKUP($A16&amp;Q$2,'2004'!$A$2:$K$1621,10,0),VLOOKUP($A16&amp;Q$2,'2004'!$B$2:$K$1621,10,0))</f>
        <v>@CIN</v>
      </c>
      <c r="R16" s="38" t="str">
        <f>IF(ISNA(VLOOKUP($A16&amp;R$2,'2004'!$B$2:$K$1621,10,0)),VLOOKUP($A16&amp;R$2,'2004'!$A$2:$K$1621,10,0),VLOOKUP($A16&amp;R$2,'2004'!$B$2:$K$1621,10,0))</f>
        <v>@BAR</v>
      </c>
      <c r="S16" s="38" t="str">
        <f>IF(ISNA(VLOOKUP($A16&amp;S$2,'2004'!$B$2:$K$1621,10,0)),VLOOKUP($A16&amp;S$2,'2004'!$A$2:$K$1621,10,0),VLOOKUP($A16&amp;S$2,'2004'!$B$2:$K$1621,10,0))</f>
        <v>@BBG</v>
      </c>
      <c r="T16" s="38" t="str">
        <f>IF(ISNA(VLOOKUP($A16&amp;T$2,'2004'!$B$2:$K$1621,10,0)),VLOOKUP($A16&amp;T$2,'2004'!$A$2:$K$1621,10,0),VLOOKUP($A16&amp;T$2,'2004'!$B$2:$K$1621,10,0))</f>
        <v>@GAR</v>
      </c>
      <c r="U16" s="38" t="str">
        <f>IF(ISNA(VLOOKUP($A16&amp;U$2,'2004'!$B$2:$K$1621,10,0)),VLOOKUP($A16&amp;U$2,'2004'!$A$2:$K$1621,10,0),VLOOKUP($A16&amp;U$2,'2004'!$B$2:$K$1621,10,0))</f>
        <v>@CTW</v>
      </c>
    </row>
    <row r="17" spans="1:21" x14ac:dyDescent="0.25">
      <c r="A17" s="40">
        <f t="shared" si="0"/>
        <v>38094</v>
      </c>
      <c r="B17" s="36" t="str">
        <f>IF(ISNA(VLOOKUP($A17&amp;B$2,'2004'!$B$2:$K$1621,10,0)),VLOOKUP($A17&amp;B$2,'2004'!$A$2:$K$1621,10,0),VLOOKUP($A17&amp;B$2,'2004'!$B$2:$K$1621,10,0))</f>
        <v>FDH</v>
      </c>
      <c r="C17" s="36" t="str">
        <f>IF(ISNA(VLOOKUP($A17&amp;C$2,'2004'!$B$2:$K$1621,10,0)),VLOOKUP($A17&amp;C$2,'2004'!$A$2:$K$1621,10,0),VLOOKUP($A17&amp;C$2,'2004'!$B$2:$K$1621,10,0))</f>
        <v>TEW</v>
      </c>
      <c r="D17" s="36" t="str">
        <f>IF(ISNA(VLOOKUP($A17&amp;D$2,'2004'!$B$2:$K$1621,10,0)),VLOOKUP($A17&amp;D$2,'2004'!$A$2:$K$1621,10,0),VLOOKUP($A17&amp;D$2,'2004'!$B$2:$K$1621,10,0))</f>
        <v>CEN</v>
      </c>
      <c r="E17" s="36" t="str">
        <f>IF(ISNA(VLOOKUP($A17&amp;E$2,'2004'!$B$2:$K$1621,10,0)),VLOOKUP($A17&amp;E$2,'2004'!$A$2:$K$1621,10,0),VLOOKUP($A17&amp;E$2,'2004'!$B$2:$K$1621,10,0))</f>
        <v>REN</v>
      </c>
      <c r="F17" s="36" t="str">
        <f>IF(ISNA(VLOOKUP($A17&amp;F$2,'2004'!$B$2:$K$1621,10,0)),VLOOKUP($A17&amp;F$2,'2004'!$A$2:$K$1621,10,0),VLOOKUP($A17&amp;F$2,'2004'!$B$2:$K$1621,10,0))</f>
        <v>NEP</v>
      </c>
      <c r="G17" s="35" t="str">
        <f>IF(ISNA(VLOOKUP($A17&amp;G$2,'2004'!$B$2:$K$1621,10,0)),VLOOKUP($A17&amp;G$2,'2004'!$A$2:$K$1621,10,0),VLOOKUP($A17&amp;G$2,'2004'!$B$2:$K$1621,10,0))</f>
        <v>@CTW</v>
      </c>
      <c r="H17" s="35" t="str">
        <f>IF(ISNA(VLOOKUP($A17&amp;H$2,'2004'!$B$2:$K$1621,10,0)),VLOOKUP($A17&amp;H$2,'2004'!$A$2:$K$1621,10,0),VLOOKUP($A17&amp;H$2,'2004'!$B$2:$K$1621,10,0))</f>
        <v>@BBG</v>
      </c>
      <c r="I17" s="35" t="str">
        <f>IF(ISNA(VLOOKUP($A17&amp;I$2,'2004'!$B$2:$K$1621,10,0)),VLOOKUP($A17&amp;I$2,'2004'!$A$2:$K$1621,10,0),VLOOKUP($A17&amp;I$2,'2004'!$B$2:$K$1621,10,0))</f>
        <v>@GAR</v>
      </c>
      <c r="J17" s="35" t="str">
        <f>IF(ISNA(VLOOKUP($A17&amp;J$2,'2004'!$B$2:$K$1621,10,0)),VLOOKUP($A17&amp;J$2,'2004'!$A$2:$K$1621,10,0),VLOOKUP($A17&amp;J$2,'2004'!$B$2:$K$1621,10,0))</f>
        <v>@CIN</v>
      </c>
      <c r="K17" s="35" t="str">
        <f>IF(ISNA(VLOOKUP($A17&amp;K$2,'2004'!$B$2:$K$1621,10,0)),VLOOKUP($A17&amp;K$2,'2004'!$A$2:$K$1621,10,0),VLOOKUP($A17&amp;K$2,'2004'!$B$2:$K$1621,10,0))</f>
        <v>@BAR</v>
      </c>
      <c r="L17" s="34" t="str">
        <f>IF(ISNA(VLOOKUP($A17&amp;L$2,'2004'!$B$2:$K$1621,10,0)),VLOOKUP($A17&amp;L$2,'2004'!$A$2:$K$1621,10,0),VLOOKUP($A17&amp;L$2,'2004'!$B$2:$K$1621,10,0))</f>
        <v>NYD</v>
      </c>
      <c r="M17" s="34" t="str">
        <f>IF(ISNA(VLOOKUP($A17&amp;M$2,'2004'!$B$2:$K$1621,10,0)),VLOOKUP($A17&amp;M$2,'2004'!$A$2:$K$1621,10,0),VLOOKUP($A17&amp;M$2,'2004'!$B$2:$K$1621,10,0))</f>
        <v>BRK</v>
      </c>
      <c r="N17" s="34" t="str">
        <f>IF(ISNA(VLOOKUP($A17&amp;N$2,'2004'!$B$2:$K$1621,10,0)),VLOOKUP($A17&amp;N$2,'2004'!$A$2:$K$1621,10,0),VLOOKUP($A17&amp;N$2,'2004'!$B$2:$K$1621,10,0))</f>
        <v>PHI</v>
      </c>
      <c r="O17" s="34" t="str">
        <f>IF(ISNA(VLOOKUP($A17&amp;O$2,'2004'!$B$2:$K$1621,10,0)),VLOOKUP($A17&amp;O$2,'2004'!$A$2:$K$1621,10,0),VLOOKUP($A17&amp;O$2,'2004'!$B$2:$K$1621,10,0))</f>
        <v>HAR</v>
      </c>
      <c r="P17" s="34" t="str">
        <f>IF(ISNA(VLOOKUP($A17&amp;P$2,'2004'!$B$2:$K$1621,10,0)),VLOOKUP($A17&amp;P$2,'2004'!$A$2:$K$1621,10,0),VLOOKUP($A17&amp;P$2,'2004'!$B$2:$K$1621,10,0))</f>
        <v>CBB</v>
      </c>
      <c r="Q17" s="38" t="str">
        <f>IF(ISNA(VLOOKUP($A17&amp;Q$2,'2004'!$B$2:$K$1621,10,0)),VLOOKUP($A17&amp;Q$2,'2004'!$A$2:$K$1621,10,0),VLOOKUP($A17&amp;Q$2,'2004'!$B$2:$K$1621,10,0))</f>
        <v>@FFR</v>
      </c>
      <c r="R17" s="38" t="str">
        <f>IF(ISNA(VLOOKUP($A17&amp;R$2,'2004'!$B$2:$K$1621,10,0)),VLOOKUP($A17&amp;R$2,'2004'!$A$2:$K$1621,10,0),VLOOKUP($A17&amp;R$2,'2004'!$B$2:$K$1621,10,0))</f>
        <v>@RMO</v>
      </c>
      <c r="S17" s="38" t="str">
        <f>IF(ISNA(VLOOKUP($A17&amp;S$2,'2004'!$B$2:$K$1621,10,0)),VLOOKUP($A17&amp;S$2,'2004'!$A$2:$K$1621,10,0),VLOOKUP($A17&amp;S$2,'2004'!$B$2:$K$1621,10,0))</f>
        <v>@OKO</v>
      </c>
      <c r="T17" s="38" t="str">
        <f>IF(ISNA(VLOOKUP($A17&amp;T$2,'2004'!$B$2:$K$1621,10,0)),VLOOKUP($A17&amp;T$2,'2004'!$A$2:$K$1621,10,0),VLOOKUP($A17&amp;T$2,'2004'!$B$2:$K$1621,10,0))</f>
        <v>@DIG</v>
      </c>
      <c r="U17" s="38" t="str">
        <f>IF(ISNA(VLOOKUP($A17&amp;U$2,'2004'!$B$2:$K$1621,10,0)),VLOOKUP($A17&amp;U$2,'2004'!$A$2:$K$1621,10,0),VLOOKUP($A17&amp;U$2,'2004'!$B$2:$K$1621,10,0))</f>
        <v>@NNN</v>
      </c>
    </row>
    <row r="18" spans="1:21" x14ac:dyDescent="0.25">
      <c r="A18" s="40">
        <f t="shared" si="0"/>
        <v>38095</v>
      </c>
      <c r="B18" s="36" t="str">
        <f>IF(ISNA(VLOOKUP($A18&amp;B$2,'2004'!$B$2:$K$1621,10,0)),VLOOKUP($A18&amp;B$2,'2004'!$A$2:$K$1621,10,0),VLOOKUP($A18&amp;B$2,'2004'!$B$2:$K$1621,10,0))</f>
        <v>FDH</v>
      </c>
      <c r="C18" s="36" t="str">
        <f>IF(ISNA(VLOOKUP($A18&amp;C$2,'2004'!$B$2:$K$1621,10,0)),VLOOKUP($A18&amp;C$2,'2004'!$A$2:$K$1621,10,0),VLOOKUP($A18&amp;C$2,'2004'!$B$2:$K$1621,10,0))</f>
        <v>TEW</v>
      </c>
      <c r="D18" s="36" t="str">
        <f>IF(ISNA(VLOOKUP($A18&amp;D$2,'2004'!$B$2:$K$1621,10,0)),VLOOKUP($A18&amp;D$2,'2004'!$A$2:$K$1621,10,0),VLOOKUP($A18&amp;D$2,'2004'!$B$2:$K$1621,10,0))</f>
        <v>CEN</v>
      </c>
      <c r="E18" s="36" t="str">
        <f>IF(ISNA(VLOOKUP($A18&amp;E$2,'2004'!$B$2:$K$1621,10,0)),VLOOKUP($A18&amp;E$2,'2004'!$A$2:$K$1621,10,0),VLOOKUP($A18&amp;E$2,'2004'!$B$2:$K$1621,10,0))</f>
        <v>REN</v>
      </c>
      <c r="F18" s="36" t="str">
        <f>IF(ISNA(VLOOKUP($A18&amp;F$2,'2004'!$B$2:$K$1621,10,0)),VLOOKUP($A18&amp;F$2,'2004'!$A$2:$K$1621,10,0),VLOOKUP($A18&amp;F$2,'2004'!$B$2:$K$1621,10,0))</f>
        <v>NEP</v>
      </c>
      <c r="G18" s="35" t="str">
        <f>IF(ISNA(VLOOKUP($A18&amp;G$2,'2004'!$B$2:$K$1621,10,0)),VLOOKUP($A18&amp;G$2,'2004'!$A$2:$K$1621,10,0),VLOOKUP($A18&amp;G$2,'2004'!$B$2:$K$1621,10,0))</f>
        <v>@CTW</v>
      </c>
      <c r="H18" s="35" t="str">
        <f>IF(ISNA(VLOOKUP($A18&amp;H$2,'2004'!$B$2:$K$1621,10,0)),VLOOKUP($A18&amp;H$2,'2004'!$A$2:$K$1621,10,0),VLOOKUP($A18&amp;H$2,'2004'!$B$2:$K$1621,10,0))</f>
        <v>@BBG</v>
      </c>
      <c r="I18" s="35" t="str">
        <f>IF(ISNA(VLOOKUP($A18&amp;I$2,'2004'!$B$2:$K$1621,10,0)),VLOOKUP($A18&amp;I$2,'2004'!$A$2:$K$1621,10,0),VLOOKUP($A18&amp;I$2,'2004'!$B$2:$K$1621,10,0))</f>
        <v>@GAR</v>
      </c>
      <c r="J18" s="35" t="str">
        <f>IF(ISNA(VLOOKUP($A18&amp;J$2,'2004'!$B$2:$K$1621,10,0)),VLOOKUP($A18&amp;J$2,'2004'!$A$2:$K$1621,10,0),VLOOKUP($A18&amp;J$2,'2004'!$B$2:$K$1621,10,0))</f>
        <v>@CIN</v>
      </c>
      <c r="K18" s="35" t="str">
        <f>IF(ISNA(VLOOKUP($A18&amp;K$2,'2004'!$B$2:$K$1621,10,0)),VLOOKUP($A18&amp;K$2,'2004'!$A$2:$K$1621,10,0),VLOOKUP($A18&amp;K$2,'2004'!$B$2:$K$1621,10,0))</f>
        <v>@BAR</v>
      </c>
      <c r="L18" s="34" t="str">
        <f>IF(ISNA(VLOOKUP($A18&amp;L$2,'2004'!$B$2:$K$1621,10,0)),VLOOKUP($A18&amp;L$2,'2004'!$A$2:$K$1621,10,0),VLOOKUP($A18&amp;L$2,'2004'!$B$2:$K$1621,10,0))</f>
        <v>NYD</v>
      </c>
      <c r="M18" s="34" t="str">
        <f>IF(ISNA(VLOOKUP($A18&amp;M$2,'2004'!$B$2:$K$1621,10,0)),VLOOKUP($A18&amp;M$2,'2004'!$A$2:$K$1621,10,0),VLOOKUP($A18&amp;M$2,'2004'!$B$2:$K$1621,10,0))</f>
        <v>BRK</v>
      </c>
      <c r="N18" s="34" t="str">
        <f>IF(ISNA(VLOOKUP($A18&amp;N$2,'2004'!$B$2:$K$1621,10,0)),VLOOKUP($A18&amp;N$2,'2004'!$A$2:$K$1621,10,0),VLOOKUP($A18&amp;N$2,'2004'!$B$2:$K$1621,10,0))</f>
        <v>PHI</v>
      </c>
      <c r="O18" s="34" t="str">
        <f>IF(ISNA(VLOOKUP($A18&amp;O$2,'2004'!$B$2:$K$1621,10,0)),VLOOKUP($A18&amp;O$2,'2004'!$A$2:$K$1621,10,0),VLOOKUP($A18&amp;O$2,'2004'!$B$2:$K$1621,10,0))</f>
        <v>HAR</v>
      </c>
      <c r="P18" s="34" t="str">
        <f>IF(ISNA(VLOOKUP($A18&amp;P$2,'2004'!$B$2:$K$1621,10,0)),VLOOKUP($A18&amp;P$2,'2004'!$A$2:$K$1621,10,0),VLOOKUP($A18&amp;P$2,'2004'!$B$2:$K$1621,10,0))</f>
        <v>CBB</v>
      </c>
      <c r="Q18" s="38" t="str">
        <f>IF(ISNA(VLOOKUP($A18&amp;Q$2,'2004'!$B$2:$K$1621,10,0)),VLOOKUP($A18&amp;Q$2,'2004'!$A$2:$K$1621,10,0),VLOOKUP($A18&amp;Q$2,'2004'!$B$2:$K$1621,10,0))</f>
        <v>@FFR</v>
      </c>
      <c r="R18" s="38" t="str">
        <f>IF(ISNA(VLOOKUP($A18&amp;R$2,'2004'!$B$2:$K$1621,10,0)),VLOOKUP($A18&amp;R$2,'2004'!$A$2:$K$1621,10,0),VLOOKUP($A18&amp;R$2,'2004'!$B$2:$K$1621,10,0))</f>
        <v>@RMO</v>
      </c>
      <c r="S18" s="38" t="str">
        <f>IF(ISNA(VLOOKUP($A18&amp;S$2,'2004'!$B$2:$K$1621,10,0)),VLOOKUP($A18&amp;S$2,'2004'!$A$2:$K$1621,10,0),VLOOKUP($A18&amp;S$2,'2004'!$B$2:$K$1621,10,0))</f>
        <v>@OKO</v>
      </c>
      <c r="T18" s="38" t="str">
        <f>IF(ISNA(VLOOKUP($A18&amp;T$2,'2004'!$B$2:$K$1621,10,0)),VLOOKUP($A18&amp;T$2,'2004'!$A$2:$K$1621,10,0),VLOOKUP($A18&amp;T$2,'2004'!$B$2:$K$1621,10,0))</f>
        <v>@DIG</v>
      </c>
      <c r="U18" s="38" t="str">
        <f>IF(ISNA(VLOOKUP($A18&amp;U$2,'2004'!$B$2:$K$1621,10,0)),VLOOKUP($A18&amp;U$2,'2004'!$A$2:$K$1621,10,0),VLOOKUP($A18&amp;U$2,'2004'!$B$2:$K$1621,10,0))</f>
        <v>@NNN</v>
      </c>
    </row>
    <row r="19" spans="1:21" x14ac:dyDescent="0.25">
      <c r="A19" s="40">
        <f t="shared" si="0"/>
        <v>38096</v>
      </c>
      <c r="B19" s="36" t="str">
        <f>IF(ISNA(VLOOKUP($A19&amp;B$2,'2004'!$B$2:$K$1621,10,0)),VLOOKUP($A19&amp;B$2,'2004'!$A$2:$K$1621,10,0),VLOOKUP($A19&amp;B$2,'2004'!$B$2:$K$1621,10,0))</f>
        <v>FDH</v>
      </c>
      <c r="C19" s="36" t="str">
        <f>IF(ISNA(VLOOKUP($A19&amp;C$2,'2004'!$B$2:$K$1621,10,0)),VLOOKUP($A19&amp;C$2,'2004'!$A$2:$K$1621,10,0),VLOOKUP($A19&amp;C$2,'2004'!$B$2:$K$1621,10,0))</f>
        <v>TEW</v>
      </c>
      <c r="D19" s="36" t="str">
        <f>IF(ISNA(VLOOKUP($A19&amp;D$2,'2004'!$B$2:$K$1621,10,0)),VLOOKUP($A19&amp;D$2,'2004'!$A$2:$K$1621,10,0),VLOOKUP($A19&amp;D$2,'2004'!$B$2:$K$1621,10,0))</f>
        <v>CEN</v>
      </c>
      <c r="E19" s="36" t="str">
        <f>IF(ISNA(VLOOKUP($A19&amp;E$2,'2004'!$B$2:$K$1621,10,0)),VLOOKUP($A19&amp;E$2,'2004'!$A$2:$K$1621,10,0),VLOOKUP($A19&amp;E$2,'2004'!$B$2:$K$1621,10,0))</f>
        <v>REN</v>
      </c>
      <c r="F19" s="36" t="str">
        <f>IF(ISNA(VLOOKUP($A19&amp;F$2,'2004'!$B$2:$K$1621,10,0)),VLOOKUP($A19&amp;F$2,'2004'!$A$2:$K$1621,10,0),VLOOKUP($A19&amp;F$2,'2004'!$B$2:$K$1621,10,0))</f>
        <v>NEP</v>
      </c>
      <c r="G19" s="35" t="str">
        <f>IF(ISNA(VLOOKUP($A19&amp;G$2,'2004'!$B$2:$K$1621,10,0)),VLOOKUP($A19&amp;G$2,'2004'!$A$2:$K$1621,10,0),VLOOKUP($A19&amp;G$2,'2004'!$B$2:$K$1621,10,0))</f>
        <v>@CTW</v>
      </c>
      <c r="H19" s="35" t="str">
        <f>IF(ISNA(VLOOKUP($A19&amp;H$2,'2004'!$B$2:$K$1621,10,0)),VLOOKUP($A19&amp;H$2,'2004'!$A$2:$K$1621,10,0),VLOOKUP($A19&amp;H$2,'2004'!$B$2:$K$1621,10,0))</f>
        <v>@BBG</v>
      </c>
      <c r="I19" s="35" t="str">
        <f>IF(ISNA(VLOOKUP($A19&amp;I$2,'2004'!$B$2:$K$1621,10,0)),VLOOKUP($A19&amp;I$2,'2004'!$A$2:$K$1621,10,0),VLOOKUP($A19&amp;I$2,'2004'!$B$2:$K$1621,10,0))</f>
        <v>@GAR</v>
      </c>
      <c r="J19" s="35" t="str">
        <f>IF(ISNA(VLOOKUP($A19&amp;J$2,'2004'!$B$2:$K$1621,10,0)),VLOOKUP($A19&amp;J$2,'2004'!$A$2:$K$1621,10,0),VLOOKUP($A19&amp;J$2,'2004'!$B$2:$K$1621,10,0))</f>
        <v>@CIN</v>
      </c>
      <c r="K19" s="35" t="str">
        <f>IF(ISNA(VLOOKUP($A19&amp;K$2,'2004'!$B$2:$K$1621,10,0)),VLOOKUP($A19&amp;K$2,'2004'!$A$2:$K$1621,10,0),VLOOKUP($A19&amp;K$2,'2004'!$B$2:$K$1621,10,0))</f>
        <v>@BAR</v>
      </c>
      <c r="L19" s="34" t="str">
        <f>IF(ISNA(VLOOKUP($A19&amp;L$2,'2004'!$B$2:$K$1621,10,0)),VLOOKUP($A19&amp;L$2,'2004'!$A$2:$K$1621,10,0),VLOOKUP($A19&amp;L$2,'2004'!$B$2:$K$1621,10,0))</f>
        <v>NYD</v>
      </c>
      <c r="M19" s="34" t="str">
        <f>IF(ISNA(VLOOKUP($A19&amp;M$2,'2004'!$B$2:$K$1621,10,0)),VLOOKUP($A19&amp;M$2,'2004'!$A$2:$K$1621,10,0),VLOOKUP($A19&amp;M$2,'2004'!$B$2:$K$1621,10,0))</f>
        <v>BRK</v>
      </c>
      <c r="N19" s="34" t="str">
        <f>IF(ISNA(VLOOKUP($A19&amp;N$2,'2004'!$B$2:$K$1621,10,0)),VLOOKUP($A19&amp;N$2,'2004'!$A$2:$K$1621,10,0),VLOOKUP($A19&amp;N$2,'2004'!$B$2:$K$1621,10,0))</f>
        <v>PHI</v>
      </c>
      <c r="O19" s="34" t="str">
        <f>IF(ISNA(VLOOKUP($A19&amp;O$2,'2004'!$B$2:$K$1621,10,0)),VLOOKUP($A19&amp;O$2,'2004'!$A$2:$K$1621,10,0),VLOOKUP($A19&amp;O$2,'2004'!$B$2:$K$1621,10,0))</f>
        <v>HAR</v>
      </c>
      <c r="P19" s="34" t="str">
        <f>IF(ISNA(VLOOKUP($A19&amp;P$2,'2004'!$B$2:$K$1621,10,0)),VLOOKUP($A19&amp;P$2,'2004'!$A$2:$K$1621,10,0),VLOOKUP($A19&amp;P$2,'2004'!$B$2:$K$1621,10,0))</f>
        <v>CBB</v>
      </c>
      <c r="Q19" s="38" t="str">
        <f>IF(ISNA(VLOOKUP($A19&amp;Q$2,'2004'!$B$2:$K$1621,10,0)),VLOOKUP($A19&amp;Q$2,'2004'!$A$2:$K$1621,10,0),VLOOKUP($A19&amp;Q$2,'2004'!$B$2:$K$1621,10,0))</f>
        <v>@FFR</v>
      </c>
      <c r="R19" s="38" t="str">
        <f>IF(ISNA(VLOOKUP($A19&amp;R$2,'2004'!$B$2:$K$1621,10,0)),VLOOKUP($A19&amp;R$2,'2004'!$A$2:$K$1621,10,0),VLOOKUP($A19&amp;R$2,'2004'!$B$2:$K$1621,10,0))</f>
        <v>@RMO</v>
      </c>
      <c r="S19" s="38" t="str">
        <f>IF(ISNA(VLOOKUP($A19&amp;S$2,'2004'!$B$2:$K$1621,10,0)),VLOOKUP($A19&amp;S$2,'2004'!$A$2:$K$1621,10,0),VLOOKUP($A19&amp;S$2,'2004'!$B$2:$K$1621,10,0))</f>
        <v>@OKO</v>
      </c>
      <c r="T19" s="38" t="str">
        <f>IF(ISNA(VLOOKUP($A19&amp;T$2,'2004'!$B$2:$K$1621,10,0)),VLOOKUP($A19&amp;T$2,'2004'!$A$2:$K$1621,10,0),VLOOKUP($A19&amp;T$2,'2004'!$B$2:$K$1621,10,0))</f>
        <v>@DIG</v>
      </c>
      <c r="U19" s="38" t="str">
        <f>IF(ISNA(VLOOKUP($A19&amp;U$2,'2004'!$B$2:$K$1621,10,0)),VLOOKUP($A19&amp;U$2,'2004'!$A$2:$K$1621,10,0),VLOOKUP($A19&amp;U$2,'2004'!$B$2:$K$1621,10,0))</f>
        <v>@NNN</v>
      </c>
    </row>
    <row r="20" spans="1:21" x14ac:dyDescent="0.25">
      <c r="A20" s="40">
        <f t="shared" si="0"/>
        <v>38097</v>
      </c>
      <c r="B20" s="36" t="str">
        <f>IF(ISNA(VLOOKUP($A20&amp;B$2,'2004'!$B$2:$K$1621,10,0)),VLOOKUP($A20&amp;B$2,'2004'!$A$2:$K$1621,10,0),VLOOKUP($A20&amp;B$2,'2004'!$B$2:$K$1621,10,0))</f>
        <v>FDH</v>
      </c>
      <c r="C20" s="36" t="str">
        <f>IF(ISNA(VLOOKUP($A20&amp;C$2,'2004'!$B$2:$K$1621,10,0)),VLOOKUP($A20&amp;C$2,'2004'!$A$2:$K$1621,10,0),VLOOKUP($A20&amp;C$2,'2004'!$B$2:$K$1621,10,0))</f>
        <v>TEW</v>
      </c>
      <c r="D20" s="36" t="str">
        <f>IF(ISNA(VLOOKUP($A20&amp;D$2,'2004'!$B$2:$K$1621,10,0)),VLOOKUP($A20&amp;D$2,'2004'!$A$2:$K$1621,10,0),VLOOKUP($A20&amp;D$2,'2004'!$B$2:$K$1621,10,0))</f>
        <v>CEN</v>
      </c>
      <c r="E20" s="36" t="str">
        <f>IF(ISNA(VLOOKUP($A20&amp;E$2,'2004'!$B$2:$K$1621,10,0)),VLOOKUP($A20&amp;E$2,'2004'!$A$2:$K$1621,10,0),VLOOKUP($A20&amp;E$2,'2004'!$B$2:$K$1621,10,0))</f>
        <v>REN</v>
      </c>
      <c r="F20" s="36" t="str">
        <f>IF(ISNA(VLOOKUP($A20&amp;F$2,'2004'!$B$2:$K$1621,10,0)),VLOOKUP($A20&amp;F$2,'2004'!$A$2:$K$1621,10,0),VLOOKUP($A20&amp;F$2,'2004'!$B$2:$K$1621,10,0))</f>
        <v>NEP</v>
      </c>
      <c r="G20" s="35" t="str">
        <f>IF(ISNA(VLOOKUP($A20&amp;G$2,'2004'!$B$2:$K$1621,10,0)),VLOOKUP($A20&amp;G$2,'2004'!$A$2:$K$1621,10,0),VLOOKUP($A20&amp;G$2,'2004'!$B$2:$K$1621,10,0))</f>
        <v>@CTW</v>
      </c>
      <c r="H20" s="35" t="str">
        <f>IF(ISNA(VLOOKUP($A20&amp;H$2,'2004'!$B$2:$K$1621,10,0)),VLOOKUP($A20&amp;H$2,'2004'!$A$2:$K$1621,10,0),VLOOKUP($A20&amp;H$2,'2004'!$B$2:$K$1621,10,0))</f>
        <v>@BBG</v>
      </c>
      <c r="I20" s="35" t="str">
        <f>IF(ISNA(VLOOKUP($A20&amp;I$2,'2004'!$B$2:$K$1621,10,0)),VLOOKUP($A20&amp;I$2,'2004'!$A$2:$K$1621,10,0),VLOOKUP($A20&amp;I$2,'2004'!$B$2:$K$1621,10,0))</f>
        <v>@GAR</v>
      </c>
      <c r="J20" s="35" t="str">
        <f>IF(ISNA(VLOOKUP($A20&amp;J$2,'2004'!$B$2:$K$1621,10,0)),VLOOKUP($A20&amp;J$2,'2004'!$A$2:$K$1621,10,0),VLOOKUP($A20&amp;J$2,'2004'!$B$2:$K$1621,10,0))</f>
        <v>@CIN</v>
      </c>
      <c r="K20" s="35" t="str">
        <f>IF(ISNA(VLOOKUP($A20&amp;K$2,'2004'!$B$2:$K$1621,10,0)),VLOOKUP($A20&amp;K$2,'2004'!$A$2:$K$1621,10,0),VLOOKUP($A20&amp;K$2,'2004'!$B$2:$K$1621,10,0))</f>
        <v>@BAR</v>
      </c>
      <c r="L20" s="34" t="str">
        <f>IF(ISNA(VLOOKUP($A20&amp;L$2,'2004'!$B$2:$K$1621,10,0)),VLOOKUP($A20&amp;L$2,'2004'!$A$2:$K$1621,10,0),VLOOKUP($A20&amp;L$2,'2004'!$B$2:$K$1621,10,0))</f>
        <v>NYD</v>
      </c>
      <c r="M20" s="34" t="str">
        <f>IF(ISNA(VLOOKUP($A20&amp;M$2,'2004'!$B$2:$K$1621,10,0)),VLOOKUP($A20&amp;M$2,'2004'!$A$2:$K$1621,10,0),VLOOKUP($A20&amp;M$2,'2004'!$B$2:$K$1621,10,0))</f>
        <v>BRK</v>
      </c>
      <c r="N20" s="34" t="str">
        <f>IF(ISNA(VLOOKUP($A20&amp;N$2,'2004'!$B$2:$K$1621,10,0)),VLOOKUP($A20&amp;N$2,'2004'!$A$2:$K$1621,10,0),VLOOKUP($A20&amp;N$2,'2004'!$B$2:$K$1621,10,0))</f>
        <v>PHI</v>
      </c>
      <c r="O20" s="34" t="str">
        <f>IF(ISNA(VLOOKUP($A20&amp;O$2,'2004'!$B$2:$K$1621,10,0)),VLOOKUP($A20&amp;O$2,'2004'!$A$2:$K$1621,10,0),VLOOKUP($A20&amp;O$2,'2004'!$B$2:$K$1621,10,0))</f>
        <v>HAR</v>
      </c>
      <c r="P20" s="34" t="str">
        <f>IF(ISNA(VLOOKUP($A20&amp;P$2,'2004'!$B$2:$K$1621,10,0)),VLOOKUP($A20&amp;P$2,'2004'!$A$2:$K$1621,10,0),VLOOKUP($A20&amp;P$2,'2004'!$B$2:$K$1621,10,0))</f>
        <v>CBB</v>
      </c>
      <c r="Q20" s="38" t="str">
        <f>IF(ISNA(VLOOKUP($A20&amp;Q$2,'2004'!$B$2:$K$1621,10,0)),VLOOKUP($A20&amp;Q$2,'2004'!$A$2:$K$1621,10,0),VLOOKUP($A20&amp;Q$2,'2004'!$B$2:$K$1621,10,0))</f>
        <v>@FFR</v>
      </c>
      <c r="R20" s="38" t="str">
        <f>IF(ISNA(VLOOKUP($A20&amp;R$2,'2004'!$B$2:$K$1621,10,0)),VLOOKUP($A20&amp;R$2,'2004'!$A$2:$K$1621,10,0),VLOOKUP($A20&amp;R$2,'2004'!$B$2:$K$1621,10,0))</f>
        <v>@RMO</v>
      </c>
      <c r="S20" s="38" t="str">
        <f>IF(ISNA(VLOOKUP($A20&amp;S$2,'2004'!$B$2:$K$1621,10,0)),VLOOKUP($A20&amp;S$2,'2004'!$A$2:$K$1621,10,0),VLOOKUP($A20&amp;S$2,'2004'!$B$2:$K$1621,10,0))</f>
        <v>@OKO</v>
      </c>
      <c r="T20" s="38" t="str">
        <f>IF(ISNA(VLOOKUP($A20&amp;T$2,'2004'!$B$2:$K$1621,10,0)),VLOOKUP($A20&amp;T$2,'2004'!$A$2:$K$1621,10,0),VLOOKUP($A20&amp;T$2,'2004'!$B$2:$K$1621,10,0))</f>
        <v>@DIG</v>
      </c>
      <c r="U20" s="38" t="str">
        <f>IF(ISNA(VLOOKUP($A20&amp;U$2,'2004'!$B$2:$K$1621,10,0)),VLOOKUP($A20&amp;U$2,'2004'!$A$2:$K$1621,10,0),VLOOKUP($A20&amp;U$2,'2004'!$B$2:$K$1621,10,0))</f>
        <v>@NNN</v>
      </c>
    </row>
    <row r="21" spans="1:21" x14ac:dyDescent="0.25">
      <c r="A21" s="40">
        <f t="shared" si="0"/>
        <v>38098</v>
      </c>
      <c r="B21" s="36" t="str">
        <f>IF(ISNA(VLOOKUP($A21&amp;B$2,'2004'!$B$2:$K$1621,10,0)),VLOOKUP($A21&amp;B$2,'2004'!$A$2:$K$1621,10,0),VLOOKUP($A21&amp;B$2,'2004'!$B$2:$K$1621,10,0))</f>
        <v>REN</v>
      </c>
      <c r="C21" s="36" t="str">
        <f>IF(ISNA(VLOOKUP($A21&amp;C$2,'2004'!$B$2:$K$1621,10,0)),VLOOKUP($A21&amp;C$2,'2004'!$A$2:$K$1621,10,0),VLOOKUP($A21&amp;C$2,'2004'!$B$2:$K$1621,10,0))</f>
        <v>FDH</v>
      </c>
      <c r="D21" s="36" t="str">
        <f>IF(ISNA(VLOOKUP($A21&amp;D$2,'2004'!$B$2:$K$1621,10,0)),VLOOKUP($A21&amp;D$2,'2004'!$A$2:$K$1621,10,0),VLOOKUP($A21&amp;D$2,'2004'!$B$2:$K$1621,10,0))</f>
        <v>TEW</v>
      </c>
      <c r="E21" s="36" t="str">
        <f>IF(ISNA(VLOOKUP($A21&amp;E$2,'2004'!$B$2:$K$1621,10,0)),VLOOKUP($A21&amp;E$2,'2004'!$A$2:$K$1621,10,0),VLOOKUP($A21&amp;E$2,'2004'!$B$2:$K$1621,10,0))</f>
        <v>NEP</v>
      </c>
      <c r="F21" s="36" t="str">
        <f>IF(ISNA(VLOOKUP($A21&amp;F$2,'2004'!$B$2:$K$1621,10,0)),VLOOKUP($A21&amp;F$2,'2004'!$A$2:$K$1621,10,0),VLOOKUP($A21&amp;F$2,'2004'!$B$2:$K$1621,10,0))</f>
        <v>CEN</v>
      </c>
      <c r="G21" s="35" t="str">
        <f>IF(ISNA(VLOOKUP($A21&amp;G$2,'2004'!$B$2:$K$1621,10,0)),VLOOKUP($A21&amp;G$2,'2004'!$A$2:$K$1621,10,0),VLOOKUP($A21&amp;G$2,'2004'!$B$2:$K$1621,10,0))</f>
        <v>@GAR</v>
      </c>
      <c r="H21" s="35" t="str">
        <f>IF(ISNA(VLOOKUP($A21&amp;H$2,'2004'!$B$2:$K$1621,10,0)),VLOOKUP($A21&amp;H$2,'2004'!$A$2:$K$1621,10,0),VLOOKUP($A21&amp;H$2,'2004'!$B$2:$K$1621,10,0))</f>
        <v>@BAR</v>
      </c>
      <c r="I21" s="35" t="str">
        <f>IF(ISNA(VLOOKUP($A21&amp;I$2,'2004'!$B$2:$K$1621,10,0)),VLOOKUP($A21&amp;I$2,'2004'!$A$2:$K$1621,10,0),VLOOKUP($A21&amp;I$2,'2004'!$B$2:$K$1621,10,0))</f>
        <v>@CIN</v>
      </c>
      <c r="J21" s="35" t="str">
        <f>IF(ISNA(VLOOKUP($A21&amp;J$2,'2004'!$B$2:$K$1621,10,0)),VLOOKUP($A21&amp;J$2,'2004'!$A$2:$K$1621,10,0),VLOOKUP($A21&amp;J$2,'2004'!$B$2:$K$1621,10,0))</f>
        <v>@BBG</v>
      </c>
      <c r="K21" s="35" t="str">
        <f>IF(ISNA(VLOOKUP($A21&amp;K$2,'2004'!$B$2:$K$1621,10,0)),VLOOKUP($A21&amp;K$2,'2004'!$A$2:$K$1621,10,0),VLOOKUP($A21&amp;K$2,'2004'!$B$2:$K$1621,10,0))</f>
        <v>@CTW</v>
      </c>
      <c r="L21" s="34" t="str">
        <f>IF(ISNA(VLOOKUP($A21&amp;L$2,'2004'!$B$2:$K$1621,10,0)),VLOOKUP($A21&amp;L$2,'2004'!$A$2:$K$1621,10,0),VLOOKUP($A21&amp;L$2,'2004'!$B$2:$K$1621,10,0))</f>
        <v>PHI</v>
      </c>
      <c r="M21" s="34" t="str">
        <f>IF(ISNA(VLOOKUP($A21&amp;M$2,'2004'!$B$2:$K$1621,10,0)),VLOOKUP($A21&amp;M$2,'2004'!$A$2:$K$1621,10,0),VLOOKUP($A21&amp;M$2,'2004'!$B$2:$K$1621,10,0))</f>
        <v>NYD</v>
      </c>
      <c r="N21" s="34" t="str">
        <f>IF(ISNA(VLOOKUP($A21&amp;N$2,'2004'!$B$2:$K$1621,10,0)),VLOOKUP($A21&amp;N$2,'2004'!$A$2:$K$1621,10,0),VLOOKUP($A21&amp;N$2,'2004'!$B$2:$K$1621,10,0))</f>
        <v>CBB</v>
      </c>
      <c r="O21" s="34" t="str">
        <f>IF(ISNA(VLOOKUP($A21&amp;O$2,'2004'!$B$2:$K$1621,10,0)),VLOOKUP($A21&amp;O$2,'2004'!$A$2:$K$1621,10,0),VLOOKUP($A21&amp;O$2,'2004'!$B$2:$K$1621,10,0))</f>
        <v>BRK</v>
      </c>
      <c r="P21" s="34" t="str">
        <f>IF(ISNA(VLOOKUP($A21&amp;P$2,'2004'!$B$2:$K$1621,10,0)),VLOOKUP($A21&amp;P$2,'2004'!$A$2:$K$1621,10,0),VLOOKUP($A21&amp;P$2,'2004'!$B$2:$K$1621,10,0))</f>
        <v>HAR</v>
      </c>
      <c r="Q21" s="38" t="str">
        <f>IF(ISNA(VLOOKUP($A21&amp;Q$2,'2004'!$B$2:$K$1621,10,0)),VLOOKUP($A21&amp;Q$2,'2004'!$A$2:$K$1621,10,0),VLOOKUP($A21&amp;Q$2,'2004'!$B$2:$K$1621,10,0))</f>
        <v>@OKO</v>
      </c>
      <c r="R21" s="38" t="str">
        <f>IF(ISNA(VLOOKUP($A21&amp;R$2,'2004'!$B$2:$K$1621,10,0)),VLOOKUP($A21&amp;R$2,'2004'!$A$2:$K$1621,10,0),VLOOKUP($A21&amp;R$2,'2004'!$B$2:$K$1621,10,0))</f>
        <v>@NNN</v>
      </c>
      <c r="S21" s="38" t="str">
        <f>IF(ISNA(VLOOKUP($A21&amp;S$2,'2004'!$B$2:$K$1621,10,0)),VLOOKUP($A21&amp;S$2,'2004'!$A$2:$K$1621,10,0),VLOOKUP($A21&amp;S$2,'2004'!$B$2:$K$1621,10,0))</f>
        <v>@RMO</v>
      </c>
      <c r="T21" s="38" t="str">
        <f>IF(ISNA(VLOOKUP($A21&amp;T$2,'2004'!$B$2:$K$1621,10,0)),VLOOKUP($A21&amp;T$2,'2004'!$A$2:$K$1621,10,0),VLOOKUP($A21&amp;T$2,'2004'!$B$2:$K$1621,10,0))</f>
        <v>@FFR</v>
      </c>
      <c r="U21" s="38" t="str">
        <f>IF(ISNA(VLOOKUP($A21&amp;U$2,'2004'!$B$2:$K$1621,10,0)),VLOOKUP($A21&amp;U$2,'2004'!$A$2:$K$1621,10,0),VLOOKUP($A21&amp;U$2,'2004'!$B$2:$K$1621,10,0))</f>
        <v>@DIG</v>
      </c>
    </row>
    <row r="22" spans="1:21" x14ac:dyDescent="0.25">
      <c r="A22" s="40">
        <f t="shared" si="0"/>
        <v>38099</v>
      </c>
      <c r="B22" s="36" t="str">
        <f>IF(ISNA(VLOOKUP($A22&amp;B$2,'2004'!$B$2:$K$1621,10,0)),VLOOKUP($A22&amp;B$2,'2004'!$A$2:$K$1621,10,0),VLOOKUP($A22&amp;B$2,'2004'!$B$2:$K$1621,10,0))</f>
        <v>REN</v>
      </c>
      <c r="C22" s="36" t="str">
        <f>IF(ISNA(VLOOKUP($A22&amp;C$2,'2004'!$B$2:$K$1621,10,0)),VLOOKUP($A22&amp;C$2,'2004'!$A$2:$K$1621,10,0),VLOOKUP($A22&amp;C$2,'2004'!$B$2:$K$1621,10,0))</f>
        <v>FDH</v>
      </c>
      <c r="D22" s="36" t="str">
        <f>IF(ISNA(VLOOKUP($A22&amp;D$2,'2004'!$B$2:$K$1621,10,0)),VLOOKUP($A22&amp;D$2,'2004'!$A$2:$K$1621,10,0),VLOOKUP($A22&amp;D$2,'2004'!$B$2:$K$1621,10,0))</f>
        <v>TEW</v>
      </c>
      <c r="E22" s="36" t="str">
        <f>IF(ISNA(VLOOKUP($A22&amp;E$2,'2004'!$B$2:$K$1621,10,0)),VLOOKUP($A22&amp;E$2,'2004'!$A$2:$K$1621,10,0),VLOOKUP($A22&amp;E$2,'2004'!$B$2:$K$1621,10,0))</f>
        <v>NEP</v>
      </c>
      <c r="F22" s="36" t="str">
        <f>IF(ISNA(VLOOKUP($A22&amp;F$2,'2004'!$B$2:$K$1621,10,0)),VLOOKUP($A22&amp;F$2,'2004'!$A$2:$K$1621,10,0),VLOOKUP($A22&amp;F$2,'2004'!$B$2:$K$1621,10,0))</f>
        <v>CEN</v>
      </c>
      <c r="G22" s="35" t="str">
        <f>IF(ISNA(VLOOKUP($A22&amp;G$2,'2004'!$B$2:$K$1621,10,0)),VLOOKUP($A22&amp;G$2,'2004'!$A$2:$K$1621,10,0),VLOOKUP($A22&amp;G$2,'2004'!$B$2:$K$1621,10,0))</f>
        <v>@GAR</v>
      </c>
      <c r="H22" s="35" t="str">
        <f>IF(ISNA(VLOOKUP($A22&amp;H$2,'2004'!$B$2:$K$1621,10,0)),VLOOKUP($A22&amp;H$2,'2004'!$A$2:$K$1621,10,0),VLOOKUP($A22&amp;H$2,'2004'!$B$2:$K$1621,10,0))</f>
        <v>@BAR</v>
      </c>
      <c r="I22" s="35" t="str">
        <f>IF(ISNA(VLOOKUP($A22&amp;I$2,'2004'!$B$2:$K$1621,10,0)),VLOOKUP($A22&amp;I$2,'2004'!$A$2:$K$1621,10,0),VLOOKUP($A22&amp;I$2,'2004'!$B$2:$K$1621,10,0))</f>
        <v>@CIN</v>
      </c>
      <c r="J22" s="35" t="str">
        <f>IF(ISNA(VLOOKUP($A22&amp;J$2,'2004'!$B$2:$K$1621,10,0)),VLOOKUP($A22&amp;J$2,'2004'!$A$2:$K$1621,10,0),VLOOKUP($A22&amp;J$2,'2004'!$B$2:$K$1621,10,0))</f>
        <v>@BBG</v>
      </c>
      <c r="K22" s="35" t="str">
        <f>IF(ISNA(VLOOKUP($A22&amp;K$2,'2004'!$B$2:$K$1621,10,0)),VLOOKUP($A22&amp;K$2,'2004'!$A$2:$K$1621,10,0),VLOOKUP($A22&amp;K$2,'2004'!$B$2:$K$1621,10,0))</f>
        <v>@CTW</v>
      </c>
      <c r="L22" s="34" t="str">
        <f>IF(ISNA(VLOOKUP($A22&amp;L$2,'2004'!$B$2:$K$1621,10,0)),VLOOKUP($A22&amp;L$2,'2004'!$A$2:$K$1621,10,0),VLOOKUP($A22&amp;L$2,'2004'!$B$2:$K$1621,10,0))</f>
        <v>PHI</v>
      </c>
      <c r="M22" s="34" t="str">
        <f>IF(ISNA(VLOOKUP($A22&amp;M$2,'2004'!$B$2:$K$1621,10,0)),VLOOKUP($A22&amp;M$2,'2004'!$A$2:$K$1621,10,0),VLOOKUP($A22&amp;M$2,'2004'!$B$2:$K$1621,10,0))</f>
        <v>NYD</v>
      </c>
      <c r="N22" s="34" t="str">
        <f>IF(ISNA(VLOOKUP($A22&amp;N$2,'2004'!$B$2:$K$1621,10,0)),VLOOKUP($A22&amp;N$2,'2004'!$A$2:$K$1621,10,0),VLOOKUP($A22&amp;N$2,'2004'!$B$2:$K$1621,10,0))</f>
        <v>CBB</v>
      </c>
      <c r="O22" s="34" t="str">
        <f>IF(ISNA(VLOOKUP($A22&amp;O$2,'2004'!$B$2:$K$1621,10,0)),VLOOKUP($A22&amp;O$2,'2004'!$A$2:$K$1621,10,0),VLOOKUP($A22&amp;O$2,'2004'!$B$2:$K$1621,10,0))</f>
        <v>BRK</v>
      </c>
      <c r="P22" s="34" t="str">
        <f>IF(ISNA(VLOOKUP($A22&amp;P$2,'2004'!$B$2:$K$1621,10,0)),VLOOKUP($A22&amp;P$2,'2004'!$A$2:$K$1621,10,0),VLOOKUP($A22&amp;P$2,'2004'!$B$2:$K$1621,10,0))</f>
        <v>HAR</v>
      </c>
      <c r="Q22" s="38" t="str">
        <f>IF(ISNA(VLOOKUP($A22&amp;Q$2,'2004'!$B$2:$K$1621,10,0)),VLOOKUP($A22&amp;Q$2,'2004'!$A$2:$K$1621,10,0),VLOOKUP($A22&amp;Q$2,'2004'!$B$2:$K$1621,10,0))</f>
        <v>@OKO</v>
      </c>
      <c r="R22" s="38" t="str">
        <f>IF(ISNA(VLOOKUP($A22&amp;R$2,'2004'!$B$2:$K$1621,10,0)),VLOOKUP($A22&amp;R$2,'2004'!$A$2:$K$1621,10,0),VLOOKUP($A22&amp;R$2,'2004'!$B$2:$K$1621,10,0))</f>
        <v>@NNN</v>
      </c>
      <c r="S22" s="38" t="str">
        <f>IF(ISNA(VLOOKUP($A22&amp;S$2,'2004'!$B$2:$K$1621,10,0)),VLOOKUP($A22&amp;S$2,'2004'!$A$2:$K$1621,10,0),VLOOKUP($A22&amp;S$2,'2004'!$B$2:$K$1621,10,0))</f>
        <v>@RMO</v>
      </c>
      <c r="T22" s="38" t="str">
        <f>IF(ISNA(VLOOKUP($A22&amp;T$2,'2004'!$B$2:$K$1621,10,0)),VLOOKUP($A22&amp;T$2,'2004'!$A$2:$K$1621,10,0),VLOOKUP($A22&amp;T$2,'2004'!$B$2:$K$1621,10,0))</f>
        <v>@FFR</v>
      </c>
      <c r="U22" s="38" t="str">
        <f>IF(ISNA(VLOOKUP($A22&amp;U$2,'2004'!$B$2:$K$1621,10,0)),VLOOKUP($A22&amp;U$2,'2004'!$A$2:$K$1621,10,0),VLOOKUP($A22&amp;U$2,'2004'!$B$2:$K$1621,10,0))</f>
        <v>@DIG</v>
      </c>
    </row>
    <row r="23" spans="1:21" x14ac:dyDescent="0.25">
      <c r="A23" s="40">
        <f t="shared" si="0"/>
        <v>38100</v>
      </c>
      <c r="B23" s="36" t="str">
        <f>IF(ISNA(VLOOKUP($A23&amp;B$2,'2004'!$B$2:$K$1621,10,0)),VLOOKUP($A23&amp;B$2,'2004'!$A$2:$K$1621,10,0),VLOOKUP($A23&amp;B$2,'2004'!$B$2:$K$1621,10,0))</f>
        <v>REN</v>
      </c>
      <c r="C23" s="36" t="str">
        <f>IF(ISNA(VLOOKUP($A23&amp;C$2,'2004'!$B$2:$K$1621,10,0)),VLOOKUP($A23&amp;C$2,'2004'!$A$2:$K$1621,10,0),VLOOKUP($A23&amp;C$2,'2004'!$B$2:$K$1621,10,0))</f>
        <v>FDH</v>
      </c>
      <c r="D23" s="36" t="str">
        <f>IF(ISNA(VLOOKUP($A23&amp;D$2,'2004'!$B$2:$K$1621,10,0)),VLOOKUP($A23&amp;D$2,'2004'!$A$2:$K$1621,10,0),VLOOKUP($A23&amp;D$2,'2004'!$B$2:$K$1621,10,0))</f>
        <v>TEW</v>
      </c>
      <c r="E23" s="36" t="str">
        <f>IF(ISNA(VLOOKUP($A23&amp;E$2,'2004'!$B$2:$K$1621,10,0)),VLOOKUP($A23&amp;E$2,'2004'!$A$2:$K$1621,10,0),VLOOKUP($A23&amp;E$2,'2004'!$B$2:$K$1621,10,0))</f>
        <v>NEP</v>
      </c>
      <c r="F23" s="36" t="str">
        <f>IF(ISNA(VLOOKUP($A23&amp;F$2,'2004'!$B$2:$K$1621,10,0)),VLOOKUP($A23&amp;F$2,'2004'!$A$2:$K$1621,10,0),VLOOKUP($A23&amp;F$2,'2004'!$B$2:$K$1621,10,0))</f>
        <v>CEN</v>
      </c>
      <c r="G23" s="35" t="str">
        <f>IF(ISNA(VLOOKUP($A23&amp;G$2,'2004'!$B$2:$K$1621,10,0)),VLOOKUP($A23&amp;G$2,'2004'!$A$2:$K$1621,10,0),VLOOKUP($A23&amp;G$2,'2004'!$B$2:$K$1621,10,0))</f>
        <v>@GAR</v>
      </c>
      <c r="H23" s="35" t="str">
        <f>IF(ISNA(VLOOKUP($A23&amp;H$2,'2004'!$B$2:$K$1621,10,0)),VLOOKUP($A23&amp;H$2,'2004'!$A$2:$K$1621,10,0),VLOOKUP($A23&amp;H$2,'2004'!$B$2:$K$1621,10,0))</f>
        <v>@BAR</v>
      </c>
      <c r="I23" s="35" t="str">
        <f>IF(ISNA(VLOOKUP($A23&amp;I$2,'2004'!$B$2:$K$1621,10,0)),VLOOKUP($A23&amp;I$2,'2004'!$A$2:$K$1621,10,0),VLOOKUP($A23&amp;I$2,'2004'!$B$2:$K$1621,10,0))</f>
        <v>@CIN</v>
      </c>
      <c r="J23" s="35" t="str">
        <f>IF(ISNA(VLOOKUP($A23&amp;J$2,'2004'!$B$2:$K$1621,10,0)),VLOOKUP($A23&amp;J$2,'2004'!$A$2:$K$1621,10,0),VLOOKUP($A23&amp;J$2,'2004'!$B$2:$K$1621,10,0))</f>
        <v>@BBG</v>
      </c>
      <c r="K23" s="35" t="str">
        <f>IF(ISNA(VLOOKUP($A23&amp;K$2,'2004'!$B$2:$K$1621,10,0)),VLOOKUP($A23&amp;K$2,'2004'!$A$2:$K$1621,10,0),VLOOKUP($A23&amp;K$2,'2004'!$B$2:$K$1621,10,0))</f>
        <v>@CTW</v>
      </c>
      <c r="L23" s="34" t="str">
        <f>IF(ISNA(VLOOKUP($A23&amp;L$2,'2004'!$B$2:$K$1621,10,0)),VLOOKUP($A23&amp;L$2,'2004'!$A$2:$K$1621,10,0),VLOOKUP($A23&amp;L$2,'2004'!$B$2:$K$1621,10,0))</f>
        <v>PHI</v>
      </c>
      <c r="M23" s="34" t="str">
        <f>IF(ISNA(VLOOKUP($A23&amp;M$2,'2004'!$B$2:$K$1621,10,0)),VLOOKUP($A23&amp;M$2,'2004'!$A$2:$K$1621,10,0),VLOOKUP($A23&amp;M$2,'2004'!$B$2:$K$1621,10,0))</f>
        <v>NYD</v>
      </c>
      <c r="N23" s="34" t="str">
        <f>IF(ISNA(VLOOKUP($A23&amp;N$2,'2004'!$B$2:$K$1621,10,0)),VLOOKUP($A23&amp;N$2,'2004'!$A$2:$K$1621,10,0),VLOOKUP($A23&amp;N$2,'2004'!$B$2:$K$1621,10,0))</f>
        <v>CBB</v>
      </c>
      <c r="O23" s="34" t="str">
        <f>IF(ISNA(VLOOKUP($A23&amp;O$2,'2004'!$B$2:$K$1621,10,0)),VLOOKUP($A23&amp;O$2,'2004'!$A$2:$K$1621,10,0),VLOOKUP($A23&amp;O$2,'2004'!$B$2:$K$1621,10,0))</f>
        <v>BRK</v>
      </c>
      <c r="P23" s="34" t="str">
        <f>IF(ISNA(VLOOKUP($A23&amp;P$2,'2004'!$B$2:$K$1621,10,0)),VLOOKUP($A23&amp;P$2,'2004'!$A$2:$K$1621,10,0),VLOOKUP($A23&amp;P$2,'2004'!$B$2:$K$1621,10,0))</f>
        <v>HAR</v>
      </c>
      <c r="Q23" s="38" t="str">
        <f>IF(ISNA(VLOOKUP($A23&amp;Q$2,'2004'!$B$2:$K$1621,10,0)),VLOOKUP($A23&amp;Q$2,'2004'!$A$2:$K$1621,10,0),VLOOKUP($A23&amp;Q$2,'2004'!$B$2:$K$1621,10,0))</f>
        <v>@OKO</v>
      </c>
      <c r="R23" s="38" t="str">
        <f>IF(ISNA(VLOOKUP($A23&amp;R$2,'2004'!$B$2:$K$1621,10,0)),VLOOKUP($A23&amp;R$2,'2004'!$A$2:$K$1621,10,0),VLOOKUP($A23&amp;R$2,'2004'!$B$2:$K$1621,10,0))</f>
        <v>@NNN</v>
      </c>
      <c r="S23" s="38" t="str">
        <f>IF(ISNA(VLOOKUP($A23&amp;S$2,'2004'!$B$2:$K$1621,10,0)),VLOOKUP($A23&amp;S$2,'2004'!$A$2:$K$1621,10,0),VLOOKUP($A23&amp;S$2,'2004'!$B$2:$K$1621,10,0))</f>
        <v>@RMO</v>
      </c>
      <c r="T23" s="38" t="str">
        <f>IF(ISNA(VLOOKUP($A23&amp;T$2,'2004'!$B$2:$K$1621,10,0)),VLOOKUP($A23&amp;T$2,'2004'!$A$2:$K$1621,10,0),VLOOKUP($A23&amp;T$2,'2004'!$B$2:$K$1621,10,0))</f>
        <v>@FFR</v>
      </c>
      <c r="U23" s="38" t="str">
        <f>IF(ISNA(VLOOKUP($A23&amp;U$2,'2004'!$B$2:$K$1621,10,0)),VLOOKUP($A23&amp;U$2,'2004'!$A$2:$K$1621,10,0),VLOOKUP($A23&amp;U$2,'2004'!$B$2:$K$1621,10,0))</f>
        <v>@DIG</v>
      </c>
    </row>
    <row r="24" spans="1:21" x14ac:dyDescent="0.25">
      <c r="A24" s="40">
        <f t="shared" si="0"/>
        <v>38101</v>
      </c>
      <c r="B24" s="36" t="str">
        <f>IF(ISNA(VLOOKUP($A24&amp;B$2,'2004'!$B$2:$K$1621,10,0)),VLOOKUP($A24&amp;B$2,'2004'!$A$2:$K$1621,10,0),VLOOKUP($A24&amp;B$2,'2004'!$B$2:$K$1621,10,0))</f>
        <v>REN</v>
      </c>
      <c r="C24" s="36" t="str">
        <f>IF(ISNA(VLOOKUP($A24&amp;C$2,'2004'!$B$2:$K$1621,10,0)),VLOOKUP($A24&amp;C$2,'2004'!$A$2:$K$1621,10,0),VLOOKUP($A24&amp;C$2,'2004'!$B$2:$K$1621,10,0))</f>
        <v>FDH</v>
      </c>
      <c r="D24" s="36" t="str">
        <f>IF(ISNA(VLOOKUP($A24&amp;D$2,'2004'!$B$2:$K$1621,10,0)),VLOOKUP($A24&amp;D$2,'2004'!$A$2:$K$1621,10,0),VLOOKUP($A24&amp;D$2,'2004'!$B$2:$K$1621,10,0))</f>
        <v>TEW</v>
      </c>
      <c r="E24" s="36" t="str">
        <f>IF(ISNA(VLOOKUP($A24&amp;E$2,'2004'!$B$2:$K$1621,10,0)),VLOOKUP($A24&amp;E$2,'2004'!$A$2:$K$1621,10,0),VLOOKUP($A24&amp;E$2,'2004'!$B$2:$K$1621,10,0))</f>
        <v>NEP</v>
      </c>
      <c r="F24" s="36" t="str">
        <f>IF(ISNA(VLOOKUP($A24&amp;F$2,'2004'!$B$2:$K$1621,10,0)),VLOOKUP($A24&amp;F$2,'2004'!$A$2:$K$1621,10,0),VLOOKUP($A24&amp;F$2,'2004'!$B$2:$K$1621,10,0))</f>
        <v>CEN</v>
      </c>
      <c r="G24" s="35" t="str">
        <f>IF(ISNA(VLOOKUP($A24&amp;G$2,'2004'!$B$2:$K$1621,10,0)),VLOOKUP($A24&amp;G$2,'2004'!$A$2:$K$1621,10,0),VLOOKUP($A24&amp;G$2,'2004'!$B$2:$K$1621,10,0))</f>
        <v>@GAR</v>
      </c>
      <c r="H24" s="35" t="str">
        <f>IF(ISNA(VLOOKUP($A24&amp;H$2,'2004'!$B$2:$K$1621,10,0)),VLOOKUP($A24&amp;H$2,'2004'!$A$2:$K$1621,10,0),VLOOKUP($A24&amp;H$2,'2004'!$B$2:$K$1621,10,0))</f>
        <v>@BAR</v>
      </c>
      <c r="I24" s="35" t="str">
        <f>IF(ISNA(VLOOKUP($A24&amp;I$2,'2004'!$B$2:$K$1621,10,0)),VLOOKUP($A24&amp;I$2,'2004'!$A$2:$K$1621,10,0),VLOOKUP($A24&amp;I$2,'2004'!$B$2:$K$1621,10,0))</f>
        <v>@CIN</v>
      </c>
      <c r="J24" s="35" t="str">
        <f>IF(ISNA(VLOOKUP($A24&amp;J$2,'2004'!$B$2:$K$1621,10,0)),VLOOKUP($A24&amp;J$2,'2004'!$A$2:$K$1621,10,0),VLOOKUP($A24&amp;J$2,'2004'!$B$2:$K$1621,10,0))</f>
        <v>@BBG</v>
      </c>
      <c r="K24" s="35" t="str">
        <f>IF(ISNA(VLOOKUP($A24&amp;K$2,'2004'!$B$2:$K$1621,10,0)),VLOOKUP($A24&amp;K$2,'2004'!$A$2:$K$1621,10,0),VLOOKUP($A24&amp;K$2,'2004'!$B$2:$K$1621,10,0))</f>
        <v>@CTW</v>
      </c>
      <c r="L24" s="34" t="str">
        <f>IF(ISNA(VLOOKUP($A24&amp;L$2,'2004'!$B$2:$K$1621,10,0)),VLOOKUP($A24&amp;L$2,'2004'!$A$2:$K$1621,10,0),VLOOKUP($A24&amp;L$2,'2004'!$B$2:$K$1621,10,0))</f>
        <v>PHI</v>
      </c>
      <c r="M24" s="34" t="str">
        <f>IF(ISNA(VLOOKUP($A24&amp;M$2,'2004'!$B$2:$K$1621,10,0)),VLOOKUP($A24&amp;M$2,'2004'!$A$2:$K$1621,10,0),VLOOKUP($A24&amp;M$2,'2004'!$B$2:$K$1621,10,0))</f>
        <v>NYD</v>
      </c>
      <c r="N24" s="34" t="str">
        <f>IF(ISNA(VLOOKUP($A24&amp;N$2,'2004'!$B$2:$K$1621,10,0)),VLOOKUP($A24&amp;N$2,'2004'!$A$2:$K$1621,10,0),VLOOKUP($A24&amp;N$2,'2004'!$B$2:$K$1621,10,0))</f>
        <v>CBB</v>
      </c>
      <c r="O24" s="34" t="str">
        <f>IF(ISNA(VLOOKUP($A24&amp;O$2,'2004'!$B$2:$K$1621,10,0)),VLOOKUP($A24&amp;O$2,'2004'!$A$2:$K$1621,10,0),VLOOKUP($A24&amp;O$2,'2004'!$B$2:$K$1621,10,0))</f>
        <v>BRK</v>
      </c>
      <c r="P24" s="34" t="str">
        <f>IF(ISNA(VLOOKUP($A24&amp;P$2,'2004'!$B$2:$K$1621,10,0)),VLOOKUP($A24&amp;P$2,'2004'!$A$2:$K$1621,10,0),VLOOKUP($A24&amp;P$2,'2004'!$B$2:$K$1621,10,0))</f>
        <v>HAR</v>
      </c>
      <c r="Q24" s="38" t="str">
        <f>IF(ISNA(VLOOKUP($A24&amp;Q$2,'2004'!$B$2:$K$1621,10,0)),VLOOKUP($A24&amp;Q$2,'2004'!$A$2:$K$1621,10,0),VLOOKUP($A24&amp;Q$2,'2004'!$B$2:$K$1621,10,0))</f>
        <v>@OKO</v>
      </c>
      <c r="R24" s="38" t="str">
        <f>IF(ISNA(VLOOKUP($A24&amp;R$2,'2004'!$B$2:$K$1621,10,0)),VLOOKUP($A24&amp;R$2,'2004'!$A$2:$K$1621,10,0),VLOOKUP($A24&amp;R$2,'2004'!$B$2:$K$1621,10,0))</f>
        <v>@NNN</v>
      </c>
      <c r="S24" s="38" t="str">
        <f>IF(ISNA(VLOOKUP($A24&amp;S$2,'2004'!$B$2:$K$1621,10,0)),VLOOKUP($A24&amp;S$2,'2004'!$A$2:$K$1621,10,0),VLOOKUP($A24&amp;S$2,'2004'!$B$2:$K$1621,10,0))</f>
        <v>@RMO</v>
      </c>
      <c r="T24" s="38" t="str">
        <f>IF(ISNA(VLOOKUP($A24&amp;T$2,'2004'!$B$2:$K$1621,10,0)),VLOOKUP($A24&amp;T$2,'2004'!$A$2:$K$1621,10,0),VLOOKUP($A24&amp;T$2,'2004'!$B$2:$K$1621,10,0))</f>
        <v>@FFR</v>
      </c>
      <c r="U24" s="38" t="str">
        <f>IF(ISNA(VLOOKUP($A24&amp;U$2,'2004'!$B$2:$K$1621,10,0)),VLOOKUP($A24&amp;U$2,'2004'!$A$2:$K$1621,10,0),VLOOKUP($A24&amp;U$2,'2004'!$B$2:$K$1621,10,0))</f>
        <v>@DIG</v>
      </c>
    </row>
    <row r="25" spans="1:21" x14ac:dyDescent="0.25">
      <c r="A25" s="40">
        <f t="shared" si="0"/>
        <v>38102</v>
      </c>
      <c r="B25" s="36" t="e">
        <f>IF(ISNA(VLOOKUP($A25&amp;B$2,'2004'!$B$2:$K$1621,10,0)),VLOOKUP($A25&amp;B$2,'2004'!$A$2:$K$1621,10,0),VLOOKUP($A25&amp;B$2,'2004'!$B$2:$K$1621,10,0))</f>
        <v>#N/A</v>
      </c>
      <c r="C25" s="36" t="e">
        <f>IF(ISNA(VLOOKUP($A25&amp;C$2,'2004'!$B$2:$K$1621,10,0)),VLOOKUP($A25&amp;C$2,'2004'!$A$2:$K$1621,10,0),VLOOKUP($A25&amp;C$2,'2004'!$B$2:$K$1621,10,0))</f>
        <v>#N/A</v>
      </c>
      <c r="D25" s="36" t="e">
        <f>IF(ISNA(VLOOKUP($A25&amp;D$2,'2004'!$B$2:$K$1621,10,0)),VLOOKUP($A25&amp;D$2,'2004'!$A$2:$K$1621,10,0),VLOOKUP($A25&amp;D$2,'2004'!$B$2:$K$1621,10,0))</f>
        <v>#N/A</v>
      </c>
      <c r="E25" s="36" t="e">
        <f>IF(ISNA(VLOOKUP($A25&amp;E$2,'2004'!$B$2:$K$1621,10,0)),VLOOKUP($A25&amp;E$2,'2004'!$A$2:$K$1621,10,0),VLOOKUP($A25&amp;E$2,'2004'!$B$2:$K$1621,10,0))</f>
        <v>#N/A</v>
      </c>
      <c r="F25" s="36" t="e">
        <f>IF(ISNA(VLOOKUP($A25&amp;F$2,'2004'!$B$2:$K$1621,10,0)),VLOOKUP($A25&amp;F$2,'2004'!$A$2:$K$1621,10,0),VLOOKUP($A25&amp;F$2,'2004'!$B$2:$K$1621,10,0))</f>
        <v>#N/A</v>
      </c>
      <c r="G25" s="35" t="e">
        <f>IF(ISNA(VLOOKUP($A25&amp;G$2,'2004'!$B$2:$K$1621,10,0)),VLOOKUP($A25&amp;G$2,'2004'!$A$2:$K$1621,10,0),VLOOKUP($A25&amp;G$2,'2004'!$B$2:$K$1621,10,0))</f>
        <v>#N/A</v>
      </c>
      <c r="H25" s="35" t="e">
        <f>IF(ISNA(VLOOKUP($A25&amp;H$2,'2004'!$B$2:$K$1621,10,0)),VLOOKUP($A25&amp;H$2,'2004'!$A$2:$K$1621,10,0),VLOOKUP($A25&amp;H$2,'2004'!$B$2:$K$1621,10,0))</f>
        <v>#N/A</v>
      </c>
      <c r="I25" s="35" t="e">
        <f>IF(ISNA(VLOOKUP($A25&amp;I$2,'2004'!$B$2:$K$1621,10,0)),VLOOKUP($A25&amp;I$2,'2004'!$A$2:$K$1621,10,0),VLOOKUP($A25&amp;I$2,'2004'!$B$2:$K$1621,10,0))</f>
        <v>#N/A</v>
      </c>
      <c r="J25" s="35" t="e">
        <f>IF(ISNA(VLOOKUP($A25&amp;J$2,'2004'!$B$2:$K$1621,10,0)),VLOOKUP($A25&amp;J$2,'2004'!$A$2:$K$1621,10,0),VLOOKUP($A25&amp;J$2,'2004'!$B$2:$K$1621,10,0))</f>
        <v>#N/A</v>
      </c>
      <c r="K25" s="35" t="e">
        <f>IF(ISNA(VLOOKUP($A25&amp;K$2,'2004'!$B$2:$K$1621,10,0)),VLOOKUP($A25&amp;K$2,'2004'!$A$2:$K$1621,10,0),VLOOKUP($A25&amp;K$2,'2004'!$B$2:$K$1621,10,0))</f>
        <v>#N/A</v>
      </c>
      <c r="L25" s="34" t="e">
        <f>IF(ISNA(VLOOKUP($A25&amp;L$2,'2004'!$B$2:$K$1621,10,0)),VLOOKUP($A25&amp;L$2,'2004'!$A$2:$K$1621,10,0),VLOOKUP($A25&amp;L$2,'2004'!$B$2:$K$1621,10,0))</f>
        <v>#N/A</v>
      </c>
      <c r="M25" s="34" t="e">
        <f>IF(ISNA(VLOOKUP($A25&amp;M$2,'2004'!$B$2:$K$1621,10,0)),VLOOKUP($A25&amp;M$2,'2004'!$A$2:$K$1621,10,0),VLOOKUP($A25&amp;M$2,'2004'!$B$2:$K$1621,10,0))</f>
        <v>#N/A</v>
      </c>
      <c r="N25" s="34" t="e">
        <f>IF(ISNA(VLOOKUP($A25&amp;N$2,'2004'!$B$2:$K$1621,10,0)),VLOOKUP($A25&amp;N$2,'2004'!$A$2:$K$1621,10,0),VLOOKUP($A25&amp;N$2,'2004'!$B$2:$K$1621,10,0))</f>
        <v>#N/A</v>
      </c>
      <c r="O25" s="34" t="e">
        <f>IF(ISNA(VLOOKUP($A25&amp;O$2,'2004'!$B$2:$K$1621,10,0)),VLOOKUP($A25&amp;O$2,'2004'!$A$2:$K$1621,10,0),VLOOKUP($A25&amp;O$2,'2004'!$B$2:$K$1621,10,0))</f>
        <v>#N/A</v>
      </c>
      <c r="P25" s="34" t="e">
        <f>IF(ISNA(VLOOKUP($A25&amp;P$2,'2004'!$B$2:$K$1621,10,0)),VLOOKUP($A25&amp;P$2,'2004'!$A$2:$K$1621,10,0),VLOOKUP($A25&amp;P$2,'2004'!$B$2:$K$1621,10,0))</f>
        <v>#N/A</v>
      </c>
      <c r="Q25" s="38" t="e">
        <f>IF(ISNA(VLOOKUP($A25&amp;Q$2,'2004'!$B$2:$K$1621,10,0)),VLOOKUP($A25&amp;Q$2,'2004'!$A$2:$K$1621,10,0),VLOOKUP($A25&amp;Q$2,'2004'!$B$2:$K$1621,10,0))</f>
        <v>#N/A</v>
      </c>
      <c r="R25" s="38" t="e">
        <f>IF(ISNA(VLOOKUP($A25&amp;R$2,'2004'!$B$2:$K$1621,10,0)),VLOOKUP($A25&amp;R$2,'2004'!$A$2:$K$1621,10,0),VLOOKUP($A25&amp;R$2,'2004'!$B$2:$K$1621,10,0))</f>
        <v>#N/A</v>
      </c>
      <c r="S25" s="38" t="e">
        <f>IF(ISNA(VLOOKUP($A25&amp;S$2,'2004'!$B$2:$K$1621,10,0)),VLOOKUP($A25&amp;S$2,'2004'!$A$2:$K$1621,10,0),VLOOKUP($A25&amp;S$2,'2004'!$B$2:$K$1621,10,0))</f>
        <v>#N/A</v>
      </c>
      <c r="T25" s="38" t="e">
        <f>IF(ISNA(VLOOKUP($A25&amp;T$2,'2004'!$B$2:$K$1621,10,0)),VLOOKUP($A25&amp;T$2,'2004'!$A$2:$K$1621,10,0),VLOOKUP($A25&amp;T$2,'2004'!$B$2:$K$1621,10,0))</f>
        <v>#N/A</v>
      </c>
      <c r="U25" s="38" t="e">
        <f>IF(ISNA(VLOOKUP($A25&amp;U$2,'2004'!$B$2:$K$1621,10,0)),VLOOKUP($A25&amp;U$2,'2004'!$A$2:$K$1621,10,0),VLOOKUP($A25&amp;U$2,'2004'!$B$2:$K$1621,10,0))</f>
        <v>#N/A</v>
      </c>
    </row>
    <row r="26" spans="1:21" x14ac:dyDescent="0.25">
      <c r="A26" s="40">
        <f t="shared" si="0"/>
        <v>38103</v>
      </c>
      <c r="B26" s="36" t="str">
        <f>IF(ISNA(VLOOKUP($A26&amp;B$2,'2004'!$B$2:$K$1621,10,0)),VLOOKUP($A26&amp;B$2,'2004'!$A$2:$K$1621,10,0),VLOOKUP($A26&amp;B$2,'2004'!$B$2:$K$1621,10,0))</f>
        <v>FFR</v>
      </c>
      <c r="C26" s="36" t="str">
        <f>IF(ISNA(VLOOKUP($A26&amp;C$2,'2004'!$B$2:$K$1621,10,0)),VLOOKUP($A26&amp;C$2,'2004'!$A$2:$K$1621,10,0),VLOOKUP($A26&amp;C$2,'2004'!$B$2:$K$1621,10,0))</f>
        <v>OKO</v>
      </c>
      <c r="D26" s="36" t="str">
        <f>IF(ISNA(VLOOKUP($A26&amp;D$2,'2004'!$B$2:$K$1621,10,0)),VLOOKUP($A26&amp;D$2,'2004'!$A$2:$K$1621,10,0),VLOOKUP($A26&amp;D$2,'2004'!$B$2:$K$1621,10,0))</f>
        <v>RMO</v>
      </c>
      <c r="E26" s="36" t="str">
        <f>IF(ISNA(VLOOKUP($A26&amp;E$2,'2004'!$B$2:$K$1621,10,0)),VLOOKUP($A26&amp;E$2,'2004'!$A$2:$K$1621,10,0),VLOOKUP($A26&amp;E$2,'2004'!$B$2:$K$1621,10,0))</f>
        <v>DIG</v>
      </c>
      <c r="F26" s="36" t="str">
        <f>IF(ISNA(VLOOKUP($A26&amp;F$2,'2004'!$B$2:$K$1621,10,0)),VLOOKUP($A26&amp;F$2,'2004'!$A$2:$K$1621,10,0),VLOOKUP($A26&amp;F$2,'2004'!$B$2:$K$1621,10,0))</f>
        <v>NNN</v>
      </c>
      <c r="G26" s="35" t="str">
        <f>IF(ISNA(VLOOKUP($A26&amp;G$2,'2004'!$B$2:$K$1621,10,0)),VLOOKUP($A26&amp;G$2,'2004'!$A$2:$K$1621,10,0),VLOOKUP($A26&amp;G$2,'2004'!$B$2:$K$1621,10,0))</f>
        <v>CBB</v>
      </c>
      <c r="H26" s="35" t="str">
        <f>IF(ISNA(VLOOKUP($A26&amp;H$2,'2004'!$B$2:$K$1621,10,0)),VLOOKUP($A26&amp;H$2,'2004'!$A$2:$K$1621,10,0),VLOOKUP($A26&amp;H$2,'2004'!$B$2:$K$1621,10,0))</f>
        <v>BRK</v>
      </c>
      <c r="I26" s="35" t="str">
        <f>IF(ISNA(VLOOKUP($A26&amp;I$2,'2004'!$B$2:$K$1621,10,0)),VLOOKUP($A26&amp;I$2,'2004'!$A$2:$K$1621,10,0),VLOOKUP($A26&amp;I$2,'2004'!$B$2:$K$1621,10,0))</f>
        <v>PHI</v>
      </c>
      <c r="J26" s="35" t="str">
        <f>IF(ISNA(VLOOKUP($A26&amp;J$2,'2004'!$B$2:$K$1621,10,0)),VLOOKUP($A26&amp;J$2,'2004'!$A$2:$K$1621,10,0),VLOOKUP($A26&amp;J$2,'2004'!$B$2:$K$1621,10,0))</f>
        <v>NYD</v>
      </c>
      <c r="K26" s="35" t="str">
        <f>IF(ISNA(VLOOKUP($A26&amp;K$2,'2004'!$B$2:$K$1621,10,0)),VLOOKUP($A26&amp;K$2,'2004'!$A$2:$K$1621,10,0),VLOOKUP($A26&amp;K$2,'2004'!$B$2:$K$1621,10,0))</f>
        <v>HAR</v>
      </c>
      <c r="L26" s="34" t="str">
        <f>IF(ISNA(VLOOKUP($A26&amp;L$2,'2004'!$B$2:$K$1621,10,0)),VLOOKUP($A26&amp;L$2,'2004'!$A$2:$K$1621,10,0),VLOOKUP($A26&amp;L$2,'2004'!$B$2:$K$1621,10,0))</f>
        <v>@CIN</v>
      </c>
      <c r="M26" s="34" t="str">
        <f>IF(ISNA(VLOOKUP($A26&amp;M$2,'2004'!$B$2:$K$1621,10,0)),VLOOKUP($A26&amp;M$2,'2004'!$A$2:$K$1621,10,0),VLOOKUP($A26&amp;M$2,'2004'!$B$2:$K$1621,10,0))</f>
        <v>@BBG</v>
      </c>
      <c r="N26" s="34" t="str">
        <f>IF(ISNA(VLOOKUP($A26&amp;N$2,'2004'!$B$2:$K$1621,10,0)),VLOOKUP($A26&amp;N$2,'2004'!$A$2:$K$1621,10,0),VLOOKUP($A26&amp;N$2,'2004'!$B$2:$K$1621,10,0))</f>
        <v>@GAR</v>
      </c>
      <c r="O26" s="34" t="str">
        <f>IF(ISNA(VLOOKUP($A26&amp;O$2,'2004'!$B$2:$K$1621,10,0)),VLOOKUP($A26&amp;O$2,'2004'!$A$2:$K$1621,10,0),VLOOKUP($A26&amp;O$2,'2004'!$B$2:$K$1621,10,0))</f>
        <v>@BAR</v>
      </c>
      <c r="P26" s="34" t="str">
        <f>IF(ISNA(VLOOKUP($A26&amp;P$2,'2004'!$B$2:$K$1621,10,0)),VLOOKUP($A26&amp;P$2,'2004'!$A$2:$K$1621,10,0),VLOOKUP($A26&amp;P$2,'2004'!$B$2:$K$1621,10,0))</f>
        <v>@CTW</v>
      </c>
      <c r="Q26" s="38" t="str">
        <f>IF(ISNA(VLOOKUP($A26&amp;Q$2,'2004'!$B$2:$K$1621,10,0)),VLOOKUP($A26&amp;Q$2,'2004'!$A$2:$K$1621,10,0),VLOOKUP($A26&amp;Q$2,'2004'!$B$2:$K$1621,10,0))</f>
        <v>@FDH</v>
      </c>
      <c r="R26" s="38" t="str">
        <f>IF(ISNA(VLOOKUP($A26&amp;R$2,'2004'!$B$2:$K$1621,10,0)),VLOOKUP($A26&amp;R$2,'2004'!$A$2:$K$1621,10,0),VLOOKUP($A26&amp;R$2,'2004'!$B$2:$K$1621,10,0))</f>
        <v>@CEN</v>
      </c>
      <c r="S26" s="38" t="str">
        <f>IF(ISNA(VLOOKUP($A26&amp;S$2,'2004'!$B$2:$K$1621,10,0)),VLOOKUP($A26&amp;S$2,'2004'!$A$2:$K$1621,10,0),VLOOKUP($A26&amp;S$2,'2004'!$B$2:$K$1621,10,0))</f>
        <v>@TEW</v>
      </c>
      <c r="T26" s="38" t="str">
        <f>IF(ISNA(VLOOKUP($A26&amp;T$2,'2004'!$B$2:$K$1621,10,0)),VLOOKUP($A26&amp;T$2,'2004'!$A$2:$K$1621,10,0),VLOOKUP($A26&amp;T$2,'2004'!$B$2:$K$1621,10,0))</f>
        <v>@REN</v>
      </c>
      <c r="U26" s="38" t="str">
        <f>IF(ISNA(VLOOKUP($A26&amp;U$2,'2004'!$B$2:$K$1621,10,0)),VLOOKUP($A26&amp;U$2,'2004'!$A$2:$K$1621,10,0),VLOOKUP($A26&amp;U$2,'2004'!$B$2:$K$1621,10,0))</f>
        <v>@NEP</v>
      </c>
    </row>
    <row r="27" spans="1:21" x14ac:dyDescent="0.25">
      <c r="A27" s="40">
        <f t="shared" si="0"/>
        <v>38104</v>
      </c>
      <c r="B27" s="36" t="str">
        <f>IF(ISNA(VLOOKUP($A27&amp;B$2,'2004'!$B$2:$K$1621,10,0)),VLOOKUP($A27&amp;B$2,'2004'!$A$2:$K$1621,10,0),VLOOKUP($A27&amp;B$2,'2004'!$B$2:$K$1621,10,0))</f>
        <v>FFR</v>
      </c>
      <c r="C27" s="36" t="str">
        <f>IF(ISNA(VLOOKUP($A27&amp;C$2,'2004'!$B$2:$K$1621,10,0)),VLOOKUP($A27&amp;C$2,'2004'!$A$2:$K$1621,10,0),VLOOKUP($A27&amp;C$2,'2004'!$B$2:$K$1621,10,0))</f>
        <v>OKO</v>
      </c>
      <c r="D27" s="36" t="str">
        <f>IF(ISNA(VLOOKUP($A27&amp;D$2,'2004'!$B$2:$K$1621,10,0)),VLOOKUP($A27&amp;D$2,'2004'!$A$2:$K$1621,10,0),VLOOKUP($A27&amp;D$2,'2004'!$B$2:$K$1621,10,0))</f>
        <v>RMO</v>
      </c>
      <c r="E27" s="36" t="str">
        <f>IF(ISNA(VLOOKUP($A27&amp;E$2,'2004'!$B$2:$K$1621,10,0)),VLOOKUP($A27&amp;E$2,'2004'!$A$2:$K$1621,10,0),VLOOKUP($A27&amp;E$2,'2004'!$B$2:$K$1621,10,0))</f>
        <v>DIG</v>
      </c>
      <c r="F27" s="36" t="str">
        <f>IF(ISNA(VLOOKUP($A27&amp;F$2,'2004'!$B$2:$K$1621,10,0)),VLOOKUP($A27&amp;F$2,'2004'!$A$2:$K$1621,10,0),VLOOKUP($A27&amp;F$2,'2004'!$B$2:$K$1621,10,0))</f>
        <v>NNN</v>
      </c>
      <c r="G27" s="35" t="str">
        <f>IF(ISNA(VLOOKUP($A27&amp;G$2,'2004'!$B$2:$K$1621,10,0)),VLOOKUP($A27&amp;G$2,'2004'!$A$2:$K$1621,10,0),VLOOKUP($A27&amp;G$2,'2004'!$B$2:$K$1621,10,0))</f>
        <v>CBB</v>
      </c>
      <c r="H27" s="35" t="str">
        <f>IF(ISNA(VLOOKUP($A27&amp;H$2,'2004'!$B$2:$K$1621,10,0)),VLOOKUP($A27&amp;H$2,'2004'!$A$2:$K$1621,10,0),VLOOKUP($A27&amp;H$2,'2004'!$B$2:$K$1621,10,0))</f>
        <v>BRK</v>
      </c>
      <c r="I27" s="35" t="str">
        <f>IF(ISNA(VLOOKUP($A27&amp;I$2,'2004'!$B$2:$K$1621,10,0)),VLOOKUP($A27&amp;I$2,'2004'!$A$2:$K$1621,10,0),VLOOKUP($A27&amp;I$2,'2004'!$B$2:$K$1621,10,0))</f>
        <v>PHI</v>
      </c>
      <c r="J27" s="35" t="str">
        <f>IF(ISNA(VLOOKUP($A27&amp;J$2,'2004'!$B$2:$K$1621,10,0)),VLOOKUP($A27&amp;J$2,'2004'!$A$2:$K$1621,10,0),VLOOKUP($A27&amp;J$2,'2004'!$B$2:$K$1621,10,0))</f>
        <v>NYD</v>
      </c>
      <c r="K27" s="35" t="str">
        <f>IF(ISNA(VLOOKUP($A27&amp;K$2,'2004'!$B$2:$K$1621,10,0)),VLOOKUP($A27&amp;K$2,'2004'!$A$2:$K$1621,10,0),VLOOKUP($A27&amp;K$2,'2004'!$B$2:$K$1621,10,0))</f>
        <v>HAR</v>
      </c>
      <c r="L27" s="34" t="str">
        <f>IF(ISNA(VLOOKUP($A27&amp;L$2,'2004'!$B$2:$K$1621,10,0)),VLOOKUP($A27&amp;L$2,'2004'!$A$2:$K$1621,10,0),VLOOKUP($A27&amp;L$2,'2004'!$B$2:$K$1621,10,0))</f>
        <v>@CIN</v>
      </c>
      <c r="M27" s="34" t="str">
        <f>IF(ISNA(VLOOKUP($A27&amp;M$2,'2004'!$B$2:$K$1621,10,0)),VLOOKUP($A27&amp;M$2,'2004'!$A$2:$K$1621,10,0),VLOOKUP($A27&amp;M$2,'2004'!$B$2:$K$1621,10,0))</f>
        <v>@BBG</v>
      </c>
      <c r="N27" s="34" t="str">
        <f>IF(ISNA(VLOOKUP($A27&amp;N$2,'2004'!$B$2:$K$1621,10,0)),VLOOKUP($A27&amp;N$2,'2004'!$A$2:$K$1621,10,0),VLOOKUP($A27&amp;N$2,'2004'!$B$2:$K$1621,10,0))</f>
        <v>@GAR</v>
      </c>
      <c r="O27" s="34" t="str">
        <f>IF(ISNA(VLOOKUP($A27&amp;O$2,'2004'!$B$2:$K$1621,10,0)),VLOOKUP($A27&amp;O$2,'2004'!$A$2:$K$1621,10,0),VLOOKUP($A27&amp;O$2,'2004'!$B$2:$K$1621,10,0))</f>
        <v>@BAR</v>
      </c>
      <c r="P27" s="34" t="str">
        <f>IF(ISNA(VLOOKUP($A27&amp;P$2,'2004'!$B$2:$K$1621,10,0)),VLOOKUP($A27&amp;P$2,'2004'!$A$2:$K$1621,10,0),VLOOKUP($A27&amp;P$2,'2004'!$B$2:$K$1621,10,0))</f>
        <v>@CTW</v>
      </c>
      <c r="Q27" s="38" t="str">
        <f>IF(ISNA(VLOOKUP($A27&amp;Q$2,'2004'!$B$2:$K$1621,10,0)),VLOOKUP($A27&amp;Q$2,'2004'!$A$2:$K$1621,10,0),VLOOKUP($A27&amp;Q$2,'2004'!$B$2:$K$1621,10,0))</f>
        <v>@FDH</v>
      </c>
      <c r="R27" s="38" t="str">
        <f>IF(ISNA(VLOOKUP($A27&amp;R$2,'2004'!$B$2:$K$1621,10,0)),VLOOKUP($A27&amp;R$2,'2004'!$A$2:$K$1621,10,0),VLOOKUP($A27&amp;R$2,'2004'!$B$2:$K$1621,10,0))</f>
        <v>@CEN</v>
      </c>
      <c r="S27" s="38" t="str">
        <f>IF(ISNA(VLOOKUP($A27&amp;S$2,'2004'!$B$2:$K$1621,10,0)),VLOOKUP($A27&amp;S$2,'2004'!$A$2:$K$1621,10,0),VLOOKUP($A27&amp;S$2,'2004'!$B$2:$K$1621,10,0))</f>
        <v>@TEW</v>
      </c>
      <c r="T27" s="38" t="str">
        <f>IF(ISNA(VLOOKUP($A27&amp;T$2,'2004'!$B$2:$K$1621,10,0)),VLOOKUP($A27&amp;T$2,'2004'!$A$2:$K$1621,10,0),VLOOKUP($A27&amp;T$2,'2004'!$B$2:$K$1621,10,0))</f>
        <v>@REN</v>
      </c>
      <c r="U27" s="38" t="str">
        <f>IF(ISNA(VLOOKUP($A27&amp;U$2,'2004'!$B$2:$K$1621,10,0)),VLOOKUP($A27&amp;U$2,'2004'!$A$2:$K$1621,10,0),VLOOKUP($A27&amp;U$2,'2004'!$B$2:$K$1621,10,0))</f>
        <v>@NEP</v>
      </c>
    </row>
    <row r="28" spans="1:21" x14ac:dyDescent="0.25">
      <c r="A28" s="40">
        <f t="shared" si="0"/>
        <v>38105</v>
      </c>
      <c r="B28" s="36" t="str">
        <f>IF(ISNA(VLOOKUP($A28&amp;B$2,'2004'!$B$2:$K$1621,10,0)),VLOOKUP($A28&amp;B$2,'2004'!$A$2:$K$1621,10,0),VLOOKUP($A28&amp;B$2,'2004'!$B$2:$K$1621,10,0))</f>
        <v>FFR</v>
      </c>
      <c r="C28" s="36" t="str">
        <f>IF(ISNA(VLOOKUP($A28&amp;C$2,'2004'!$B$2:$K$1621,10,0)),VLOOKUP($A28&amp;C$2,'2004'!$A$2:$K$1621,10,0),VLOOKUP($A28&amp;C$2,'2004'!$B$2:$K$1621,10,0))</f>
        <v>OKO</v>
      </c>
      <c r="D28" s="36" t="str">
        <f>IF(ISNA(VLOOKUP($A28&amp;D$2,'2004'!$B$2:$K$1621,10,0)),VLOOKUP($A28&amp;D$2,'2004'!$A$2:$K$1621,10,0),VLOOKUP($A28&amp;D$2,'2004'!$B$2:$K$1621,10,0))</f>
        <v>RMO</v>
      </c>
      <c r="E28" s="36" t="str">
        <f>IF(ISNA(VLOOKUP($A28&amp;E$2,'2004'!$B$2:$K$1621,10,0)),VLOOKUP($A28&amp;E$2,'2004'!$A$2:$K$1621,10,0),VLOOKUP($A28&amp;E$2,'2004'!$B$2:$K$1621,10,0))</f>
        <v>DIG</v>
      </c>
      <c r="F28" s="36" t="str">
        <f>IF(ISNA(VLOOKUP($A28&amp;F$2,'2004'!$B$2:$K$1621,10,0)),VLOOKUP($A28&amp;F$2,'2004'!$A$2:$K$1621,10,0),VLOOKUP($A28&amp;F$2,'2004'!$B$2:$K$1621,10,0))</f>
        <v>NNN</v>
      </c>
      <c r="G28" s="35" t="str">
        <f>IF(ISNA(VLOOKUP($A28&amp;G$2,'2004'!$B$2:$K$1621,10,0)),VLOOKUP($A28&amp;G$2,'2004'!$A$2:$K$1621,10,0),VLOOKUP($A28&amp;G$2,'2004'!$B$2:$K$1621,10,0))</f>
        <v>CBB</v>
      </c>
      <c r="H28" s="35" t="str">
        <f>IF(ISNA(VLOOKUP($A28&amp;H$2,'2004'!$B$2:$K$1621,10,0)),VLOOKUP($A28&amp;H$2,'2004'!$A$2:$K$1621,10,0),VLOOKUP($A28&amp;H$2,'2004'!$B$2:$K$1621,10,0))</f>
        <v>BRK</v>
      </c>
      <c r="I28" s="35" t="str">
        <f>IF(ISNA(VLOOKUP($A28&amp;I$2,'2004'!$B$2:$K$1621,10,0)),VLOOKUP($A28&amp;I$2,'2004'!$A$2:$K$1621,10,0),VLOOKUP($A28&amp;I$2,'2004'!$B$2:$K$1621,10,0))</f>
        <v>PHI</v>
      </c>
      <c r="J28" s="35" t="str">
        <f>IF(ISNA(VLOOKUP($A28&amp;J$2,'2004'!$B$2:$K$1621,10,0)),VLOOKUP($A28&amp;J$2,'2004'!$A$2:$K$1621,10,0),VLOOKUP($A28&amp;J$2,'2004'!$B$2:$K$1621,10,0))</f>
        <v>NYD</v>
      </c>
      <c r="K28" s="35" t="str">
        <f>IF(ISNA(VLOOKUP($A28&amp;K$2,'2004'!$B$2:$K$1621,10,0)),VLOOKUP($A28&amp;K$2,'2004'!$A$2:$K$1621,10,0),VLOOKUP($A28&amp;K$2,'2004'!$B$2:$K$1621,10,0))</f>
        <v>HAR</v>
      </c>
      <c r="L28" s="34" t="str">
        <f>IF(ISNA(VLOOKUP($A28&amp;L$2,'2004'!$B$2:$K$1621,10,0)),VLOOKUP($A28&amp;L$2,'2004'!$A$2:$K$1621,10,0),VLOOKUP($A28&amp;L$2,'2004'!$B$2:$K$1621,10,0))</f>
        <v>@CIN</v>
      </c>
      <c r="M28" s="34" t="str">
        <f>IF(ISNA(VLOOKUP($A28&amp;M$2,'2004'!$B$2:$K$1621,10,0)),VLOOKUP($A28&amp;M$2,'2004'!$A$2:$K$1621,10,0),VLOOKUP($A28&amp;M$2,'2004'!$B$2:$K$1621,10,0))</f>
        <v>@BBG</v>
      </c>
      <c r="N28" s="34" t="str">
        <f>IF(ISNA(VLOOKUP($A28&amp;N$2,'2004'!$B$2:$K$1621,10,0)),VLOOKUP($A28&amp;N$2,'2004'!$A$2:$K$1621,10,0),VLOOKUP($A28&amp;N$2,'2004'!$B$2:$K$1621,10,0))</f>
        <v>@GAR</v>
      </c>
      <c r="O28" s="34" t="str">
        <f>IF(ISNA(VLOOKUP($A28&amp;O$2,'2004'!$B$2:$K$1621,10,0)),VLOOKUP($A28&amp;O$2,'2004'!$A$2:$K$1621,10,0),VLOOKUP($A28&amp;O$2,'2004'!$B$2:$K$1621,10,0))</f>
        <v>@BAR</v>
      </c>
      <c r="P28" s="34" t="str">
        <f>IF(ISNA(VLOOKUP($A28&amp;P$2,'2004'!$B$2:$K$1621,10,0)),VLOOKUP($A28&amp;P$2,'2004'!$A$2:$K$1621,10,0),VLOOKUP($A28&amp;P$2,'2004'!$B$2:$K$1621,10,0))</f>
        <v>@CTW</v>
      </c>
      <c r="Q28" s="38" t="str">
        <f>IF(ISNA(VLOOKUP($A28&amp;Q$2,'2004'!$B$2:$K$1621,10,0)),VLOOKUP($A28&amp;Q$2,'2004'!$A$2:$K$1621,10,0),VLOOKUP($A28&amp;Q$2,'2004'!$B$2:$K$1621,10,0))</f>
        <v>@FDH</v>
      </c>
      <c r="R28" s="38" t="str">
        <f>IF(ISNA(VLOOKUP($A28&amp;R$2,'2004'!$B$2:$K$1621,10,0)),VLOOKUP($A28&amp;R$2,'2004'!$A$2:$K$1621,10,0),VLOOKUP($A28&amp;R$2,'2004'!$B$2:$K$1621,10,0))</f>
        <v>@CEN</v>
      </c>
      <c r="S28" s="38" t="str">
        <f>IF(ISNA(VLOOKUP($A28&amp;S$2,'2004'!$B$2:$K$1621,10,0)),VLOOKUP($A28&amp;S$2,'2004'!$A$2:$K$1621,10,0),VLOOKUP($A28&amp;S$2,'2004'!$B$2:$K$1621,10,0))</f>
        <v>@TEW</v>
      </c>
      <c r="T28" s="38" t="str">
        <f>IF(ISNA(VLOOKUP($A28&amp;T$2,'2004'!$B$2:$K$1621,10,0)),VLOOKUP($A28&amp;T$2,'2004'!$A$2:$K$1621,10,0),VLOOKUP($A28&amp;T$2,'2004'!$B$2:$K$1621,10,0))</f>
        <v>@REN</v>
      </c>
      <c r="U28" s="38" t="str">
        <f>IF(ISNA(VLOOKUP($A28&amp;U$2,'2004'!$B$2:$K$1621,10,0)),VLOOKUP($A28&amp;U$2,'2004'!$A$2:$K$1621,10,0),VLOOKUP($A28&amp;U$2,'2004'!$B$2:$K$1621,10,0))</f>
        <v>@NEP</v>
      </c>
    </row>
    <row r="29" spans="1:21" x14ac:dyDescent="0.25">
      <c r="A29" s="40">
        <f t="shared" si="0"/>
        <v>38106</v>
      </c>
      <c r="B29" s="36" t="str">
        <f>IF(ISNA(VLOOKUP($A29&amp;B$2,'2004'!$B$2:$K$1621,10,0)),VLOOKUP($A29&amp;B$2,'2004'!$A$2:$K$1621,10,0),VLOOKUP($A29&amp;B$2,'2004'!$B$2:$K$1621,10,0))</f>
        <v>FFR</v>
      </c>
      <c r="C29" s="36" t="str">
        <f>IF(ISNA(VLOOKUP($A29&amp;C$2,'2004'!$B$2:$K$1621,10,0)),VLOOKUP($A29&amp;C$2,'2004'!$A$2:$K$1621,10,0),VLOOKUP($A29&amp;C$2,'2004'!$B$2:$K$1621,10,0))</f>
        <v>OKO</v>
      </c>
      <c r="D29" s="36" t="str">
        <f>IF(ISNA(VLOOKUP($A29&amp;D$2,'2004'!$B$2:$K$1621,10,0)),VLOOKUP($A29&amp;D$2,'2004'!$A$2:$K$1621,10,0),VLOOKUP($A29&amp;D$2,'2004'!$B$2:$K$1621,10,0))</f>
        <v>RMO</v>
      </c>
      <c r="E29" s="36" t="str">
        <f>IF(ISNA(VLOOKUP($A29&amp;E$2,'2004'!$B$2:$K$1621,10,0)),VLOOKUP($A29&amp;E$2,'2004'!$A$2:$K$1621,10,0),VLOOKUP($A29&amp;E$2,'2004'!$B$2:$K$1621,10,0))</f>
        <v>DIG</v>
      </c>
      <c r="F29" s="36" t="str">
        <f>IF(ISNA(VLOOKUP($A29&amp;F$2,'2004'!$B$2:$K$1621,10,0)),VLOOKUP($A29&amp;F$2,'2004'!$A$2:$K$1621,10,0),VLOOKUP($A29&amp;F$2,'2004'!$B$2:$K$1621,10,0))</f>
        <v>NNN</v>
      </c>
      <c r="G29" s="35" t="str">
        <f>IF(ISNA(VLOOKUP($A29&amp;G$2,'2004'!$B$2:$K$1621,10,0)),VLOOKUP($A29&amp;G$2,'2004'!$A$2:$K$1621,10,0),VLOOKUP($A29&amp;G$2,'2004'!$B$2:$K$1621,10,0))</f>
        <v>CBB</v>
      </c>
      <c r="H29" s="35" t="str">
        <f>IF(ISNA(VLOOKUP($A29&amp;H$2,'2004'!$B$2:$K$1621,10,0)),VLOOKUP($A29&amp;H$2,'2004'!$A$2:$K$1621,10,0),VLOOKUP($A29&amp;H$2,'2004'!$B$2:$K$1621,10,0))</f>
        <v>BRK</v>
      </c>
      <c r="I29" s="35" t="str">
        <f>IF(ISNA(VLOOKUP($A29&amp;I$2,'2004'!$B$2:$K$1621,10,0)),VLOOKUP($A29&amp;I$2,'2004'!$A$2:$K$1621,10,0),VLOOKUP($A29&amp;I$2,'2004'!$B$2:$K$1621,10,0))</f>
        <v>PHI</v>
      </c>
      <c r="J29" s="35" t="str">
        <f>IF(ISNA(VLOOKUP($A29&amp;J$2,'2004'!$B$2:$K$1621,10,0)),VLOOKUP($A29&amp;J$2,'2004'!$A$2:$K$1621,10,0),VLOOKUP($A29&amp;J$2,'2004'!$B$2:$K$1621,10,0))</f>
        <v>NYD</v>
      </c>
      <c r="K29" s="35" t="str">
        <f>IF(ISNA(VLOOKUP($A29&amp;K$2,'2004'!$B$2:$K$1621,10,0)),VLOOKUP($A29&amp;K$2,'2004'!$A$2:$K$1621,10,0),VLOOKUP($A29&amp;K$2,'2004'!$B$2:$K$1621,10,0))</f>
        <v>HAR</v>
      </c>
      <c r="L29" s="34" t="str">
        <f>IF(ISNA(VLOOKUP($A29&amp;L$2,'2004'!$B$2:$K$1621,10,0)),VLOOKUP($A29&amp;L$2,'2004'!$A$2:$K$1621,10,0),VLOOKUP($A29&amp;L$2,'2004'!$B$2:$K$1621,10,0))</f>
        <v>@CIN</v>
      </c>
      <c r="M29" s="34" t="str">
        <f>IF(ISNA(VLOOKUP($A29&amp;M$2,'2004'!$B$2:$K$1621,10,0)),VLOOKUP($A29&amp;M$2,'2004'!$A$2:$K$1621,10,0),VLOOKUP($A29&amp;M$2,'2004'!$B$2:$K$1621,10,0))</f>
        <v>@BBG</v>
      </c>
      <c r="N29" s="34" t="str">
        <f>IF(ISNA(VLOOKUP($A29&amp;N$2,'2004'!$B$2:$K$1621,10,0)),VLOOKUP($A29&amp;N$2,'2004'!$A$2:$K$1621,10,0),VLOOKUP($A29&amp;N$2,'2004'!$B$2:$K$1621,10,0))</f>
        <v>@GAR</v>
      </c>
      <c r="O29" s="34" t="str">
        <f>IF(ISNA(VLOOKUP($A29&amp;O$2,'2004'!$B$2:$K$1621,10,0)),VLOOKUP($A29&amp;O$2,'2004'!$A$2:$K$1621,10,0),VLOOKUP($A29&amp;O$2,'2004'!$B$2:$K$1621,10,0))</f>
        <v>@BAR</v>
      </c>
      <c r="P29" s="34" t="str">
        <f>IF(ISNA(VLOOKUP($A29&amp;P$2,'2004'!$B$2:$K$1621,10,0)),VLOOKUP($A29&amp;P$2,'2004'!$A$2:$K$1621,10,0),VLOOKUP($A29&amp;P$2,'2004'!$B$2:$K$1621,10,0))</f>
        <v>@CTW</v>
      </c>
      <c r="Q29" s="38" t="str">
        <f>IF(ISNA(VLOOKUP($A29&amp;Q$2,'2004'!$B$2:$K$1621,10,0)),VLOOKUP($A29&amp;Q$2,'2004'!$A$2:$K$1621,10,0),VLOOKUP($A29&amp;Q$2,'2004'!$B$2:$K$1621,10,0))</f>
        <v>@FDH</v>
      </c>
      <c r="R29" s="38" t="str">
        <f>IF(ISNA(VLOOKUP($A29&amp;R$2,'2004'!$B$2:$K$1621,10,0)),VLOOKUP($A29&amp;R$2,'2004'!$A$2:$K$1621,10,0),VLOOKUP($A29&amp;R$2,'2004'!$B$2:$K$1621,10,0))</f>
        <v>@CEN</v>
      </c>
      <c r="S29" s="38" t="str">
        <f>IF(ISNA(VLOOKUP($A29&amp;S$2,'2004'!$B$2:$K$1621,10,0)),VLOOKUP($A29&amp;S$2,'2004'!$A$2:$K$1621,10,0),VLOOKUP($A29&amp;S$2,'2004'!$B$2:$K$1621,10,0))</f>
        <v>@TEW</v>
      </c>
      <c r="T29" s="38" t="str">
        <f>IF(ISNA(VLOOKUP($A29&amp;T$2,'2004'!$B$2:$K$1621,10,0)),VLOOKUP($A29&amp;T$2,'2004'!$A$2:$K$1621,10,0),VLOOKUP($A29&amp;T$2,'2004'!$B$2:$K$1621,10,0))</f>
        <v>@REN</v>
      </c>
      <c r="U29" s="38" t="str">
        <f>IF(ISNA(VLOOKUP($A29&amp;U$2,'2004'!$B$2:$K$1621,10,0)),VLOOKUP($A29&amp;U$2,'2004'!$A$2:$K$1621,10,0),VLOOKUP($A29&amp;U$2,'2004'!$B$2:$K$1621,10,0))</f>
        <v>@NEP</v>
      </c>
    </row>
    <row r="30" spans="1:21" x14ac:dyDescent="0.25">
      <c r="A30" s="40">
        <f t="shared" si="0"/>
        <v>38107</v>
      </c>
      <c r="B30" s="36" t="str">
        <f>IF(ISNA(VLOOKUP($A30&amp;B$2,'2004'!$B$2:$K$1621,10,0)),VLOOKUP($A30&amp;B$2,'2004'!$A$2:$K$1621,10,0),VLOOKUP($A30&amp;B$2,'2004'!$B$2:$K$1621,10,0))</f>
        <v>@NYD</v>
      </c>
      <c r="C30" s="36" t="str">
        <f>IF(ISNA(VLOOKUP($A30&amp;C$2,'2004'!$B$2:$K$1621,10,0)),VLOOKUP($A30&amp;C$2,'2004'!$A$2:$K$1621,10,0),VLOOKUP($A30&amp;C$2,'2004'!$B$2:$K$1621,10,0))</f>
        <v>@BRK</v>
      </c>
      <c r="D30" s="36" t="str">
        <f>IF(ISNA(VLOOKUP($A30&amp;D$2,'2004'!$B$2:$K$1621,10,0)),VLOOKUP($A30&amp;D$2,'2004'!$A$2:$K$1621,10,0),VLOOKUP($A30&amp;D$2,'2004'!$B$2:$K$1621,10,0))</f>
        <v>@HAR</v>
      </c>
      <c r="E30" s="36" t="str">
        <f>IF(ISNA(VLOOKUP($A30&amp;E$2,'2004'!$B$2:$K$1621,10,0)),VLOOKUP($A30&amp;E$2,'2004'!$A$2:$K$1621,10,0),VLOOKUP($A30&amp;E$2,'2004'!$B$2:$K$1621,10,0))</f>
        <v>@PHI</v>
      </c>
      <c r="F30" s="36" t="str">
        <f>IF(ISNA(VLOOKUP($A30&amp;F$2,'2004'!$B$2:$K$1621,10,0)),VLOOKUP($A30&amp;F$2,'2004'!$A$2:$K$1621,10,0),VLOOKUP($A30&amp;F$2,'2004'!$B$2:$K$1621,10,0))</f>
        <v>@CBB</v>
      </c>
      <c r="G30" s="35" t="str">
        <f>IF(ISNA(VLOOKUP($A30&amp;G$2,'2004'!$B$2:$K$1621,10,0)),VLOOKUP($A30&amp;G$2,'2004'!$A$2:$K$1621,10,0),VLOOKUP($A30&amp;G$2,'2004'!$B$2:$K$1621,10,0))</f>
        <v>@DIG</v>
      </c>
      <c r="H30" s="35" t="str">
        <f>IF(ISNA(VLOOKUP($A30&amp;H$2,'2004'!$B$2:$K$1621,10,0)),VLOOKUP($A30&amp;H$2,'2004'!$A$2:$K$1621,10,0),VLOOKUP($A30&amp;H$2,'2004'!$B$2:$K$1621,10,0))</f>
        <v>@RMO</v>
      </c>
      <c r="I30" s="35" t="str">
        <f>IF(ISNA(VLOOKUP($A30&amp;I$2,'2004'!$B$2:$K$1621,10,0)),VLOOKUP($A30&amp;I$2,'2004'!$A$2:$K$1621,10,0),VLOOKUP($A30&amp;I$2,'2004'!$B$2:$K$1621,10,0))</f>
        <v>@FFR</v>
      </c>
      <c r="J30" s="35" t="str">
        <f>IF(ISNA(VLOOKUP($A30&amp;J$2,'2004'!$B$2:$K$1621,10,0)),VLOOKUP($A30&amp;J$2,'2004'!$A$2:$K$1621,10,0),VLOOKUP($A30&amp;J$2,'2004'!$B$2:$K$1621,10,0))</f>
        <v>@OKO</v>
      </c>
      <c r="K30" s="35" t="str">
        <f>IF(ISNA(VLOOKUP($A30&amp;K$2,'2004'!$B$2:$K$1621,10,0)),VLOOKUP($A30&amp;K$2,'2004'!$A$2:$K$1621,10,0),VLOOKUP($A30&amp;K$2,'2004'!$B$2:$K$1621,10,0))</f>
        <v>@NNN</v>
      </c>
      <c r="L30" s="34" t="str">
        <f>IF(ISNA(VLOOKUP($A30&amp;L$2,'2004'!$B$2:$K$1621,10,0)),VLOOKUP($A30&amp;L$2,'2004'!$A$2:$K$1621,10,0),VLOOKUP($A30&amp;L$2,'2004'!$B$2:$K$1621,10,0))</f>
        <v>CEN</v>
      </c>
      <c r="M30" s="34" t="str">
        <f>IF(ISNA(VLOOKUP($A30&amp;M$2,'2004'!$B$2:$K$1621,10,0)),VLOOKUP($A30&amp;M$2,'2004'!$A$2:$K$1621,10,0),VLOOKUP($A30&amp;M$2,'2004'!$B$2:$K$1621,10,0))</f>
        <v>NEP</v>
      </c>
      <c r="N30" s="34" t="str">
        <f>IF(ISNA(VLOOKUP($A30&amp;N$2,'2004'!$B$2:$K$1621,10,0)),VLOOKUP($A30&amp;N$2,'2004'!$A$2:$K$1621,10,0),VLOOKUP($A30&amp;N$2,'2004'!$B$2:$K$1621,10,0))</f>
        <v>TEW</v>
      </c>
      <c r="O30" s="34" t="str">
        <f>IF(ISNA(VLOOKUP($A30&amp;O$2,'2004'!$B$2:$K$1621,10,0)),VLOOKUP($A30&amp;O$2,'2004'!$A$2:$K$1621,10,0),VLOOKUP($A30&amp;O$2,'2004'!$B$2:$K$1621,10,0))</f>
        <v>REN</v>
      </c>
      <c r="P30" s="34" t="str">
        <f>IF(ISNA(VLOOKUP($A30&amp;P$2,'2004'!$B$2:$K$1621,10,0)),VLOOKUP($A30&amp;P$2,'2004'!$A$2:$K$1621,10,0),VLOOKUP($A30&amp;P$2,'2004'!$B$2:$K$1621,10,0))</f>
        <v>FDH</v>
      </c>
      <c r="Q30" s="38" t="str">
        <f>IF(ISNA(VLOOKUP($A30&amp;Q$2,'2004'!$B$2:$K$1621,10,0)),VLOOKUP($A30&amp;Q$2,'2004'!$A$2:$K$1621,10,0),VLOOKUP($A30&amp;Q$2,'2004'!$B$2:$K$1621,10,0))</f>
        <v>BAR</v>
      </c>
      <c r="R30" s="38" t="str">
        <f>IF(ISNA(VLOOKUP($A30&amp;R$2,'2004'!$B$2:$K$1621,10,0)),VLOOKUP($A30&amp;R$2,'2004'!$A$2:$K$1621,10,0),VLOOKUP($A30&amp;R$2,'2004'!$B$2:$K$1621,10,0))</f>
        <v>GAR</v>
      </c>
      <c r="S30" s="38" t="str">
        <f>IF(ISNA(VLOOKUP($A30&amp;S$2,'2004'!$B$2:$K$1621,10,0)),VLOOKUP($A30&amp;S$2,'2004'!$A$2:$K$1621,10,0),VLOOKUP($A30&amp;S$2,'2004'!$B$2:$K$1621,10,0))</f>
        <v>CTW</v>
      </c>
      <c r="T30" s="38" t="str">
        <f>IF(ISNA(VLOOKUP($A30&amp;T$2,'2004'!$B$2:$K$1621,10,0)),VLOOKUP($A30&amp;T$2,'2004'!$A$2:$K$1621,10,0),VLOOKUP($A30&amp;T$2,'2004'!$B$2:$K$1621,10,0))</f>
        <v>BBG</v>
      </c>
      <c r="U30" s="38" t="str">
        <f>IF(ISNA(VLOOKUP($A30&amp;U$2,'2004'!$B$2:$K$1621,10,0)),VLOOKUP($A30&amp;U$2,'2004'!$A$2:$K$1621,10,0),VLOOKUP($A30&amp;U$2,'2004'!$B$2:$K$1621,10,0))</f>
        <v>CIN</v>
      </c>
    </row>
    <row r="31" spans="1:21" x14ac:dyDescent="0.25">
      <c r="A31" s="40">
        <f t="shared" si="0"/>
        <v>38108</v>
      </c>
      <c r="B31" s="36" t="str">
        <f>IF(ISNA(VLOOKUP($A31&amp;B$2,'2004'!$B$2:$K$1621,10,0)),VLOOKUP($A31&amp;B$2,'2004'!$A$2:$K$1621,10,0),VLOOKUP($A31&amp;B$2,'2004'!$B$2:$K$1621,10,0))</f>
        <v>@NYD</v>
      </c>
      <c r="C31" s="36" t="str">
        <f>IF(ISNA(VLOOKUP($A31&amp;C$2,'2004'!$B$2:$K$1621,10,0)),VLOOKUP($A31&amp;C$2,'2004'!$A$2:$K$1621,10,0),VLOOKUP($A31&amp;C$2,'2004'!$B$2:$K$1621,10,0))</f>
        <v>@BRK</v>
      </c>
      <c r="D31" s="36" t="str">
        <f>IF(ISNA(VLOOKUP($A31&amp;D$2,'2004'!$B$2:$K$1621,10,0)),VLOOKUP($A31&amp;D$2,'2004'!$A$2:$K$1621,10,0),VLOOKUP($A31&amp;D$2,'2004'!$B$2:$K$1621,10,0))</f>
        <v>@HAR</v>
      </c>
      <c r="E31" s="36" t="str">
        <f>IF(ISNA(VLOOKUP($A31&amp;E$2,'2004'!$B$2:$K$1621,10,0)),VLOOKUP($A31&amp;E$2,'2004'!$A$2:$K$1621,10,0),VLOOKUP($A31&amp;E$2,'2004'!$B$2:$K$1621,10,0))</f>
        <v>@PHI</v>
      </c>
      <c r="F31" s="36" t="str">
        <f>IF(ISNA(VLOOKUP($A31&amp;F$2,'2004'!$B$2:$K$1621,10,0)),VLOOKUP($A31&amp;F$2,'2004'!$A$2:$K$1621,10,0),VLOOKUP($A31&amp;F$2,'2004'!$B$2:$K$1621,10,0))</f>
        <v>@CBB</v>
      </c>
      <c r="G31" s="35" t="str">
        <f>IF(ISNA(VLOOKUP($A31&amp;G$2,'2004'!$B$2:$K$1621,10,0)),VLOOKUP($A31&amp;G$2,'2004'!$A$2:$K$1621,10,0),VLOOKUP($A31&amp;G$2,'2004'!$B$2:$K$1621,10,0))</f>
        <v>@DIG</v>
      </c>
      <c r="H31" s="35" t="str">
        <f>IF(ISNA(VLOOKUP($A31&amp;H$2,'2004'!$B$2:$K$1621,10,0)),VLOOKUP($A31&amp;H$2,'2004'!$A$2:$K$1621,10,0),VLOOKUP($A31&amp;H$2,'2004'!$B$2:$K$1621,10,0))</f>
        <v>@RMO</v>
      </c>
      <c r="I31" s="35" t="str">
        <f>IF(ISNA(VLOOKUP($A31&amp;I$2,'2004'!$B$2:$K$1621,10,0)),VLOOKUP($A31&amp;I$2,'2004'!$A$2:$K$1621,10,0),VLOOKUP($A31&amp;I$2,'2004'!$B$2:$K$1621,10,0))</f>
        <v>@FFR</v>
      </c>
      <c r="J31" s="35" t="str">
        <f>IF(ISNA(VLOOKUP($A31&amp;J$2,'2004'!$B$2:$K$1621,10,0)),VLOOKUP($A31&amp;J$2,'2004'!$A$2:$K$1621,10,0),VLOOKUP($A31&amp;J$2,'2004'!$B$2:$K$1621,10,0))</f>
        <v>@OKO</v>
      </c>
      <c r="K31" s="35" t="str">
        <f>IF(ISNA(VLOOKUP($A31&amp;K$2,'2004'!$B$2:$K$1621,10,0)),VLOOKUP($A31&amp;K$2,'2004'!$A$2:$K$1621,10,0),VLOOKUP($A31&amp;K$2,'2004'!$B$2:$K$1621,10,0))</f>
        <v>@NNN</v>
      </c>
      <c r="L31" s="34" t="str">
        <f>IF(ISNA(VLOOKUP($A31&amp;L$2,'2004'!$B$2:$K$1621,10,0)),VLOOKUP($A31&amp;L$2,'2004'!$A$2:$K$1621,10,0),VLOOKUP($A31&amp;L$2,'2004'!$B$2:$K$1621,10,0))</f>
        <v>CEN</v>
      </c>
      <c r="M31" s="34" t="str">
        <f>IF(ISNA(VLOOKUP($A31&amp;M$2,'2004'!$B$2:$K$1621,10,0)),VLOOKUP($A31&amp;M$2,'2004'!$A$2:$K$1621,10,0),VLOOKUP($A31&amp;M$2,'2004'!$B$2:$K$1621,10,0))</f>
        <v>NEP</v>
      </c>
      <c r="N31" s="34" t="str">
        <f>IF(ISNA(VLOOKUP($A31&amp;N$2,'2004'!$B$2:$K$1621,10,0)),VLOOKUP($A31&amp;N$2,'2004'!$A$2:$K$1621,10,0),VLOOKUP($A31&amp;N$2,'2004'!$B$2:$K$1621,10,0))</f>
        <v>TEW</v>
      </c>
      <c r="O31" s="34" t="str">
        <f>IF(ISNA(VLOOKUP($A31&amp;O$2,'2004'!$B$2:$K$1621,10,0)),VLOOKUP($A31&amp;O$2,'2004'!$A$2:$K$1621,10,0),VLOOKUP($A31&amp;O$2,'2004'!$B$2:$K$1621,10,0))</f>
        <v>REN</v>
      </c>
      <c r="P31" s="34" t="str">
        <f>IF(ISNA(VLOOKUP($A31&amp;P$2,'2004'!$B$2:$K$1621,10,0)),VLOOKUP($A31&amp;P$2,'2004'!$A$2:$K$1621,10,0),VLOOKUP($A31&amp;P$2,'2004'!$B$2:$K$1621,10,0))</f>
        <v>FDH</v>
      </c>
      <c r="Q31" s="38" t="str">
        <f>IF(ISNA(VLOOKUP($A31&amp;Q$2,'2004'!$B$2:$K$1621,10,0)),VLOOKUP($A31&amp;Q$2,'2004'!$A$2:$K$1621,10,0),VLOOKUP($A31&amp;Q$2,'2004'!$B$2:$K$1621,10,0))</f>
        <v>BAR</v>
      </c>
      <c r="R31" s="38" t="str">
        <f>IF(ISNA(VLOOKUP($A31&amp;R$2,'2004'!$B$2:$K$1621,10,0)),VLOOKUP($A31&amp;R$2,'2004'!$A$2:$K$1621,10,0),VLOOKUP($A31&amp;R$2,'2004'!$B$2:$K$1621,10,0))</f>
        <v>GAR</v>
      </c>
      <c r="S31" s="38" t="str">
        <f>IF(ISNA(VLOOKUP($A31&amp;S$2,'2004'!$B$2:$K$1621,10,0)),VLOOKUP($A31&amp;S$2,'2004'!$A$2:$K$1621,10,0),VLOOKUP($A31&amp;S$2,'2004'!$B$2:$K$1621,10,0))</f>
        <v>CTW</v>
      </c>
      <c r="T31" s="38" t="str">
        <f>IF(ISNA(VLOOKUP($A31&amp;T$2,'2004'!$B$2:$K$1621,10,0)),VLOOKUP($A31&amp;T$2,'2004'!$A$2:$K$1621,10,0),VLOOKUP($A31&amp;T$2,'2004'!$B$2:$K$1621,10,0))</f>
        <v>BBG</v>
      </c>
      <c r="U31" s="38" t="str">
        <f>IF(ISNA(VLOOKUP($A31&amp;U$2,'2004'!$B$2:$K$1621,10,0)),VLOOKUP($A31&amp;U$2,'2004'!$A$2:$K$1621,10,0),VLOOKUP($A31&amp;U$2,'2004'!$B$2:$K$1621,10,0))</f>
        <v>CIN</v>
      </c>
    </row>
    <row r="32" spans="1:21" x14ac:dyDescent="0.25">
      <c r="A32" s="40">
        <f t="shared" si="0"/>
        <v>38109</v>
      </c>
      <c r="B32" s="36" t="str">
        <f>IF(ISNA(VLOOKUP($A32&amp;B$2,'2004'!$B$2:$K$1621,10,0)),VLOOKUP($A32&amp;B$2,'2004'!$A$2:$K$1621,10,0),VLOOKUP($A32&amp;B$2,'2004'!$B$2:$K$1621,10,0))</f>
        <v>@NYD</v>
      </c>
      <c r="C32" s="36" t="str">
        <f>IF(ISNA(VLOOKUP($A32&amp;C$2,'2004'!$B$2:$K$1621,10,0)),VLOOKUP($A32&amp;C$2,'2004'!$A$2:$K$1621,10,0),VLOOKUP($A32&amp;C$2,'2004'!$B$2:$K$1621,10,0))</f>
        <v>@BRK</v>
      </c>
      <c r="D32" s="36" t="str">
        <f>IF(ISNA(VLOOKUP($A32&amp;D$2,'2004'!$B$2:$K$1621,10,0)),VLOOKUP($A32&amp;D$2,'2004'!$A$2:$K$1621,10,0),VLOOKUP($A32&amp;D$2,'2004'!$B$2:$K$1621,10,0))</f>
        <v>@HAR</v>
      </c>
      <c r="E32" s="36" t="str">
        <f>IF(ISNA(VLOOKUP($A32&amp;E$2,'2004'!$B$2:$K$1621,10,0)),VLOOKUP($A32&amp;E$2,'2004'!$A$2:$K$1621,10,0),VLOOKUP($A32&amp;E$2,'2004'!$B$2:$K$1621,10,0))</f>
        <v>@PHI</v>
      </c>
      <c r="F32" s="36" t="str">
        <f>IF(ISNA(VLOOKUP($A32&amp;F$2,'2004'!$B$2:$K$1621,10,0)),VLOOKUP($A32&amp;F$2,'2004'!$A$2:$K$1621,10,0),VLOOKUP($A32&amp;F$2,'2004'!$B$2:$K$1621,10,0))</f>
        <v>@CBB</v>
      </c>
      <c r="G32" s="35" t="str">
        <f>IF(ISNA(VLOOKUP($A32&amp;G$2,'2004'!$B$2:$K$1621,10,0)),VLOOKUP($A32&amp;G$2,'2004'!$A$2:$K$1621,10,0),VLOOKUP($A32&amp;G$2,'2004'!$B$2:$K$1621,10,0))</f>
        <v>@DIG</v>
      </c>
      <c r="H32" s="35" t="str">
        <f>IF(ISNA(VLOOKUP($A32&amp;H$2,'2004'!$B$2:$K$1621,10,0)),VLOOKUP($A32&amp;H$2,'2004'!$A$2:$K$1621,10,0),VLOOKUP($A32&amp;H$2,'2004'!$B$2:$K$1621,10,0))</f>
        <v>@RMO</v>
      </c>
      <c r="I32" s="35" t="str">
        <f>IF(ISNA(VLOOKUP($A32&amp;I$2,'2004'!$B$2:$K$1621,10,0)),VLOOKUP($A32&amp;I$2,'2004'!$A$2:$K$1621,10,0),VLOOKUP($A32&amp;I$2,'2004'!$B$2:$K$1621,10,0))</f>
        <v>@FFR</v>
      </c>
      <c r="J32" s="35" t="str">
        <f>IF(ISNA(VLOOKUP($A32&amp;J$2,'2004'!$B$2:$K$1621,10,0)),VLOOKUP($A32&amp;J$2,'2004'!$A$2:$K$1621,10,0),VLOOKUP($A32&amp;J$2,'2004'!$B$2:$K$1621,10,0))</f>
        <v>@OKO</v>
      </c>
      <c r="K32" s="35" t="str">
        <f>IF(ISNA(VLOOKUP($A32&amp;K$2,'2004'!$B$2:$K$1621,10,0)),VLOOKUP($A32&amp;K$2,'2004'!$A$2:$K$1621,10,0),VLOOKUP($A32&amp;K$2,'2004'!$B$2:$K$1621,10,0))</f>
        <v>@NNN</v>
      </c>
      <c r="L32" s="34" t="str">
        <f>IF(ISNA(VLOOKUP($A32&amp;L$2,'2004'!$B$2:$K$1621,10,0)),VLOOKUP($A32&amp;L$2,'2004'!$A$2:$K$1621,10,0),VLOOKUP($A32&amp;L$2,'2004'!$B$2:$K$1621,10,0))</f>
        <v>CEN</v>
      </c>
      <c r="M32" s="34" t="str">
        <f>IF(ISNA(VLOOKUP($A32&amp;M$2,'2004'!$B$2:$K$1621,10,0)),VLOOKUP($A32&amp;M$2,'2004'!$A$2:$K$1621,10,0),VLOOKUP($A32&amp;M$2,'2004'!$B$2:$K$1621,10,0))</f>
        <v>NEP</v>
      </c>
      <c r="N32" s="34" t="str">
        <f>IF(ISNA(VLOOKUP($A32&amp;N$2,'2004'!$B$2:$K$1621,10,0)),VLOOKUP($A32&amp;N$2,'2004'!$A$2:$K$1621,10,0),VLOOKUP($A32&amp;N$2,'2004'!$B$2:$K$1621,10,0))</f>
        <v>TEW</v>
      </c>
      <c r="O32" s="34" t="str">
        <f>IF(ISNA(VLOOKUP($A32&amp;O$2,'2004'!$B$2:$K$1621,10,0)),VLOOKUP($A32&amp;O$2,'2004'!$A$2:$K$1621,10,0),VLOOKUP($A32&amp;O$2,'2004'!$B$2:$K$1621,10,0))</f>
        <v>REN</v>
      </c>
      <c r="P32" s="34" t="str">
        <f>IF(ISNA(VLOOKUP($A32&amp;P$2,'2004'!$B$2:$K$1621,10,0)),VLOOKUP($A32&amp;P$2,'2004'!$A$2:$K$1621,10,0),VLOOKUP($A32&amp;P$2,'2004'!$B$2:$K$1621,10,0))</f>
        <v>FDH</v>
      </c>
      <c r="Q32" s="38" t="str">
        <f>IF(ISNA(VLOOKUP($A32&amp;Q$2,'2004'!$B$2:$K$1621,10,0)),VLOOKUP($A32&amp;Q$2,'2004'!$A$2:$K$1621,10,0),VLOOKUP($A32&amp;Q$2,'2004'!$B$2:$K$1621,10,0))</f>
        <v>BAR</v>
      </c>
      <c r="R32" s="38" t="str">
        <f>IF(ISNA(VLOOKUP($A32&amp;R$2,'2004'!$B$2:$K$1621,10,0)),VLOOKUP($A32&amp;R$2,'2004'!$A$2:$K$1621,10,0),VLOOKUP($A32&amp;R$2,'2004'!$B$2:$K$1621,10,0))</f>
        <v>GAR</v>
      </c>
      <c r="S32" s="38" t="str">
        <f>IF(ISNA(VLOOKUP($A32&amp;S$2,'2004'!$B$2:$K$1621,10,0)),VLOOKUP($A32&amp;S$2,'2004'!$A$2:$K$1621,10,0),VLOOKUP($A32&amp;S$2,'2004'!$B$2:$K$1621,10,0))</f>
        <v>CTW</v>
      </c>
      <c r="T32" s="38" t="str">
        <f>IF(ISNA(VLOOKUP($A32&amp;T$2,'2004'!$B$2:$K$1621,10,0)),VLOOKUP($A32&amp;T$2,'2004'!$A$2:$K$1621,10,0),VLOOKUP($A32&amp;T$2,'2004'!$B$2:$K$1621,10,0))</f>
        <v>BBG</v>
      </c>
      <c r="U32" s="38" t="str">
        <f>IF(ISNA(VLOOKUP($A32&amp;U$2,'2004'!$B$2:$K$1621,10,0)),VLOOKUP($A32&amp;U$2,'2004'!$A$2:$K$1621,10,0),VLOOKUP($A32&amp;U$2,'2004'!$B$2:$K$1621,10,0))</f>
        <v>CIN</v>
      </c>
    </row>
    <row r="33" spans="1:21" x14ac:dyDescent="0.25">
      <c r="A33" s="40">
        <f t="shared" si="0"/>
        <v>38110</v>
      </c>
      <c r="B33" s="36" t="str">
        <f>IF(ISNA(VLOOKUP($A33&amp;B$2,'2004'!$B$2:$K$1621,10,0)),VLOOKUP($A33&amp;B$2,'2004'!$A$2:$K$1621,10,0),VLOOKUP($A33&amp;B$2,'2004'!$B$2:$K$1621,10,0))</f>
        <v>@NYD</v>
      </c>
      <c r="C33" s="36" t="str">
        <f>IF(ISNA(VLOOKUP($A33&amp;C$2,'2004'!$B$2:$K$1621,10,0)),VLOOKUP($A33&amp;C$2,'2004'!$A$2:$K$1621,10,0),VLOOKUP($A33&amp;C$2,'2004'!$B$2:$K$1621,10,0))</f>
        <v>@BRK</v>
      </c>
      <c r="D33" s="36" t="str">
        <f>IF(ISNA(VLOOKUP($A33&amp;D$2,'2004'!$B$2:$K$1621,10,0)),VLOOKUP($A33&amp;D$2,'2004'!$A$2:$K$1621,10,0),VLOOKUP($A33&amp;D$2,'2004'!$B$2:$K$1621,10,0))</f>
        <v>@HAR</v>
      </c>
      <c r="E33" s="36" t="str">
        <f>IF(ISNA(VLOOKUP($A33&amp;E$2,'2004'!$B$2:$K$1621,10,0)),VLOOKUP($A33&amp;E$2,'2004'!$A$2:$K$1621,10,0),VLOOKUP($A33&amp;E$2,'2004'!$B$2:$K$1621,10,0))</f>
        <v>@PHI</v>
      </c>
      <c r="F33" s="36" t="str">
        <f>IF(ISNA(VLOOKUP($A33&amp;F$2,'2004'!$B$2:$K$1621,10,0)),VLOOKUP($A33&amp;F$2,'2004'!$A$2:$K$1621,10,0),VLOOKUP($A33&amp;F$2,'2004'!$B$2:$K$1621,10,0))</f>
        <v>@CBB</v>
      </c>
      <c r="G33" s="35" t="str">
        <f>IF(ISNA(VLOOKUP($A33&amp;G$2,'2004'!$B$2:$K$1621,10,0)),VLOOKUP($A33&amp;G$2,'2004'!$A$2:$K$1621,10,0),VLOOKUP($A33&amp;G$2,'2004'!$B$2:$K$1621,10,0))</f>
        <v>@DIG</v>
      </c>
      <c r="H33" s="35" t="str">
        <f>IF(ISNA(VLOOKUP($A33&amp;H$2,'2004'!$B$2:$K$1621,10,0)),VLOOKUP($A33&amp;H$2,'2004'!$A$2:$K$1621,10,0),VLOOKUP($A33&amp;H$2,'2004'!$B$2:$K$1621,10,0))</f>
        <v>@RMO</v>
      </c>
      <c r="I33" s="35" t="str">
        <f>IF(ISNA(VLOOKUP($A33&amp;I$2,'2004'!$B$2:$K$1621,10,0)),VLOOKUP($A33&amp;I$2,'2004'!$A$2:$K$1621,10,0),VLOOKUP($A33&amp;I$2,'2004'!$B$2:$K$1621,10,0))</f>
        <v>@FFR</v>
      </c>
      <c r="J33" s="35" t="str">
        <f>IF(ISNA(VLOOKUP($A33&amp;J$2,'2004'!$B$2:$K$1621,10,0)),VLOOKUP($A33&amp;J$2,'2004'!$A$2:$K$1621,10,0),VLOOKUP($A33&amp;J$2,'2004'!$B$2:$K$1621,10,0))</f>
        <v>@OKO</v>
      </c>
      <c r="K33" s="35" t="str">
        <f>IF(ISNA(VLOOKUP($A33&amp;K$2,'2004'!$B$2:$K$1621,10,0)),VLOOKUP($A33&amp;K$2,'2004'!$A$2:$K$1621,10,0),VLOOKUP($A33&amp;K$2,'2004'!$B$2:$K$1621,10,0))</f>
        <v>@NNN</v>
      </c>
      <c r="L33" s="34" t="str">
        <f>IF(ISNA(VLOOKUP($A33&amp;L$2,'2004'!$B$2:$K$1621,10,0)),VLOOKUP($A33&amp;L$2,'2004'!$A$2:$K$1621,10,0),VLOOKUP($A33&amp;L$2,'2004'!$B$2:$K$1621,10,0))</f>
        <v>CEN</v>
      </c>
      <c r="M33" s="34" t="str">
        <f>IF(ISNA(VLOOKUP($A33&amp;M$2,'2004'!$B$2:$K$1621,10,0)),VLOOKUP($A33&amp;M$2,'2004'!$A$2:$K$1621,10,0),VLOOKUP($A33&amp;M$2,'2004'!$B$2:$K$1621,10,0))</f>
        <v>NEP</v>
      </c>
      <c r="N33" s="34" t="str">
        <f>IF(ISNA(VLOOKUP($A33&amp;N$2,'2004'!$B$2:$K$1621,10,0)),VLOOKUP($A33&amp;N$2,'2004'!$A$2:$K$1621,10,0),VLOOKUP($A33&amp;N$2,'2004'!$B$2:$K$1621,10,0))</f>
        <v>TEW</v>
      </c>
      <c r="O33" s="34" t="str">
        <f>IF(ISNA(VLOOKUP($A33&amp;O$2,'2004'!$B$2:$K$1621,10,0)),VLOOKUP($A33&amp;O$2,'2004'!$A$2:$K$1621,10,0),VLOOKUP($A33&amp;O$2,'2004'!$B$2:$K$1621,10,0))</f>
        <v>REN</v>
      </c>
      <c r="P33" s="34" t="str">
        <f>IF(ISNA(VLOOKUP($A33&amp;P$2,'2004'!$B$2:$K$1621,10,0)),VLOOKUP($A33&amp;P$2,'2004'!$A$2:$K$1621,10,0),VLOOKUP($A33&amp;P$2,'2004'!$B$2:$K$1621,10,0))</f>
        <v>FDH</v>
      </c>
      <c r="Q33" s="38" t="str">
        <f>IF(ISNA(VLOOKUP($A33&amp;Q$2,'2004'!$B$2:$K$1621,10,0)),VLOOKUP($A33&amp;Q$2,'2004'!$A$2:$K$1621,10,0),VLOOKUP($A33&amp;Q$2,'2004'!$B$2:$K$1621,10,0))</f>
        <v>BAR</v>
      </c>
      <c r="R33" s="38" t="str">
        <f>IF(ISNA(VLOOKUP($A33&amp;R$2,'2004'!$B$2:$K$1621,10,0)),VLOOKUP($A33&amp;R$2,'2004'!$A$2:$K$1621,10,0),VLOOKUP($A33&amp;R$2,'2004'!$B$2:$K$1621,10,0))</f>
        <v>GAR</v>
      </c>
      <c r="S33" s="38" t="str">
        <f>IF(ISNA(VLOOKUP($A33&amp;S$2,'2004'!$B$2:$K$1621,10,0)),VLOOKUP($A33&amp;S$2,'2004'!$A$2:$K$1621,10,0),VLOOKUP($A33&amp;S$2,'2004'!$B$2:$K$1621,10,0))</f>
        <v>CTW</v>
      </c>
      <c r="T33" s="38" t="str">
        <f>IF(ISNA(VLOOKUP($A33&amp;T$2,'2004'!$B$2:$K$1621,10,0)),VLOOKUP($A33&amp;T$2,'2004'!$A$2:$K$1621,10,0),VLOOKUP($A33&amp;T$2,'2004'!$B$2:$K$1621,10,0))</f>
        <v>BBG</v>
      </c>
      <c r="U33" s="38" t="str">
        <f>IF(ISNA(VLOOKUP($A33&amp;U$2,'2004'!$B$2:$K$1621,10,0)),VLOOKUP($A33&amp;U$2,'2004'!$A$2:$K$1621,10,0),VLOOKUP($A33&amp;U$2,'2004'!$B$2:$K$1621,10,0))</f>
        <v>CIN</v>
      </c>
    </row>
    <row r="34" spans="1:21" x14ac:dyDescent="0.25">
      <c r="A34" s="40">
        <f t="shared" si="0"/>
        <v>38111</v>
      </c>
      <c r="B34" s="36" t="str">
        <f>IF(ISNA(VLOOKUP($A34&amp;B$2,'2004'!$B$2:$K$1621,10,0)),VLOOKUP($A34&amp;B$2,'2004'!$A$2:$K$1621,10,0),VLOOKUP($A34&amp;B$2,'2004'!$B$2:$K$1621,10,0))</f>
        <v>TEW</v>
      </c>
      <c r="C34" s="36" t="str">
        <f>IF(ISNA(VLOOKUP($A34&amp;C$2,'2004'!$B$2:$K$1621,10,0)),VLOOKUP($A34&amp;C$2,'2004'!$A$2:$K$1621,10,0),VLOOKUP($A34&amp;C$2,'2004'!$B$2:$K$1621,10,0))</f>
        <v>CTW</v>
      </c>
      <c r="D34" s="36" t="str">
        <f>IF(ISNA(VLOOKUP($A34&amp;D$2,'2004'!$B$2:$K$1621,10,0)),VLOOKUP($A34&amp;D$2,'2004'!$A$2:$K$1621,10,0),VLOOKUP($A34&amp;D$2,'2004'!$B$2:$K$1621,10,0))</f>
        <v>@BAR</v>
      </c>
      <c r="E34" s="36" t="str">
        <f>IF(ISNA(VLOOKUP($A34&amp;E$2,'2004'!$B$2:$K$1621,10,0)),VLOOKUP($A34&amp;E$2,'2004'!$A$2:$K$1621,10,0),VLOOKUP($A34&amp;E$2,'2004'!$B$2:$K$1621,10,0))</f>
        <v>GAR</v>
      </c>
      <c r="F34" s="36" t="str">
        <f>IF(ISNA(VLOOKUP($A34&amp;F$2,'2004'!$B$2:$K$1621,10,0)),VLOOKUP($A34&amp;F$2,'2004'!$A$2:$K$1621,10,0),VLOOKUP($A34&amp;F$2,'2004'!$B$2:$K$1621,10,0))</f>
        <v>@CIN</v>
      </c>
      <c r="G34" s="35" t="str">
        <f>IF(ISNA(VLOOKUP($A34&amp;G$2,'2004'!$B$2:$K$1621,10,0)),VLOOKUP($A34&amp;G$2,'2004'!$A$2:$K$1621,10,0),VLOOKUP($A34&amp;G$2,'2004'!$B$2:$K$1621,10,0))</f>
        <v>NEP</v>
      </c>
      <c r="H34" s="35" t="str">
        <f>IF(ISNA(VLOOKUP($A34&amp;H$2,'2004'!$B$2:$K$1621,10,0)),VLOOKUP($A34&amp;H$2,'2004'!$A$2:$K$1621,10,0),VLOOKUP($A34&amp;H$2,'2004'!$B$2:$K$1621,10,0))</f>
        <v>REN</v>
      </c>
      <c r="I34" s="35" t="str">
        <f>IF(ISNA(VLOOKUP($A34&amp;I$2,'2004'!$B$2:$K$1621,10,0)),VLOOKUP($A34&amp;I$2,'2004'!$A$2:$K$1621,10,0),VLOOKUP($A34&amp;I$2,'2004'!$B$2:$K$1621,10,0))</f>
        <v>@CEN</v>
      </c>
      <c r="J34" s="35" t="str">
        <f>IF(ISNA(VLOOKUP($A34&amp;J$2,'2004'!$B$2:$K$1621,10,0)),VLOOKUP($A34&amp;J$2,'2004'!$A$2:$K$1621,10,0),VLOOKUP($A34&amp;J$2,'2004'!$B$2:$K$1621,10,0))</f>
        <v>@FDH</v>
      </c>
      <c r="K34" s="35" t="str">
        <f>IF(ISNA(VLOOKUP($A34&amp;K$2,'2004'!$B$2:$K$1621,10,0)),VLOOKUP($A34&amp;K$2,'2004'!$A$2:$K$1621,10,0),VLOOKUP($A34&amp;K$2,'2004'!$B$2:$K$1621,10,0))</f>
        <v>@BBG</v>
      </c>
      <c r="L34" s="34" t="str">
        <f>IF(ISNA(VLOOKUP($A34&amp;L$2,'2004'!$B$2:$K$1621,10,0)),VLOOKUP($A34&amp;L$2,'2004'!$A$2:$K$1621,10,0),VLOOKUP($A34&amp;L$2,'2004'!$B$2:$K$1621,10,0))</f>
        <v>NNN</v>
      </c>
      <c r="M34" s="34" t="str">
        <f>IF(ISNA(VLOOKUP($A34&amp;M$2,'2004'!$B$2:$K$1621,10,0)),VLOOKUP($A34&amp;M$2,'2004'!$A$2:$K$1621,10,0),VLOOKUP($A34&amp;M$2,'2004'!$B$2:$K$1621,10,0))</f>
        <v>HAR</v>
      </c>
      <c r="N34" s="34" t="str">
        <f>IF(ISNA(VLOOKUP($A34&amp;N$2,'2004'!$B$2:$K$1621,10,0)),VLOOKUP($A34&amp;N$2,'2004'!$A$2:$K$1621,10,0),VLOOKUP($A34&amp;N$2,'2004'!$B$2:$K$1621,10,0))</f>
        <v>@DIG</v>
      </c>
      <c r="O34" s="34" t="str">
        <f>IF(ISNA(VLOOKUP($A34&amp;O$2,'2004'!$B$2:$K$1621,10,0)),VLOOKUP($A34&amp;O$2,'2004'!$A$2:$K$1621,10,0),VLOOKUP($A34&amp;O$2,'2004'!$B$2:$K$1621,10,0))</f>
        <v>RMO</v>
      </c>
      <c r="P34" s="34" t="str">
        <f>IF(ISNA(VLOOKUP($A34&amp;P$2,'2004'!$B$2:$K$1621,10,0)),VLOOKUP($A34&amp;P$2,'2004'!$A$2:$K$1621,10,0),VLOOKUP($A34&amp;P$2,'2004'!$B$2:$K$1621,10,0))</f>
        <v>@OKO</v>
      </c>
      <c r="Q34" s="38" t="str">
        <f>IF(ISNA(VLOOKUP($A34&amp;Q$2,'2004'!$B$2:$K$1621,10,0)),VLOOKUP($A34&amp;Q$2,'2004'!$A$2:$K$1621,10,0),VLOOKUP($A34&amp;Q$2,'2004'!$B$2:$K$1621,10,0))</f>
        <v>NYD</v>
      </c>
      <c r="R34" s="38" t="str">
        <f>IF(ISNA(VLOOKUP($A34&amp;R$2,'2004'!$B$2:$K$1621,10,0)),VLOOKUP($A34&amp;R$2,'2004'!$A$2:$K$1621,10,0),VLOOKUP($A34&amp;R$2,'2004'!$B$2:$K$1621,10,0))</f>
        <v>PHI</v>
      </c>
      <c r="S34" s="38" t="str">
        <f>IF(ISNA(VLOOKUP($A34&amp;S$2,'2004'!$B$2:$K$1621,10,0)),VLOOKUP($A34&amp;S$2,'2004'!$A$2:$K$1621,10,0),VLOOKUP($A34&amp;S$2,'2004'!$B$2:$K$1621,10,0))</f>
        <v>@FFR</v>
      </c>
      <c r="T34" s="38" t="str">
        <f>IF(ISNA(VLOOKUP($A34&amp;T$2,'2004'!$B$2:$K$1621,10,0)),VLOOKUP($A34&amp;T$2,'2004'!$A$2:$K$1621,10,0),VLOOKUP($A34&amp;T$2,'2004'!$B$2:$K$1621,10,0))</f>
        <v>@BRK</v>
      </c>
      <c r="U34" s="38" t="str">
        <f>IF(ISNA(VLOOKUP($A34&amp;U$2,'2004'!$B$2:$K$1621,10,0)),VLOOKUP($A34&amp;U$2,'2004'!$A$2:$K$1621,10,0),VLOOKUP($A34&amp;U$2,'2004'!$B$2:$K$1621,10,0))</f>
        <v>@CBB</v>
      </c>
    </row>
    <row r="35" spans="1:21" x14ac:dyDescent="0.25">
      <c r="A35" s="40">
        <f t="shared" si="0"/>
        <v>38112</v>
      </c>
      <c r="B35" s="36" t="str">
        <f>IF(ISNA(VLOOKUP($A35&amp;B$2,'2004'!$B$2:$K$1621,10,0)),VLOOKUP($A35&amp;B$2,'2004'!$A$2:$K$1621,10,0),VLOOKUP($A35&amp;B$2,'2004'!$B$2:$K$1621,10,0))</f>
        <v>TEW</v>
      </c>
      <c r="C35" s="36" t="str">
        <f>IF(ISNA(VLOOKUP($A35&amp;C$2,'2004'!$B$2:$K$1621,10,0)),VLOOKUP($A35&amp;C$2,'2004'!$A$2:$K$1621,10,0),VLOOKUP($A35&amp;C$2,'2004'!$B$2:$K$1621,10,0))</f>
        <v>CTW</v>
      </c>
      <c r="D35" s="36" t="str">
        <f>IF(ISNA(VLOOKUP($A35&amp;D$2,'2004'!$B$2:$K$1621,10,0)),VLOOKUP($A35&amp;D$2,'2004'!$A$2:$K$1621,10,0),VLOOKUP($A35&amp;D$2,'2004'!$B$2:$K$1621,10,0))</f>
        <v>@BAR</v>
      </c>
      <c r="E35" s="36" t="str">
        <f>IF(ISNA(VLOOKUP($A35&amp;E$2,'2004'!$B$2:$K$1621,10,0)),VLOOKUP($A35&amp;E$2,'2004'!$A$2:$K$1621,10,0),VLOOKUP($A35&amp;E$2,'2004'!$B$2:$K$1621,10,0))</f>
        <v>GAR</v>
      </c>
      <c r="F35" s="36" t="str">
        <f>IF(ISNA(VLOOKUP($A35&amp;F$2,'2004'!$B$2:$K$1621,10,0)),VLOOKUP($A35&amp;F$2,'2004'!$A$2:$K$1621,10,0),VLOOKUP($A35&amp;F$2,'2004'!$B$2:$K$1621,10,0))</f>
        <v>@CIN</v>
      </c>
      <c r="G35" s="35" t="str">
        <f>IF(ISNA(VLOOKUP($A35&amp;G$2,'2004'!$B$2:$K$1621,10,0)),VLOOKUP($A35&amp;G$2,'2004'!$A$2:$K$1621,10,0),VLOOKUP($A35&amp;G$2,'2004'!$B$2:$K$1621,10,0))</f>
        <v>NEP</v>
      </c>
      <c r="H35" s="35" t="str">
        <f>IF(ISNA(VLOOKUP($A35&amp;H$2,'2004'!$B$2:$K$1621,10,0)),VLOOKUP($A35&amp;H$2,'2004'!$A$2:$K$1621,10,0),VLOOKUP($A35&amp;H$2,'2004'!$B$2:$K$1621,10,0))</f>
        <v>REN</v>
      </c>
      <c r="I35" s="35" t="str">
        <f>IF(ISNA(VLOOKUP($A35&amp;I$2,'2004'!$B$2:$K$1621,10,0)),VLOOKUP($A35&amp;I$2,'2004'!$A$2:$K$1621,10,0),VLOOKUP($A35&amp;I$2,'2004'!$B$2:$K$1621,10,0))</f>
        <v>@CEN</v>
      </c>
      <c r="J35" s="35" t="str">
        <f>IF(ISNA(VLOOKUP($A35&amp;J$2,'2004'!$B$2:$K$1621,10,0)),VLOOKUP($A35&amp;J$2,'2004'!$A$2:$K$1621,10,0),VLOOKUP($A35&amp;J$2,'2004'!$B$2:$K$1621,10,0))</f>
        <v>@FDH</v>
      </c>
      <c r="K35" s="35" t="str">
        <f>IF(ISNA(VLOOKUP($A35&amp;K$2,'2004'!$B$2:$K$1621,10,0)),VLOOKUP($A35&amp;K$2,'2004'!$A$2:$K$1621,10,0),VLOOKUP($A35&amp;K$2,'2004'!$B$2:$K$1621,10,0))</f>
        <v>@BBG</v>
      </c>
      <c r="L35" s="34" t="str">
        <f>IF(ISNA(VLOOKUP($A35&amp;L$2,'2004'!$B$2:$K$1621,10,0)),VLOOKUP($A35&amp;L$2,'2004'!$A$2:$K$1621,10,0),VLOOKUP($A35&amp;L$2,'2004'!$B$2:$K$1621,10,0))</f>
        <v>NNN</v>
      </c>
      <c r="M35" s="34" t="str">
        <f>IF(ISNA(VLOOKUP($A35&amp;M$2,'2004'!$B$2:$K$1621,10,0)),VLOOKUP($A35&amp;M$2,'2004'!$A$2:$K$1621,10,0),VLOOKUP($A35&amp;M$2,'2004'!$B$2:$K$1621,10,0))</f>
        <v>HAR</v>
      </c>
      <c r="N35" s="34" t="str">
        <f>IF(ISNA(VLOOKUP($A35&amp;N$2,'2004'!$B$2:$K$1621,10,0)),VLOOKUP($A35&amp;N$2,'2004'!$A$2:$K$1621,10,0),VLOOKUP($A35&amp;N$2,'2004'!$B$2:$K$1621,10,0))</f>
        <v>@DIG</v>
      </c>
      <c r="O35" s="34" t="str">
        <f>IF(ISNA(VLOOKUP($A35&amp;O$2,'2004'!$B$2:$K$1621,10,0)),VLOOKUP($A35&amp;O$2,'2004'!$A$2:$K$1621,10,0),VLOOKUP($A35&amp;O$2,'2004'!$B$2:$K$1621,10,0))</f>
        <v>RMO</v>
      </c>
      <c r="P35" s="34" t="str">
        <f>IF(ISNA(VLOOKUP($A35&amp;P$2,'2004'!$B$2:$K$1621,10,0)),VLOOKUP($A35&amp;P$2,'2004'!$A$2:$K$1621,10,0),VLOOKUP($A35&amp;P$2,'2004'!$B$2:$K$1621,10,0))</f>
        <v>@OKO</v>
      </c>
      <c r="Q35" s="38" t="str">
        <f>IF(ISNA(VLOOKUP($A35&amp;Q$2,'2004'!$B$2:$K$1621,10,0)),VLOOKUP($A35&amp;Q$2,'2004'!$A$2:$K$1621,10,0),VLOOKUP($A35&amp;Q$2,'2004'!$B$2:$K$1621,10,0))</f>
        <v>NYD</v>
      </c>
      <c r="R35" s="38" t="str">
        <f>IF(ISNA(VLOOKUP($A35&amp;R$2,'2004'!$B$2:$K$1621,10,0)),VLOOKUP($A35&amp;R$2,'2004'!$A$2:$K$1621,10,0),VLOOKUP($A35&amp;R$2,'2004'!$B$2:$K$1621,10,0))</f>
        <v>PHI</v>
      </c>
      <c r="S35" s="38" t="str">
        <f>IF(ISNA(VLOOKUP($A35&amp;S$2,'2004'!$B$2:$K$1621,10,0)),VLOOKUP($A35&amp;S$2,'2004'!$A$2:$K$1621,10,0),VLOOKUP($A35&amp;S$2,'2004'!$B$2:$K$1621,10,0))</f>
        <v>@FFR</v>
      </c>
      <c r="T35" s="38" t="str">
        <f>IF(ISNA(VLOOKUP($A35&amp;T$2,'2004'!$B$2:$K$1621,10,0)),VLOOKUP($A35&amp;T$2,'2004'!$A$2:$K$1621,10,0),VLOOKUP($A35&amp;T$2,'2004'!$B$2:$K$1621,10,0))</f>
        <v>@BRK</v>
      </c>
      <c r="U35" s="38" t="str">
        <f>IF(ISNA(VLOOKUP($A35&amp;U$2,'2004'!$B$2:$K$1621,10,0)),VLOOKUP($A35&amp;U$2,'2004'!$A$2:$K$1621,10,0),VLOOKUP($A35&amp;U$2,'2004'!$B$2:$K$1621,10,0))</f>
        <v>@CBB</v>
      </c>
    </row>
    <row r="36" spans="1:21" x14ac:dyDescent="0.25">
      <c r="A36" s="40">
        <f t="shared" si="0"/>
        <v>38113</v>
      </c>
      <c r="B36" s="36" t="e">
        <f>IF(ISNA(VLOOKUP($A36&amp;B$2,'2004'!$B$2:$K$1621,10,0)),VLOOKUP($A36&amp;B$2,'2004'!$A$2:$K$1621,10,0),VLOOKUP($A36&amp;B$2,'2004'!$B$2:$K$1621,10,0))</f>
        <v>#N/A</v>
      </c>
      <c r="C36" s="36" t="e">
        <f>IF(ISNA(VLOOKUP($A36&amp;C$2,'2004'!$B$2:$K$1621,10,0)),VLOOKUP($A36&amp;C$2,'2004'!$A$2:$K$1621,10,0),VLOOKUP($A36&amp;C$2,'2004'!$B$2:$K$1621,10,0))</f>
        <v>#N/A</v>
      </c>
      <c r="D36" s="36" t="e">
        <f>IF(ISNA(VLOOKUP($A36&amp;D$2,'2004'!$B$2:$K$1621,10,0)),VLOOKUP($A36&amp;D$2,'2004'!$A$2:$K$1621,10,0),VLOOKUP($A36&amp;D$2,'2004'!$B$2:$K$1621,10,0))</f>
        <v>#N/A</v>
      </c>
      <c r="E36" s="36" t="e">
        <f>IF(ISNA(VLOOKUP($A36&amp;E$2,'2004'!$B$2:$K$1621,10,0)),VLOOKUP($A36&amp;E$2,'2004'!$A$2:$K$1621,10,0),VLOOKUP($A36&amp;E$2,'2004'!$B$2:$K$1621,10,0))</f>
        <v>#N/A</v>
      </c>
      <c r="F36" s="36" t="e">
        <f>IF(ISNA(VLOOKUP($A36&amp;F$2,'2004'!$B$2:$K$1621,10,0)),VLOOKUP($A36&amp;F$2,'2004'!$A$2:$K$1621,10,0),VLOOKUP($A36&amp;F$2,'2004'!$B$2:$K$1621,10,0))</f>
        <v>#N/A</v>
      </c>
      <c r="G36" s="35" t="e">
        <f>IF(ISNA(VLOOKUP($A36&amp;G$2,'2004'!$B$2:$K$1621,10,0)),VLOOKUP($A36&amp;G$2,'2004'!$A$2:$K$1621,10,0),VLOOKUP($A36&amp;G$2,'2004'!$B$2:$K$1621,10,0))</f>
        <v>#N/A</v>
      </c>
      <c r="H36" s="35" t="e">
        <f>IF(ISNA(VLOOKUP($A36&amp;H$2,'2004'!$B$2:$K$1621,10,0)),VLOOKUP($A36&amp;H$2,'2004'!$A$2:$K$1621,10,0),VLOOKUP($A36&amp;H$2,'2004'!$B$2:$K$1621,10,0))</f>
        <v>#N/A</v>
      </c>
      <c r="I36" s="35" t="e">
        <f>IF(ISNA(VLOOKUP($A36&amp;I$2,'2004'!$B$2:$K$1621,10,0)),VLOOKUP($A36&amp;I$2,'2004'!$A$2:$K$1621,10,0),VLOOKUP($A36&amp;I$2,'2004'!$B$2:$K$1621,10,0))</f>
        <v>#N/A</v>
      </c>
      <c r="J36" s="35" t="e">
        <f>IF(ISNA(VLOOKUP($A36&amp;J$2,'2004'!$B$2:$K$1621,10,0)),VLOOKUP($A36&amp;J$2,'2004'!$A$2:$K$1621,10,0),VLOOKUP($A36&amp;J$2,'2004'!$B$2:$K$1621,10,0))</f>
        <v>#N/A</v>
      </c>
      <c r="K36" s="35" t="e">
        <f>IF(ISNA(VLOOKUP($A36&amp;K$2,'2004'!$B$2:$K$1621,10,0)),VLOOKUP($A36&amp;K$2,'2004'!$A$2:$K$1621,10,0),VLOOKUP($A36&amp;K$2,'2004'!$B$2:$K$1621,10,0))</f>
        <v>#N/A</v>
      </c>
      <c r="L36" s="34" t="e">
        <f>IF(ISNA(VLOOKUP($A36&amp;L$2,'2004'!$B$2:$K$1621,10,0)),VLOOKUP($A36&amp;L$2,'2004'!$A$2:$K$1621,10,0),VLOOKUP($A36&amp;L$2,'2004'!$B$2:$K$1621,10,0))</f>
        <v>#N/A</v>
      </c>
      <c r="M36" s="34" t="e">
        <f>IF(ISNA(VLOOKUP($A36&amp;M$2,'2004'!$B$2:$K$1621,10,0)),VLOOKUP($A36&amp;M$2,'2004'!$A$2:$K$1621,10,0),VLOOKUP($A36&amp;M$2,'2004'!$B$2:$K$1621,10,0))</f>
        <v>#N/A</v>
      </c>
      <c r="N36" s="34" t="e">
        <f>IF(ISNA(VLOOKUP($A36&amp;N$2,'2004'!$B$2:$K$1621,10,0)),VLOOKUP($A36&amp;N$2,'2004'!$A$2:$K$1621,10,0),VLOOKUP($A36&amp;N$2,'2004'!$B$2:$K$1621,10,0))</f>
        <v>#N/A</v>
      </c>
      <c r="O36" s="34" t="e">
        <f>IF(ISNA(VLOOKUP($A36&amp;O$2,'2004'!$B$2:$K$1621,10,0)),VLOOKUP($A36&amp;O$2,'2004'!$A$2:$K$1621,10,0),VLOOKUP($A36&amp;O$2,'2004'!$B$2:$K$1621,10,0))</f>
        <v>#N/A</v>
      </c>
      <c r="P36" s="34" t="e">
        <f>IF(ISNA(VLOOKUP($A36&amp;P$2,'2004'!$B$2:$K$1621,10,0)),VLOOKUP($A36&amp;P$2,'2004'!$A$2:$K$1621,10,0),VLOOKUP($A36&amp;P$2,'2004'!$B$2:$K$1621,10,0))</f>
        <v>#N/A</v>
      </c>
      <c r="Q36" s="38" t="str">
        <f>IF(ISNA(VLOOKUP($A36&amp;Q$2,'2004'!$B$2:$K$1621,10,0)),VLOOKUP($A36&amp;Q$2,'2004'!$A$2:$K$1621,10,0),VLOOKUP($A36&amp;Q$2,'2004'!$B$2:$K$1621,10,0))</f>
        <v>NYD</v>
      </c>
      <c r="R36" s="38" t="e">
        <f>IF(ISNA(VLOOKUP($A36&amp;R$2,'2004'!$B$2:$K$1621,10,0)),VLOOKUP($A36&amp;R$2,'2004'!$A$2:$K$1621,10,0),VLOOKUP($A36&amp;R$2,'2004'!$B$2:$K$1621,10,0))</f>
        <v>#N/A</v>
      </c>
      <c r="S36" s="38" t="e">
        <f>IF(ISNA(VLOOKUP($A36&amp;S$2,'2004'!$B$2:$K$1621,10,0)),VLOOKUP($A36&amp;S$2,'2004'!$A$2:$K$1621,10,0),VLOOKUP($A36&amp;S$2,'2004'!$B$2:$K$1621,10,0))</f>
        <v>#N/A</v>
      </c>
      <c r="T36" s="38" t="str">
        <f>IF(ISNA(VLOOKUP($A36&amp;T$2,'2004'!$B$2:$K$1621,10,0)),VLOOKUP($A36&amp;T$2,'2004'!$A$2:$K$1621,10,0),VLOOKUP($A36&amp;T$2,'2004'!$B$2:$K$1621,10,0))</f>
        <v>@BRK</v>
      </c>
      <c r="U36" s="38" t="e">
        <f>IF(ISNA(VLOOKUP($A36&amp;U$2,'2004'!$B$2:$K$1621,10,0)),VLOOKUP($A36&amp;U$2,'2004'!$A$2:$K$1621,10,0),VLOOKUP($A36&amp;U$2,'2004'!$B$2:$K$1621,10,0))</f>
        <v>#N/A</v>
      </c>
    </row>
    <row r="37" spans="1:21" x14ac:dyDescent="0.25">
      <c r="A37" s="40">
        <f t="shared" si="0"/>
        <v>38114</v>
      </c>
      <c r="B37" s="36" t="str">
        <f>IF(ISNA(VLOOKUP($A37&amp;B$2,'2004'!$B$2:$K$1621,10,0)),VLOOKUP($A37&amp;B$2,'2004'!$A$2:$K$1621,10,0),VLOOKUP($A37&amp;B$2,'2004'!$B$2:$K$1621,10,0))</f>
        <v>@NEP</v>
      </c>
      <c r="C37" s="36" t="str">
        <f>IF(ISNA(VLOOKUP($A37&amp;C$2,'2004'!$B$2:$K$1621,10,0)),VLOOKUP($A37&amp;C$2,'2004'!$A$2:$K$1621,10,0),VLOOKUP($A37&amp;C$2,'2004'!$B$2:$K$1621,10,0))</f>
        <v>@REN</v>
      </c>
      <c r="D37" s="36" t="str">
        <f>IF(ISNA(VLOOKUP($A37&amp;D$2,'2004'!$B$2:$K$1621,10,0)),VLOOKUP($A37&amp;D$2,'2004'!$A$2:$K$1621,10,0),VLOOKUP($A37&amp;D$2,'2004'!$B$2:$K$1621,10,0))</f>
        <v>@FDH</v>
      </c>
      <c r="E37" s="36" t="str">
        <f>IF(ISNA(VLOOKUP($A37&amp;E$2,'2004'!$B$2:$K$1621,10,0)),VLOOKUP($A37&amp;E$2,'2004'!$A$2:$K$1621,10,0),VLOOKUP($A37&amp;E$2,'2004'!$B$2:$K$1621,10,0))</f>
        <v>@CEN</v>
      </c>
      <c r="F37" s="36" t="str">
        <f>IF(ISNA(VLOOKUP($A37&amp;F$2,'2004'!$B$2:$K$1621,10,0)),VLOOKUP($A37&amp;F$2,'2004'!$A$2:$K$1621,10,0),VLOOKUP($A37&amp;F$2,'2004'!$B$2:$K$1621,10,0))</f>
        <v>@TEW</v>
      </c>
      <c r="G37" s="35" t="str">
        <f>IF(ISNA(VLOOKUP($A37&amp;G$2,'2004'!$B$2:$K$1621,10,0)),VLOOKUP($A37&amp;G$2,'2004'!$A$2:$K$1621,10,0),VLOOKUP($A37&amp;G$2,'2004'!$B$2:$K$1621,10,0))</f>
        <v>CIN</v>
      </c>
      <c r="H37" s="35" t="str">
        <f>IF(ISNA(VLOOKUP($A37&amp;H$2,'2004'!$B$2:$K$1621,10,0)),VLOOKUP($A37&amp;H$2,'2004'!$A$2:$K$1621,10,0),VLOOKUP($A37&amp;H$2,'2004'!$B$2:$K$1621,10,0))</f>
        <v>CTW</v>
      </c>
      <c r="I37" s="35" t="str">
        <f>IF(ISNA(VLOOKUP($A37&amp;I$2,'2004'!$B$2:$K$1621,10,0)),VLOOKUP($A37&amp;I$2,'2004'!$A$2:$K$1621,10,0),VLOOKUP($A37&amp;I$2,'2004'!$B$2:$K$1621,10,0))</f>
        <v>BBG</v>
      </c>
      <c r="J37" s="35" t="str">
        <f>IF(ISNA(VLOOKUP($A37&amp;J$2,'2004'!$B$2:$K$1621,10,0)),VLOOKUP($A37&amp;J$2,'2004'!$A$2:$K$1621,10,0),VLOOKUP($A37&amp;J$2,'2004'!$B$2:$K$1621,10,0))</f>
        <v>BAR</v>
      </c>
      <c r="K37" s="35" t="str">
        <f>IF(ISNA(VLOOKUP($A37&amp;K$2,'2004'!$B$2:$K$1621,10,0)),VLOOKUP($A37&amp;K$2,'2004'!$A$2:$K$1621,10,0),VLOOKUP($A37&amp;K$2,'2004'!$B$2:$K$1621,10,0))</f>
        <v>GAR</v>
      </c>
      <c r="L37" s="34" t="str">
        <f>IF(ISNA(VLOOKUP($A37&amp;L$2,'2004'!$B$2:$K$1621,10,0)),VLOOKUP($A37&amp;L$2,'2004'!$A$2:$K$1621,10,0),VLOOKUP($A37&amp;L$2,'2004'!$B$2:$K$1621,10,0))</f>
        <v>@CBB</v>
      </c>
      <c r="M37" s="34" t="str">
        <f>IF(ISNA(VLOOKUP($A37&amp;M$2,'2004'!$B$2:$K$1621,10,0)),VLOOKUP($A37&amp;M$2,'2004'!$A$2:$K$1621,10,0),VLOOKUP($A37&amp;M$2,'2004'!$B$2:$K$1621,10,0))</f>
        <v>@PHI</v>
      </c>
      <c r="N37" s="34" t="str">
        <f>IF(ISNA(VLOOKUP($A37&amp;N$2,'2004'!$B$2:$K$1621,10,0)),VLOOKUP($A37&amp;N$2,'2004'!$A$2:$K$1621,10,0),VLOOKUP($A37&amp;N$2,'2004'!$B$2:$K$1621,10,0))</f>
        <v>@HAR</v>
      </c>
      <c r="O37" s="34" t="str">
        <f>IF(ISNA(VLOOKUP($A37&amp;O$2,'2004'!$B$2:$K$1621,10,0)),VLOOKUP($A37&amp;O$2,'2004'!$A$2:$K$1621,10,0),VLOOKUP($A37&amp;O$2,'2004'!$B$2:$K$1621,10,0))</f>
        <v>@NYD</v>
      </c>
      <c r="P37" s="34" t="str">
        <f>IF(ISNA(VLOOKUP($A37&amp;P$2,'2004'!$B$2:$K$1621,10,0)),VLOOKUP($A37&amp;P$2,'2004'!$A$2:$K$1621,10,0),VLOOKUP($A37&amp;P$2,'2004'!$B$2:$K$1621,10,0))</f>
        <v>@BRK</v>
      </c>
      <c r="Q37" s="38" t="str">
        <f>IF(ISNA(VLOOKUP($A37&amp;Q$2,'2004'!$B$2:$K$1621,10,0)),VLOOKUP($A37&amp;Q$2,'2004'!$A$2:$K$1621,10,0),VLOOKUP($A37&amp;Q$2,'2004'!$B$2:$K$1621,10,0))</f>
        <v>RMO</v>
      </c>
      <c r="R37" s="38" t="str">
        <f>IF(ISNA(VLOOKUP($A37&amp;R$2,'2004'!$B$2:$K$1621,10,0)),VLOOKUP($A37&amp;R$2,'2004'!$A$2:$K$1621,10,0),VLOOKUP($A37&amp;R$2,'2004'!$B$2:$K$1621,10,0))</f>
        <v>DIG</v>
      </c>
      <c r="S37" s="38" t="str">
        <f>IF(ISNA(VLOOKUP($A37&amp;S$2,'2004'!$B$2:$K$1621,10,0)),VLOOKUP($A37&amp;S$2,'2004'!$A$2:$K$1621,10,0),VLOOKUP($A37&amp;S$2,'2004'!$B$2:$K$1621,10,0))</f>
        <v>NNN</v>
      </c>
      <c r="T37" s="38" t="str">
        <f>IF(ISNA(VLOOKUP($A37&amp;T$2,'2004'!$B$2:$K$1621,10,0)),VLOOKUP($A37&amp;T$2,'2004'!$A$2:$K$1621,10,0),VLOOKUP($A37&amp;T$2,'2004'!$B$2:$K$1621,10,0))</f>
        <v>OKO</v>
      </c>
      <c r="U37" s="38" t="str">
        <f>IF(ISNA(VLOOKUP($A37&amp;U$2,'2004'!$B$2:$K$1621,10,0)),VLOOKUP($A37&amp;U$2,'2004'!$A$2:$K$1621,10,0),VLOOKUP($A37&amp;U$2,'2004'!$B$2:$K$1621,10,0))</f>
        <v>FFR</v>
      </c>
    </row>
    <row r="38" spans="1:21" x14ac:dyDescent="0.25">
      <c r="A38" s="40">
        <f t="shared" si="0"/>
        <v>38115</v>
      </c>
      <c r="B38" s="36" t="str">
        <f>IF(ISNA(VLOOKUP($A38&amp;B$2,'2004'!$B$2:$K$1621,10,0)),VLOOKUP($A38&amp;B$2,'2004'!$A$2:$K$1621,10,0),VLOOKUP($A38&amp;B$2,'2004'!$B$2:$K$1621,10,0))</f>
        <v>@NEP</v>
      </c>
      <c r="C38" s="36" t="str">
        <f>IF(ISNA(VLOOKUP($A38&amp;C$2,'2004'!$B$2:$K$1621,10,0)),VLOOKUP($A38&amp;C$2,'2004'!$A$2:$K$1621,10,0),VLOOKUP($A38&amp;C$2,'2004'!$B$2:$K$1621,10,0))</f>
        <v>@REN</v>
      </c>
      <c r="D38" s="36" t="str">
        <f>IF(ISNA(VLOOKUP($A38&amp;D$2,'2004'!$B$2:$K$1621,10,0)),VLOOKUP($A38&amp;D$2,'2004'!$A$2:$K$1621,10,0),VLOOKUP($A38&amp;D$2,'2004'!$B$2:$K$1621,10,0))</f>
        <v>@FDH</v>
      </c>
      <c r="E38" s="36" t="str">
        <f>IF(ISNA(VLOOKUP($A38&amp;E$2,'2004'!$B$2:$K$1621,10,0)),VLOOKUP($A38&amp;E$2,'2004'!$A$2:$K$1621,10,0),VLOOKUP($A38&amp;E$2,'2004'!$B$2:$K$1621,10,0))</f>
        <v>@CEN</v>
      </c>
      <c r="F38" s="36" t="str">
        <f>IF(ISNA(VLOOKUP($A38&amp;F$2,'2004'!$B$2:$K$1621,10,0)),VLOOKUP($A38&amp;F$2,'2004'!$A$2:$K$1621,10,0),VLOOKUP($A38&amp;F$2,'2004'!$B$2:$K$1621,10,0))</f>
        <v>@TEW</v>
      </c>
      <c r="G38" s="35" t="str">
        <f>IF(ISNA(VLOOKUP($A38&amp;G$2,'2004'!$B$2:$K$1621,10,0)),VLOOKUP($A38&amp;G$2,'2004'!$A$2:$K$1621,10,0),VLOOKUP($A38&amp;G$2,'2004'!$B$2:$K$1621,10,0))</f>
        <v>CIN</v>
      </c>
      <c r="H38" s="35" t="str">
        <f>IF(ISNA(VLOOKUP($A38&amp;H$2,'2004'!$B$2:$K$1621,10,0)),VLOOKUP($A38&amp;H$2,'2004'!$A$2:$K$1621,10,0),VLOOKUP($A38&amp;H$2,'2004'!$B$2:$K$1621,10,0))</f>
        <v>CTW</v>
      </c>
      <c r="I38" s="35" t="str">
        <f>IF(ISNA(VLOOKUP($A38&amp;I$2,'2004'!$B$2:$K$1621,10,0)),VLOOKUP($A38&amp;I$2,'2004'!$A$2:$K$1621,10,0),VLOOKUP($A38&amp;I$2,'2004'!$B$2:$K$1621,10,0))</f>
        <v>BBG</v>
      </c>
      <c r="J38" s="35" t="str">
        <f>IF(ISNA(VLOOKUP($A38&amp;J$2,'2004'!$B$2:$K$1621,10,0)),VLOOKUP($A38&amp;J$2,'2004'!$A$2:$K$1621,10,0),VLOOKUP($A38&amp;J$2,'2004'!$B$2:$K$1621,10,0))</f>
        <v>BAR</v>
      </c>
      <c r="K38" s="35" t="str">
        <f>IF(ISNA(VLOOKUP($A38&amp;K$2,'2004'!$B$2:$K$1621,10,0)),VLOOKUP($A38&amp;K$2,'2004'!$A$2:$K$1621,10,0),VLOOKUP($A38&amp;K$2,'2004'!$B$2:$K$1621,10,0))</f>
        <v>GAR</v>
      </c>
      <c r="L38" s="34" t="str">
        <f>IF(ISNA(VLOOKUP($A38&amp;L$2,'2004'!$B$2:$K$1621,10,0)),VLOOKUP($A38&amp;L$2,'2004'!$A$2:$K$1621,10,0),VLOOKUP($A38&amp;L$2,'2004'!$B$2:$K$1621,10,0))</f>
        <v>@CBB</v>
      </c>
      <c r="M38" s="34" t="str">
        <f>IF(ISNA(VLOOKUP($A38&amp;M$2,'2004'!$B$2:$K$1621,10,0)),VLOOKUP($A38&amp;M$2,'2004'!$A$2:$K$1621,10,0),VLOOKUP($A38&amp;M$2,'2004'!$B$2:$K$1621,10,0))</f>
        <v>@PHI</v>
      </c>
      <c r="N38" s="34" t="str">
        <f>IF(ISNA(VLOOKUP($A38&amp;N$2,'2004'!$B$2:$K$1621,10,0)),VLOOKUP($A38&amp;N$2,'2004'!$A$2:$K$1621,10,0),VLOOKUP($A38&amp;N$2,'2004'!$B$2:$K$1621,10,0))</f>
        <v>@HAR</v>
      </c>
      <c r="O38" s="34" t="str">
        <f>IF(ISNA(VLOOKUP($A38&amp;O$2,'2004'!$B$2:$K$1621,10,0)),VLOOKUP($A38&amp;O$2,'2004'!$A$2:$K$1621,10,0),VLOOKUP($A38&amp;O$2,'2004'!$B$2:$K$1621,10,0))</f>
        <v>@NYD</v>
      </c>
      <c r="P38" s="34" t="str">
        <f>IF(ISNA(VLOOKUP($A38&amp;P$2,'2004'!$B$2:$K$1621,10,0)),VLOOKUP($A38&amp;P$2,'2004'!$A$2:$K$1621,10,0),VLOOKUP($A38&amp;P$2,'2004'!$B$2:$K$1621,10,0))</f>
        <v>@BRK</v>
      </c>
      <c r="Q38" s="38" t="str">
        <f>IF(ISNA(VLOOKUP($A38&amp;Q$2,'2004'!$B$2:$K$1621,10,0)),VLOOKUP($A38&amp;Q$2,'2004'!$A$2:$K$1621,10,0),VLOOKUP($A38&amp;Q$2,'2004'!$B$2:$K$1621,10,0))</f>
        <v>RMO</v>
      </c>
      <c r="R38" s="38" t="str">
        <f>IF(ISNA(VLOOKUP($A38&amp;R$2,'2004'!$B$2:$K$1621,10,0)),VLOOKUP($A38&amp;R$2,'2004'!$A$2:$K$1621,10,0),VLOOKUP($A38&amp;R$2,'2004'!$B$2:$K$1621,10,0))</f>
        <v>DIG</v>
      </c>
      <c r="S38" s="38" t="str">
        <f>IF(ISNA(VLOOKUP($A38&amp;S$2,'2004'!$B$2:$K$1621,10,0)),VLOOKUP($A38&amp;S$2,'2004'!$A$2:$K$1621,10,0),VLOOKUP($A38&amp;S$2,'2004'!$B$2:$K$1621,10,0))</f>
        <v>NNN</v>
      </c>
      <c r="T38" s="38" t="str">
        <f>IF(ISNA(VLOOKUP($A38&amp;T$2,'2004'!$B$2:$K$1621,10,0)),VLOOKUP($A38&amp;T$2,'2004'!$A$2:$K$1621,10,0),VLOOKUP($A38&amp;T$2,'2004'!$B$2:$K$1621,10,0))</f>
        <v>OKO</v>
      </c>
      <c r="U38" s="38" t="str">
        <f>IF(ISNA(VLOOKUP($A38&amp;U$2,'2004'!$B$2:$K$1621,10,0)),VLOOKUP($A38&amp;U$2,'2004'!$A$2:$K$1621,10,0),VLOOKUP($A38&amp;U$2,'2004'!$B$2:$K$1621,10,0))</f>
        <v>FFR</v>
      </c>
    </row>
    <row r="39" spans="1:21" x14ac:dyDescent="0.25">
      <c r="A39" s="40">
        <f t="shared" si="0"/>
        <v>38116</v>
      </c>
      <c r="B39" s="36" t="str">
        <f>IF(ISNA(VLOOKUP($A39&amp;B$2,'2004'!$B$2:$K$1621,10,0)),VLOOKUP($A39&amp;B$2,'2004'!$A$2:$K$1621,10,0),VLOOKUP($A39&amp;B$2,'2004'!$B$2:$K$1621,10,0))</f>
        <v>@NEP</v>
      </c>
      <c r="C39" s="36" t="str">
        <f>IF(ISNA(VLOOKUP($A39&amp;C$2,'2004'!$B$2:$K$1621,10,0)),VLOOKUP($A39&amp;C$2,'2004'!$A$2:$K$1621,10,0),VLOOKUP($A39&amp;C$2,'2004'!$B$2:$K$1621,10,0))</f>
        <v>@REN</v>
      </c>
      <c r="D39" s="36" t="str">
        <f>IF(ISNA(VLOOKUP($A39&amp;D$2,'2004'!$B$2:$K$1621,10,0)),VLOOKUP($A39&amp;D$2,'2004'!$A$2:$K$1621,10,0),VLOOKUP($A39&amp;D$2,'2004'!$B$2:$K$1621,10,0))</f>
        <v>@FDH</v>
      </c>
      <c r="E39" s="36" t="str">
        <f>IF(ISNA(VLOOKUP($A39&amp;E$2,'2004'!$B$2:$K$1621,10,0)),VLOOKUP($A39&amp;E$2,'2004'!$A$2:$K$1621,10,0),VLOOKUP($A39&amp;E$2,'2004'!$B$2:$K$1621,10,0))</f>
        <v>@CEN</v>
      </c>
      <c r="F39" s="36" t="str">
        <f>IF(ISNA(VLOOKUP($A39&amp;F$2,'2004'!$B$2:$K$1621,10,0)),VLOOKUP($A39&amp;F$2,'2004'!$A$2:$K$1621,10,0),VLOOKUP($A39&amp;F$2,'2004'!$B$2:$K$1621,10,0))</f>
        <v>@TEW</v>
      </c>
      <c r="G39" s="35" t="str">
        <f>IF(ISNA(VLOOKUP($A39&amp;G$2,'2004'!$B$2:$K$1621,10,0)),VLOOKUP($A39&amp;G$2,'2004'!$A$2:$K$1621,10,0),VLOOKUP($A39&amp;G$2,'2004'!$B$2:$K$1621,10,0))</f>
        <v>CIN</v>
      </c>
      <c r="H39" s="35" t="str">
        <f>IF(ISNA(VLOOKUP($A39&amp;H$2,'2004'!$B$2:$K$1621,10,0)),VLOOKUP($A39&amp;H$2,'2004'!$A$2:$K$1621,10,0),VLOOKUP($A39&amp;H$2,'2004'!$B$2:$K$1621,10,0))</f>
        <v>CTW</v>
      </c>
      <c r="I39" s="35" t="str">
        <f>IF(ISNA(VLOOKUP($A39&amp;I$2,'2004'!$B$2:$K$1621,10,0)),VLOOKUP($A39&amp;I$2,'2004'!$A$2:$K$1621,10,0),VLOOKUP($A39&amp;I$2,'2004'!$B$2:$K$1621,10,0))</f>
        <v>BBG</v>
      </c>
      <c r="J39" s="35" t="str">
        <f>IF(ISNA(VLOOKUP($A39&amp;J$2,'2004'!$B$2:$K$1621,10,0)),VLOOKUP($A39&amp;J$2,'2004'!$A$2:$K$1621,10,0),VLOOKUP($A39&amp;J$2,'2004'!$B$2:$K$1621,10,0))</f>
        <v>BAR</v>
      </c>
      <c r="K39" s="35" t="str">
        <f>IF(ISNA(VLOOKUP($A39&amp;K$2,'2004'!$B$2:$K$1621,10,0)),VLOOKUP($A39&amp;K$2,'2004'!$A$2:$K$1621,10,0),VLOOKUP($A39&amp;K$2,'2004'!$B$2:$K$1621,10,0))</f>
        <v>GAR</v>
      </c>
      <c r="L39" s="34" t="str">
        <f>IF(ISNA(VLOOKUP($A39&amp;L$2,'2004'!$B$2:$K$1621,10,0)),VLOOKUP($A39&amp;L$2,'2004'!$A$2:$K$1621,10,0),VLOOKUP($A39&amp;L$2,'2004'!$B$2:$K$1621,10,0))</f>
        <v>@CBB</v>
      </c>
      <c r="M39" s="34" t="str">
        <f>IF(ISNA(VLOOKUP($A39&amp;M$2,'2004'!$B$2:$K$1621,10,0)),VLOOKUP($A39&amp;M$2,'2004'!$A$2:$K$1621,10,0),VLOOKUP($A39&amp;M$2,'2004'!$B$2:$K$1621,10,0))</f>
        <v>@PHI</v>
      </c>
      <c r="N39" s="34" t="str">
        <f>IF(ISNA(VLOOKUP($A39&amp;N$2,'2004'!$B$2:$K$1621,10,0)),VLOOKUP($A39&amp;N$2,'2004'!$A$2:$K$1621,10,0),VLOOKUP($A39&amp;N$2,'2004'!$B$2:$K$1621,10,0))</f>
        <v>@HAR</v>
      </c>
      <c r="O39" s="34" t="str">
        <f>IF(ISNA(VLOOKUP($A39&amp;O$2,'2004'!$B$2:$K$1621,10,0)),VLOOKUP($A39&amp;O$2,'2004'!$A$2:$K$1621,10,0),VLOOKUP($A39&amp;O$2,'2004'!$B$2:$K$1621,10,0))</f>
        <v>@NYD</v>
      </c>
      <c r="P39" s="34" t="str">
        <f>IF(ISNA(VLOOKUP($A39&amp;P$2,'2004'!$B$2:$K$1621,10,0)),VLOOKUP($A39&amp;P$2,'2004'!$A$2:$K$1621,10,0),VLOOKUP($A39&amp;P$2,'2004'!$B$2:$K$1621,10,0))</f>
        <v>@BRK</v>
      </c>
      <c r="Q39" s="38" t="str">
        <f>IF(ISNA(VLOOKUP($A39&amp;Q$2,'2004'!$B$2:$K$1621,10,0)),VLOOKUP($A39&amp;Q$2,'2004'!$A$2:$K$1621,10,0),VLOOKUP($A39&amp;Q$2,'2004'!$B$2:$K$1621,10,0))</f>
        <v>RMO</v>
      </c>
      <c r="R39" s="38" t="str">
        <f>IF(ISNA(VLOOKUP($A39&amp;R$2,'2004'!$B$2:$K$1621,10,0)),VLOOKUP($A39&amp;R$2,'2004'!$A$2:$K$1621,10,0),VLOOKUP($A39&amp;R$2,'2004'!$B$2:$K$1621,10,0))</f>
        <v>DIG</v>
      </c>
      <c r="S39" s="38" t="str">
        <f>IF(ISNA(VLOOKUP($A39&amp;S$2,'2004'!$B$2:$K$1621,10,0)),VLOOKUP($A39&amp;S$2,'2004'!$A$2:$K$1621,10,0),VLOOKUP($A39&amp;S$2,'2004'!$B$2:$K$1621,10,0))</f>
        <v>NNN</v>
      </c>
      <c r="T39" s="38" t="str">
        <f>IF(ISNA(VLOOKUP($A39&amp;T$2,'2004'!$B$2:$K$1621,10,0)),VLOOKUP($A39&amp;T$2,'2004'!$A$2:$K$1621,10,0),VLOOKUP($A39&amp;T$2,'2004'!$B$2:$K$1621,10,0))</f>
        <v>OKO</v>
      </c>
      <c r="U39" s="38" t="str">
        <f>IF(ISNA(VLOOKUP($A39&amp;U$2,'2004'!$B$2:$K$1621,10,0)),VLOOKUP($A39&amp;U$2,'2004'!$A$2:$K$1621,10,0),VLOOKUP($A39&amp;U$2,'2004'!$B$2:$K$1621,10,0))</f>
        <v>FFR</v>
      </c>
    </row>
    <row r="40" spans="1:21" x14ac:dyDescent="0.25">
      <c r="A40" s="40">
        <f t="shared" si="0"/>
        <v>38117</v>
      </c>
      <c r="B40" s="36" t="str">
        <f>IF(ISNA(VLOOKUP($A40&amp;B$2,'2004'!$B$2:$K$1621,10,0)),VLOOKUP($A40&amp;B$2,'2004'!$A$2:$K$1621,10,0),VLOOKUP($A40&amp;B$2,'2004'!$B$2:$K$1621,10,0))</f>
        <v>@NEP</v>
      </c>
      <c r="C40" s="36" t="str">
        <f>IF(ISNA(VLOOKUP($A40&amp;C$2,'2004'!$B$2:$K$1621,10,0)),VLOOKUP($A40&amp;C$2,'2004'!$A$2:$K$1621,10,0),VLOOKUP($A40&amp;C$2,'2004'!$B$2:$K$1621,10,0))</f>
        <v>@REN</v>
      </c>
      <c r="D40" s="36" t="str">
        <f>IF(ISNA(VLOOKUP($A40&amp;D$2,'2004'!$B$2:$K$1621,10,0)),VLOOKUP($A40&amp;D$2,'2004'!$A$2:$K$1621,10,0),VLOOKUP($A40&amp;D$2,'2004'!$B$2:$K$1621,10,0))</f>
        <v>@FDH</v>
      </c>
      <c r="E40" s="36" t="str">
        <f>IF(ISNA(VLOOKUP($A40&amp;E$2,'2004'!$B$2:$K$1621,10,0)),VLOOKUP($A40&amp;E$2,'2004'!$A$2:$K$1621,10,0),VLOOKUP($A40&amp;E$2,'2004'!$B$2:$K$1621,10,0))</f>
        <v>@CEN</v>
      </c>
      <c r="F40" s="36" t="str">
        <f>IF(ISNA(VLOOKUP($A40&amp;F$2,'2004'!$B$2:$K$1621,10,0)),VLOOKUP($A40&amp;F$2,'2004'!$A$2:$K$1621,10,0),VLOOKUP($A40&amp;F$2,'2004'!$B$2:$K$1621,10,0))</f>
        <v>@TEW</v>
      </c>
      <c r="G40" s="35" t="str">
        <f>IF(ISNA(VLOOKUP($A40&amp;G$2,'2004'!$B$2:$K$1621,10,0)),VLOOKUP($A40&amp;G$2,'2004'!$A$2:$K$1621,10,0),VLOOKUP($A40&amp;G$2,'2004'!$B$2:$K$1621,10,0))</f>
        <v>CIN</v>
      </c>
      <c r="H40" s="35" t="str">
        <f>IF(ISNA(VLOOKUP($A40&amp;H$2,'2004'!$B$2:$K$1621,10,0)),VLOOKUP($A40&amp;H$2,'2004'!$A$2:$K$1621,10,0),VLOOKUP($A40&amp;H$2,'2004'!$B$2:$K$1621,10,0))</f>
        <v>CTW</v>
      </c>
      <c r="I40" s="35" t="str">
        <f>IF(ISNA(VLOOKUP($A40&amp;I$2,'2004'!$B$2:$K$1621,10,0)),VLOOKUP($A40&amp;I$2,'2004'!$A$2:$K$1621,10,0),VLOOKUP($A40&amp;I$2,'2004'!$B$2:$K$1621,10,0))</f>
        <v>BBG</v>
      </c>
      <c r="J40" s="35" t="str">
        <f>IF(ISNA(VLOOKUP($A40&amp;J$2,'2004'!$B$2:$K$1621,10,0)),VLOOKUP($A40&amp;J$2,'2004'!$A$2:$K$1621,10,0),VLOOKUP($A40&amp;J$2,'2004'!$B$2:$K$1621,10,0))</f>
        <v>BAR</v>
      </c>
      <c r="K40" s="35" t="str">
        <f>IF(ISNA(VLOOKUP($A40&amp;K$2,'2004'!$B$2:$K$1621,10,0)),VLOOKUP($A40&amp;K$2,'2004'!$A$2:$K$1621,10,0),VLOOKUP($A40&amp;K$2,'2004'!$B$2:$K$1621,10,0))</f>
        <v>GAR</v>
      </c>
      <c r="L40" s="34" t="str">
        <f>IF(ISNA(VLOOKUP($A40&amp;L$2,'2004'!$B$2:$K$1621,10,0)),VLOOKUP($A40&amp;L$2,'2004'!$A$2:$K$1621,10,0),VLOOKUP($A40&amp;L$2,'2004'!$B$2:$K$1621,10,0))</f>
        <v>@CBB</v>
      </c>
      <c r="M40" s="34" t="str">
        <f>IF(ISNA(VLOOKUP($A40&amp;M$2,'2004'!$B$2:$K$1621,10,0)),VLOOKUP($A40&amp;M$2,'2004'!$A$2:$K$1621,10,0),VLOOKUP($A40&amp;M$2,'2004'!$B$2:$K$1621,10,0))</f>
        <v>@PHI</v>
      </c>
      <c r="N40" s="34" t="str">
        <f>IF(ISNA(VLOOKUP($A40&amp;N$2,'2004'!$B$2:$K$1621,10,0)),VLOOKUP($A40&amp;N$2,'2004'!$A$2:$K$1621,10,0),VLOOKUP($A40&amp;N$2,'2004'!$B$2:$K$1621,10,0))</f>
        <v>@HAR</v>
      </c>
      <c r="O40" s="34" t="str">
        <f>IF(ISNA(VLOOKUP($A40&amp;O$2,'2004'!$B$2:$K$1621,10,0)),VLOOKUP($A40&amp;O$2,'2004'!$A$2:$K$1621,10,0),VLOOKUP($A40&amp;O$2,'2004'!$B$2:$K$1621,10,0))</f>
        <v>@NYD</v>
      </c>
      <c r="P40" s="34" t="str">
        <f>IF(ISNA(VLOOKUP($A40&amp;P$2,'2004'!$B$2:$K$1621,10,0)),VLOOKUP($A40&amp;P$2,'2004'!$A$2:$K$1621,10,0),VLOOKUP($A40&amp;P$2,'2004'!$B$2:$K$1621,10,0))</f>
        <v>@BRK</v>
      </c>
      <c r="Q40" s="38" t="str">
        <f>IF(ISNA(VLOOKUP($A40&amp;Q$2,'2004'!$B$2:$K$1621,10,0)),VLOOKUP($A40&amp;Q$2,'2004'!$A$2:$K$1621,10,0),VLOOKUP($A40&amp;Q$2,'2004'!$B$2:$K$1621,10,0))</f>
        <v>RMO</v>
      </c>
      <c r="R40" s="38" t="str">
        <f>IF(ISNA(VLOOKUP($A40&amp;R$2,'2004'!$B$2:$K$1621,10,0)),VLOOKUP($A40&amp;R$2,'2004'!$A$2:$K$1621,10,0),VLOOKUP($A40&amp;R$2,'2004'!$B$2:$K$1621,10,0))</f>
        <v>DIG</v>
      </c>
      <c r="S40" s="38" t="str">
        <f>IF(ISNA(VLOOKUP($A40&amp;S$2,'2004'!$B$2:$K$1621,10,0)),VLOOKUP($A40&amp;S$2,'2004'!$A$2:$K$1621,10,0),VLOOKUP($A40&amp;S$2,'2004'!$B$2:$K$1621,10,0))</f>
        <v>NNN</v>
      </c>
      <c r="T40" s="38" t="str">
        <f>IF(ISNA(VLOOKUP($A40&amp;T$2,'2004'!$B$2:$K$1621,10,0)),VLOOKUP($A40&amp;T$2,'2004'!$A$2:$K$1621,10,0),VLOOKUP($A40&amp;T$2,'2004'!$B$2:$K$1621,10,0))</f>
        <v>OKO</v>
      </c>
      <c r="U40" s="38" t="str">
        <f>IF(ISNA(VLOOKUP($A40&amp;U$2,'2004'!$B$2:$K$1621,10,0)),VLOOKUP($A40&amp;U$2,'2004'!$A$2:$K$1621,10,0),VLOOKUP($A40&amp;U$2,'2004'!$B$2:$K$1621,10,0))</f>
        <v>FFR</v>
      </c>
    </row>
    <row r="41" spans="1:21" x14ac:dyDescent="0.25">
      <c r="A41" s="40">
        <f t="shared" si="0"/>
        <v>38118</v>
      </c>
      <c r="B41" s="36" t="e">
        <f>IF(ISNA(VLOOKUP($A41&amp;B$2,'2004'!$B$2:$K$1621,10,0)),VLOOKUP($A41&amp;B$2,'2004'!$A$2:$K$1621,10,0),VLOOKUP($A41&amp;B$2,'2004'!$B$2:$K$1621,10,0))</f>
        <v>#N/A</v>
      </c>
      <c r="C41" s="36" t="e">
        <f>IF(ISNA(VLOOKUP($A41&amp;C$2,'2004'!$B$2:$K$1621,10,0)),VLOOKUP($A41&amp;C$2,'2004'!$A$2:$K$1621,10,0),VLOOKUP($A41&amp;C$2,'2004'!$B$2:$K$1621,10,0))</f>
        <v>#N/A</v>
      </c>
      <c r="D41" s="36" t="e">
        <f>IF(ISNA(VLOOKUP($A41&amp;D$2,'2004'!$B$2:$K$1621,10,0)),VLOOKUP($A41&amp;D$2,'2004'!$A$2:$K$1621,10,0),VLOOKUP($A41&amp;D$2,'2004'!$B$2:$K$1621,10,0))</f>
        <v>#N/A</v>
      </c>
      <c r="E41" s="36" t="e">
        <f>IF(ISNA(VLOOKUP($A41&amp;E$2,'2004'!$B$2:$K$1621,10,0)),VLOOKUP($A41&amp;E$2,'2004'!$A$2:$K$1621,10,0),VLOOKUP($A41&amp;E$2,'2004'!$B$2:$K$1621,10,0))</f>
        <v>#N/A</v>
      </c>
      <c r="F41" s="36" t="e">
        <f>IF(ISNA(VLOOKUP($A41&amp;F$2,'2004'!$B$2:$K$1621,10,0)),VLOOKUP($A41&amp;F$2,'2004'!$A$2:$K$1621,10,0),VLOOKUP($A41&amp;F$2,'2004'!$B$2:$K$1621,10,0))</f>
        <v>#N/A</v>
      </c>
      <c r="G41" s="35" t="e">
        <f>IF(ISNA(VLOOKUP($A41&amp;G$2,'2004'!$B$2:$K$1621,10,0)),VLOOKUP($A41&amp;G$2,'2004'!$A$2:$K$1621,10,0),VLOOKUP($A41&amp;G$2,'2004'!$B$2:$K$1621,10,0))</f>
        <v>#N/A</v>
      </c>
      <c r="H41" s="35" t="e">
        <f>IF(ISNA(VLOOKUP($A41&amp;H$2,'2004'!$B$2:$K$1621,10,0)),VLOOKUP($A41&amp;H$2,'2004'!$A$2:$K$1621,10,0),VLOOKUP($A41&amp;H$2,'2004'!$B$2:$K$1621,10,0))</f>
        <v>#N/A</v>
      </c>
      <c r="I41" s="35" t="e">
        <f>IF(ISNA(VLOOKUP($A41&amp;I$2,'2004'!$B$2:$K$1621,10,0)),VLOOKUP($A41&amp;I$2,'2004'!$A$2:$K$1621,10,0),VLOOKUP($A41&amp;I$2,'2004'!$B$2:$K$1621,10,0))</f>
        <v>#N/A</v>
      </c>
      <c r="J41" s="35" t="e">
        <f>IF(ISNA(VLOOKUP($A41&amp;J$2,'2004'!$B$2:$K$1621,10,0)),VLOOKUP($A41&amp;J$2,'2004'!$A$2:$K$1621,10,0),VLOOKUP($A41&amp;J$2,'2004'!$B$2:$K$1621,10,0))</f>
        <v>#N/A</v>
      </c>
      <c r="K41" s="35" t="e">
        <f>IF(ISNA(VLOOKUP($A41&amp;K$2,'2004'!$B$2:$K$1621,10,0)),VLOOKUP($A41&amp;K$2,'2004'!$A$2:$K$1621,10,0),VLOOKUP($A41&amp;K$2,'2004'!$B$2:$K$1621,10,0))</f>
        <v>#N/A</v>
      </c>
      <c r="L41" s="34" t="str">
        <f>IF(ISNA(VLOOKUP($A41&amp;L$2,'2004'!$B$2:$K$1621,10,0)),VLOOKUP($A41&amp;L$2,'2004'!$A$2:$K$1621,10,0),VLOOKUP($A41&amp;L$2,'2004'!$B$2:$K$1621,10,0))</f>
        <v>@FFR</v>
      </c>
      <c r="M41" s="34" t="str">
        <f>IF(ISNA(VLOOKUP($A41&amp;M$2,'2004'!$B$2:$K$1621,10,0)),VLOOKUP($A41&amp;M$2,'2004'!$A$2:$K$1621,10,0),VLOOKUP($A41&amp;M$2,'2004'!$B$2:$K$1621,10,0))</f>
        <v>DIG</v>
      </c>
      <c r="N41" s="34" t="str">
        <f>IF(ISNA(VLOOKUP($A41&amp;N$2,'2004'!$B$2:$K$1621,10,0)),VLOOKUP($A41&amp;N$2,'2004'!$A$2:$K$1621,10,0),VLOOKUP($A41&amp;N$2,'2004'!$B$2:$K$1621,10,0))</f>
        <v>@OKO</v>
      </c>
      <c r="O41" s="34" t="str">
        <f>IF(ISNA(VLOOKUP($A41&amp;O$2,'2004'!$B$2:$K$1621,10,0)),VLOOKUP($A41&amp;O$2,'2004'!$A$2:$K$1621,10,0),VLOOKUP($A41&amp;O$2,'2004'!$B$2:$K$1621,10,0))</f>
        <v>NNN</v>
      </c>
      <c r="P41" s="34" t="e">
        <f>IF(ISNA(VLOOKUP($A41&amp;P$2,'2004'!$B$2:$K$1621,10,0)),VLOOKUP($A41&amp;P$2,'2004'!$A$2:$K$1621,10,0),VLOOKUP($A41&amp;P$2,'2004'!$B$2:$K$1621,10,0))</f>
        <v>#N/A</v>
      </c>
      <c r="Q41" s="38" t="e">
        <f>IF(ISNA(VLOOKUP($A41&amp;Q$2,'2004'!$B$2:$K$1621,10,0)),VLOOKUP($A41&amp;Q$2,'2004'!$A$2:$K$1621,10,0),VLOOKUP($A41&amp;Q$2,'2004'!$B$2:$K$1621,10,0))</f>
        <v>#N/A</v>
      </c>
      <c r="R41" s="38" t="e">
        <f>IF(ISNA(VLOOKUP($A41&amp;R$2,'2004'!$B$2:$K$1621,10,0)),VLOOKUP($A41&amp;R$2,'2004'!$A$2:$K$1621,10,0),VLOOKUP($A41&amp;R$2,'2004'!$B$2:$K$1621,10,0))</f>
        <v>#N/A</v>
      </c>
      <c r="S41" s="38" t="e">
        <f>IF(ISNA(VLOOKUP($A41&amp;S$2,'2004'!$B$2:$K$1621,10,0)),VLOOKUP($A41&amp;S$2,'2004'!$A$2:$K$1621,10,0),VLOOKUP($A41&amp;S$2,'2004'!$B$2:$K$1621,10,0))</f>
        <v>#N/A</v>
      </c>
      <c r="T41" s="38" t="e">
        <f>IF(ISNA(VLOOKUP($A41&amp;T$2,'2004'!$B$2:$K$1621,10,0)),VLOOKUP($A41&amp;T$2,'2004'!$A$2:$K$1621,10,0),VLOOKUP($A41&amp;T$2,'2004'!$B$2:$K$1621,10,0))</f>
        <v>#N/A</v>
      </c>
      <c r="U41" s="38" t="e">
        <f>IF(ISNA(VLOOKUP($A41&amp;U$2,'2004'!$B$2:$K$1621,10,0)),VLOOKUP($A41&amp;U$2,'2004'!$A$2:$K$1621,10,0),VLOOKUP($A41&amp;U$2,'2004'!$B$2:$K$1621,10,0))</f>
        <v>#N/A</v>
      </c>
    </row>
    <row r="42" spans="1:21" x14ac:dyDescent="0.25">
      <c r="A42" s="40">
        <f t="shared" si="0"/>
        <v>38119</v>
      </c>
      <c r="B42" s="36" t="str">
        <f>IF(ISNA(VLOOKUP($A42&amp;B$2,'2004'!$B$2:$K$1621,10,0)),VLOOKUP($A42&amp;B$2,'2004'!$A$2:$K$1621,10,0),VLOOKUP($A42&amp;B$2,'2004'!$B$2:$K$1621,10,0))</f>
        <v>CIN</v>
      </c>
      <c r="C42" s="36" t="str">
        <f>IF(ISNA(VLOOKUP($A42&amp;C$2,'2004'!$B$2:$K$1621,10,0)),VLOOKUP($A42&amp;C$2,'2004'!$A$2:$K$1621,10,0),VLOOKUP($A42&amp;C$2,'2004'!$B$2:$K$1621,10,0))</f>
        <v>GAR</v>
      </c>
      <c r="D42" s="36" t="str">
        <f>IF(ISNA(VLOOKUP($A42&amp;D$2,'2004'!$B$2:$K$1621,10,0)),VLOOKUP($A42&amp;D$2,'2004'!$A$2:$K$1621,10,0),VLOOKUP($A42&amp;D$2,'2004'!$B$2:$K$1621,10,0))</f>
        <v>NEP</v>
      </c>
      <c r="E42" s="36" t="str">
        <f>IF(ISNA(VLOOKUP($A42&amp;E$2,'2004'!$B$2:$K$1621,10,0)),VLOOKUP($A42&amp;E$2,'2004'!$A$2:$K$1621,10,0),VLOOKUP($A42&amp;E$2,'2004'!$B$2:$K$1621,10,0))</f>
        <v>@BBG</v>
      </c>
      <c r="F42" s="36" t="str">
        <f>IF(ISNA(VLOOKUP($A42&amp;F$2,'2004'!$B$2:$K$1621,10,0)),VLOOKUP($A42&amp;F$2,'2004'!$A$2:$K$1621,10,0),VLOOKUP($A42&amp;F$2,'2004'!$B$2:$K$1621,10,0))</f>
        <v>@BAR</v>
      </c>
      <c r="G42" s="35" t="str">
        <f>IF(ISNA(VLOOKUP($A42&amp;G$2,'2004'!$B$2:$K$1621,10,0)),VLOOKUP($A42&amp;G$2,'2004'!$A$2:$K$1621,10,0),VLOOKUP($A42&amp;G$2,'2004'!$B$2:$K$1621,10,0))</f>
        <v>REN</v>
      </c>
      <c r="H42" s="35" t="str">
        <f>IF(ISNA(VLOOKUP($A42&amp;H$2,'2004'!$B$2:$K$1621,10,0)),VLOOKUP($A42&amp;H$2,'2004'!$A$2:$K$1621,10,0),VLOOKUP($A42&amp;H$2,'2004'!$B$2:$K$1621,10,0))</f>
        <v>@TEW</v>
      </c>
      <c r="I42" s="35" t="str">
        <f>IF(ISNA(VLOOKUP($A42&amp;I$2,'2004'!$B$2:$K$1621,10,0)),VLOOKUP($A42&amp;I$2,'2004'!$A$2:$K$1621,10,0),VLOOKUP($A42&amp;I$2,'2004'!$B$2:$K$1621,10,0))</f>
        <v>@CTW</v>
      </c>
      <c r="J42" s="35" t="str">
        <f>IF(ISNA(VLOOKUP($A42&amp;J$2,'2004'!$B$2:$K$1621,10,0)),VLOOKUP($A42&amp;J$2,'2004'!$A$2:$K$1621,10,0),VLOOKUP($A42&amp;J$2,'2004'!$B$2:$K$1621,10,0))</f>
        <v>@CEN</v>
      </c>
      <c r="K42" s="35" t="str">
        <f>IF(ISNA(VLOOKUP($A42&amp;K$2,'2004'!$B$2:$K$1621,10,0)),VLOOKUP($A42&amp;K$2,'2004'!$A$2:$K$1621,10,0),VLOOKUP($A42&amp;K$2,'2004'!$B$2:$K$1621,10,0))</f>
        <v>FDH</v>
      </c>
      <c r="L42" s="34" t="str">
        <f>IF(ISNA(VLOOKUP($A42&amp;L$2,'2004'!$B$2:$K$1621,10,0)),VLOOKUP($A42&amp;L$2,'2004'!$A$2:$K$1621,10,0),VLOOKUP($A42&amp;L$2,'2004'!$B$2:$K$1621,10,0))</f>
        <v>@FFR</v>
      </c>
      <c r="M42" s="34" t="str">
        <f>IF(ISNA(VLOOKUP($A42&amp;M$2,'2004'!$B$2:$K$1621,10,0)),VLOOKUP($A42&amp;M$2,'2004'!$A$2:$K$1621,10,0),VLOOKUP($A42&amp;M$2,'2004'!$B$2:$K$1621,10,0))</f>
        <v>DIG</v>
      </c>
      <c r="N42" s="34" t="str">
        <f>IF(ISNA(VLOOKUP($A42&amp;N$2,'2004'!$B$2:$K$1621,10,0)),VLOOKUP($A42&amp;N$2,'2004'!$A$2:$K$1621,10,0),VLOOKUP($A42&amp;N$2,'2004'!$B$2:$K$1621,10,0))</f>
        <v>@OKO</v>
      </c>
      <c r="O42" s="34" t="str">
        <f>IF(ISNA(VLOOKUP($A42&amp;O$2,'2004'!$B$2:$K$1621,10,0)),VLOOKUP($A42&amp;O$2,'2004'!$A$2:$K$1621,10,0),VLOOKUP($A42&amp;O$2,'2004'!$B$2:$K$1621,10,0))</f>
        <v>NNN</v>
      </c>
      <c r="P42" s="34" t="str">
        <f>IF(ISNA(VLOOKUP($A42&amp;P$2,'2004'!$B$2:$K$1621,10,0)),VLOOKUP($A42&amp;P$2,'2004'!$A$2:$K$1621,10,0),VLOOKUP($A42&amp;P$2,'2004'!$B$2:$K$1621,10,0))</f>
        <v>PHI</v>
      </c>
      <c r="Q42" s="38" t="str">
        <f>IF(ISNA(VLOOKUP($A42&amp;Q$2,'2004'!$B$2:$K$1621,10,0)),VLOOKUP($A42&amp;Q$2,'2004'!$A$2:$K$1621,10,0),VLOOKUP($A42&amp;Q$2,'2004'!$B$2:$K$1621,10,0))</f>
        <v>@HAR</v>
      </c>
      <c r="R42" s="38" t="str">
        <f>IF(ISNA(VLOOKUP($A42&amp;R$2,'2004'!$B$2:$K$1621,10,0)),VLOOKUP($A42&amp;R$2,'2004'!$A$2:$K$1621,10,0),VLOOKUP($A42&amp;R$2,'2004'!$B$2:$K$1621,10,0))</f>
        <v>NYD</v>
      </c>
      <c r="S42" s="38" t="str">
        <f>IF(ISNA(VLOOKUP($A42&amp;S$2,'2004'!$B$2:$K$1621,10,0)),VLOOKUP($A42&amp;S$2,'2004'!$A$2:$K$1621,10,0),VLOOKUP($A42&amp;S$2,'2004'!$B$2:$K$1621,10,0))</f>
        <v>BRK</v>
      </c>
      <c r="T42" s="38" t="str">
        <f>IF(ISNA(VLOOKUP($A42&amp;T$2,'2004'!$B$2:$K$1621,10,0)),VLOOKUP($A42&amp;T$2,'2004'!$A$2:$K$1621,10,0),VLOOKUP($A42&amp;T$2,'2004'!$B$2:$K$1621,10,0))</f>
        <v>@CBB</v>
      </c>
      <c r="U42" s="38" t="str">
        <f>IF(ISNA(VLOOKUP($A42&amp;U$2,'2004'!$B$2:$K$1621,10,0)),VLOOKUP($A42&amp;U$2,'2004'!$A$2:$K$1621,10,0),VLOOKUP($A42&amp;U$2,'2004'!$B$2:$K$1621,10,0))</f>
        <v>@RMO</v>
      </c>
    </row>
    <row r="43" spans="1:21" x14ac:dyDescent="0.25">
      <c r="A43" s="40">
        <f t="shared" si="0"/>
        <v>38120</v>
      </c>
      <c r="B43" s="36" t="str">
        <f>IF(ISNA(VLOOKUP($A43&amp;B$2,'2004'!$B$2:$K$1621,10,0)),VLOOKUP($A43&amp;B$2,'2004'!$A$2:$K$1621,10,0),VLOOKUP($A43&amp;B$2,'2004'!$B$2:$K$1621,10,0))</f>
        <v>CIN</v>
      </c>
      <c r="C43" s="36" t="str">
        <f>IF(ISNA(VLOOKUP($A43&amp;C$2,'2004'!$B$2:$K$1621,10,0)),VLOOKUP($A43&amp;C$2,'2004'!$A$2:$K$1621,10,0),VLOOKUP($A43&amp;C$2,'2004'!$B$2:$K$1621,10,0))</f>
        <v>GAR</v>
      </c>
      <c r="D43" s="36" t="str">
        <f>IF(ISNA(VLOOKUP($A43&amp;D$2,'2004'!$B$2:$K$1621,10,0)),VLOOKUP($A43&amp;D$2,'2004'!$A$2:$K$1621,10,0),VLOOKUP($A43&amp;D$2,'2004'!$B$2:$K$1621,10,0))</f>
        <v>NEP</v>
      </c>
      <c r="E43" s="36" t="str">
        <f>IF(ISNA(VLOOKUP($A43&amp;E$2,'2004'!$B$2:$K$1621,10,0)),VLOOKUP($A43&amp;E$2,'2004'!$A$2:$K$1621,10,0),VLOOKUP($A43&amp;E$2,'2004'!$B$2:$K$1621,10,0))</f>
        <v>@BBG</v>
      </c>
      <c r="F43" s="36" t="str">
        <f>IF(ISNA(VLOOKUP($A43&amp;F$2,'2004'!$B$2:$K$1621,10,0)),VLOOKUP($A43&amp;F$2,'2004'!$A$2:$K$1621,10,0),VLOOKUP($A43&amp;F$2,'2004'!$B$2:$K$1621,10,0))</f>
        <v>@BAR</v>
      </c>
      <c r="G43" s="35" t="str">
        <f>IF(ISNA(VLOOKUP($A43&amp;G$2,'2004'!$B$2:$K$1621,10,0)),VLOOKUP($A43&amp;G$2,'2004'!$A$2:$K$1621,10,0),VLOOKUP($A43&amp;G$2,'2004'!$B$2:$K$1621,10,0))</f>
        <v>REN</v>
      </c>
      <c r="H43" s="35" t="str">
        <f>IF(ISNA(VLOOKUP($A43&amp;H$2,'2004'!$B$2:$K$1621,10,0)),VLOOKUP($A43&amp;H$2,'2004'!$A$2:$K$1621,10,0),VLOOKUP($A43&amp;H$2,'2004'!$B$2:$K$1621,10,0))</f>
        <v>@TEW</v>
      </c>
      <c r="I43" s="35" t="str">
        <f>IF(ISNA(VLOOKUP($A43&amp;I$2,'2004'!$B$2:$K$1621,10,0)),VLOOKUP($A43&amp;I$2,'2004'!$A$2:$K$1621,10,0),VLOOKUP($A43&amp;I$2,'2004'!$B$2:$K$1621,10,0))</f>
        <v>@CTW</v>
      </c>
      <c r="J43" s="35" t="str">
        <f>IF(ISNA(VLOOKUP($A43&amp;J$2,'2004'!$B$2:$K$1621,10,0)),VLOOKUP($A43&amp;J$2,'2004'!$A$2:$K$1621,10,0),VLOOKUP($A43&amp;J$2,'2004'!$B$2:$K$1621,10,0))</f>
        <v>@CEN</v>
      </c>
      <c r="K43" s="35" t="str">
        <f>IF(ISNA(VLOOKUP($A43&amp;K$2,'2004'!$B$2:$K$1621,10,0)),VLOOKUP($A43&amp;K$2,'2004'!$A$2:$K$1621,10,0),VLOOKUP($A43&amp;K$2,'2004'!$B$2:$K$1621,10,0))</f>
        <v>FDH</v>
      </c>
      <c r="L43" s="34" t="str">
        <f>IF(ISNA(VLOOKUP($A43&amp;L$2,'2004'!$B$2:$K$1621,10,0)),VLOOKUP($A43&amp;L$2,'2004'!$A$2:$K$1621,10,0),VLOOKUP($A43&amp;L$2,'2004'!$B$2:$K$1621,10,0))</f>
        <v>@FFR</v>
      </c>
      <c r="M43" s="34" t="str">
        <f>IF(ISNA(VLOOKUP($A43&amp;M$2,'2004'!$B$2:$K$1621,10,0)),VLOOKUP($A43&amp;M$2,'2004'!$A$2:$K$1621,10,0),VLOOKUP($A43&amp;M$2,'2004'!$B$2:$K$1621,10,0))</f>
        <v>DIG</v>
      </c>
      <c r="N43" s="34" t="str">
        <f>IF(ISNA(VLOOKUP($A43&amp;N$2,'2004'!$B$2:$K$1621,10,0)),VLOOKUP($A43&amp;N$2,'2004'!$A$2:$K$1621,10,0),VLOOKUP($A43&amp;N$2,'2004'!$B$2:$K$1621,10,0))</f>
        <v>@OKO</v>
      </c>
      <c r="O43" s="34" t="str">
        <f>IF(ISNA(VLOOKUP($A43&amp;O$2,'2004'!$B$2:$K$1621,10,0)),VLOOKUP($A43&amp;O$2,'2004'!$A$2:$K$1621,10,0),VLOOKUP($A43&amp;O$2,'2004'!$B$2:$K$1621,10,0))</f>
        <v>NNN</v>
      </c>
      <c r="P43" s="34" t="str">
        <f>IF(ISNA(VLOOKUP($A43&amp;P$2,'2004'!$B$2:$K$1621,10,0)),VLOOKUP($A43&amp;P$2,'2004'!$A$2:$K$1621,10,0),VLOOKUP($A43&amp;P$2,'2004'!$B$2:$K$1621,10,0))</f>
        <v>PHI</v>
      </c>
      <c r="Q43" s="38" t="str">
        <f>IF(ISNA(VLOOKUP($A43&amp;Q$2,'2004'!$B$2:$K$1621,10,0)),VLOOKUP($A43&amp;Q$2,'2004'!$A$2:$K$1621,10,0),VLOOKUP($A43&amp;Q$2,'2004'!$B$2:$K$1621,10,0))</f>
        <v>@HAR</v>
      </c>
      <c r="R43" s="38" t="str">
        <f>IF(ISNA(VLOOKUP($A43&amp;R$2,'2004'!$B$2:$K$1621,10,0)),VLOOKUP($A43&amp;R$2,'2004'!$A$2:$K$1621,10,0),VLOOKUP($A43&amp;R$2,'2004'!$B$2:$K$1621,10,0))</f>
        <v>NYD</v>
      </c>
      <c r="S43" s="38" t="str">
        <f>IF(ISNA(VLOOKUP($A43&amp;S$2,'2004'!$B$2:$K$1621,10,0)),VLOOKUP($A43&amp;S$2,'2004'!$A$2:$K$1621,10,0),VLOOKUP($A43&amp;S$2,'2004'!$B$2:$K$1621,10,0))</f>
        <v>BRK</v>
      </c>
      <c r="T43" s="38" t="str">
        <f>IF(ISNA(VLOOKUP($A43&amp;T$2,'2004'!$B$2:$K$1621,10,0)),VLOOKUP($A43&amp;T$2,'2004'!$A$2:$K$1621,10,0),VLOOKUP($A43&amp;T$2,'2004'!$B$2:$K$1621,10,0))</f>
        <v>@CBB</v>
      </c>
      <c r="U43" s="38" t="str">
        <f>IF(ISNA(VLOOKUP($A43&amp;U$2,'2004'!$B$2:$K$1621,10,0)),VLOOKUP($A43&amp;U$2,'2004'!$A$2:$K$1621,10,0),VLOOKUP($A43&amp;U$2,'2004'!$B$2:$K$1621,10,0))</f>
        <v>@RMO</v>
      </c>
    </row>
    <row r="44" spans="1:21" x14ac:dyDescent="0.25">
      <c r="A44" s="40">
        <f t="shared" si="0"/>
        <v>38121</v>
      </c>
      <c r="B44" s="36" t="str">
        <f>IF(ISNA(VLOOKUP($A44&amp;B$2,'2004'!$B$2:$K$1621,10,0)),VLOOKUP($A44&amp;B$2,'2004'!$A$2:$K$1621,10,0),VLOOKUP($A44&amp;B$2,'2004'!$B$2:$K$1621,10,0))</f>
        <v>CIN</v>
      </c>
      <c r="C44" s="36" t="str">
        <f>IF(ISNA(VLOOKUP($A44&amp;C$2,'2004'!$B$2:$K$1621,10,0)),VLOOKUP($A44&amp;C$2,'2004'!$A$2:$K$1621,10,0),VLOOKUP($A44&amp;C$2,'2004'!$B$2:$K$1621,10,0))</f>
        <v>GAR</v>
      </c>
      <c r="D44" s="36" t="str">
        <f>IF(ISNA(VLOOKUP($A44&amp;D$2,'2004'!$B$2:$K$1621,10,0)),VLOOKUP($A44&amp;D$2,'2004'!$A$2:$K$1621,10,0),VLOOKUP($A44&amp;D$2,'2004'!$B$2:$K$1621,10,0))</f>
        <v>@RMO</v>
      </c>
      <c r="E44" s="36" t="str">
        <f>IF(ISNA(VLOOKUP($A44&amp;E$2,'2004'!$B$2:$K$1621,10,0)),VLOOKUP($A44&amp;E$2,'2004'!$A$2:$K$1621,10,0),VLOOKUP($A44&amp;E$2,'2004'!$B$2:$K$1621,10,0))</f>
        <v>@BBG</v>
      </c>
      <c r="F44" s="36" t="str">
        <f>IF(ISNA(VLOOKUP($A44&amp;F$2,'2004'!$B$2:$K$1621,10,0)),VLOOKUP($A44&amp;F$2,'2004'!$A$2:$K$1621,10,0),VLOOKUP($A44&amp;F$2,'2004'!$B$2:$K$1621,10,0))</f>
        <v>@BAR</v>
      </c>
      <c r="G44" s="35" t="str">
        <f>IF(ISNA(VLOOKUP($A44&amp;G$2,'2004'!$B$2:$K$1621,10,0)),VLOOKUP($A44&amp;G$2,'2004'!$A$2:$K$1621,10,0),VLOOKUP($A44&amp;G$2,'2004'!$B$2:$K$1621,10,0))</f>
        <v>REN</v>
      </c>
      <c r="H44" s="35" t="str">
        <f>IF(ISNA(VLOOKUP($A44&amp;H$2,'2004'!$B$2:$K$1621,10,0)),VLOOKUP($A44&amp;H$2,'2004'!$A$2:$K$1621,10,0),VLOOKUP($A44&amp;H$2,'2004'!$B$2:$K$1621,10,0))</f>
        <v>@TEW</v>
      </c>
      <c r="I44" s="35" t="str">
        <f>IF(ISNA(VLOOKUP($A44&amp;I$2,'2004'!$B$2:$K$1621,10,0)),VLOOKUP($A44&amp;I$2,'2004'!$A$2:$K$1621,10,0),VLOOKUP($A44&amp;I$2,'2004'!$B$2:$K$1621,10,0))</f>
        <v>@PHI</v>
      </c>
      <c r="J44" s="35" t="str">
        <f>IF(ISNA(VLOOKUP($A44&amp;J$2,'2004'!$B$2:$K$1621,10,0)),VLOOKUP($A44&amp;J$2,'2004'!$A$2:$K$1621,10,0),VLOOKUP($A44&amp;J$2,'2004'!$B$2:$K$1621,10,0))</f>
        <v>@CEN</v>
      </c>
      <c r="K44" s="35" t="str">
        <f>IF(ISNA(VLOOKUP($A44&amp;K$2,'2004'!$B$2:$K$1621,10,0)),VLOOKUP($A44&amp;K$2,'2004'!$A$2:$K$1621,10,0),VLOOKUP($A44&amp;K$2,'2004'!$B$2:$K$1621,10,0))</f>
        <v>FDH</v>
      </c>
      <c r="L44" s="34" t="str">
        <f>IF(ISNA(VLOOKUP($A44&amp;L$2,'2004'!$B$2:$K$1621,10,0)),VLOOKUP($A44&amp;L$2,'2004'!$A$2:$K$1621,10,0),VLOOKUP($A44&amp;L$2,'2004'!$B$2:$K$1621,10,0))</f>
        <v>@FFR</v>
      </c>
      <c r="M44" s="34" t="str">
        <f>IF(ISNA(VLOOKUP($A44&amp;M$2,'2004'!$B$2:$K$1621,10,0)),VLOOKUP($A44&amp;M$2,'2004'!$A$2:$K$1621,10,0),VLOOKUP($A44&amp;M$2,'2004'!$B$2:$K$1621,10,0))</f>
        <v>DIG</v>
      </c>
      <c r="N44" s="34" t="str">
        <f>IF(ISNA(VLOOKUP($A44&amp;N$2,'2004'!$B$2:$K$1621,10,0)),VLOOKUP($A44&amp;N$2,'2004'!$A$2:$K$1621,10,0),VLOOKUP($A44&amp;N$2,'2004'!$B$2:$K$1621,10,0))</f>
        <v>@OKO</v>
      </c>
      <c r="O44" s="34" t="str">
        <f>IF(ISNA(VLOOKUP($A44&amp;O$2,'2004'!$B$2:$K$1621,10,0)),VLOOKUP($A44&amp;O$2,'2004'!$A$2:$K$1621,10,0),VLOOKUP($A44&amp;O$2,'2004'!$B$2:$K$1621,10,0))</f>
        <v>NNN</v>
      </c>
      <c r="P44" s="34" t="str">
        <f>IF(ISNA(VLOOKUP($A44&amp;P$2,'2004'!$B$2:$K$1621,10,0)),VLOOKUP($A44&amp;P$2,'2004'!$A$2:$K$1621,10,0),VLOOKUP($A44&amp;P$2,'2004'!$B$2:$K$1621,10,0))</f>
        <v>CTW</v>
      </c>
      <c r="Q44" s="38" t="str">
        <f>IF(ISNA(VLOOKUP($A44&amp;Q$2,'2004'!$B$2:$K$1621,10,0)),VLOOKUP($A44&amp;Q$2,'2004'!$A$2:$K$1621,10,0),VLOOKUP($A44&amp;Q$2,'2004'!$B$2:$K$1621,10,0))</f>
        <v>@HAR</v>
      </c>
      <c r="R44" s="38" t="str">
        <f>IF(ISNA(VLOOKUP($A44&amp;R$2,'2004'!$B$2:$K$1621,10,0)),VLOOKUP($A44&amp;R$2,'2004'!$A$2:$K$1621,10,0),VLOOKUP($A44&amp;R$2,'2004'!$B$2:$K$1621,10,0))</f>
        <v>NYD</v>
      </c>
      <c r="S44" s="38" t="str">
        <f>IF(ISNA(VLOOKUP($A44&amp;S$2,'2004'!$B$2:$K$1621,10,0)),VLOOKUP($A44&amp;S$2,'2004'!$A$2:$K$1621,10,0),VLOOKUP($A44&amp;S$2,'2004'!$B$2:$K$1621,10,0))</f>
        <v>BRK</v>
      </c>
      <c r="T44" s="38" t="str">
        <f>IF(ISNA(VLOOKUP($A44&amp;T$2,'2004'!$B$2:$K$1621,10,0)),VLOOKUP($A44&amp;T$2,'2004'!$A$2:$K$1621,10,0),VLOOKUP($A44&amp;T$2,'2004'!$B$2:$K$1621,10,0))</f>
        <v>@CBB</v>
      </c>
      <c r="U44" s="38" t="str">
        <f>IF(ISNA(VLOOKUP($A44&amp;U$2,'2004'!$B$2:$K$1621,10,0)),VLOOKUP($A44&amp;U$2,'2004'!$A$2:$K$1621,10,0),VLOOKUP($A44&amp;U$2,'2004'!$B$2:$K$1621,10,0))</f>
        <v>NEP</v>
      </c>
    </row>
    <row r="45" spans="1:21" x14ac:dyDescent="0.25">
      <c r="A45" s="40">
        <f t="shared" si="0"/>
        <v>38122</v>
      </c>
      <c r="B45" s="36" t="str">
        <f>IF(ISNA(VLOOKUP($A45&amp;B$2,'2004'!$B$2:$K$1621,10,0)),VLOOKUP($A45&amp;B$2,'2004'!$A$2:$K$1621,10,0),VLOOKUP($A45&amp;B$2,'2004'!$B$2:$K$1621,10,0))</f>
        <v>CIN</v>
      </c>
      <c r="C45" s="36" t="str">
        <f>IF(ISNA(VLOOKUP($A45&amp;C$2,'2004'!$B$2:$K$1621,10,0)),VLOOKUP($A45&amp;C$2,'2004'!$A$2:$K$1621,10,0),VLOOKUP($A45&amp;C$2,'2004'!$B$2:$K$1621,10,0))</f>
        <v>GAR</v>
      </c>
      <c r="D45" s="36" t="str">
        <f>IF(ISNA(VLOOKUP($A45&amp;D$2,'2004'!$B$2:$K$1621,10,0)),VLOOKUP($A45&amp;D$2,'2004'!$A$2:$K$1621,10,0),VLOOKUP($A45&amp;D$2,'2004'!$B$2:$K$1621,10,0))</f>
        <v>@RMO</v>
      </c>
      <c r="E45" s="36" t="str">
        <f>IF(ISNA(VLOOKUP($A45&amp;E$2,'2004'!$B$2:$K$1621,10,0)),VLOOKUP($A45&amp;E$2,'2004'!$A$2:$K$1621,10,0),VLOOKUP($A45&amp;E$2,'2004'!$B$2:$K$1621,10,0))</f>
        <v>@BBG</v>
      </c>
      <c r="F45" s="36" t="str">
        <f>IF(ISNA(VLOOKUP($A45&amp;F$2,'2004'!$B$2:$K$1621,10,0)),VLOOKUP($A45&amp;F$2,'2004'!$A$2:$K$1621,10,0),VLOOKUP($A45&amp;F$2,'2004'!$B$2:$K$1621,10,0))</f>
        <v>@BAR</v>
      </c>
      <c r="G45" s="35" t="str">
        <f>IF(ISNA(VLOOKUP($A45&amp;G$2,'2004'!$B$2:$K$1621,10,0)),VLOOKUP($A45&amp;G$2,'2004'!$A$2:$K$1621,10,0),VLOOKUP($A45&amp;G$2,'2004'!$B$2:$K$1621,10,0))</f>
        <v>REN</v>
      </c>
      <c r="H45" s="35" t="str">
        <f>IF(ISNA(VLOOKUP($A45&amp;H$2,'2004'!$B$2:$K$1621,10,0)),VLOOKUP($A45&amp;H$2,'2004'!$A$2:$K$1621,10,0),VLOOKUP($A45&amp;H$2,'2004'!$B$2:$K$1621,10,0))</f>
        <v>@TEW</v>
      </c>
      <c r="I45" s="35" t="str">
        <f>IF(ISNA(VLOOKUP($A45&amp;I$2,'2004'!$B$2:$K$1621,10,0)),VLOOKUP($A45&amp;I$2,'2004'!$A$2:$K$1621,10,0),VLOOKUP($A45&amp;I$2,'2004'!$B$2:$K$1621,10,0))</f>
        <v>@PHI</v>
      </c>
      <c r="J45" s="35" t="str">
        <f>IF(ISNA(VLOOKUP($A45&amp;J$2,'2004'!$B$2:$K$1621,10,0)),VLOOKUP($A45&amp;J$2,'2004'!$A$2:$K$1621,10,0),VLOOKUP($A45&amp;J$2,'2004'!$B$2:$K$1621,10,0))</f>
        <v>@CEN</v>
      </c>
      <c r="K45" s="35" t="str">
        <f>IF(ISNA(VLOOKUP($A45&amp;K$2,'2004'!$B$2:$K$1621,10,0)),VLOOKUP($A45&amp;K$2,'2004'!$A$2:$K$1621,10,0),VLOOKUP($A45&amp;K$2,'2004'!$B$2:$K$1621,10,0))</f>
        <v>FDH</v>
      </c>
      <c r="L45" s="34" t="str">
        <f>IF(ISNA(VLOOKUP($A45&amp;L$2,'2004'!$B$2:$K$1621,10,0)),VLOOKUP($A45&amp;L$2,'2004'!$A$2:$K$1621,10,0),VLOOKUP($A45&amp;L$2,'2004'!$B$2:$K$1621,10,0))</f>
        <v>@FFR</v>
      </c>
      <c r="M45" s="34" t="str">
        <f>IF(ISNA(VLOOKUP($A45&amp;M$2,'2004'!$B$2:$K$1621,10,0)),VLOOKUP($A45&amp;M$2,'2004'!$A$2:$K$1621,10,0),VLOOKUP($A45&amp;M$2,'2004'!$B$2:$K$1621,10,0))</f>
        <v>DIG</v>
      </c>
      <c r="N45" s="34" t="str">
        <f>IF(ISNA(VLOOKUP($A45&amp;N$2,'2004'!$B$2:$K$1621,10,0)),VLOOKUP($A45&amp;N$2,'2004'!$A$2:$K$1621,10,0),VLOOKUP($A45&amp;N$2,'2004'!$B$2:$K$1621,10,0))</f>
        <v>@OKO</v>
      </c>
      <c r="O45" s="34" t="str">
        <f>IF(ISNA(VLOOKUP($A45&amp;O$2,'2004'!$B$2:$K$1621,10,0)),VLOOKUP($A45&amp;O$2,'2004'!$A$2:$K$1621,10,0),VLOOKUP($A45&amp;O$2,'2004'!$B$2:$K$1621,10,0))</f>
        <v>NNN</v>
      </c>
      <c r="P45" s="34" t="str">
        <f>IF(ISNA(VLOOKUP($A45&amp;P$2,'2004'!$B$2:$K$1621,10,0)),VLOOKUP($A45&amp;P$2,'2004'!$A$2:$K$1621,10,0),VLOOKUP($A45&amp;P$2,'2004'!$B$2:$K$1621,10,0))</f>
        <v>CTW</v>
      </c>
      <c r="Q45" s="38" t="str">
        <f>IF(ISNA(VLOOKUP($A45&amp;Q$2,'2004'!$B$2:$K$1621,10,0)),VLOOKUP($A45&amp;Q$2,'2004'!$A$2:$K$1621,10,0),VLOOKUP($A45&amp;Q$2,'2004'!$B$2:$K$1621,10,0))</f>
        <v>@HAR</v>
      </c>
      <c r="R45" s="38" t="str">
        <f>IF(ISNA(VLOOKUP($A45&amp;R$2,'2004'!$B$2:$K$1621,10,0)),VLOOKUP($A45&amp;R$2,'2004'!$A$2:$K$1621,10,0),VLOOKUP($A45&amp;R$2,'2004'!$B$2:$K$1621,10,0))</f>
        <v>NYD</v>
      </c>
      <c r="S45" s="38" t="str">
        <f>IF(ISNA(VLOOKUP($A45&amp;S$2,'2004'!$B$2:$K$1621,10,0)),VLOOKUP($A45&amp;S$2,'2004'!$A$2:$K$1621,10,0),VLOOKUP($A45&amp;S$2,'2004'!$B$2:$K$1621,10,0))</f>
        <v>BRK</v>
      </c>
      <c r="T45" s="38" t="str">
        <f>IF(ISNA(VLOOKUP($A45&amp;T$2,'2004'!$B$2:$K$1621,10,0)),VLOOKUP($A45&amp;T$2,'2004'!$A$2:$K$1621,10,0),VLOOKUP($A45&amp;T$2,'2004'!$B$2:$K$1621,10,0))</f>
        <v>@CBB</v>
      </c>
      <c r="U45" s="38" t="str">
        <f>IF(ISNA(VLOOKUP($A45&amp;U$2,'2004'!$B$2:$K$1621,10,0)),VLOOKUP($A45&amp;U$2,'2004'!$A$2:$K$1621,10,0),VLOOKUP($A45&amp;U$2,'2004'!$B$2:$K$1621,10,0))</f>
        <v>NEP</v>
      </c>
    </row>
    <row r="46" spans="1:21" x14ac:dyDescent="0.25">
      <c r="A46" s="40">
        <f t="shared" si="0"/>
        <v>38123</v>
      </c>
      <c r="B46" s="36" t="str">
        <f>IF(ISNA(VLOOKUP($A46&amp;B$2,'2004'!$B$2:$K$1621,10,0)),VLOOKUP($A46&amp;B$2,'2004'!$A$2:$K$1621,10,0),VLOOKUP($A46&amp;B$2,'2004'!$B$2:$K$1621,10,0))</f>
        <v>CIN</v>
      </c>
      <c r="C46" s="36" t="str">
        <f>IF(ISNA(VLOOKUP($A46&amp;C$2,'2004'!$B$2:$K$1621,10,0)),VLOOKUP($A46&amp;C$2,'2004'!$A$2:$K$1621,10,0),VLOOKUP($A46&amp;C$2,'2004'!$B$2:$K$1621,10,0))</f>
        <v>GAR</v>
      </c>
      <c r="D46" s="36" t="e">
        <f>IF(ISNA(VLOOKUP($A46&amp;D$2,'2004'!$B$2:$K$1621,10,0)),VLOOKUP($A46&amp;D$2,'2004'!$A$2:$K$1621,10,0),VLOOKUP($A46&amp;D$2,'2004'!$B$2:$K$1621,10,0))</f>
        <v>#N/A</v>
      </c>
      <c r="E46" s="36" t="str">
        <f>IF(ISNA(VLOOKUP($A46&amp;E$2,'2004'!$B$2:$K$1621,10,0)),VLOOKUP($A46&amp;E$2,'2004'!$A$2:$K$1621,10,0),VLOOKUP($A46&amp;E$2,'2004'!$B$2:$K$1621,10,0))</f>
        <v>@BBG</v>
      </c>
      <c r="F46" s="36" t="str">
        <f>IF(ISNA(VLOOKUP($A46&amp;F$2,'2004'!$B$2:$K$1621,10,0)),VLOOKUP($A46&amp;F$2,'2004'!$A$2:$K$1621,10,0),VLOOKUP($A46&amp;F$2,'2004'!$B$2:$K$1621,10,0))</f>
        <v>@BAR</v>
      </c>
      <c r="G46" s="35" t="str">
        <f>IF(ISNA(VLOOKUP($A46&amp;G$2,'2004'!$B$2:$K$1621,10,0)),VLOOKUP($A46&amp;G$2,'2004'!$A$2:$K$1621,10,0),VLOOKUP($A46&amp;G$2,'2004'!$B$2:$K$1621,10,0))</f>
        <v>REN</v>
      </c>
      <c r="H46" s="35" t="str">
        <f>IF(ISNA(VLOOKUP($A46&amp;H$2,'2004'!$B$2:$K$1621,10,0)),VLOOKUP($A46&amp;H$2,'2004'!$A$2:$K$1621,10,0),VLOOKUP($A46&amp;H$2,'2004'!$B$2:$K$1621,10,0))</f>
        <v>@TEW</v>
      </c>
      <c r="I46" s="35" t="e">
        <f>IF(ISNA(VLOOKUP($A46&amp;I$2,'2004'!$B$2:$K$1621,10,0)),VLOOKUP($A46&amp;I$2,'2004'!$A$2:$K$1621,10,0),VLOOKUP($A46&amp;I$2,'2004'!$B$2:$K$1621,10,0))</f>
        <v>#N/A</v>
      </c>
      <c r="J46" s="35" t="str">
        <f>IF(ISNA(VLOOKUP($A46&amp;J$2,'2004'!$B$2:$K$1621,10,0)),VLOOKUP($A46&amp;J$2,'2004'!$A$2:$K$1621,10,0),VLOOKUP($A46&amp;J$2,'2004'!$B$2:$K$1621,10,0))</f>
        <v>@CEN</v>
      </c>
      <c r="K46" s="35" t="str">
        <f>IF(ISNA(VLOOKUP($A46&amp;K$2,'2004'!$B$2:$K$1621,10,0)),VLOOKUP($A46&amp;K$2,'2004'!$A$2:$K$1621,10,0),VLOOKUP($A46&amp;K$2,'2004'!$B$2:$K$1621,10,0))</f>
        <v>FDH</v>
      </c>
      <c r="L46" s="34" t="str">
        <f>IF(ISNA(VLOOKUP($A46&amp;L$2,'2004'!$B$2:$K$1621,10,0)),VLOOKUP($A46&amp;L$2,'2004'!$A$2:$K$1621,10,0),VLOOKUP($A46&amp;L$2,'2004'!$B$2:$K$1621,10,0))</f>
        <v>@FFR</v>
      </c>
      <c r="M46" s="34" t="str">
        <f>IF(ISNA(VLOOKUP($A46&amp;M$2,'2004'!$B$2:$K$1621,10,0)),VLOOKUP($A46&amp;M$2,'2004'!$A$2:$K$1621,10,0),VLOOKUP($A46&amp;M$2,'2004'!$B$2:$K$1621,10,0))</f>
        <v>DIG</v>
      </c>
      <c r="N46" s="34" t="str">
        <f>IF(ISNA(VLOOKUP($A46&amp;N$2,'2004'!$B$2:$K$1621,10,0)),VLOOKUP($A46&amp;N$2,'2004'!$A$2:$K$1621,10,0),VLOOKUP($A46&amp;N$2,'2004'!$B$2:$K$1621,10,0))</f>
        <v>@OKO</v>
      </c>
      <c r="O46" s="34" t="str">
        <f>IF(ISNA(VLOOKUP($A46&amp;O$2,'2004'!$B$2:$K$1621,10,0)),VLOOKUP($A46&amp;O$2,'2004'!$A$2:$K$1621,10,0),VLOOKUP($A46&amp;O$2,'2004'!$B$2:$K$1621,10,0))</f>
        <v>NNN</v>
      </c>
      <c r="P46" s="34" t="e">
        <f>IF(ISNA(VLOOKUP($A46&amp;P$2,'2004'!$B$2:$K$1621,10,0)),VLOOKUP($A46&amp;P$2,'2004'!$A$2:$K$1621,10,0),VLOOKUP($A46&amp;P$2,'2004'!$B$2:$K$1621,10,0))</f>
        <v>#N/A</v>
      </c>
      <c r="Q46" s="38" t="str">
        <f>IF(ISNA(VLOOKUP($A46&amp;Q$2,'2004'!$B$2:$K$1621,10,0)),VLOOKUP($A46&amp;Q$2,'2004'!$A$2:$K$1621,10,0),VLOOKUP($A46&amp;Q$2,'2004'!$B$2:$K$1621,10,0))</f>
        <v>@HAR</v>
      </c>
      <c r="R46" s="38" t="str">
        <f>IF(ISNA(VLOOKUP($A46&amp;R$2,'2004'!$B$2:$K$1621,10,0)),VLOOKUP($A46&amp;R$2,'2004'!$A$2:$K$1621,10,0),VLOOKUP($A46&amp;R$2,'2004'!$B$2:$K$1621,10,0))</f>
        <v>NYD</v>
      </c>
      <c r="S46" s="38" t="str">
        <f>IF(ISNA(VLOOKUP($A46&amp;S$2,'2004'!$B$2:$K$1621,10,0)),VLOOKUP($A46&amp;S$2,'2004'!$A$2:$K$1621,10,0),VLOOKUP($A46&amp;S$2,'2004'!$B$2:$K$1621,10,0))</f>
        <v>BRK</v>
      </c>
      <c r="T46" s="38" t="str">
        <f>IF(ISNA(VLOOKUP($A46&amp;T$2,'2004'!$B$2:$K$1621,10,0)),VLOOKUP($A46&amp;T$2,'2004'!$A$2:$K$1621,10,0),VLOOKUP($A46&amp;T$2,'2004'!$B$2:$K$1621,10,0))</f>
        <v>@CBB</v>
      </c>
      <c r="U46" s="38" t="e">
        <f>IF(ISNA(VLOOKUP($A46&amp;U$2,'2004'!$B$2:$K$1621,10,0)),VLOOKUP($A46&amp;U$2,'2004'!$A$2:$K$1621,10,0),VLOOKUP($A46&amp;U$2,'2004'!$B$2:$K$1621,10,0))</f>
        <v>#N/A</v>
      </c>
    </row>
    <row r="47" spans="1:21" x14ac:dyDescent="0.25">
      <c r="A47" s="40">
        <f t="shared" si="0"/>
        <v>38124</v>
      </c>
      <c r="B47" s="36" t="str">
        <f>IF(ISNA(VLOOKUP($A47&amp;B$2,'2004'!$B$2:$K$1621,10,0)),VLOOKUP($A47&amp;B$2,'2004'!$A$2:$K$1621,10,0),VLOOKUP($A47&amp;B$2,'2004'!$B$2:$K$1621,10,0))</f>
        <v>@OKO</v>
      </c>
      <c r="C47" s="36" t="str">
        <f>IF(ISNA(VLOOKUP($A47&amp;C$2,'2004'!$B$2:$K$1621,10,0)),VLOOKUP($A47&amp;C$2,'2004'!$A$2:$K$1621,10,0),VLOOKUP($A47&amp;C$2,'2004'!$B$2:$K$1621,10,0))</f>
        <v>@RMO</v>
      </c>
      <c r="D47" s="36" t="str">
        <f>IF(ISNA(VLOOKUP($A47&amp;D$2,'2004'!$B$2:$K$1621,10,0)),VLOOKUP($A47&amp;D$2,'2004'!$A$2:$K$1621,10,0),VLOOKUP($A47&amp;D$2,'2004'!$B$2:$K$1621,10,0))</f>
        <v>@NNN</v>
      </c>
      <c r="E47" s="36" t="str">
        <f>IF(ISNA(VLOOKUP($A47&amp;E$2,'2004'!$B$2:$K$1621,10,0)),VLOOKUP($A47&amp;E$2,'2004'!$A$2:$K$1621,10,0),VLOOKUP($A47&amp;E$2,'2004'!$B$2:$K$1621,10,0))</f>
        <v>@FFR</v>
      </c>
      <c r="F47" s="36" t="str">
        <f>IF(ISNA(VLOOKUP($A47&amp;F$2,'2004'!$B$2:$K$1621,10,0)),VLOOKUP($A47&amp;F$2,'2004'!$A$2:$K$1621,10,0),VLOOKUP($A47&amp;F$2,'2004'!$B$2:$K$1621,10,0))</f>
        <v>@DIG</v>
      </c>
      <c r="G47" s="35" t="str">
        <f>IF(ISNA(VLOOKUP($A47&amp;G$2,'2004'!$B$2:$K$1621,10,0)),VLOOKUP($A47&amp;G$2,'2004'!$A$2:$K$1621,10,0),VLOOKUP($A47&amp;G$2,'2004'!$B$2:$K$1621,10,0))</f>
        <v>@PHI</v>
      </c>
      <c r="H47" s="35" t="str">
        <f>IF(ISNA(VLOOKUP($A47&amp;H$2,'2004'!$B$2:$K$1621,10,0)),VLOOKUP($A47&amp;H$2,'2004'!$A$2:$K$1621,10,0),VLOOKUP($A47&amp;H$2,'2004'!$B$2:$K$1621,10,0))</f>
        <v>@HAR</v>
      </c>
      <c r="I47" s="35" t="str">
        <f>IF(ISNA(VLOOKUP($A47&amp;I$2,'2004'!$B$2:$K$1621,10,0)),VLOOKUP($A47&amp;I$2,'2004'!$A$2:$K$1621,10,0),VLOOKUP($A47&amp;I$2,'2004'!$B$2:$K$1621,10,0))</f>
        <v>@NYD</v>
      </c>
      <c r="J47" s="35" t="str">
        <f>IF(ISNA(VLOOKUP($A47&amp;J$2,'2004'!$B$2:$K$1621,10,0)),VLOOKUP($A47&amp;J$2,'2004'!$A$2:$K$1621,10,0),VLOOKUP($A47&amp;J$2,'2004'!$B$2:$K$1621,10,0))</f>
        <v>@BRK</v>
      </c>
      <c r="K47" s="35" t="str">
        <f>IF(ISNA(VLOOKUP($A47&amp;K$2,'2004'!$B$2:$K$1621,10,0)),VLOOKUP($A47&amp;K$2,'2004'!$A$2:$K$1621,10,0),VLOOKUP($A47&amp;K$2,'2004'!$B$2:$K$1621,10,0))</f>
        <v>@CBB</v>
      </c>
      <c r="L47" s="34" t="str">
        <f>IF(ISNA(VLOOKUP($A47&amp;L$2,'2004'!$B$2:$K$1621,10,0)),VLOOKUP($A47&amp;L$2,'2004'!$A$2:$K$1621,10,0),VLOOKUP($A47&amp;L$2,'2004'!$B$2:$K$1621,10,0))</f>
        <v>GAR</v>
      </c>
      <c r="M47" s="34" t="str">
        <f>IF(ISNA(VLOOKUP($A47&amp;M$2,'2004'!$B$2:$K$1621,10,0)),VLOOKUP($A47&amp;M$2,'2004'!$A$2:$K$1621,10,0),VLOOKUP($A47&amp;M$2,'2004'!$B$2:$K$1621,10,0))</f>
        <v>CIN</v>
      </c>
      <c r="N47" s="34" t="str">
        <f>IF(ISNA(VLOOKUP($A47&amp;N$2,'2004'!$B$2:$K$1621,10,0)),VLOOKUP($A47&amp;N$2,'2004'!$A$2:$K$1621,10,0),VLOOKUP($A47&amp;N$2,'2004'!$B$2:$K$1621,10,0))</f>
        <v>CTW</v>
      </c>
      <c r="O47" s="34" t="str">
        <f>IF(ISNA(VLOOKUP($A47&amp;O$2,'2004'!$B$2:$K$1621,10,0)),VLOOKUP($A47&amp;O$2,'2004'!$A$2:$K$1621,10,0),VLOOKUP($A47&amp;O$2,'2004'!$B$2:$K$1621,10,0))</f>
        <v>BBG</v>
      </c>
      <c r="P47" s="34" t="str">
        <f>IF(ISNA(VLOOKUP($A47&amp;P$2,'2004'!$B$2:$K$1621,10,0)),VLOOKUP($A47&amp;P$2,'2004'!$A$2:$K$1621,10,0),VLOOKUP($A47&amp;P$2,'2004'!$B$2:$K$1621,10,0))</f>
        <v>BAR</v>
      </c>
      <c r="Q47" s="38" t="str">
        <f>IF(ISNA(VLOOKUP($A47&amp;Q$2,'2004'!$B$2:$K$1621,10,0)),VLOOKUP($A47&amp;Q$2,'2004'!$A$2:$K$1621,10,0),VLOOKUP($A47&amp;Q$2,'2004'!$B$2:$K$1621,10,0))</f>
        <v>REN</v>
      </c>
      <c r="R47" s="38" t="str">
        <f>IF(ISNA(VLOOKUP($A47&amp;R$2,'2004'!$B$2:$K$1621,10,0)),VLOOKUP($A47&amp;R$2,'2004'!$A$2:$K$1621,10,0),VLOOKUP($A47&amp;R$2,'2004'!$B$2:$K$1621,10,0))</f>
        <v>TEW</v>
      </c>
      <c r="S47" s="38" t="str">
        <f>IF(ISNA(VLOOKUP($A47&amp;S$2,'2004'!$B$2:$K$1621,10,0)),VLOOKUP($A47&amp;S$2,'2004'!$A$2:$K$1621,10,0),VLOOKUP($A47&amp;S$2,'2004'!$B$2:$K$1621,10,0))</f>
        <v>FDH</v>
      </c>
      <c r="T47" s="38" t="str">
        <f>IF(ISNA(VLOOKUP($A47&amp;T$2,'2004'!$B$2:$K$1621,10,0)),VLOOKUP($A47&amp;T$2,'2004'!$A$2:$K$1621,10,0),VLOOKUP($A47&amp;T$2,'2004'!$B$2:$K$1621,10,0))</f>
        <v>NEP</v>
      </c>
      <c r="U47" s="38" t="str">
        <f>IF(ISNA(VLOOKUP($A47&amp;U$2,'2004'!$B$2:$K$1621,10,0)),VLOOKUP($A47&amp;U$2,'2004'!$A$2:$K$1621,10,0),VLOOKUP($A47&amp;U$2,'2004'!$B$2:$K$1621,10,0))</f>
        <v>CEN</v>
      </c>
    </row>
    <row r="48" spans="1:21" x14ac:dyDescent="0.25">
      <c r="A48" s="40">
        <f t="shared" si="0"/>
        <v>38125</v>
      </c>
      <c r="B48" s="36" t="str">
        <f>IF(ISNA(VLOOKUP($A48&amp;B$2,'2004'!$B$2:$K$1621,10,0)),VLOOKUP($A48&amp;B$2,'2004'!$A$2:$K$1621,10,0),VLOOKUP($A48&amp;B$2,'2004'!$B$2:$K$1621,10,0))</f>
        <v>@OKO</v>
      </c>
      <c r="C48" s="36" t="str">
        <f>IF(ISNA(VLOOKUP($A48&amp;C$2,'2004'!$B$2:$K$1621,10,0)),VLOOKUP($A48&amp;C$2,'2004'!$A$2:$K$1621,10,0),VLOOKUP($A48&amp;C$2,'2004'!$B$2:$K$1621,10,0))</f>
        <v>@RMO</v>
      </c>
      <c r="D48" s="36" t="str">
        <f>IF(ISNA(VLOOKUP($A48&amp;D$2,'2004'!$B$2:$K$1621,10,0)),VLOOKUP($A48&amp;D$2,'2004'!$A$2:$K$1621,10,0),VLOOKUP($A48&amp;D$2,'2004'!$B$2:$K$1621,10,0))</f>
        <v>@NNN</v>
      </c>
      <c r="E48" s="36" t="str">
        <f>IF(ISNA(VLOOKUP($A48&amp;E$2,'2004'!$B$2:$K$1621,10,0)),VLOOKUP($A48&amp;E$2,'2004'!$A$2:$K$1621,10,0),VLOOKUP($A48&amp;E$2,'2004'!$B$2:$K$1621,10,0))</f>
        <v>@FFR</v>
      </c>
      <c r="F48" s="36" t="str">
        <f>IF(ISNA(VLOOKUP($A48&amp;F$2,'2004'!$B$2:$K$1621,10,0)),VLOOKUP($A48&amp;F$2,'2004'!$A$2:$K$1621,10,0),VLOOKUP($A48&amp;F$2,'2004'!$B$2:$K$1621,10,0))</f>
        <v>@DIG</v>
      </c>
      <c r="G48" s="35" t="str">
        <f>IF(ISNA(VLOOKUP($A48&amp;G$2,'2004'!$B$2:$K$1621,10,0)),VLOOKUP($A48&amp;G$2,'2004'!$A$2:$K$1621,10,0),VLOOKUP($A48&amp;G$2,'2004'!$B$2:$K$1621,10,0))</f>
        <v>@PHI</v>
      </c>
      <c r="H48" s="35" t="str">
        <f>IF(ISNA(VLOOKUP($A48&amp;H$2,'2004'!$B$2:$K$1621,10,0)),VLOOKUP($A48&amp;H$2,'2004'!$A$2:$K$1621,10,0),VLOOKUP($A48&amp;H$2,'2004'!$B$2:$K$1621,10,0))</f>
        <v>@HAR</v>
      </c>
      <c r="I48" s="35" t="str">
        <f>IF(ISNA(VLOOKUP($A48&amp;I$2,'2004'!$B$2:$K$1621,10,0)),VLOOKUP($A48&amp;I$2,'2004'!$A$2:$K$1621,10,0),VLOOKUP($A48&amp;I$2,'2004'!$B$2:$K$1621,10,0))</f>
        <v>@NYD</v>
      </c>
      <c r="J48" s="35" t="str">
        <f>IF(ISNA(VLOOKUP($A48&amp;J$2,'2004'!$B$2:$K$1621,10,0)),VLOOKUP($A48&amp;J$2,'2004'!$A$2:$K$1621,10,0),VLOOKUP($A48&amp;J$2,'2004'!$B$2:$K$1621,10,0))</f>
        <v>@BRK</v>
      </c>
      <c r="K48" s="35" t="str">
        <f>IF(ISNA(VLOOKUP($A48&amp;K$2,'2004'!$B$2:$K$1621,10,0)),VLOOKUP($A48&amp;K$2,'2004'!$A$2:$K$1621,10,0),VLOOKUP($A48&amp;K$2,'2004'!$B$2:$K$1621,10,0))</f>
        <v>@CBB</v>
      </c>
      <c r="L48" s="34" t="str">
        <f>IF(ISNA(VLOOKUP($A48&amp;L$2,'2004'!$B$2:$K$1621,10,0)),VLOOKUP($A48&amp;L$2,'2004'!$A$2:$K$1621,10,0),VLOOKUP($A48&amp;L$2,'2004'!$B$2:$K$1621,10,0))</f>
        <v>GAR</v>
      </c>
      <c r="M48" s="34" t="str">
        <f>IF(ISNA(VLOOKUP($A48&amp;M$2,'2004'!$B$2:$K$1621,10,0)),VLOOKUP($A48&amp;M$2,'2004'!$A$2:$K$1621,10,0),VLOOKUP($A48&amp;M$2,'2004'!$B$2:$K$1621,10,0))</f>
        <v>CIN</v>
      </c>
      <c r="N48" s="34" t="str">
        <f>IF(ISNA(VLOOKUP($A48&amp;N$2,'2004'!$B$2:$K$1621,10,0)),VLOOKUP($A48&amp;N$2,'2004'!$A$2:$K$1621,10,0),VLOOKUP($A48&amp;N$2,'2004'!$B$2:$K$1621,10,0))</f>
        <v>CTW</v>
      </c>
      <c r="O48" s="34" t="str">
        <f>IF(ISNA(VLOOKUP($A48&amp;O$2,'2004'!$B$2:$K$1621,10,0)),VLOOKUP($A48&amp;O$2,'2004'!$A$2:$K$1621,10,0),VLOOKUP($A48&amp;O$2,'2004'!$B$2:$K$1621,10,0))</f>
        <v>BBG</v>
      </c>
      <c r="P48" s="34" t="str">
        <f>IF(ISNA(VLOOKUP($A48&amp;P$2,'2004'!$B$2:$K$1621,10,0)),VLOOKUP($A48&amp;P$2,'2004'!$A$2:$K$1621,10,0),VLOOKUP($A48&amp;P$2,'2004'!$B$2:$K$1621,10,0))</f>
        <v>BAR</v>
      </c>
      <c r="Q48" s="38" t="str">
        <f>IF(ISNA(VLOOKUP($A48&amp;Q$2,'2004'!$B$2:$K$1621,10,0)),VLOOKUP($A48&amp;Q$2,'2004'!$A$2:$K$1621,10,0),VLOOKUP($A48&amp;Q$2,'2004'!$B$2:$K$1621,10,0))</f>
        <v>REN</v>
      </c>
      <c r="R48" s="38" t="str">
        <f>IF(ISNA(VLOOKUP($A48&amp;R$2,'2004'!$B$2:$K$1621,10,0)),VLOOKUP($A48&amp;R$2,'2004'!$A$2:$K$1621,10,0),VLOOKUP($A48&amp;R$2,'2004'!$B$2:$K$1621,10,0))</f>
        <v>TEW</v>
      </c>
      <c r="S48" s="38" t="str">
        <f>IF(ISNA(VLOOKUP($A48&amp;S$2,'2004'!$B$2:$K$1621,10,0)),VLOOKUP($A48&amp;S$2,'2004'!$A$2:$K$1621,10,0),VLOOKUP($A48&amp;S$2,'2004'!$B$2:$K$1621,10,0))</f>
        <v>FDH</v>
      </c>
      <c r="T48" s="38" t="str">
        <f>IF(ISNA(VLOOKUP($A48&amp;T$2,'2004'!$B$2:$K$1621,10,0)),VLOOKUP($A48&amp;T$2,'2004'!$A$2:$K$1621,10,0),VLOOKUP($A48&amp;T$2,'2004'!$B$2:$K$1621,10,0))</f>
        <v>NEP</v>
      </c>
      <c r="U48" s="38" t="str">
        <f>IF(ISNA(VLOOKUP($A48&amp;U$2,'2004'!$B$2:$K$1621,10,0)),VLOOKUP($A48&amp;U$2,'2004'!$A$2:$K$1621,10,0),VLOOKUP($A48&amp;U$2,'2004'!$B$2:$K$1621,10,0))</f>
        <v>CEN</v>
      </c>
    </row>
    <row r="49" spans="1:21" x14ac:dyDescent="0.25">
      <c r="A49" s="40">
        <f t="shared" si="0"/>
        <v>38126</v>
      </c>
      <c r="B49" s="36" t="str">
        <f>IF(ISNA(VLOOKUP($A49&amp;B$2,'2004'!$B$2:$K$1621,10,0)),VLOOKUP($A49&amp;B$2,'2004'!$A$2:$K$1621,10,0),VLOOKUP($A49&amp;B$2,'2004'!$B$2:$K$1621,10,0))</f>
        <v>@OKO</v>
      </c>
      <c r="C49" s="36" t="str">
        <f>IF(ISNA(VLOOKUP($A49&amp;C$2,'2004'!$B$2:$K$1621,10,0)),VLOOKUP($A49&amp;C$2,'2004'!$A$2:$K$1621,10,0),VLOOKUP($A49&amp;C$2,'2004'!$B$2:$K$1621,10,0))</f>
        <v>@RMO</v>
      </c>
      <c r="D49" s="36" t="str">
        <f>IF(ISNA(VLOOKUP($A49&amp;D$2,'2004'!$B$2:$K$1621,10,0)),VLOOKUP($A49&amp;D$2,'2004'!$A$2:$K$1621,10,0),VLOOKUP($A49&amp;D$2,'2004'!$B$2:$K$1621,10,0))</f>
        <v>@NNN</v>
      </c>
      <c r="E49" s="36" t="str">
        <f>IF(ISNA(VLOOKUP($A49&amp;E$2,'2004'!$B$2:$K$1621,10,0)),VLOOKUP($A49&amp;E$2,'2004'!$A$2:$K$1621,10,0),VLOOKUP($A49&amp;E$2,'2004'!$B$2:$K$1621,10,0))</f>
        <v>@FFR</v>
      </c>
      <c r="F49" s="36" t="str">
        <f>IF(ISNA(VLOOKUP($A49&amp;F$2,'2004'!$B$2:$K$1621,10,0)),VLOOKUP($A49&amp;F$2,'2004'!$A$2:$K$1621,10,0),VLOOKUP($A49&amp;F$2,'2004'!$B$2:$K$1621,10,0))</f>
        <v>@DIG</v>
      </c>
      <c r="G49" s="35" t="str">
        <f>IF(ISNA(VLOOKUP($A49&amp;G$2,'2004'!$B$2:$K$1621,10,0)),VLOOKUP($A49&amp;G$2,'2004'!$A$2:$K$1621,10,0),VLOOKUP($A49&amp;G$2,'2004'!$B$2:$K$1621,10,0))</f>
        <v>@PHI</v>
      </c>
      <c r="H49" s="35" t="str">
        <f>IF(ISNA(VLOOKUP($A49&amp;H$2,'2004'!$B$2:$K$1621,10,0)),VLOOKUP($A49&amp;H$2,'2004'!$A$2:$K$1621,10,0),VLOOKUP($A49&amp;H$2,'2004'!$B$2:$K$1621,10,0))</f>
        <v>@HAR</v>
      </c>
      <c r="I49" s="35" t="str">
        <f>IF(ISNA(VLOOKUP($A49&amp;I$2,'2004'!$B$2:$K$1621,10,0)),VLOOKUP($A49&amp;I$2,'2004'!$A$2:$K$1621,10,0),VLOOKUP($A49&amp;I$2,'2004'!$B$2:$K$1621,10,0))</f>
        <v>@NYD</v>
      </c>
      <c r="J49" s="35" t="str">
        <f>IF(ISNA(VLOOKUP($A49&amp;J$2,'2004'!$B$2:$K$1621,10,0)),VLOOKUP($A49&amp;J$2,'2004'!$A$2:$K$1621,10,0),VLOOKUP($A49&amp;J$2,'2004'!$B$2:$K$1621,10,0))</f>
        <v>@BRK</v>
      </c>
      <c r="K49" s="35" t="str">
        <f>IF(ISNA(VLOOKUP($A49&amp;K$2,'2004'!$B$2:$K$1621,10,0)),VLOOKUP($A49&amp;K$2,'2004'!$A$2:$K$1621,10,0),VLOOKUP($A49&amp;K$2,'2004'!$B$2:$K$1621,10,0))</f>
        <v>@CBB</v>
      </c>
      <c r="L49" s="34" t="str">
        <f>IF(ISNA(VLOOKUP($A49&amp;L$2,'2004'!$B$2:$K$1621,10,0)),VLOOKUP($A49&amp;L$2,'2004'!$A$2:$K$1621,10,0),VLOOKUP($A49&amp;L$2,'2004'!$B$2:$K$1621,10,0))</f>
        <v>GAR</v>
      </c>
      <c r="M49" s="34" t="str">
        <f>IF(ISNA(VLOOKUP($A49&amp;M$2,'2004'!$B$2:$K$1621,10,0)),VLOOKUP($A49&amp;M$2,'2004'!$A$2:$K$1621,10,0),VLOOKUP($A49&amp;M$2,'2004'!$B$2:$K$1621,10,0))</f>
        <v>CIN</v>
      </c>
      <c r="N49" s="34" t="str">
        <f>IF(ISNA(VLOOKUP($A49&amp;N$2,'2004'!$B$2:$K$1621,10,0)),VLOOKUP($A49&amp;N$2,'2004'!$A$2:$K$1621,10,0),VLOOKUP($A49&amp;N$2,'2004'!$B$2:$K$1621,10,0))</f>
        <v>CTW</v>
      </c>
      <c r="O49" s="34" t="str">
        <f>IF(ISNA(VLOOKUP($A49&amp;O$2,'2004'!$B$2:$K$1621,10,0)),VLOOKUP($A49&amp;O$2,'2004'!$A$2:$K$1621,10,0),VLOOKUP($A49&amp;O$2,'2004'!$B$2:$K$1621,10,0))</f>
        <v>BBG</v>
      </c>
      <c r="P49" s="34" t="str">
        <f>IF(ISNA(VLOOKUP($A49&amp;P$2,'2004'!$B$2:$K$1621,10,0)),VLOOKUP($A49&amp;P$2,'2004'!$A$2:$K$1621,10,0),VLOOKUP($A49&amp;P$2,'2004'!$B$2:$K$1621,10,0))</f>
        <v>BAR</v>
      </c>
      <c r="Q49" s="38" t="str">
        <f>IF(ISNA(VLOOKUP($A49&amp;Q$2,'2004'!$B$2:$K$1621,10,0)),VLOOKUP($A49&amp;Q$2,'2004'!$A$2:$K$1621,10,0),VLOOKUP($A49&amp;Q$2,'2004'!$B$2:$K$1621,10,0))</f>
        <v>REN</v>
      </c>
      <c r="R49" s="38" t="str">
        <f>IF(ISNA(VLOOKUP($A49&amp;R$2,'2004'!$B$2:$K$1621,10,0)),VLOOKUP($A49&amp;R$2,'2004'!$A$2:$K$1621,10,0),VLOOKUP($A49&amp;R$2,'2004'!$B$2:$K$1621,10,0))</f>
        <v>TEW</v>
      </c>
      <c r="S49" s="38" t="str">
        <f>IF(ISNA(VLOOKUP($A49&amp;S$2,'2004'!$B$2:$K$1621,10,0)),VLOOKUP($A49&amp;S$2,'2004'!$A$2:$K$1621,10,0),VLOOKUP($A49&amp;S$2,'2004'!$B$2:$K$1621,10,0))</f>
        <v>FDH</v>
      </c>
      <c r="T49" s="38" t="str">
        <f>IF(ISNA(VLOOKUP($A49&amp;T$2,'2004'!$B$2:$K$1621,10,0)),VLOOKUP($A49&amp;T$2,'2004'!$A$2:$K$1621,10,0),VLOOKUP($A49&amp;T$2,'2004'!$B$2:$K$1621,10,0))</f>
        <v>NEP</v>
      </c>
      <c r="U49" s="38" t="str">
        <f>IF(ISNA(VLOOKUP($A49&amp;U$2,'2004'!$B$2:$K$1621,10,0)),VLOOKUP($A49&amp;U$2,'2004'!$A$2:$K$1621,10,0),VLOOKUP($A49&amp;U$2,'2004'!$B$2:$K$1621,10,0))</f>
        <v>CEN</v>
      </c>
    </row>
    <row r="50" spans="1:21" x14ac:dyDescent="0.25">
      <c r="A50" s="40">
        <f t="shared" si="0"/>
        <v>38127</v>
      </c>
      <c r="B50" s="36" t="str">
        <f>IF(ISNA(VLOOKUP($A50&amp;B$2,'2004'!$B$2:$K$1621,10,0)),VLOOKUP($A50&amp;B$2,'2004'!$A$2:$K$1621,10,0),VLOOKUP($A50&amp;B$2,'2004'!$B$2:$K$1621,10,0))</f>
        <v>@OKO</v>
      </c>
      <c r="C50" s="36" t="str">
        <f>IF(ISNA(VLOOKUP($A50&amp;C$2,'2004'!$B$2:$K$1621,10,0)),VLOOKUP($A50&amp;C$2,'2004'!$A$2:$K$1621,10,0),VLOOKUP($A50&amp;C$2,'2004'!$B$2:$K$1621,10,0))</f>
        <v>@RMO</v>
      </c>
      <c r="D50" s="36" t="str">
        <f>IF(ISNA(VLOOKUP($A50&amp;D$2,'2004'!$B$2:$K$1621,10,0)),VLOOKUP($A50&amp;D$2,'2004'!$A$2:$K$1621,10,0),VLOOKUP($A50&amp;D$2,'2004'!$B$2:$K$1621,10,0))</f>
        <v>@NNN</v>
      </c>
      <c r="E50" s="36" t="str">
        <f>IF(ISNA(VLOOKUP($A50&amp;E$2,'2004'!$B$2:$K$1621,10,0)),VLOOKUP($A50&amp;E$2,'2004'!$A$2:$K$1621,10,0),VLOOKUP($A50&amp;E$2,'2004'!$B$2:$K$1621,10,0))</f>
        <v>@FFR</v>
      </c>
      <c r="F50" s="36" t="str">
        <f>IF(ISNA(VLOOKUP($A50&amp;F$2,'2004'!$B$2:$K$1621,10,0)),VLOOKUP($A50&amp;F$2,'2004'!$A$2:$K$1621,10,0),VLOOKUP($A50&amp;F$2,'2004'!$B$2:$K$1621,10,0))</f>
        <v>@DIG</v>
      </c>
      <c r="G50" s="35" t="str">
        <f>IF(ISNA(VLOOKUP($A50&amp;G$2,'2004'!$B$2:$K$1621,10,0)),VLOOKUP($A50&amp;G$2,'2004'!$A$2:$K$1621,10,0),VLOOKUP($A50&amp;G$2,'2004'!$B$2:$K$1621,10,0))</f>
        <v>@PHI</v>
      </c>
      <c r="H50" s="35" t="str">
        <f>IF(ISNA(VLOOKUP($A50&amp;H$2,'2004'!$B$2:$K$1621,10,0)),VLOOKUP($A50&amp;H$2,'2004'!$A$2:$K$1621,10,0),VLOOKUP($A50&amp;H$2,'2004'!$B$2:$K$1621,10,0))</f>
        <v>@HAR</v>
      </c>
      <c r="I50" s="35" t="str">
        <f>IF(ISNA(VLOOKUP($A50&amp;I$2,'2004'!$B$2:$K$1621,10,0)),VLOOKUP($A50&amp;I$2,'2004'!$A$2:$K$1621,10,0),VLOOKUP($A50&amp;I$2,'2004'!$B$2:$K$1621,10,0))</f>
        <v>@NYD</v>
      </c>
      <c r="J50" s="35" t="str">
        <f>IF(ISNA(VLOOKUP($A50&amp;J$2,'2004'!$B$2:$K$1621,10,0)),VLOOKUP($A50&amp;J$2,'2004'!$A$2:$K$1621,10,0),VLOOKUP($A50&amp;J$2,'2004'!$B$2:$K$1621,10,0))</f>
        <v>@BRK</v>
      </c>
      <c r="K50" s="35" t="str">
        <f>IF(ISNA(VLOOKUP($A50&amp;K$2,'2004'!$B$2:$K$1621,10,0)),VLOOKUP($A50&amp;K$2,'2004'!$A$2:$K$1621,10,0),VLOOKUP($A50&amp;K$2,'2004'!$B$2:$K$1621,10,0))</f>
        <v>@CBB</v>
      </c>
      <c r="L50" s="34" t="str">
        <f>IF(ISNA(VLOOKUP($A50&amp;L$2,'2004'!$B$2:$K$1621,10,0)),VLOOKUP($A50&amp;L$2,'2004'!$A$2:$K$1621,10,0),VLOOKUP($A50&amp;L$2,'2004'!$B$2:$K$1621,10,0))</f>
        <v>GAR</v>
      </c>
      <c r="M50" s="34" t="str">
        <f>IF(ISNA(VLOOKUP($A50&amp;M$2,'2004'!$B$2:$K$1621,10,0)),VLOOKUP($A50&amp;M$2,'2004'!$A$2:$K$1621,10,0),VLOOKUP($A50&amp;M$2,'2004'!$B$2:$K$1621,10,0))</f>
        <v>CIN</v>
      </c>
      <c r="N50" s="34" t="str">
        <f>IF(ISNA(VLOOKUP($A50&amp;N$2,'2004'!$B$2:$K$1621,10,0)),VLOOKUP($A50&amp;N$2,'2004'!$A$2:$K$1621,10,0),VLOOKUP($A50&amp;N$2,'2004'!$B$2:$K$1621,10,0))</f>
        <v>CTW</v>
      </c>
      <c r="O50" s="34" t="str">
        <f>IF(ISNA(VLOOKUP($A50&amp;O$2,'2004'!$B$2:$K$1621,10,0)),VLOOKUP($A50&amp;O$2,'2004'!$A$2:$K$1621,10,0),VLOOKUP($A50&amp;O$2,'2004'!$B$2:$K$1621,10,0))</f>
        <v>BBG</v>
      </c>
      <c r="P50" s="34" t="str">
        <f>IF(ISNA(VLOOKUP($A50&amp;P$2,'2004'!$B$2:$K$1621,10,0)),VLOOKUP($A50&amp;P$2,'2004'!$A$2:$K$1621,10,0),VLOOKUP($A50&amp;P$2,'2004'!$B$2:$K$1621,10,0))</f>
        <v>BAR</v>
      </c>
      <c r="Q50" s="38" t="str">
        <f>IF(ISNA(VLOOKUP($A50&amp;Q$2,'2004'!$B$2:$K$1621,10,0)),VLOOKUP($A50&amp;Q$2,'2004'!$A$2:$K$1621,10,0),VLOOKUP($A50&amp;Q$2,'2004'!$B$2:$K$1621,10,0))</f>
        <v>REN</v>
      </c>
      <c r="R50" s="38" t="str">
        <f>IF(ISNA(VLOOKUP($A50&amp;R$2,'2004'!$B$2:$K$1621,10,0)),VLOOKUP($A50&amp;R$2,'2004'!$A$2:$K$1621,10,0),VLOOKUP($A50&amp;R$2,'2004'!$B$2:$K$1621,10,0))</f>
        <v>TEW</v>
      </c>
      <c r="S50" s="38" t="str">
        <f>IF(ISNA(VLOOKUP($A50&amp;S$2,'2004'!$B$2:$K$1621,10,0)),VLOOKUP($A50&amp;S$2,'2004'!$A$2:$K$1621,10,0),VLOOKUP($A50&amp;S$2,'2004'!$B$2:$K$1621,10,0))</f>
        <v>FDH</v>
      </c>
      <c r="T50" s="38" t="str">
        <f>IF(ISNA(VLOOKUP($A50&amp;T$2,'2004'!$B$2:$K$1621,10,0)),VLOOKUP($A50&amp;T$2,'2004'!$A$2:$K$1621,10,0),VLOOKUP($A50&amp;T$2,'2004'!$B$2:$K$1621,10,0))</f>
        <v>NEP</v>
      </c>
      <c r="U50" s="38" t="str">
        <f>IF(ISNA(VLOOKUP($A50&amp;U$2,'2004'!$B$2:$K$1621,10,0)),VLOOKUP($A50&amp;U$2,'2004'!$A$2:$K$1621,10,0),VLOOKUP($A50&amp;U$2,'2004'!$B$2:$K$1621,10,0))</f>
        <v>CEN</v>
      </c>
    </row>
    <row r="51" spans="1:21" x14ac:dyDescent="0.25">
      <c r="A51" s="40">
        <f t="shared" si="0"/>
        <v>38128</v>
      </c>
      <c r="B51" s="36" t="str">
        <f>IF(ISNA(VLOOKUP($A51&amp;B$2,'2004'!$B$2:$K$1621,10,0)),VLOOKUP($A51&amp;B$2,'2004'!$A$2:$K$1621,10,0),VLOOKUP($A51&amp;B$2,'2004'!$B$2:$K$1621,10,0))</f>
        <v>NEP</v>
      </c>
      <c r="C51" s="36" t="str">
        <f>IF(ISNA(VLOOKUP($A51&amp;C$2,'2004'!$B$2:$K$1621,10,0)),VLOOKUP($A51&amp;C$2,'2004'!$A$2:$K$1621,10,0),VLOOKUP($A51&amp;C$2,'2004'!$B$2:$K$1621,10,0))</f>
        <v>REN</v>
      </c>
      <c r="D51" s="36" t="str">
        <f>IF(ISNA(VLOOKUP($A51&amp;D$2,'2004'!$B$2:$K$1621,10,0)),VLOOKUP($A51&amp;D$2,'2004'!$A$2:$K$1621,10,0),VLOOKUP($A51&amp;D$2,'2004'!$B$2:$K$1621,10,0))</f>
        <v>FDH</v>
      </c>
      <c r="E51" s="36" t="str">
        <f>IF(ISNA(VLOOKUP($A51&amp;E$2,'2004'!$B$2:$K$1621,10,0)),VLOOKUP($A51&amp;E$2,'2004'!$A$2:$K$1621,10,0),VLOOKUP($A51&amp;E$2,'2004'!$B$2:$K$1621,10,0))</f>
        <v>CEN</v>
      </c>
      <c r="F51" s="36" t="str">
        <f>IF(ISNA(VLOOKUP($A51&amp;F$2,'2004'!$B$2:$K$1621,10,0)),VLOOKUP($A51&amp;F$2,'2004'!$A$2:$K$1621,10,0),VLOOKUP($A51&amp;F$2,'2004'!$B$2:$K$1621,10,0))</f>
        <v>TEW</v>
      </c>
      <c r="G51" s="35" t="str">
        <f>IF(ISNA(VLOOKUP($A51&amp;G$2,'2004'!$B$2:$K$1621,10,0)),VLOOKUP($A51&amp;G$2,'2004'!$A$2:$K$1621,10,0),VLOOKUP($A51&amp;G$2,'2004'!$B$2:$K$1621,10,0))</f>
        <v>@CIN</v>
      </c>
      <c r="H51" s="35" t="str">
        <f>IF(ISNA(VLOOKUP($A51&amp;H$2,'2004'!$B$2:$K$1621,10,0)),VLOOKUP($A51&amp;H$2,'2004'!$A$2:$K$1621,10,0),VLOOKUP($A51&amp;H$2,'2004'!$B$2:$K$1621,10,0))</f>
        <v>@CTW</v>
      </c>
      <c r="I51" s="35" t="str">
        <f>IF(ISNA(VLOOKUP($A51&amp;I$2,'2004'!$B$2:$K$1621,10,0)),VLOOKUP($A51&amp;I$2,'2004'!$A$2:$K$1621,10,0),VLOOKUP($A51&amp;I$2,'2004'!$B$2:$K$1621,10,0))</f>
        <v>@BBG</v>
      </c>
      <c r="J51" s="35" t="str">
        <f>IF(ISNA(VLOOKUP($A51&amp;J$2,'2004'!$B$2:$K$1621,10,0)),VLOOKUP($A51&amp;J$2,'2004'!$A$2:$K$1621,10,0),VLOOKUP($A51&amp;J$2,'2004'!$B$2:$K$1621,10,0))</f>
        <v>@BAR</v>
      </c>
      <c r="K51" s="35" t="str">
        <f>IF(ISNA(VLOOKUP($A51&amp;K$2,'2004'!$B$2:$K$1621,10,0)),VLOOKUP($A51&amp;K$2,'2004'!$A$2:$K$1621,10,0),VLOOKUP($A51&amp;K$2,'2004'!$B$2:$K$1621,10,0))</f>
        <v>@GAR</v>
      </c>
      <c r="L51" s="34" t="str">
        <f>IF(ISNA(VLOOKUP($A51&amp;L$2,'2004'!$B$2:$K$1621,10,0)),VLOOKUP($A51&amp;L$2,'2004'!$A$2:$K$1621,10,0),VLOOKUP($A51&amp;L$2,'2004'!$B$2:$K$1621,10,0))</f>
        <v>CBB</v>
      </c>
      <c r="M51" s="34" t="str">
        <f>IF(ISNA(VLOOKUP($A51&amp;M$2,'2004'!$B$2:$K$1621,10,0)),VLOOKUP($A51&amp;M$2,'2004'!$A$2:$K$1621,10,0),VLOOKUP($A51&amp;M$2,'2004'!$B$2:$K$1621,10,0))</f>
        <v>PHI</v>
      </c>
      <c r="N51" s="34" t="str">
        <f>IF(ISNA(VLOOKUP($A51&amp;N$2,'2004'!$B$2:$K$1621,10,0)),VLOOKUP($A51&amp;N$2,'2004'!$A$2:$K$1621,10,0),VLOOKUP($A51&amp;N$2,'2004'!$B$2:$K$1621,10,0))</f>
        <v>HAR</v>
      </c>
      <c r="O51" s="34" t="str">
        <f>IF(ISNA(VLOOKUP($A51&amp;O$2,'2004'!$B$2:$K$1621,10,0)),VLOOKUP($A51&amp;O$2,'2004'!$A$2:$K$1621,10,0),VLOOKUP($A51&amp;O$2,'2004'!$B$2:$K$1621,10,0))</f>
        <v>NYD</v>
      </c>
      <c r="P51" s="34" t="str">
        <f>IF(ISNA(VLOOKUP($A51&amp;P$2,'2004'!$B$2:$K$1621,10,0)),VLOOKUP($A51&amp;P$2,'2004'!$A$2:$K$1621,10,0),VLOOKUP($A51&amp;P$2,'2004'!$B$2:$K$1621,10,0))</f>
        <v>BRK</v>
      </c>
      <c r="Q51" s="38" t="str">
        <f>IF(ISNA(VLOOKUP($A51&amp;Q$2,'2004'!$B$2:$K$1621,10,0)),VLOOKUP($A51&amp;Q$2,'2004'!$A$2:$K$1621,10,0),VLOOKUP($A51&amp;Q$2,'2004'!$B$2:$K$1621,10,0))</f>
        <v>@RMO</v>
      </c>
      <c r="R51" s="38" t="str">
        <f>IF(ISNA(VLOOKUP($A51&amp;R$2,'2004'!$B$2:$K$1621,10,0)),VLOOKUP($A51&amp;R$2,'2004'!$A$2:$K$1621,10,0),VLOOKUP($A51&amp;R$2,'2004'!$B$2:$K$1621,10,0))</f>
        <v>@DIG</v>
      </c>
      <c r="S51" s="38" t="str">
        <f>IF(ISNA(VLOOKUP($A51&amp;S$2,'2004'!$B$2:$K$1621,10,0)),VLOOKUP($A51&amp;S$2,'2004'!$A$2:$K$1621,10,0),VLOOKUP($A51&amp;S$2,'2004'!$B$2:$K$1621,10,0))</f>
        <v>@NNN</v>
      </c>
      <c r="T51" s="38" t="str">
        <f>IF(ISNA(VLOOKUP($A51&amp;T$2,'2004'!$B$2:$K$1621,10,0)),VLOOKUP($A51&amp;T$2,'2004'!$A$2:$K$1621,10,0),VLOOKUP($A51&amp;T$2,'2004'!$B$2:$K$1621,10,0))</f>
        <v>@OKO</v>
      </c>
      <c r="U51" s="38" t="str">
        <f>IF(ISNA(VLOOKUP($A51&amp;U$2,'2004'!$B$2:$K$1621,10,0)),VLOOKUP($A51&amp;U$2,'2004'!$A$2:$K$1621,10,0),VLOOKUP($A51&amp;U$2,'2004'!$B$2:$K$1621,10,0))</f>
        <v>@FFR</v>
      </c>
    </row>
    <row r="52" spans="1:21" x14ac:dyDescent="0.25">
      <c r="A52" s="40">
        <f t="shared" si="0"/>
        <v>38129</v>
      </c>
      <c r="B52" s="36" t="str">
        <f>IF(ISNA(VLOOKUP($A52&amp;B$2,'2004'!$B$2:$K$1621,10,0)),VLOOKUP($A52&amp;B$2,'2004'!$A$2:$K$1621,10,0),VLOOKUP($A52&amp;B$2,'2004'!$B$2:$K$1621,10,0))</f>
        <v>NEP</v>
      </c>
      <c r="C52" s="36" t="str">
        <f>IF(ISNA(VLOOKUP($A52&amp;C$2,'2004'!$B$2:$K$1621,10,0)),VLOOKUP($A52&amp;C$2,'2004'!$A$2:$K$1621,10,0),VLOOKUP($A52&amp;C$2,'2004'!$B$2:$K$1621,10,0))</f>
        <v>REN</v>
      </c>
      <c r="D52" s="36" t="str">
        <f>IF(ISNA(VLOOKUP($A52&amp;D$2,'2004'!$B$2:$K$1621,10,0)),VLOOKUP($A52&amp;D$2,'2004'!$A$2:$K$1621,10,0),VLOOKUP($A52&amp;D$2,'2004'!$B$2:$K$1621,10,0))</f>
        <v>FDH</v>
      </c>
      <c r="E52" s="36" t="str">
        <f>IF(ISNA(VLOOKUP($A52&amp;E$2,'2004'!$B$2:$K$1621,10,0)),VLOOKUP($A52&amp;E$2,'2004'!$A$2:$K$1621,10,0),VLOOKUP($A52&amp;E$2,'2004'!$B$2:$K$1621,10,0))</f>
        <v>CEN</v>
      </c>
      <c r="F52" s="36" t="str">
        <f>IF(ISNA(VLOOKUP($A52&amp;F$2,'2004'!$B$2:$K$1621,10,0)),VLOOKUP($A52&amp;F$2,'2004'!$A$2:$K$1621,10,0),VLOOKUP($A52&amp;F$2,'2004'!$B$2:$K$1621,10,0))</f>
        <v>TEW</v>
      </c>
      <c r="G52" s="35" t="str">
        <f>IF(ISNA(VLOOKUP($A52&amp;G$2,'2004'!$B$2:$K$1621,10,0)),VLOOKUP($A52&amp;G$2,'2004'!$A$2:$K$1621,10,0),VLOOKUP($A52&amp;G$2,'2004'!$B$2:$K$1621,10,0))</f>
        <v>@CIN</v>
      </c>
      <c r="H52" s="35" t="str">
        <f>IF(ISNA(VLOOKUP($A52&amp;H$2,'2004'!$B$2:$K$1621,10,0)),VLOOKUP($A52&amp;H$2,'2004'!$A$2:$K$1621,10,0),VLOOKUP($A52&amp;H$2,'2004'!$B$2:$K$1621,10,0))</f>
        <v>@CTW</v>
      </c>
      <c r="I52" s="35" t="str">
        <f>IF(ISNA(VLOOKUP($A52&amp;I$2,'2004'!$B$2:$K$1621,10,0)),VLOOKUP($A52&amp;I$2,'2004'!$A$2:$K$1621,10,0),VLOOKUP($A52&amp;I$2,'2004'!$B$2:$K$1621,10,0))</f>
        <v>@BBG</v>
      </c>
      <c r="J52" s="35" t="str">
        <f>IF(ISNA(VLOOKUP($A52&amp;J$2,'2004'!$B$2:$K$1621,10,0)),VLOOKUP($A52&amp;J$2,'2004'!$A$2:$K$1621,10,0),VLOOKUP($A52&amp;J$2,'2004'!$B$2:$K$1621,10,0))</f>
        <v>@BAR</v>
      </c>
      <c r="K52" s="35" t="str">
        <f>IF(ISNA(VLOOKUP($A52&amp;K$2,'2004'!$B$2:$K$1621,10,0)),VLOOKUP($A52&amp;K$2,'2004'!$A$2:$K$1621,10,0),VLOOKUP($A52&amp;K$2,'2004'!$B$2:$K$1621,10,0))</f>
        <v>@GAR</v>
      </c>
      <c r="L52" s="34" t="str">
        <f>IF(ISNA(VLOOKUP($A52&amp;L$2,'2004'!$B$2:$K$1621,10,0)),VLOOKUP($A52&amp;L$2,'2004'!$A$2:$K$1621,10,0),VLOOKUP($A52&amp;L$2,'2004'!$B$2:$K$1621,10,0))</f>
        <v>CBB</v>
      </c>
      <c r="M52" s="34" t="str">
        <f>IF(ISNA(VLOOKUP($A52&amp;M$2,'2004'!$B$2:$K$1621,10,0)),VLOOKUP($A52&amp;M$2,'2004'!$A$2:$K$1621,10,0),VLOOKUP($A52&amp;M$2,'2004'!$B$2:$K$1621,10,0))</f>
        <v>PHI</v>
      </c>
      <c r="N52" s="34" t="str">
        <f>IF(ISNA(VLOOKUP($A52&amp;N$2,'2004'!$B$2:$K$1621,10,0)),VLOOKUP($A52&amp;N$2,'2004'!$A$2:$K$1621,10,0),VLOOKUP($A52&amp;N$2,'2004'!$B$2:$K$1621,10,0))</f>
        <v>HAR</v>
      </c>
      <c r="O52" s="34" t="str">
        <f>IF(ISNA(VLOOKUP($A52&amp;O$2,'2004'!$B$2:$K$1621,10,0)),VLOOKUP($A52&amp;O$2,'2004'!$A$2:$K$1621,10,0),VLOOKUP($A52&amp;O$2,'2004'!$B$2:$K$1621,10,0))</f>
        <v>NYD</v>
      </c>
      <c r="P52" s="34" t="str">
        <f>IF(ISNA(VLOOKUP($A52&amp;P$2,'2004'!$B$2:$K$1621,10,0)),VLOOKUP($A52&amp;P$2,'2004'!$A$2:$K$1621,10,0),VLOOKUP($A52&amp;P$2,'2004'!$B$2:$K$1621,10,0))</f>
        <v>BRK</v>
      </c>
      <c r="Q52" s="38" t="str">
        <f>IF(ISNA(VLOOKUP($A52&amp;Q$2,'2004'!$B$2:$K$1621,10,0)),VLOOKUP($A52&amp;Q$2,'2004'!$A$2:$K$1621,10,0),VLOOKUP($A52&amp;Q$2,'2004'!$B$2:$K$1621,10,0))</f>
        <v>@RMO</v>
      </c>
      <c r="R52" s="38" t="str">
        <f>IF(ISNA(VLOOKUP($A52&amp;R$2,'2004'!$B$2:$K$1621,10,0)),VLOOKUP($A52&amp;R$2,'2004'!$A$2:$K$1621,10,0),VLOOKUP($A52&amp;R$2,'2004'!$B$2:$K$1621,10,0))</f>
        <v>@DIG</v>
      </c>
      <c r="S52" s="38" t="str">
        <f>IF(ISNA(VLOOKUP($A52&amp;S$2,'2004'!$B$2:$K$1621,10,0)),VLOOKUP($A52&amp;S$2,'2004'!$A$2:$K$1621,10,0),VLOOKUP($A52&amp;S$2,'2004'!$B$2:$K$1621,10,0))</f>
        <v>@NNN</v>
      </c>
      <c r="T52" s="38" t="str">
        <f>IF(ISNA(VLOOKUP($A52&amp;T$2,'2004'!$B$2:$K$1621,10,0)),VLOOKUP($A52&amp;T$2,'2004'!$A$2:$K$1621,10,0),VLOOKUP($A52&amp;T$2,'2004'!$B$2:$K$1621,10,0))</f>
        <v>@OKO</v>
      </c>
      <c r="U52" s="38" t="str">
        <f>IF(ISNA(VLOOKUP($A52&amp;U$2,'2004'!$B$2:$K$1621,10,0)),VLOOKUP($A52&amp;U$2,'2004'!$A$2:$K$1621,10,0),VLOOKUP($A52&amp;U$2,'2004'!$B$2:$K$1621,10,0))</f>
        <v>@FFR</v>
      </c>
    </row>
    <row r="53" spans="1:21" x14ac:dyDescent="0.25">
      <c r="A53" s="40">
        <f t="shared" si="0"/>
        <v>38130</v>
      </c>
      <c r="B53" s="36" t="str">
        <f>IF(ISNA(VLOOKUP($A53&amp;B$2,'2004'!$B$2:$K$1621,10,0)),VLOOKUP($A53&amp;B$2,'2004'!$A$2:$K$1621,10,0),VLOOKUP($A53&amp;B$2,'2004'!$B$2:$K$1621,10,0))</f>
        <v>NEP</v>
      </c>
      <c r="C53" s="36" t="str">
        <f>IF(ISNA(VLOOKUP($A53&amp;C$2,'2004'!$B$2:$K$1621,10,0)),VLOOKUP($A53&amp;C$2,'2004'!$A$2:$K$1621,10,0),VLOOKUP($A53&amp;C$2,'2004'!$B$2:$K$1621,10,0))</f>
        <v>REN</v>
      </c>
      <c r="D53" s="36" t="str">
        <f>IF(ISNA(VLOOKUP($A53&amp;D$2,'2004'!$B$2:$K$1621,10,0)),VLOOKUP($A53&amp;D$2,'2004'!$A$2:$K$1621,10,0),VLOOKUP($A53&amp;D$2,'2004'!$B$2:$K$1621,10,0))</f>
        <v>FDH</v>
      </c>
      <c r="E53" s="36" t="str">
        <f>IF(ISNA(VLOOKUP($A53&amp;E$2,'2004'!$B$2:$K$1621,10,0)),VLOOKUP($A53&amp;E$2,'2004'!$A$2:$K$1621,10,0),VLOOKUP($A53&amp;E$2,'2004'!$B$2:$K$1621,10,0))</f>
        <v>CEN</v>
      </c>
      <c r="F53" s="36" t="str">
        <f>IF(ISNA(VLOOKUP($A53&amp;F$2,'2004'!$B$2:$K$1621,10,0)),VLOOKUP($A53&amp;F$2,'2004'!$A$2:$K$1621,10,0),VLOOKUP($A53&amp;F$2,'2004'!$B$2:$K$1621,10,0))</f>
        <v>TEW</v>
      </c>
      <c r="G53" s="35" t="str">
        <f>IF(ISNA(VLOOKUP($A53&amp;G$2,'2004'!$B$2:$K$1621,10,0)),VLOOKUP($A53&amp;G$2,'2004'!$A$2:$K$1621,10,0),VLOOKUP($A53&amp;G$2,'2004'!$B$2:$K$1621,10,0))</f>
        <v>@CIN</v>
      </c>
      <c r="H53" s="35" t="str">
        <f>IF(ISNA(VLOOKUP($A53&amp;H$2,'2004'!$B$2:$K$1621,10,0)),VLOOKUP($A53&amp;H$2,'2004'!$A$2:$K$1621,10,0),VLOOKUP($A53&amp;H$2,'2004'!$B$2:$K$1621,10,0))</f>
        <v>@CTW</v>
      </c>
      <c r="I53" s="35" t="str">
        <f>IF(ISNA(VLOOKUP($A53&amp;I$2,'2004'!$B$2:$K$1621,10,0)),VLOOKUP($A53&amp;I$2,'2004'!$A$2:$K$1621,10,0),VLOOKUP($A53&amp;I$2,'2004'!$B$2:$K$1621,10,0))</f>
        <v>@BBG</v>
      </c>
      <c r="J53" s="35" t="str">
        <f>IF(ISNA(VLOOKUP($A53&amp;J$2,'2004'!$B$2:$K$1621,10,0)),VLOOKUP($A53&amp;J$2,'2004'!$A$2:$K$1621,10,0),VLOOKUP($A53&amp;J$2,'2004'!$B$2:$K$1621,10,0))</f>
        <v>@BAR</v>
      </c>
      <c r="K53" s="35" t="str">
        <f>IF(ISNA(VLOOKUP($A53&amp;K$2,'2004'!$B$2:$K$1621,10,0)),VLOOKUP($A53&amp;K$2,'2004'!$A$2:$K$1621,10,0),VLOOKUP($A53&amp;K$2,'2004'!$B$2:$K$1621,10,0))</f>
        <v>@GAR</v>
      </c>
      <c r="L53" s="34" t="str">
        <f>IF(ISNA(VLOOKUP($A53&amp;L$2,'2004'!$B$2:$K$1621,10,0)),VLOOKUP($A53&amp;L$2,'2004'!$A$2:$K$1621,10,0),VLOOKUP($A53&amp;L$2,'2004'!$B$2:$K$1621,10,0))</f>
        <v>CBB</v>
      </c>
      <c r="M53" s="34" t="str">
        <f>IF(ISNA(VLOOKUP($A53&amp;M$2,'2004'!$B$2:$K$1621,10,0)),VLOOKUP($A53&amp;M$2,'2004'!$A$2:$K$1621,10,0),VLOOKUP($A53&amp;M$2,'2004'!$B$2:$K$1621,10,0))</f>
        <v>PHI</v>
      </c>
      <c r="N53" s="34" t="str">
        <f>IF(ISNA(VLOOKUP($A53&amp;N$2,'2004'!$B$2:$K$1621,10,0)),VLOOKUP($A53&amp;N$2,'2004'!$A$2:$K$1621,10,0),VLOOKUP($A53&amp;N$2,'2004'!$B$2:$K$1621,10,0))</f>
        <v>HAR</v>
      </c>
      <c r="O53" s="34" t="str">
        <f>IF(ISNA(VLOOKUP($A53&amp;O$2,'2004'!$B$2:$K$1621,10,0)),VLOOKUP($A53&amp;O$2,'2004'!$A$2:$K$1621,10,0),VLOOKUP($A53&amp;O$2,'2004'!$B$2:$K$1621,10,0))</f>
        <v>NYD</v>
      </c>
      <c r="P53" s="34" t="str">
        <f>IF(ISNA(VLOOKUP($A53&amp;P$2,'2004'!$B$2:$K$1621,10,0)),VLOOKUP($A53&amp;P$2,'2004'!$A$2:$K$1621,10,0),VLOOKUP($A53&amp;P$2,'2004'!$B$2:$K$1621,10,0))</f>
        <v>BRK</v>
      </c>
      <c r="Q53" s="38" t="str">
        <f>IF(ISNA(VLOOKUP($A53&amp;Q$2,'2004'!$B$2:$K$1621,10,0)),VLOOKUP($A53&amp;Q$2,'2004'!$A$2:$K$1621,10,0),VLOOKUP($A53&amp;Q$2,'2004'!$B$2:$K$1621,10,0))</f>
        <v>@RMO</v>
      </c>
      <c r="R53" s="38" t="str">
        <f>IF(ISNA(VLOOKUP($A53&amp;R$2,'2004'!$B$2:$K$1621,10,0)),VLOOKUP($A53&amp;R$2,'2004'!$A$2:$K$1621,10,0),VLOOKUP($A53&amp;R$2,'2004'!$B$2:$K$1621,10,0))</f>
        <v>@DIG</v>
      </c>
      <c r="S53" s="38" t="str">
        <f>IF(ISNA(VLOOKUP($A53&amp;S$2,'2004'!$B$2:$K$1621,10,0)),VLOOKUP($A53&amp;S$2,'2004'!$A$2:$K$1621,10,0),VLOOKUP($A53&amp;S$2,'2004'!$B$2:$K$1621,10,0))</f>
        <v>@NNN</v>
      </c>
      <c r="T53" s="38" t="str">
        <f>IF(ISNA(VLOOKUP($A53&amp;T$2,'2004'!$B$2:$K$1621,10,0)),VLOOKUP($A53&amp;T$2,'2004'!$A$2:$K$1621,10,0),VLOOKUP($A53&amp;T$2,'2004'!$B$2:$K$1621,10,0))</f>
        <v>@OKO</v>
      </c>
      <c r="U53" s="38" t="str">
        <f>IF(ISNA(VLOOKUP($A53&amp;U$2,'2004'!$B$2:$K$1621,10,0)),VLOOKUP($A53&amp;U$2,'2004'!$A$2:$K$1621,10,0),VLOOKUP($A53&amp;U$2,'2004'!$B$2:$K$1621,10,0))</f>
        <v>@FFR</v>
      </c>
    </row>
    <row r="54" spans="1:21" x14ac:dyDescent="0.25">
      <c r="A54" s="40">
        <f t="shared" si="0"/>
        <v>38131</v>
      </c>
      <c r="B54" s="36" t="str">
        <f>IF(ISNA(VLOOKUP($A54&amp;B$2,'2004'!$B$2:$K$1621,10,0)),VLOOKUP($A54&amp;B$2,'2004'!$A$2:$K$1621,10,0),VLOOKUP($A54&amp;B$2,'2004'!$B$2:$K$1621,10,0))</f>
        <v>NEP</v>
      </c>
      <c r="C54" s="36" t="str">
        <f>IF(ISNA(VLOOKUP($A54&amp;C$2,'2004'!$B$2:$K$1621,10,0)),VLOOKUP($A54&amp;C$2,'2004'!$A$2:$K$1621,10,0),VLOOKUP($A54&amp;C$2,'2004'!$B$2:$K$1621,10,0))</f>
        <v>REN</v>
      </c>
      <c r="D54" s="36" t="str">
        <f>IF(ISNA(VLOOKUP($A54&amp;D$2,'2004'!$B$2:$K$1621,10,0)),VLOOKUP($A54&amp;D$2,'2004'!$A$2:$K$1621,10,0),VLOOKUP($A54&amp;D$2,'2004'!$B$2:$K$1621,10,0))</f>
        <v>FDH</v>
      </c>
      <c r="E54" s="36" t="str">
        <f>IF(ISNA(VLOOKUP($A54&amp;E$2,'2004'!$B$2:$K$1621,10,0)),VLOOKUP($A54&amp;E$2,'2004'!$A$2:$K$1621,10,0),VLOOKUP($A54&amp;E$2,'2004'!$B$2:$K$1621,10,0))</f>
        <v>CEN</v>
      </c>
      <c r="F54" s="36" t="str">
        <f>IF(ISNA(VLOOKUP($A54&amp;F$2,'2004'!$B$2:$K$1621,10,0)),VLOOKUP($A54&amp;F$2,'2004'!$A$2:$K$1621,10,0),VLOOKUP($A54&amp;F$2,'2004'!$B$2:$K$1621,10,0))</f>
        <v>TEW</v>
      </c>
      <c r="G54" s="35" t="str">
        <f>IF(ISNA(VLOOKUP($A54&amp;G$2,'2004'!$B$2:$K$1621,10,0)),VLOOKUP($A54&amp;G$2,'2004'!$A$2:$K$1621,10,0),VLOOKUP($A54&amp;G$2,'2004'!$B$2:$K$1621,10,0))</f>
        <v>@CIN</v>
      </c>
      <c r="H54" s="35" t="str">
        <f>IF(ISNA(VLOOKUP($A54&amp;H$2,'2004'!$B$2:$K$1621,10,0)),VLOOKUP($A54&amp;H$2,'2004'!$A$2:$K$1621,10,0),VLOOKUP($A54&amp;H$2,'2004'!$B$2:$K$1621,10,0))</f>
        <v>@CTW</v>
      </c>
      <c r="I54" s="35" t="str">
        <f>IF(ISNA(VLOOKUP($A54&amp;I$2,'2004'!$B$2:$K$1621,10,0)),VLOOKUP($A54&amp;I$2,'2004'!$A$2:$K$1621,10,0),VLOOKUP($A54&amp;I$2,'2004'!$B$2:$K$1621,10,0))</f>
        <v>@BBG</v>
      </c>
      <c r="J54" s="35" t="str">
        <f>IF(ISNA(VLOOKUP($A54&amp;J$2,'2004'!$B$2:$K$1621,10,0)),VLOOKUP($A54&amp;J$2,'2004'!$A$2:$K$1621,10,0),VLOOKUP($A54&amp;J$2,'2004'!$B$2:$K$1621,10,0))</f>
        <v>@BAR</v>
      </c>
      <c r="K54" s="35" t="str">
        <f>IF(ISNA(VLOOKUP($A54&amp;K$2,'2004'!$B$2:$K$1621,10,0)),VLOOKUP($A54&amp;K$2,'2004'!$A$2:$K$1621,10,0),VLOOKUP($A54&amp;K$2,'2004'!$B$2:$K$1621,10,0))</f>
        <v>@GAR</v>
      </c>
      <c r="L54" s="34" t="str">
        <f>IF(ISNA(VLOOKUP($A54&amp;L$2,'2004'!$B$2:$K$1621,10,0)),VLOOKUP($A54&amp;L$2,'2004'!$A$2:$K$1621,10,0),VLOOKUP($A54&amp;L$2,'2004'!$B$2:$K$1621,10,0))</f>
        <v>CBB</v>
      </c>
      <c r="M54" s="34" t="str">
        <f>IF(ISNA(VLOOKUP($A54&amp;M$2,'2004'!$B$2:$K$1621,10,0)),VLOOKUP($A54&amp;M$2,'2004'!$A$2:$K$1621,10,0),VLOOKUP($A54&amp;M$2,'2004'!$B$2:$K$1621,10,0))</f>
        <v>PHI</v>
      </c>
      <c r="N54" s="34" t="str">
        <f>IF(ISNA(VLOOKUP($A54&amp;N$2,'2004'!$B$2:$K$1621,10,0)),VLOOKUP($A54&amp;N$2,'2004'!$A$2:$K$1621,10,0),VLOOKUP($A54&amp;N$2,'2004'!$B$2:$K$1621,10,0))</f>
        <v>HAR</v>
      </c>
      <c r="O54" s="34" t="str">
        <f>IF(ISNA(VLOOKUP($A54&amp;O$2,'2004'!$B$2:$K$1621,10,0)),VLOOKUP($A54&amp;O$2,'2004'!$A$2:$K$1621,10,0),VLOOKUP($A54&amp;O$2,'2004'!$B$2:$K$1621,10,0))</f>
        <v>NYD</v>
      </c>
      <c r="P54" s="34" t="str">
        <f>IF(ISNA(VLOOKUP($A54&amp;P$2,'2004'!$B$2:$K$1621,10,0)),VLOOKUP($A54&amp;P$2,'2004'!$A$2:$K$1621,10,0),VLOOKUP($A54&amp;P$2,'2004'!$B$2:$K$1621,10,0))</f>
        <v>BRK</v>
      </c>
      <c r="Q54" s="38" t="str">
        <f>IF(ISNA(VLOOKUP($A54&amp;Q$2,'2004'!$B$2:$K$1621,10,0)),VLOOKUP($A54&amp;Q$2,'2004'!$A$2:$K$1621,10,0),VLOOKUP($A54&amp;Q$2,'2004'!$B$2:$K$1621,10,0))</f>
        <v>@RMO</v>
      </c>
      <c r="R54" s="38" t="str">
        <f>IF(ISNA(VLOOKUP($A54&amp;R$2,'2004'!$B$2:$K$1621,10,0)),VLOOKUP($A54&amp;R$2,'2004'!$A$2:$K$1621,10,0),VLOOKUP($A54&amp;R$2,'2004'!$B$2:$K$1621,10,0))</f>
        <v>@DIG</v>
      </c>
      <c r="S54" s="38" t="str">
        <f>IF(ISNA(VLOOKUP($A54&amp;S$2,'2004'!$B$2:$K$1621,10,0)),VLOOKUP($A54&amp;S$2,'2004'!$A$2:$K$1621,10,0),VLOOKUP($A54&amp;S$2,'2004'!$B$2:$K$1621,10,0))</f>
        <v>@NNN</v>
      </c>
      <c r="T54" s="38" t="str">
        <f>IF(ISNA(VLOOKUP($A54&amp;T$2,'2004'!$B$2:$K$1621,10,0)),VLOOKUP($A54&amp;T$2,'2004'!$A$2:$K$1621,10,0),VLOOKUP($A54&amp;T$2,'2004'!$B$2:$K$1621,10,0))</f>
        <v>@OKO</v>
      </c>
      <c r="U54" s="38" t="str">
        <f>IF(ISNA(VLOOKUP($A54&amp;U$2,'2004'!$B$2:$K$1621,10,0)),VLOOKUP($A54&amp;U$2,'2004'!$A$2:$K$1621,10,0),VLOOKUP($A54&amp;U$2,'2004'!$B$2:$K$1621,10,0))</f>
        <v>@FFR</v>
      </c>
    </row>
    <row r="55" spans="1:21" x14ac:dyDescent="0.25">
      <c r="A55" s="40">
        <f t="shared" si="0"/>
        <v>38132</v>
      </c>
      <c r="B55" s="36" t="e">
        <f>IF(ISNA(VLOOKUP($A55&amp;B$2,'2004'!$B$2:$K$1621,10,0)),VLOOKUP($A55&amp;B$2,'2004'!$A$2:$K$1621,10,0),VLOOKUP($A55&amp;B$2,'2004'!$B$2:$K$1621,10,0))</f>
        <v>#N/A</v>
      </c>
      <c r="C55" s="36" t="e">
        <f>IF(ISNA(VLOOKUP($A55&amp;C$2,'2004'!$B$2:$K$1621,10,0)),VLOOKUP($A55&amp;C$2,'2004'!$A$2:$K$1621,10,0),VLOOKUP($A55&amp;C$2,'2004'!$B$2:$K$1621,10,0))</f>
        <v>#N/A</v>
      </c>
      <c r="D55" s="36" t="e">
        <f>IF(ISNA(VLOOKUP($A55&amp;D$2,'2004'!$B$2:$K$1621,10,0)),VLOOKUP($A55&amp;D$2,'2004'!$A$2:$K$1621,10,0),VLOOKUP($A55&amp;D$2,'2004'!$B$2:$K$1621,10,0))</f>
        <v>#N/A</v>
      </c>
      <c r="E55" s="36" t="e">
        <f>IF(ISNA(VLOOKUP($A55&amp;E$2,'2004'!$B$2:$K$1621,10,0)),VLOOKUP($A55&amp;E$2,'2004'!$A$2:$K$1621,10,0),VLOOKUP($A55&amp;E$2,'2004'!$B$2:$K$1621,10,0))</f>
        <v>#N/A</v>
      </c>
      <c r="F55" s="36" t="e">
        <f>IF(ISNA(VLOOKUP($A55&amp;F$2,'2004'!$B$2:$K$1621,10,0)),VLOOKUP($A55&amp;F$2,'2004'!$A$2:$K$1621,10,0),VLOOKUP($A55&amp;F$2,'2004'!$B$2:$K$1621,10,0))</f>
        <v>#N/A</v>
      </c>
      <c r="G55" s="35" t="e">
        <f>IF(ISNA(VLOOKUP($A55&amp;G$2,'2004'!$B$2:$K$1621,10,0)),VLOOKUP($A55&amp;G$2,'2004'!$A$2:$K$1621,10,0),VLOOKUP($A55&amp;G$2,'2004'!$B$2:$K$1621,10,0))</f>
        <v>#N/A</v>
      </c>
      <c r="H55" s="35" t="e">
        <f>IF(ISNA(VLOOKUP($A55&amp;H$2,'2004'!$B$2:$K$1621,10,0)),VLOOKUP($A55&amp;H$2,'2004'!$A$2:$K$1621,10,0),VLOOKUP($A55&amp;H$2,'2004'!$B$2:$K$1621,10,0))</f>
        <v>#N/A</v>
      </c>
      <c r="I55" s="35" t="e">
        <f>IF(ISNA(VLOOKUP($A55&amp;I$2,'2004'!$B$2:$K$1621,10,0)),VLOOKUP($A55&amp;I$2,'2004'!$A$2:$K$1621,10,0),VLOOKUP($A55&amp;I$2,'2004'!$B$2:$K$1621,10,0))</f>
        <v>#N/A</v>
      </c>
      <c r="J55" s="35" t="e">
        <f>IF(ISNA(VLOOKUP($A55&amp;J$2,'2004'!$B$2:$K$1621,10,0)),VLOOKUP($A55&amp;J$2,'2004'!$A$2:$K$1621,10,0),VLOOKUP($A55&amp;J$2,'2004'!$B$2:$K$1621,10,0))</f>
        <v>#N/A</v>
      </c>
      <c r="K55" s="35" t="e">
        <f>IF(ISNA(VLOOKUP($A55&amp;K$2,'2004'!$B$2:$K$1621,10,0)),VLOOKUP($A55&amp;K$2,'2004'!$A$2:$K$1621,10,0),VLOOKUP($A55&amp;K$2,'2004'!$B$2:$K$1621,10,0))</f>
        <v>#N/A</v>
      </c>
      <c r="L55" s="34" t="e">
        <f>IF(ISNA(VLOOKUP($A55&amp;L$2,'2004'!$B$2:$K$1621,10,0)),VLOOKUP($A55&amp;L$2,'2004'!$A$2:$K$1621,10,0),VLOOKUP($A55&amp;L$2,'2004'!$B$2:$K$1621,10,0))</f>
        <v>#N/A</v>
      </c>
      <c r="M55" s="34" t="e">
        <f>IF(ISNA(VLOOKUP($A55&amp;M$2,'2004'!$B$2:$K$1621,10,0)),VLOOKUP($A55&amp;M$2,'2004'!$A$2:$K$1621,10,0),VLOOKUP($A55&amp;M$2,'2004'!$B$2:$K$1621,10,0))</f>
        <v>#N/A</v>
      </c>
      <c r="N55" s="34" t="e">
        <f>IF(ISNA(VLOOKUP($A55&amp;N$2,'2004'!$B$2:$K$1621,10,0)),VLOOKUP($A55&amp;N$2,'2004'!$A$2:$K$1621,10,0),VLOOKUP($A55&amp;N$2,'2004'!$B$2:$K$1621,10,0))</f>
        <v>#N/A</v>
      </c>
      <c r="O55" s="34" t="e">
        <f>IF(ISNA(VLOOKUP($A55&amp;O$2,'2004'!$B$2:$K$1621,10,0)),VLOOKUP($A55&amp;O$2,'2004'!$A$2:$K$1621,10,0),VLOOKUP($A55&amp;O$2,'2004'!$B$2:$K$1621,10,0))</f>
        <v>#N/A</v>
      </c>
      <c r="P55" s="34" t="e">
        <f>IF(ISNA(VLOOKUP($A55&amp;P$2,'2004'!$B$2:$K$1621,10,0)),VLOOKUP($A55&amp;P$2,'2004'!$A$2:$K$1621,10,0),VLOOKUP($A55&amp;P$2,'2004'!$B$2:$K$1621,10,0))</f>
        <v>#N/A</v>
      </c>
      <c r="Q55" s="38" t="e">
        <f>IF(ISNA(VLOOKUP($A55&amp;Q$2,'2004'!$B$2:$K$1621,10,0)),VLOOKUP($A55&amp;Q$2,'2004'!$A$2:$K$1621,10,0),VLOOKUP($A55&amp;Q$2,'2004'!$B$2:$K$1621,10,0))</f>
        <v>#N/A</v>
      </c>
      <c r="R55" s="38" t="e">
        <f>IF(ISNA(VLOOKUP($A55&amp;R$2,'2004'!$B$2:$K$1621,10,0)),VLOOKUP($A55&amp;R$2,'2004'!$A$2:$K$1621,10,0),VLOOKUP($A55&amp;R$2,'2004'!$B$2:$K$1621,10,0))</f>
        <v>#N/A</v>
      </c>
      <c r="S55" s="38" t="e">
        <f>IF(ISNA(VLOOKUP($A55&amp;S$2,'2004'!$B$2:$K$1621,10,0)),VLOOKUP($A55&amp;S$2,'2004'!$A$2:$K$1621,10,0),VLOOKUP($A55&amp;S$2,'2004'!$B$2:$K$1621,10,0))</f>
        <v>#N/A</v>
      </c>
      <c r="T55" s="38" t="e">
        <f>IF(ISNA(VLOOKUP($A55&amp;T$2,'2004'!$B$2:$K$1621,10,0)),VLOOKUP($A55&amp;T$2,'2004'!$A$2:$K$1621,10,0),VLOOKUP($A55&amp;T$2,'2004'!$B$2:$K$1621,10,0))</f>
        <v>#N/A</v>
      </c>
      <c r="U55" s="38" t="e">
        <f>IF(ISNA(VLOOKUP($A55&amp;U$2,'2004'!$B$2:$K$1621,10,0)),VLOOKUP($A55&amp;U$2,'2004'!$A$2:$K$1621,10,0),VLOOKUP($A55&amp;U$2,'2004'!$B$2:$K$1621,10,0))</f>
        <v>#N/A</v>
      </c>
    </row>
    <row r="56" spans="1:21" x14ac:dyDescent="0.25">
      <c r="A56" s="40">
        <f t="shared" si="0"/>
        <v>38133</v>
      </c>
      <c r="B56" s="36" t="str">
        <f>IF(ISNA(VLOOKUP($A56&amp;B$2,'2004'!$B$2:$K$1621,10,0)),VLOOKUP($A56&amp;B$2,'2004'!$A$2:$K$1621,10,0),VLOOKUP($A56&amp;B$2,'2004'!$B$2:$K$1621,10,0))</f>
        <v>PHI</v>
      </c>
      <c r="C56" s="36" t="str">
        <f>IF(ISNA(VLOOKUP($A56&amp;C$2,'2004'!$B$2:$K$1621,10,0)),VLOOKUP($A56&amp;C$2,'2004'!$A$2:$K$1621,10,0),VLOOKUP($A56&amp;C$2,'2004'!$B$2:$K$1621,10,0))</f>
        <v>NYD</v>
      </c>
      <c r="D56" s="36" t="str">
        <f>IF(ISNA(VLOOKUP($A56&amp;D$2,'2004'!$B$2:$K$1621,10,0)),VLOOKUP($A56&amp;D$2,'2004'!$A$2:$K$1621,10,0),VLOOKUP($A56&amp;D$2,'2004'!$B$2:$K$1621,10,0))</f>
        <v>BRK</v>
      </c>
      <c r="E56" s="36" t="str">
        <f>IF(ISNA(VLOOKUP($A56&amp;E$2,'2004'!$B$2:$K$1621,10,0)),VLOOKUP($A56&amp;E$2,'2004'!$A$2:$K$1621,10,0),VLOOKUP($A56&amp;E$2,'2004'!$B$2:$K$1621,10,0))</f>
        <v>CBB</v>
      </c>
      <c r="F56" s="36" t="str">
        <f>IF(ISNA(VLOOKUP($A56&amp;F$2,'2004'!$B$2:$K$1621,10,0)),VLOOKUP($A56&amp;F$2,'2004'!$A$2:$K$1621,10,0),VLOOKUP($A56&amp;F$2,'2004'!$B$2:$K$1621,10,0))</f>
        <v>HAR</v>
      </c>
      <c r="G56" s="35" t="str">
        <f>IF(ISNA(VLOOKUP($A56&amp;G$2,'2004'!$B$2:$K$1621,10,0)),VLOOKUP($A56&amp;G$2,'2004'!$A$2:$K$1621,10,0),VLOOKUP($A56&amp;G$2,'2004'!$B$2:$K$1621,10,0))</f>
        <v>NNN</v>
      </c>
      <c r="H56" s="35" t="str">
        <f>IF(ISNA(VLOOKUP($A56&amp;H$2,'2004'!$B$2:$K$1621,10,0)),VLOOKUP($A56&amp;H$2,'2004'!$A$2:$K$1621,10,0),VLOOKUP($A56&amp;H$2,'2004'!$B$2:$K$1621,10,0))</f>
        <v>OKO</v>
      </c>
      <c r="I56" s="35" t="str">
        <f>IF(ISNA(VLOOKUP($A56&amp;I$2,'2004'!$B$2:$K$1621,10,0)),VLOOKUP($A56&amp;I$2,'2004'!$A$2:$K$1621,10,0),VLOOKUP($A56&amp;I$2,'2004'!$B$2:$K$1621,10,0))</f>
        <v>DIG</v>
      </c>
      <c r="J56" s="35" t="str">
        <f>IF(ISNA(VLOOKUP($A56&amp;J$2,'2004'!$B$2:$K$1621,10,0)),VLOOKUP($A56&amp;J$2,'2004'!$A$2:$K$1621,10,0),VLOOKUP($A56&amp;J$2,'2004'!$B$2:$K$1621,10,0))</f>
        <v>FFR</v>
      </c>
      <c r="K56" s="35" t="str">
        <f>IF(ISNA(VLOOKUP($A56&amp;K$2,'2004'!$B$2:$K$1621,10,0)),VLOOKUP($A56&amp;K$2,'2004'!$A$2:$K$1621,10,0),VLOOKUP($A56&amp;K$2,'2004'!$B$2:$K$1621,10,0))</f>
        <v>RMO</v>
      </c>
      <c r="L56" s="34" t="str">
        <f>IF(ISNA(VLOOKUP($A56&amp;L$2,'2004'!$B$2:$K$1621,10,0)),VLOOKUP($A56&amp;L$2,'2004'!$A$2:$K$1621,10,0),VLOOKUP($A56&amp;L$2,'2004'!$B$2:$K$1621,10,0))</f>
        <v>@NEP</v>
      </c>
      <c r="M56" s="34" t="str">
        <f>IF(ISNA(VLOOKUP($A56&amp;M$2,'2004'!$B$2:$K$1621,10,0)),VLOOKUP($A56&amp;M$2,'2004'!$A$2:$K$1621,10,0),VLOOKUP($A56&amp;M$2,'2004'!$B$2:$K$1621,10,0))</f>
        <v>@REN</v>
      </c>
      <c r="N56" s="34" t="str">
        <f>IF(ISNA(VLOOKUP($A56&amp;N$2,'2004'!$B$2:$K$1621,10,0)),VLOOKUP($A56&amp;N$2,'2004'!$A$2:$K$1621,10,0),VLOOKUP($A56&amp;N$2,'2004'!$B$2:$K$1621,10,0))</f>
        <v>@CEN</v>
      </c>
      <c r="O56" s="34" t="str">
        <f>IF(ISNA(VLOOKUP($A56&amp;O$2,'2004'!$B$2:$K$1621,10,0)),VLOOKUP($A56&amp;O$2,'2004'!$A$2:$K$1621,10,0),VLOOKUP($A56&amp;O$2,'2004'!$B$2:$K$1621,10,0))</f>
        <v>@FDH</v>
      </c>
      <c r="P56" s="34" t="str">
        <f>IF(ISNA(VLOOKUP($A56&amp;P$2,'2004'!$B$2:$K$1621,10,0)),VLOOKUP($A56&amp;P$2,'2004'!$A$2:$K$1621,10,0),VLOOKUP($A56&amp;P$2,'2004'!$B$2:$K$1621,10,0))</f>
        <v>@TEW</v>
      </c>
      <c r="Q56" s="38" t="str">
        <f>IF(ISNA(VLOOKUP($A56&amp;Q$2,'2004'!$B$2:$K$1621,10,0)),VLOOKUP($A56&amp;Q$2,'2004'!$A$2:$K$1621,10,0),VLOOKUP($A56&amp;Q$2,'2004'!$B$2:$K$1621,10,0))</f>
        <v>@CTW</v>
      </c>
      <c r="R56" s="38" t="str">
        <f>IF(ISNA(VLOOKUP($A56&amp;R$2,'2004'!$B$2:$K$1621,10,0)),VLOOKUP($A56&amp;R$2,'2004'!$A$2:$K$1621,10,0),VLOOKUP($A56&amp;R$2,'2004'!$B$2:$K$1621,10,0))</f>
        <v>@CIN</v>
      </c>
      <c r="S56" s="38" t="str">
        <f>IF(ISNA(VLOOKUP($A56&amp;S$2,'2004'!$B$2:$K$1621,10,0)),VLOOKUP($A56&amp;S$2,'2004'!$A$2:$K$1621,10,0),VLOOKUP($A56&amp;S$2,'2004'!$B$2:$K$1621,10,0))</f>
        <v>@GAR</v>
      </c>
      <c r="T56" s="38" t="str">
        <f>IF(ISNA(VLOOKUP($A56&amp;T$2,'2004'!$B$2:$K$1621,10,0)),VLOOKUP($A56&amp;T$2,'2004'!$A$2:$K$1621,10,0),VLOOKUP($A56&amp;T$2,'2004'!$B$2:$K$1621,10,0))</f>
        <v>@BAR</v>
      </c>
      <c r="U56" s="38" t="str">
        <f>IF(ISNA(VLOOKUP($A56&amp;U$2,'2004'!$B$2:$K$1621,10,0)),VLOOKUP($A56&amp;U$2,'2004'!$A$2:$K$1621,10,0),VLOOKUP($A56&amp;U$2,'2004'!$B$2:$K$1621,10,0))</f>
        <v>@BBG</v>
      </c>
    </row>
    <row r="57" spans="1:21" x14ac:dyDescent="0.25">
      <c r="A57" s="40">
        <f t="shared" si="0"/>
        <v>38134</v>
      </c>
      <c r="B57" s="36" t="str">
        <f>IF(ISNA(VLOOKUP($A57&amp;B$2,'2004'!$B$2:$K$1621,10,0)),VLOOKUP($A57&amp;B$2,'2004'!$A$2:$K$1621,10,0),VLOOKUP($A57&amp;B$2,'2004'!$B$2:$K$1621,10,0))</f>
        <v>PHI</v>
      </c>
      <c r="C57" s="36" t="str">
        <f>IF(ISNA(VLOOKUP($A57&amp;C$2,'2004'!$B$2:$K$1621,10,0)),VLOOKUP($A57&amp;C$2,'2004'!$A$2:$K$1621,10,0),VLOOKUP($A57&amp;C$2,'2004'!$B$2:$K$1621,10,0))</f>
        <v>NYD</v>
      </c>
      <c r="D57" s="36" t="str">
        <f>IF(ISNA(VLOOKUP($A57&amp;D$2,'2004'!$B$2:$K$1621,10,0)),VLOOKUP($A57&amp;D$2,'2004'!$A$2:$K$1621,10,0),VLOOKUP($A57&amp;D$2,'2004'!$B$2:$K$1621,10,0))</f>
        <v>BRK</v>
      </c>
      <c r="E57" s="36" t="str">
        <f>IF(ISNA(VLOOKUP($A57&amp;E$2,'2004'!$B$2:$K$1621,10,0)),VLOOKUP($A57&amp;E$2,'2004'!$A$2:$K$1621,10,0),VLOOKUP($A57&amp;E$2,'2004'!$B$2:$K$1621,10,0))</f>
        <v>CBB</v>
      </c>
      <c r="F57" s="36" t="str">
        <f>IF(ISNA(VLOOKUP($A57&amp;F$2,'2004'!$B$2:$K$1621,10,0)),VLOOKUP($A57&amp;F$2,'2004'!$A$2:$K$1621,10,0),VLOOKUP($A57&amp;F$2,'2004'!$B$2:$K$1621,10,0))</f>
        <v>HAR</v>
      </c>
      <c r="G57" s="35" t="str">
        <f>IF(ISNA(VLOOKUP($A57&amp;G$2,'2004'!$B$2:$K$1621,10,0)),VLOOKUP($A57&amp;G$2,'2004'!$A$2:$K$1621,10,0),VLOOKUP($A57&amp;G$2,'2004'!$B$2:$K$1621,10,0))</f>
        <v>NNN</v>
      </c>
      <c r="H57" s="35" t="str">
        <f>IF(ISNA(VLOOKUP($A57&amp;H$2,'2004'!$B$2:$K$1621,10,0)),VLOOKUP($A57&amp;H$2,'2004'!$A$2:$K$1621,10,0),VLOOKUP($A57&amp;H$2,'2004'!$B$2:$K$1621,10,0))</f>
        <v>OKO</v>
      </c>
      <c r="I57" s="35" t="str">
        <f>IF(ISNA(VLOOKUP($A57&amp;I$2,'2004'!$B$2:$K$1621,10,0)),VLOOKUP($A57&amp;I$2,'2004'!$A$2:$K$1621,10,0),VLOOKUP($A57&amp;I$2,'2004'!$B$2:$K$1621,10,0))</f>
        <v>DIG</v>
      </c>
      <c r="J57" s="35" t="str">
        <f>IF(ISNA(VLOOKUP($A57&amp;J$2,'2004'!$B$2:$K$1621,10,0)),VLOOKUP($A57&amp;J$2,'2004'!$A$2:$K$1621,10,0),VLOOKUP($A57&amp;J$2,'2004'!$B$2:$K$1621,10,0))</f>
        <v>FFR</v>
      </c>
      <c r="K57" s="35" t="str">
        <f>IF(ISNA(VLOOKUP($A57&amp;K$2,'2004'!$B$2:$K$1621,10,0)),VLOOKUP($A57&amp;K$2,'2004'!$A$2:$K$1621,10,0),VLOOKUP($A57&amp;K$2,'2004'!$B$2:$K$1621,10,0))</f>
        <v>RMO</v>
      </c>
      <c r="L57" s="34" t="str">
        <f>IF(ISNA(VLOOKUP($A57&amp;L$2,'2004'!$B$2:$K$1621,10,0)),VLOOKUP($A57&amp;L$2,'2004'!$A$2:$K$1621,10,0),VLOOKUP($A57&amp;L$2,'2004'!$B$2:$K$1621,10,0))</f>
        <v>@NEP</v>
      </c>
      <c r="M57" s="34" t="str">
        <f>IF(ISNA(VLOOKUP($A57&amp;M$2,'2004'!$B$2:$K$1621,10,0)),VLOOKUP($A57&amp;M$2,'2004'!$A$2:$K$1621,10,0),VLOOKUP($A57&amp;M$2,'2004'!$B$2:$K$1621,10,0))</f>
        <v>@REN</v>
      </c>
      <c r="N57" s="34" t="str">
        <f>IF(ISNA(VLOOKUP($A57&amp;N$2,'2004'!$B$2:$K$1621,10,0)),VLOOKUP($A57&amp;N$2,'2004'!$A$2:$K$1621,10,0),VLOOKUP($A57&amp;N$2,'2004'!$B$2:$K$1621,10,0))</f>
        <v>@CEN</v>
      </c>
      <c r="O57" s="34" t="str">
        <f>IF(ISNA(VLOOKUP($A57&amp;O$2,'2004'!$B$2:$K$1621,10,0)),VLOOKUP($A57&amp;O$2,'2004'!$A$2:$K$1621,10,0),VLOOKUP($A57&amp;O$2,'2004'!$B$2:$K$1621,10,0))</f>
        <v>@FDH</v>
      </c>
      <c r="P57" s="34" t="str">
        <f>IF(ISNA(VLOOKUP($A57&amp;P$2,'2004'!$B$2:$K$1621,10,0)),VLOOKUP($A57&amp;P$2,'2004'!$A$2:$K$1621,10,0),VLOOKUP($A57&amp;P$2,'2004'!$B$2:$K$1621,10,0))</f>
        <v>@TEW</v>
      </c>
      <c r="Q57" s="38" t="str">
        <f>IF(ISNA(VLOOKUP($A57&amp;Q$2,'2004'!$B$2:$K$1621,10,0)),VLOOKUP($A57&amp;Q$2,'2004'!$A$2:$K$1621,10,0),VLOOKUP($A57&amp;Q$2,'2004'!$B$2:$K$1621,10,0))</f>
        <v>@CTW</v>
      </c>
      <c r="R57" s="38" t="str">
        <f>IF(ISNA(VLOOKUP($A57&amp;R$2,'2004'!$B$2:$K$1621,10,0)),VLOOKUP($A57&amp;R$2,'2004'!$A$2:$K$1621,10,0),VLOOKUP($A57&amp;R$2,'2004'!$B$2:$K$1621,10,0))</f>
        <v>@CIN</v>
      </c>
      <c r="S57" s="38" t="str">
        <f>IF(ISNA(VLOOKUP($A57&amp;S$2,'2004'!$B$2:$K$1621,10,0)),VLOOKUP($A57&amp;S$2,'2004'!$A$2:$K$1621,10,0),VLOOKUP($A57&amp;S$2,'2004'!$B$2:$K$1621,10,0))</f>
        <v>@GAR</v>
      </c>
      <c r="T57" s="38" t="str">
        <f>IF(ISNA(VLOOKUP($A57&amp;T$2,'2004'!$B$2:$K$1621,10,0)),VLOOKUP($A57&amp;T$2,'2004'!$A$2:$K$1621,10,0),VLOOKUP($A57&amp;T$2,'2004'!$B$2:$K$1621,10,0))</f>
        <v>@BAR</v>
      </c>
      <c r="U57" s="38" t="str">
        <f>IF(ISNA(VLOOKUP($A57&amp;U$2,'2004'!$B$2:$K$1621,10,0)),VLOOKUP($A57&amp;U$2,'2004'!$A$2:$K$1621,10,0),VLOOKUP($A57&amp;U$2,'2004'!$B$2:$K$1621,10,0))</f>
        <v>@BBG</v>
      </c>
    </row>
    <row r="58" spans="1:21" x14ac:dyDescent="0.25">
      <c r="A58" s="40">
        <f t="shared" si="0"/>
        <v>38135</v>
      </c>
      <c r="B58" s="36" t="str">
        <f>IF(ISNA(VLOOKUP($A58&amp;B$2,'2004'!$B$2:$K$1621,10,0)),VLOOKUP($A58&amp;B$2,'2004'!$A$2:$K$1621,10,0),VLOOKUP($A58&amp;B$2,'2004'!$B$2:$K$1621,10,0))</f>
        <v>PHI</v>
      </c>
      <c r="C58" s="36" t="str">
        <f>IF(ISNA(VLOOKUP($A58&amp;C$2,'2004'!$B$2:$K$1621,10,0)),VLOOKUP($A58&amp;C$2,'2004'!$A$2:$K$1621,10,0),VLOOKUP($A58&amp;C$2,'2004'!$B$2:$K$1621,10,0))</f>
        <v>NYD</v>
      </c>
      <c r="D58" s="36" t="str">
        <f>IF(ISNA(VLOOKUP($A58&amp;D$2,'2004'!$B$2:$K$1621,10,0)),VLOOKUP($A58&amp;D$2,'2004'!$A$2:$K$1621,10,0),VLOOKUP($A58&amp;D$2,'2004'!$B$2:$K$1621,10,0))</f>
        <v>BRK</v>
      </c>
      <c r="E58" s="36" t="str">
        <f>IF(ISNA(VLOOKUP($A58&amp;E$2,'2004'!$B$2:$K$1621,10,0)),VLOOKUP($A58&amp;E$2,'2004'!$A$2:$K$1621,10,0),VLOOKUP($A58&amp;E$2,'2004'!$B$2:$K$1621,10,0))</f>
        <v>CBB</v>
      </c>
      <c r="F58" s="36" t="str">
        <f>IF(ISNA(VLOOKUP($A58&amp;F$2,'2004'!$B$2:$K$1621,10,0)),VLOOKUP($A58&amp;F$2,'2004'!$A$2:$K$1621,10,0),VLOOKUP($A58&amp;F$2,'2004'!$B$2:$K$1621,10,0))</f>
        <v>HAR</v>
      </c>
      <c r="G58" s="35" t="str">
        <f>IF(ISNA(VLOOKUP($A58&amp;G$2,'2004'!$B$2:$K$1621,10,0)),VLOOKUP($A58&amp;G$2,'2004'!$A$2:$K$1621,10,0),VLOOKUP($A58&amp;G$2,'2004'!$B$2:$K$1621,10,0))</f>
        <v>NNN</v>
      </c>
      <c r="H58" s="35" t="str">
        <f>IF(ISNA(VLOOKUP($A58&amp;H$2,'2004'!$B$2:$K$1621,10,0)),VLOOKUP($A58&amp;H$2,'2004'!$A$2:$K$1621,10,0),VLOOKUP($A58&amp;H$2,'2004'!$B$2:$K$1621,10,0))</f>
        <v>OKO</v>
      </c>
      <c r="I58" s="35" t="str">
        <f>IF(ISNA(VLOOKUP($A58&amp;I$2,'2004'!$B$2:$K$1621,10,0)),VLOOKUP($A58&amp;I$2,'2004'!$A$2:$K$1621,10,0),VLOOKUP($A58&amp;I$2,'2004'!$B$2:$K$1621,10,0))</f>
        <v>DIG</v>
      </c>
      <c r="J58" s="35" t="str">
        <f>IF(ISNA(VLOOKUP($A58&amp;J$2,'2004'!$B$2:$K$1621,10,0)),VLOOKUP($A58&amp;J$2,'2004'!$A$2:$K$1621,10,0),VLOOKUP($A58&amp;J$2,'2004'!$B$2:$K$1621,10,0))</f>
        <v>FFR</v>
      </c>
      <c r="K58" s="35" t="str">
        <f>IF(ISNA(VLOOKUP($A58&amp;K$2,'2004'!$B$2:$K$1621,10,0)),VLOOKUP($A58&amp;K$2,'2004'!$A$2:$K$1621,10,0),VLOOKUP($A58&amp;K$2,'2004'!$B$2:$K$1621,10,0))</f>
        <v>RMO</v>
      </c>
      <c r="L58" s="34" t="str">
        <f>IF(ISNA(VLOOKUP($A58&amp;L$2,'2004'!$B$2:$K$1621,10,0)),VLOOKUP($A58&amp;L$2,'2004'!$A$2:$K$1621,10,0),VLOOKUP($A58&amp;L$2,'2004'!$B$2:$K$1621,10,0))</f>
        <v>@NEP</v>
      </c>
      <c r="M58" s="34" t="str">
        <f>IF(ISNA(VLOOKUP($A58&amp;M$2,'2004'!$B$2:$K$1621,10,0)),VLOOKUP($A58&amp;M$2,'2004'!$A$2:$K$1621,10,0),VLOOKUP($A58&amp;M$2,'2004'!$B$2:$K$1621,10,0))</f>
        <v>@REN</v>
      </c>
      <c r="N58" s="34" t="str">
        <f>IF(ISNA(VLOOKUP($A58&amp;N$2,'2004'!$B$2:$K$1621,10,0)),VLOOKUP($A58&amp;N$2,'2004'!$A$2:$K$1621,10,0),VLOOKUP($A58&amp;N$2,'2004'!$B$2:$K$1621,10,0))</f>
        <v>@CEN</v>
      </c>
      <c r="O58" s="34" t="str">
        <f>IF(ISNA(VLOOKUP($A58&amp;O$2,'2004'!$B$2:$K$1621,10,0)),VLOOKUP($A58&amp;O$2,'2004'!$A$2:$K$1621,10,0),VLOOKUP($A58&amp;O$2,'2004'!$B$2:$K$1621,10,0))</f>
        <v>@FDH</v>
      </c>
      <c r="P58" s="34" t="str">
        <f>IF(ISNA(VLOOKUP($A58&amp;P$2,'2004'!$B$2:$K$1621,10,0)),VLOOKUP($A58&amp;P$2,'2004'!$A$2:$K$1621,10,0),VLOOKUP($A58&amp;P$2,'2004'!$B$2:$K$1621,10,0))</f>
        <v>@TEW</v>
      </c>
      <c r="Q58" s="38" t="str">
        <f>IF(ISNA(VLOOKUP($A58&amp;Q$2,'2004'!$B$2:$K$1621,10,0)),VLOOKUP($A58&amp;Q$2,'2004'!$A$2:$K$1621,10,0),VLOOKUP($A58&amp;Q$2,'2004'!$B$2:$K$1621,10,0))</f>
        <v>@CTW</v>
      </c>
      <c r="R58" s="38" t="str">
        <f>IF(ISNA(VLOOKUP($A58&amp;R$2,'2004'!$B$2:$K$1621,10,0)),VLOOKUP($A58&amp;R$2,'2004'!$A$2:$K$1621,10,0),VLOOKUP($A58&amp;R$2,'2004'!$B$2:$K$1621,10,0))</f>
        <v>@CIN</v>
      </c>
      <c r="S58" s="38" t="str">
        <f>IF(ISNA(VLOOKUP($A58&amp;S$2,'2004'!$B$2:$K$1621,10,0)),VLOOKUP($A58&amp;S$2,'2004'!$A$2:$K$1621,10,0),VLOOKUP($A58&amp;S$2,'2004'!$B$2:$K$1621,10,0))</f>
        <v>@GAR</v>
      </c>
      <c r="T58" s="38" t="str">
        <f>IF(ISNA(VLOOKUP($A58&amp;T$2,'2004'!$B$2:$K$1621,10,0)),VLOOKUP($A58&amp;T$2,'2004'!$A$2:$K$1621,10,0),VLOOKUP($A58&amp;T$2,'2004'!$B$2:$K$1621,10,0))</f>
        <v>@BAR</v>
      </c>
      <c r="U58" s="38" t="str">
        <f>IF(ISNA(VLOOKUP($A58&amp;U$2,'2004'!$B$2:$K$1621,10,0)),VLOOKUP($A58&amp;U$2,'2004'!$A$2:$K$1621,10,0),VLOOKUP($A58&amp;U$2,'2004'!$B$2:$K$1621,10,0))</f>
        <v>@BBG</v>
      </c>
    </row>
    <row r="59" spans="1:21" x14ac:dyDescent="0.25">
      <c r="A59" s="40">
        <f t="shared" si="0"/>
        <v>38136</v>
      </c>
      <c r="B59" s="36" t="str">
        <f>IF(ISNA(VLOOKUP($A59&amp;B$2,'2004'!$B$2:$K$1621,10,0)),VLOOKUP($A59&amp;B$2,'2004'!$A$2:$K$1621,10,0),VLOOKUP($A59&amp;B$2,'2004'!$B$2:$K$1621,10,0))</f>
        <v>PHI</v>
      </c>
      <c r="C59" s="36" t="str">
        <f>IF(ISNA(VLOOKUP($A59&amp;C$2,'2004'!$B$2:$K$1621,10,0)),VLOOKUP($A59&amp;C$2,'2004'!$A$2:$K$1621,10,0),VLOOKUP($A59&amp;C$2,'2004'!$B$2:$K$1621,10,0))</f>
        <v>NYD</v>
      </c>
      <c r="D59" s="36" t="str">
        <f>IF(ISNA(VLOOKUP($A59&amp;D$2,'2004'!$B$2:$K$1621,10,0)),VLOOKUP($A59&amp;D$2,'2004'!$A$2:$K$1621,10,0),VLOOKUP($A59&amp;D$2,'2004'!$B$2:$K$1621,10,0))</f>
        <v>BRK</v>
      </c>
      <c r="E59" s="36" t="str">
        <f>IF(ISNA(VLOOKUP($A59&amp;E$2,'2004'!$B$2:$K$1621,10,0)),VLOOKUP($A59&amp;E$2,'2004'!$A$2:$K$1621,10,0),VLOOKUP($A59&amp;E$2,'2004'!$B$2:$K$1621,10,0))</f>
        <v>CBB</v>
      </c>
      <c r="F59" s="36" t="str">
        <f>IF(ISNA(VLOOKUP($A59&amp;F$2,'2004'!$B$2:$K$1621,10,0)),VLOOKUP($A59&amp;F$2,'2004'!$A$2:$K$1621,10,0),VLOOKUP($A59&amp;F$2,'2004'!$B$2:$K$1621,10,0))</f>
        <v>HAR</v>
      </c>
      <c r="G59" s="35" t="str">
        <f>IF(ISNA(VLOOKUP($A59&amp;G$2,'2004'!$B$2:$K$1621,10,0)),VLOOKUP($A59&amp;G$2,'2004'!$A$2:$K$1621,10,0),VLOOKUP($A59&amp;G$2,'2004'!$B$2:$K$1621,10,0))</f>
        <v>NNN</v>
      </c>
      <c r="H59" s="35" t="str">
        <f>IF(ISNA(VLOOKUP($A59&amp;H$2,'2004'!$B$2:$K$1621,10,0)),VLOOKUP($A59&amp;H$2,'2004'!$A$2:$K$1621,10,0),VLOOKUP($A59&amp;H$2,'2004'!$B$2:$K$1621,10,0))</f>
        <v>OKO</v>
      </c>
      <c r="I59" s="35" t="str">
        <f>IF(ISNA(VLOOKUP($A59&amp;I$2,'2004'!$B$2:$K$1621,10,0)),VLOOKUP($A59&amp;I$2,'2004'!$A$2:$K$1621,10,0),VLOOKUP($A59&amp;I$2,'2004'!$B$2:$K$1621,10,0))</f>
        <v>DIG</v>
      </c>
      <c r="J59" s="35" t="str">
        <f>IF(ISNA(VLOOKUP($A59&amp;J$2,'2004'!$B$2:$K$1621,10,0)),VLOOKUP($A59&amp;J$2,'2004'!$A$2:$K$1621,10,0),VLOOKUP($A59&amp;J$2,'2004'!$B$2:$K$1621,10,0))</f>
        <v>FFR</v>
      </c>
      <c r="K59" s="35" t="str">
        <f>IF(ISNA(VLOOKUP($A59&amp;K$2,'2004'!$B$2:$K$1621,10,0)),VLOOKUP($A59&amp;K$2,'2004'!$A$2:$K$1621,10,0),VLOOKUP($A59&amp;K$2,'2004'!$B$2:$K$1621,10,0))</f>
        <v>RMO</v>
      </c>
      <c r="L59" s="34" t="str">
        <f>IF(ISNA(VLOOKUP($A59&amp;L$2,'2004'!$B$2:$K$1621,10,0)),VLOOKUP($A59&amp;L$2,'2004'!$A$2:$K$1621,10,0),VLOOKUP($A59&amp;L$2,'2004'!$B$2:$K$1621,10,0))</f>
        <v>@NEP</v>
      </c>
      <c r="M59" s="34" t="str">
        <f>IF(ISNA(VLOOKUP($A59&amp;M$2,'2004'!$B$2:$K$1621,10,0)),VLOOKUP($A59&amp;M$2,'2004'!$A$2:$K$1621,10,0),VLOOKUP($A59&amp;M$2,'2004'!$B$2:$K$1621,10,0))</f>
        <v>@REN</v>
      </c>
      <c r="N59" s="34" t="str">
        <f>IF(ISNA(VLOOKUP($A59&amp;N$2,'2004'!$B$2:$K$1621,10,0)),VLOOKUP($A59&amp;N$2,'2004'!$A$2:$K$1621,10,0),VLOOKUP($A59&amp;N$2,'2004'!$B$2:$K$1621,10,0))</f>
        <v>@CEN</v>
      </c>
      <c r="O59" s="34" t="str">
        <f>IF(ISNA(VLOOKUP($A59&amp;O$2,'2004'!$B$2:$K$1621,10,0)),VLOOKUP($A59&amp;O$2,'2004'!$A$2:$K$1621,10,0),VLOOKUP($A59&amp;O$2,'2004'!$B$2:$K$1621,10,0))</f>
        <v>@FDH</v>
      </c>
      <c r="P59" s="34" t="str">
        <f>IF(ISNA(VLOOKUP($A59&amp;P$2,'2004'!$B$2:$K$1621,10,0)),VLOOKUP($A59&amp;P$2,'2004'!$A$2:$K$1621,10,0),VLOOKUP($A59&amp;P$2,'2004'!$B$2:$K$1621,10,0))</f>
        <v>@TEW</v>
      </c>
      <c r="Q59" s="38" t="str">
        <f>IF(ISNA(VLOOKUP($A59&amp;Q$2,'2004'!$B$2:$K$1621,10,0)),VLOOKUP($A59&amp;Q$2,'2004'!$A$2:$K$1621,10,0),VLOOKUP($A59&amp;Q$2,'2004'!$B$2:$K$1621,10,0))</f>
        <v>@CTW</v>
      </c>
      <c r="R59" s="38" t="str">
        <f>IF(ISNA(VLOOKUP($A59&amp;R$2,'2004'!$B$2:$K$1621,10,0)),VLOOKUP($A59&amp;R$2,'2004'!$A$2:$K$1621,10,0),VLOOKUP($A59&amp;R$2,'2004'!$B$2:$K$1621,10,0))</f>
        <v>@CIN</v>
      </c>
      <c r="S59" s="38" t="str">
        <f>IF(ISNA(VLOOKUP($A59&amp;S$2,'2004'!$B$2:$K$1621,10,0)),VLOOKUP($A59&amp;S$2,'2004'!$A$2:$K$1621,10,0),VLOOKUP($A59&amp;S$2,'2004'!$B$2:$K$1621,10,0))</f>
        <v>@GAR</v>
      </c>
      <c r="T59" s="38" t="str">
        <f>IF(ISNA(VLOOKUP($A59&amp;T$2,'2004'!$B$2:$K$1621,10,0)),VLOOKUP($A59&amp;T$2,'2004'!$A$2:$K$1621,10,0),VLOOKUP($A59&amp;T$2,'2004'!$B$2:$K$1621,10,0))</f>
        <v>@BAR</v>
      </c>
      <c r="U59" s="38" t="str">
        <f>IF(ISNA(VLOOKUP($A59&amp;U$2,'2004'!$B$2:$K$1621,10,0)),VLOOKUP($A59&amp;U$2,'2004'!$A$2:$K$1621,10,0),VLOOKUP($A59&amp;U$2,'2004'!$B$2:$K$1621,10,0))</f>
        <v>@BBG</v>
      </c>
    </row>
    <row r="60" spans="1:21" x14ac:dyDescent="0.25">
      <c r="A60" s="40">
        <f t="shared" si="0"/>
        <v>38137</v>
      </c>
      <c r="B60" s="36" t="str">
        <f>IF(ISNA(VLOOKUP($A60&amp;B$2,'2004'!$B$2:$K$1621,10,0)),VLOOKUP($A60&amp;B$2,'2004'!$A$2:$K$1621,10,0),VLOOKUP($A60&amp;B$2,'2004'!$B$2:$K$1621,10,0))</f>
        <v>CTW</v>
      </c>
      <c r="C60" s="36" t="str">
        <f>IF(ISNA(VLOOKUP($A60&amp;C$2,'2004'!$B$2:$K$1621,10,0)),VLOOKUP($A60&amp;C$2,'2004'!$A$2:$K$1621,10,0),VLOOKUP($A60&amp;C$2,'2004'!$B$2:$K$1621,10,0))</f>
        <v>CIN</v>
      </c>
      <c r="D60" s="36" t="str">
        <f>IF(ISNA(VLOOKUP($A60&amp;D$2,'2004'!$B$2:$K$1621,10,0)),VLOOKUP($A60&amp;D$2,'2004'!$A$2:$K$1621,10,0),VLOOKUP($A60&amp;D$2,'2004'!$B$2:$K$1621,10,0))</f>
        <v>@BBG</v>
      </c>
      <c r="E60" s="36" t="str">
        <f>IF(ISNA(VLOOKUP($A60&amp;E$2,'2004'!$B$2:$K$1621,10,0)),VLOOKUP($A60&amp;E$2,'2004'!$A$2:$K$1621,10,0),VLOOKUP($A60&amp;E$2,'2004'!$B$2:$K$1621,10,0))</f>
        <v>@BAR</v>
      </c>
      <c r="F60" s="36" t="str">
        <f>IF(ISNA(VLOOKUP($A60&amp;F$2,'2004'!$B$2:$K$1621,10,0)),VLOOKUP($A60&amp;F$2,'2004'!$A$2:$K$1621,10,0),VLOOKUP($A60&amp;F$2,'2004'!$B$2:$K$1621,10,0))</f>
        <v>@REN</v>
      </c>
      <c r="G60" s="35" t="str">
        <f>IF(ISNA(VLOOKUP($A60&amp;G$2,'2004'!$B$2:$K$1621,10,0)),VLOOKUP($A60&amp;G$2,'2004'!$A$2:$K$1621,10,0),VLOOKUP($A60&amp;G$2,'2004'!$B$2:$K$1621,10,0))</f>
        <v>FDH</v>
      </c>
      <c r="H60" s="35" t="str">
        <f>IF(ISNA(VLOOKUP($A60&amp;H$2,'2004'!$B$2:$K$1621,10,0)),VLOOKUP($A60&amp;H$2,'2004'!$A$2:$K$1621,10,0),VLOOKUP($A60&amp;H$2,'2004'!$B$2:$K$1621,10,0))</f>
        <v>@CEN</v>
      </c>
      <c r="I60" s="35" t="str">
        <f>IF(ISNA(VLOOKUP($A60&amp;I$2,'2004'!$B$2:$K$1621,10,0)),VLOOKUP($A60&amp;I$2,'2004'!$A$2:$K$1621,10,0),VLOOKUP($A60&amp;I$2,'2004'!$B$2:$K$1621,10,0))</f>
        <v>@TEW</v>
      </c>
      <c r="J60" s="35" t="str">
        <f>IF(ISNA(VLOOKUP($A60&amp;J$2,'2004'!$B$2:$K$1621,10,0)),VLOOKUP($A60&amp;J$2,'2004'!$A$2:$K$1621,10,0),VLOOKUP($A60&amp;J$2,'2004'!$B$2:$K$1621,10,0))</f>
        <v>GAR</v>
      </c>
      <c r="K60" s="35" t="str">
        <f>IF(ISNA(VLOOKUP($A60&amp;K$2,'2004'!$B$2:$K$1621,10,0)),VLOOKUP($A60&amp;K$2,'2004'!$A$2:$K$1621,10,0),VLOOKUP($A60&amp;K$2,'2004'!$B$2:$K$1621,10,0))</f>
        <v>NEP</v>
      </c>
      <c r="L60" s="34" t="str">
        <f>IF(ISNA(VLOOKUP($A60&amp;L$2,'2004'!$B$2:$K$1621,10,0)),VLOOKUP($A60&amp;L$2,'2004'!$A$2:$K$1621,10,0),VLOOKUP($A60&amp;L$2,'2004'!$B$2:$K$1621,10,0))</f>
        <v>@OKO</v>
      </c>
      <c r="M60" s="34" t="str">
        <f>IF(ISNA(VLOOKUP($A60&amp;M$2,'2004'!$B$2:$K$1621,10,0)),VLOOKUP($A60&amp;M$2,'2004'!$A$2:$K$1621,10,0),VLOOKUP($A60&amp;M$2,'2004'!$B$2:$K$1621,10,0))</f>
        <v>RMO</v>
      </c>
      <c r="N60" s="34" t="str">
        <f>IF(ISNA(VLOOKUP($A60&amp;N$2,'2004'!$B$2:$K$1621,10,0)),VLOOKUP($A60&amp;N$2,'2004'!$A$2:$K$1621,10,0),VLOOKUP($A60&amp;N$2,'2004'!$B$2:$K$1621,10,0))</f>
        <v>@NYD</v>
      </c>
      <c r="O60" s="34" t="str">
        <f>IF(ISNA(VLOOKUP($A60&amp;O$2,'2004'!$B$2:$K$1621,10,0)),VLOOKUP($A60&amp;O$2,'2004'!$A$2:$K$1621,10,0),VLOOKUP($A60&amp;O$2,'2004'!$B$2:$K$1621,10,0))</f>
        <v>DIG</v>
      </c>
      <c r="P60" s="34" t="str">
        <f>IF(ISNA(VLOOKUP($A60&amp;P$2,'2004'!$B$2:$K$1621,10,0)),VLOOKUP($A60&amp;P$2,'2004'!$A$2:$K$1621,10,0),VLOOKUP($A60&amp;P$2,'2004'!$B$2:$K$1621,10,0))</f>
        <v>@FFR</v>
      </c>
      <c r="Q60" s="38" t="str">
        <f>IF(ISNA(VLOOKUP($A60&amp;Q$2,'2004'!$B$2:$K$1621,10,0)),VLOOKUP($A60&amp;Q$2,'2004'!$A$2:$K$1621,10,0),VLOOKUP($A60&amp;Q$2,'2004'!$B$2:$K$1621,10,0))</f>
        <v>@CBB</v>
      </c>
      <c r="R60" s="38" t="str">
        <f>IF(ISNA(VLOOKUP($A60&amp;R$2,'2004'!$B$2:$K$1621,10,0)),VLOOKUP($A60&amp;R$2,'2004'!$A$2:$K$1621,10,0),VLOOKUP($A60&amp;R$2,'2004'!$B$2:$K$1621,10,0))</f>
        <v>BRK</v>
      </c>
      <c r="S60" s="38" t="str">
        <f>IF(ISNA(VLOOKUP($A60&amp;S$2,'2004'!$B$2:$K$1621,10,0)),VLOOKUP($A60&amp;S$2,'2004'!$A$2:$K$1621,10,0),VLOOKUP($A60&amp;S$2,'2004'!$B$2:$K$1621,10,0))</f>
        <v>PHI</v>
      </c>
      <c r="T60" s="38" t="str">
        <f>IF(ISNA(VLOOKUP($A60&amp;T$2,'2004'!$B$2:$K$1621,10,0)),VLOOKUP($A60&amp;T$2,'2004'!$A$2:$K$1621,10,0),VLOOKUP($A60&amp;T$2,'2004'!$B$2:$K$1621,10,0))</f>
        <v>NNN</v>
      </c>
      <c r="U60" s="38" t="str">
        <f>IF(ISNA(VLOOKUP($A60&amp;U$2,'2004'!$B$2:$K$1621,10,0)),VLOOKUP($A60&amp;U$2,'2004'!$A$2:$K$1621,10,0),VLOOKUP($A60&amp;U$2,'2004'!$B$2:$K$1621,10,0))</f>
        <v>@HAR</v>
      </c>
    </row>
    <row r="61" spans="1:21" x14ac:dyDescent="0.25">
      <c r="A61" s="40">
        <f t="shared" si="0"/>
        <v>38138</v>
      </c>
      <c r="B61" s="36" t="str">
        <f>IF(ISNA(VLOOKUP($A61&amp;B$2,'2004'!$B$2:$K$1621,10,0)),VLOOKUP($A61&amp;B$2,'2004'!$A$2:$K$1621,10,0),VLOOKUP($A61&amp;B$2,'2004'!$B$2:$K$1621,10,0))</f>
        <v>CTW</v>
      </c>
      <c r="C61" s="36" t="str">
        <f>IF(ISNA(VLOOKUP($A61&amp;C$2,'2004'!$B$2:$K$1621,10,0)),VLOOKUP($A61&amp;C$2,'2004'!$A$2:$K$1621,10,0),VLOOKUP($A61&amp;C$2,'2004'!$B$2:$K$1621,10,0))</f>
        <v>CIN</v>
      </c>
      <c r="D61" s="36" t="str">
        <f>IF(ISNA(VLOOKUP($A61&amp;D$2,'2004'!$B$2:$K$1621,10,0)),VLOOKUP($A61&amp;D$2,'2004'!$A$2:$K$1621,10,0),VLOOKUP($A61&amp;D$2,'2004'!$B$2:$K$1621,10,0))</f>
        <v>@BBG</v>
      </c>
      <c r="E61" s="36" t="str">
        <f>IF(ISNA(VLOOKUP($A61&amp;E$2,'2004'!$B$2:$K$1621,10,0)),VLOOKUP($A61&amp;E$2,'2004'!$A$2:$K$1621,10,0),VLOOKUP($A61&amp;E$2,'2004'!$B$2:$K$1621,10,0))</f>
        <v>@BAR</v>
      </c>
      <c r="F61" s="36" t="str">
        <f>IF(ISNA(VLOOKUP($A61&amp;F$2,'2004'!$B$2:$K$1621,10,0)),VLOOKUP($A61&amp;F$2,'2004'!$A$2:$K$1621,10,0),VLOOKUP($A61&amp;F$2,'2004'!$B$2:$K$1621,10,0))</f>
        <v>@REN</v>
      </c>
      <c r="G61" s="35" t="str">
        <f>IF(ISNA(VLOOKUP($A61&amp;G$2,'2004'!$B$2:$K$1621,10,0)),VLOOKUP($A61&amp;G$2,'2004'!$A$2:$K$1621,10,0),VLOOKUP($A61&amp;G$2,'2004'!$B$2:$K$1621,10,0))</f>
        <v>FDH</v>
      </c>
      <c r="H61" s="35" t="str">
        <f>IF(ISNA(VLOOKUP($A61&amp;H$2,'2004'!$B$2:$K$1621,10,0)),VLOOKUP($A61&amp;H$2,'2004'!$A$2:$K$1621,10,0),VLOOKUP($A61&amp;H$2,'2004'!$B$2:$K$1621,10,0))</f>
        <v>@CEN</v>
      </c>
      <c r="I61" s="35" t="str">
        <f>IF(ISNA(VLOOKUP($A61&amp;I$2,'2004'!$B$2:$K$1621,10,0)),VLOOKUP($A61&amp;I$2,'2004'!$A$2:$K$1621,10,0),VLOOKUP($A61&amp;I$2,'2004'!$B$2:$K$1621,10,0))</f>
        <v>@TEW</v>
      </c>
      <c r="J61" s="35" t="str">
        <f>IF(ISNA(VLOOKUP($A61&amp;J$2,'2004'!$B$2:$K$1621,10,0)),VLOOKUP($A61&amp;J$2,'2004'!$A$2:$K$1621,10,0),VLOOKUP($A61&amp;J$2,'2004'!$B$2:$K$1621,10,0))</f>
        <v>GAR</v>
      </c>
      <c r="K61" s="35" t="str">
        <f>IF(ISNA(VLOOKUP($A61&amp;K$2,'2004'!$B$2:$K$1621,10,0)),VLOOKUP($A61&amp;K$2,'2004'!$A$2:$K$1621,10,0),VLOOKUP($A61&amp;K$2,'2004'!$B$2:$K$1621,10,0))</f>
        <v>NEP</v>
      </c>
      <c r="L61" s="34" t="str">
        <f>IF(ISNA(VLOOKUP($A61&amp;L$2,'2004'!$B$2:$K$1621,10,0)),VLOOKUP($A61&amp;L$2,'2004'!$A$2:$K$1621,10,0),VLOOKUP($A61&amp;L$2,'2004'!$B$2:$K$1621,10,0))</f>
        <v>@OKO</v>
      </c>
      <c r="M61" s="34" t="str">
        <f>IF(ISNA(VLOOKUP($A61&amp;M$2,'2004'!$B$2:$K$1621,10,0)),VLOOKUP($A61&amp;M$2,'2004'!$A$2:$K$1621,10,0),VLOOKUP($A61&amp;M$2,'2004'!$B$2:$K$1621,10,0))</f>
        <v>RMO</v>
      </c>
      <c r="N61" s="34" t="str">
        <f>IF(ISNA(VLOOKUP($A61&amp;N$2,'2004'!$B$2:$K$1621,10,0)),VLOOKUP($A61&amp;N$2,'2004'!$A$2:$K$1621,10,0),VLOOKUP($A61&amp;N$2,'2004'!$B$2:$K$1621,10,0))</f>
        <v>@NYD</v>
      </c>
      <c r="O61" s="34" t="str">
        <f>IF(ISNA(VLOOKUP($A61&amp;O$2,'2004'!$B$2:$K$1621,10,0)),VLOOKUP($A61&amp;O$2,'2004'!$A$2:$K$1621,10,0),VLOOKUP($A61&amp;O$2,'2004'!$B$2:$K$1621,10,0))</f>
        <v>DIG</v>
      </c>
      <c r="P61" s="34" t="str">
        <f>IF(ISNA(VLOOKUP($A61&amp;P$2,'2004'!$B$2:$K$1621,10,0)),VLOOKUP($A61&amp;P$2,'2004'!$A$2:$K$1621,10,0),VLOOKUP($A61&amp;P$2,'2004'!$B$2:$K$1621,10,0))</f>
        <v>@FFR</v>
      </c>
      <c r="Q61" s="38" t="str">
        <f>IF(ISNA(VLOOKUP($A61&amp;Q$2,'2004'!$B$2:$K$1621,10,0)),VLOOKUP($A61&amp;Q$2,'2004'!$A$2:$K$1621,10,0),VLOOKUP($A61&amp;Q$2,'2004'!$B$2:$K$1621,10,0))</f>
        <v>@CBB</v>
      </c>
      <c r="R61" s="38" t="str">
        <f>IF(ISNA(VLOOKUP($A61&amp;R$2,'2004'!$B$2:$K$1621,10,0)),VLOOKUP($A61&amp;R$2,'2004'!$A$2:$K$1621,10,0),VLOOKUP($A61&amp;R$2,'2004'!$B$2:$K$1621,10,0))</f>
        <v>BRK</v>
      </c>
      <c r="S61" s="38" t="str">
        <f>IF(ISNA(VLOOKUP($A61&amp;S$2,'2004'!$B$2:$K$1621,10,0)),VLOOKUP($A61&amp;S$2,'2004'!$A$2:$K$1621,10,0),VLOOKUP($A61&amp;S$2,'2004'!$B$2:$K$1621,10,0))</f>
        <v>PHI</v>
      </c>
      <c r="T61" s="38" t="str">
        <f>IF(ISNA(VLOOKUP($A61&amp;T$2,'2004'!$B$2:$K$1621,10,0)),VLOOKUP($A61&amp;T$2,'2004'!$A$2:$K$1621,10,0),VLOOKUP($A61&amp;T$2,'2004'!$B$2:$K$1621,10,0))</f>
        <v>NNN</v>
      </c>
      <c r="U61" s="38" t="str">
        <f>IF(ISNA(VLOOKUP($A61&amp;U$2,'2004'!$B$2:$K$1621,10,0)),VLOOKUP($A61&amp;U$2,'2004'!$A$2:$K$1621,10,0),VLOOKUP($A61&amp;U$2,'2004'!$B$2:$K$1621,10,0))</f>
        <v>@HAR</v>
      </c>
    </row>
    <row r="62" spans="1:21" x14ac:dyDescent="0.25">
      <c r="A62" s="40">
        <f t="shared" si="0"/>
        <v>38139</v>
      </c>
      <c r="B62" s="36" t="e">
        <f>IF(ISNA(VLOOKUP($A62&amp;B$2,'2004'!$B$2:$K$1621,10,0)),VLOOKUP($A62&amp;B$2,'2004'!$A$2:$K$1621,10,0),VLOOKUP($A62&amp;B$2,'2004'!$B$2:$K$1621,10,0))</f>
        <v>#N/A</v>
      </c>
      <c r="C62" s="36" t="e">
        <f>IF(ISNA(VLOOKUP($A62&amp;C$2,'2004'!$B$2:$K$1621,10,0)),VLOOKUP($A62&amp;C$2,'2004'!$A$2:$K$1621,10,0),VLOOKUP($A62&amp;C$2,'2004'!$B$2:$K$1621,10,0))</f>
        <v>#N/A</v>
      </c>
      <c r="D62" s="36" t="e">
        <f>IF(ISNA(VLOOKUP($A62&amp;D$2,'2004'!$B$2:$K$1621,10,0)),VLOOKUP($A62&amp;D$2,'2004'!$A$2:$K$1621,10,0),VLOOKUP($A62&amp;D$2,'2004'!$B$2:$K$1621,10,0))</f>
        <v>#N/A</v>
      </c>
      <c r="E62" s="36" t="e">
        <f>IF(ISNA(VLOOKUP($A62&amp;E$2,'2004'!$B$2:$K$1621,10,0)),VLOOKUP($A62&amp;E$2,'2004'!$A$2:$K$1621,10,0),VLOOKUP($A62&amp;E$2,'2004'!$B$2:$K$1621,10,0))</f>
        <v>#N/A</v>
      </c>
      <c r="F62" s="36" t="e">
        <f>IF(ISNA(VLOOKUP($A62&amp;F$2,'2004'!$B$2:$K$1621,10,0)),VLOOKUP($A62&amp;F$2,'2004'!$A$2:$K$1621,10,0),VLOOKUP($A62&amp;F$2,'2004'!$B$2:$K$1621,10,0))</f>
        <v>#N/A</v>
      </c>
      <c r="G62" s="35" t="str">
        <f>IF(ISNA(VLOOKUP($A62&amp;G$2,'2004'!$B$2:$K$1621,10,0)),VLOOKUP($A62&amp;G$2,'2004'!$A$2:$K$1621,10,0),VLOOKUP($A62&amp;G$2,'2004'!$B$2:$K$1621,10,0))</f>
        <v>FDH</v>
      </c>
      <c r="H62" s="35" t="str">
        <f>IF(ISNA(VLOOKUP($A62&amp;H$2,'2004'!$B$2:$K$1621,10,0)),VLOOKUP($A62&amp;H$2,'2004'!$A$2:$K$1621,10,0),VLOOKUP($A62&amp;H$2,'2004'!$B$2:$K$1621,10,0))</f>
        <v>@CEN</v>
      </c>
      <c r="I62" s="35" t="e">
        <f>IF(ISNA(VLOOKUP($A62&amp;I$2,'2004'!$B$2:$K$1621,10,0)),VLOOKUP($A62&amp;I$2,'2004'!$A$2:$K$1621,10,0),VLOOKUP($A62&amp;I$2,'2004'!$B$2:$K$1621,10,0))</f>
        <v>#N/A</v>
      </c>
      <c r="J62" s="35" t="e">
        <f>IF(ISNA(VLOOKUP($A62&amp;J$2,'2004'!$B$2:$K$1621,10,0)),VLOOKUP($A62&amp;J$2,'2004'!$A$2:$K$1621,10,0),VLOOKUP($A62&amp;J$2,'2004'!$B$2:$K$1621,10,0))</f>
        <v>#N/A</v>
      </c>
      <c r="K62" s="35" t="e">
        <f>IF(ISNA(VLOOKUP($A62&amp;K$2,'2004'!$B$2:$K$1621,10,0)),VLOOKUP($A62&amp;K$2,'2004'!$A$2:$K$1621,10,0),VLOOKUP($A62&amp;K$2,'2004'!$B$2:$K$1621,10,0))</f>
        <v>#N/A</v>
      </c>
      <c r="L62" s="34" t="e">
        <f>IF(ISNA(VLOOKUP($A62&amp;L$2,'2004'!$B$2:$K$1621,10,0)),VLOOKUP($A62&amp;L$2,'2004'!$A$2:$K$1621,10,0),VLOOKUP($A62&amp;L$2,'2004'!$B$2:$K$1621,10,0))</f>
        <v>#N/A</v>
      </c>
      <c r="M62" s="34" t="e">
        <f>IF(ISNA(VLOOKUP($A62&amp;M$2,'2004'!$B$2:$K$1621,10,0)),VLOOKUP($A62&amp;M$2,'2004'!$A$2:$K$1621,10,0),VLOOKUP($A62&amp;M$2,'2004'!$B$2:$K$1621,10,0))</f>
        <v>#N/A</v>
      </c>
      <c r="N62" s="34" t="e">
        <f>IF(ISNA(VLOOKUP($A62&amp;N$2,'2004'!$B$2:$K$1621,10,0)),VLOOKUP($A62&amp;N$2,'2004'!$A$2:$K$1621,10,0),VLOOKUP($A62&amp;N$2,'2004'!$B$2:$K$1621,10,0))</f>
        <v>#N/A</v>
      </c>
      <c r="O62" s="34" t="e">
        <f>IF(ISNA(VLOOKUP($A62&amp;O$2,'2004'!$B$2:$K$1621,10,0)),VLOOKUP($A62&amp;O$2,'2004'!$A$2:$K$1621,10,0),VLOOKUP($A62&amp;O$2,'2004'!$B$2:$K$1621,10,0))</f>
        <v>#N/A</v>
      </c>
      <c r="P62" s="34" t="e">
        <f>IF(ISNA(VLOOKUP($A62&amp;P$2,'2004'!$B$2:$K$1621,10,0)),VLOOKUP($A62&amp;P$2,'2004'!$A$2:$K$1621,10,0),VLOOKUP($A62&amp;P$2,'2004'!$B$2:$K$1621,10,0))</f>
        <v>#N/A</v>
      </c>
      <c r="Q62" s="38" t="str">
        <f>IF(ISNA(VLOOKUP($A62&amp;Q$2,'2004'!$B$2:$K$1621,10,0)),VLOOKUP($A62&amp;Q$2,'2004'!$A$2:$K$1621,10,0),VLOOKUP($A62&amp;Q$2,'2004'!$B$2:$K$1621,10,0))</f>
        <v>@CBB</v>
      </c>
      <c r="R62" s="38" t="str">
        <f>IF(ISNA(VLOOKUP($A62&amp;R$2,'2004'!$B$2:$K$1621,10,0)),VLOOKUP($A62&amp;R$2,'2004'!$A$2:$K$1621,10,0),VLOOKUP($A62&amp;R$2,'2004'!$B$2:$K$1621,10,0))</f>
        <v>BRK</v>
      </c>
      <c r="S62" s="38" t="str">
        <f>IF(ISNA(VLOOKUP($A62&amp;S$2,'2004'!$B$2:$K$1621,10,0)),VLOOKUP($A62&amp;S$2,'2004'!$A$2:$K$1621,10,0),VLOOKUP($A62&amp;S$2,'2004'!$B$2:$K$1621,10,0))</f>
        <v>PHI</v>
      </c>
      <c r="T62" s="38" t="e">
        <f>IF(ISNA(VLOOKUP($A62&amp;T$2,'2004'!$B$2:$K$1621,10,0)),VLOOKUP($A62&amp;T$2,'2004'!$A$2:$K$1621,10,0),VLOOKUP($A62&amp;T$2,'2004'!$B$2:$K$1621,10,0))</f>
        <v>#N/A</v>
      </c>
      <c r="U62" s="38" t="str">
        <f>IF(ISNA(VLOOKUP($A62&amp;U$2,'2004'!$B$2:$K$1621,10,0)),VLOOKUP($A62&amp;U$2,'2004'!$A$2:$K$1621,10,0),VLOOKUP($A62&amp;U$2,'2004'!$B$2:$K$1621,10,0))</f>
        <v>@HAR</v>
      </c>
    </row>
    <row r="63" spans="1:21" x14ac:dyDescent="0.25">
      <c r="A63" s="40">
        <f t="shared" si="0"/>
        <v>38140</v>
      </c>
      <c r="B63" s="36" t="str">
        <f>IF(ISNA(VLOOKUP($A63&amp;B$2,'2004'!$B$2:$K$1621,10,0)),VLOOKUP($A63&amp;B$2,'2004'!$A$2:$K$1621,10,0),VLOOKUP($A63&amp;B$2,'2004'!$B$2:$K$1621,10,0))</f>
        <v>@PHI</v>
      </c>
      <c r="C63" s="36" t="str">
        <f>IF(ISNA(VLOOKUP($A63&amp;C$2,'2004'!$B$2:$K$1621,10,0)),VLOOKUP($A63&amp;C$2,'2004'!$A$2:$K$1621,10,0),VLOOKUP($A63&amp;C$2,'2004'!$B$2:$K$1621,10,0))</f>
        <v>@NYD</v>
      </c>
      <c r="D63" s="36" t="str">
        <f>IF(ISNA(VLOOKUP($A63&amp;D$2,'2004'!$B$2:$K$1621,10,0)),VLOOKUP($A63&amp;D$2,'2004'!$A$2:$K$1621,10,0),VLOOKUP($A63&amp;D$2,'2004'!$B$2:$K$1621,10,0))</f>
        <v>@BRK</v>
      </c>
      <c r="E63" s="36" t="str">
        <f>IF(ISNA(VLOOKUP($A63&amp;E$2,'2004'!$B$2:$K$1621,10,0)),VLOOKUP($A63&amp;E$2,'2004'!$A$2:$K$1621,10,0),VLOOKUP($A63&amp;E$2,'2004'!$B$2:$K$1621,10,0))</f>
        <v>@CBB</v>
      </c>
      <c r="F63" s="36" t="str">
        <f>IF(ISNA(VLOOKUP($A63&amp;F$2,'2004'!$B$2:$K$1621,10,0)),VLOOKUP($A63&amp;F$2,'2004'!$A$2:$K$1621,10,0),VLOOKUP($A63&amp;F$2,'2004'!$B$2:$K$1621,10,0))</f>
        <v>@HAR</v>
      </c>
      <c r="G63" s="35" t="str">
        <f>IF(ISNA(VLOOKUP($A63&amp;G$2,'2004'!$B$2:$K$1621,10,0)),VLOOKUP($A63&amp;G$2,'2004'!$A$2:$K$1621,10,0),VLOOKUP($A63&amp;G$2,'2004'!$B$2:$K$1621,10,0))</f>
        <v>@NNN</v>
      </c>
      <c r="H63" s="35" t="str">
        <f>IF(ISNA(VLOOKUP($A63&amp;H$2,'2004'!$B$2:$K$1621,10,0)),VLOOKUP($A63&amp;H$2,'2004'!$A$2:$K$1621,10,0),VLOOKUP($A63&amp;H$2,'2004'!$B$2:$K$1621,10,0))</f>
        <v>@OKO</v>
      </c>
      <c r="I63" s="35" t="str">
        <f>IF(ISNA(VLOOKUP($A63&amp;I$2,'2004'!$B$2:$K$1621,10,0)),VLOOKUP($A63&amp;I$2,'2004'!$A$2:$K$1621,10,0),VLOOKUP($A63&amp;I$2,'2004'!$B$2:$K$1621,10,0))</f>
        <v>@DIG</v>
      </c>
      <c r="J63" s="35" t="str">
        <f>IF(ISNA(VLOOKUP($A63&amp;J$2,'2004'!$B$2:$K$1621,10,0)),VLOOKUP($A63&amp;J$2,'2004'!$A$2:$K$1621,10,0),VLOOKUP($A63&amp;J$2,'2004'!$B$2:$K$1621,10,0))</f>
        <v>@FFR</v>
      </c>
      <c r="K63" s="35" t="str">
        <f>IF(ISNA(VLOOKUP($A63&amp;K$2,'2004'!$B$2:$K$1621,10,0)),VLOOKUP($A63&amp;K$2,'2004'!$A$2:$K$1621,10,0),VLOOKUP($A63&amp;K$2,'2004'!$B$2:$K$1621,10,0))</f>
        <v>@RMO</v>
      </c>
      <c r="L63" s="34" t="str">
        <f>IF(ISNA(VLOOKUP($A63&amp;L$2,'2004'!$B$2:$K$1621,10,0)),VLOOKUP($A63&amp;L$2,'2004'!$A$2:$K$1621,10,0),VLOOKUP($A63&amp;L$2,'2004'!$B$2:$K$1621,10,0))</f>
        <v>NEP</v>
      </c>
      <c r="M63" s="34" t="str">
        <f>IF(ISNA(VLOOKUP($A63&amp;M$2,'2004'!$B$2:$K$1621,10,0)),VLOOKUP($A63&amp;M$2,'2004'!$A$2:$K$1621,10,0),VLOOKUP($A63&amp;M$2,'2004'!$B$2:$K$1621,10,0))</f>
        <v>REN</v>
      </c>
      <c r="N63" s="34" t="str">
        <f>IF(ISNA(VLOOKUP($A63&amp;N$2,'2004'!$B$2:$K$1621,10,0)),VLOOKUP($A63&amp;N$2,'2004'!$A$2:$K$1621,10,0),VLOOKUP($A63&amp;N$2,'2004'!$B$2:$K$1621,10,0))</f>
        <v>CEN</v>
      </c>
      <c r="O63" s="34" t="str">
        <f>IF(ISNA(VLOOKUP($A63&amp;O$2,'2004'!$B$2:$K$1621,10,0)),VLOOKUP($A63&amp;O$2,'2004'!$A$2:$K$1621,10,0),VLOOKUP($A63&amp;O$2,'2004'!$B$2:$K$1621,10,0))</f>
        <v>FDH</v>
      </c>
      <c r="P63" s="34" t="str">
        <f>IF(ISNA(VLOOKUP($A63&amp;P$2,'2004'!$B$2:$K$1621,10,0)),VLOOKUP($A63&amp;P$2,'2004'!$A$2:$K$1621,10,0),VLOOKUP($A63&amp;P$2,'2004'!$B$2:$K$1621,10,0))</f>
        <v>TEW</v>
      </c>
      <c r="Q63" s="38" t="str">
        <f>IF(ISNA(VLOOKUP($A63&amp;Q$2,'2004'!$B$2:$K$1621,10,0)),VLOOKUP($A63&amp;Q$2,'2004'!$A$2:$K$1621,10,0),VLOOKUP($A63&amp;Q$2,'2004'!$B$2:$K$1621,10,0))</f>
        <v>CTW</v>
      </c>
      <c r="R63" s="38" t="str">
        <f>IF(ISNA(VLOOKUP($A63&amp;R$2,'2004'!$B$2:$K$1621,10,0)),VLOOKUP($A63&amp;R$2,'2004'!$A$2:$K$1621,10,0),VLOOKUP($A63&amp;R$2,'2004'!$B$2:$K$1621,10,0))</f>
        <v>CIN</v>
      </c>
      <c r="S63" s="38" t="str">
        <f>IF(ISNA(VLOOKUP($A63&amp;S$2,'2004'!$B$2:$K$1621,10,0)),VLOOKUP($A63&amp;S$2,'2004'!$A$2:$K$1621,10,0),VLOOKUP($A63&amp;S$2,'2004'!$B$2:$K$1621,10,0))</f>
        <v>GAR</v>
      </c>
      <c r="T63" s="38" t="str">
        <f>IF(ISNA(VLOOKUP($A63&amp;T$2,'2004'!$B$2:$K$1621,10,0)),VLOOKUP($A63&amp;T$2,'2004'!$A$2:$K$1621,10,0),VLOOKUP($A63&amp;T$2,'2004'!$B$2:$K$1621,10,0))</f>
        <v>BAR</v>
      </c>
      <c r="U63" s="38" t="str">
        <f>IF(ISNA(VLOOKUP($A63&amp;U$2,'2004'!$B$2:$K$1621,10,0)),VLOOKUP($A63&amp;U$2,'2004'!$A$2:$K$1621,10,0),VLOOKUP($A63&amp;U$2,'2004'!$B$2:$K$1621,10,0))</f>
        <v>BBG</v>
      </c>
    </row>
    <row r="64" spans="1:21" x14ac:dyDescent="0.25">
      <c r="A64" s="40">
        <f t="shared" ref="A64:A127" si="1">A63+1</f>
        <v>38141</v>
      </c>
      <c r="B64" s="36" t="str">
        <f>IF(ISNA(VLOOKUP($A64&amp;B$2,'2004'!$B$2:$K$1621,10,0)),VLOOKUP($A64&amp;B$2,'2004'!$A$2:$K$1621,10,0),VLOOKUP($A64&amp;B$2,'2004'!$B$2:$K$1621,10,0))</f>
        <v>@PHI</v>
      </c>
      <c r="C64" s="36" t="str">
        <f>IF(ISNA(VLOOKUP($A64&amp;C$2,'2004'!$B$2:$K$1621,10,0)),VLOOKUP($A64&amp;C$2,'2004'!$A$2:$K$1621,10,0),VLOOKUP($A64&amp;C$2,'2004'!$B$2:$K$1621,10,0))</f>
        <v>@NYD</v>
      </c>
      <c r="D64" s="36" t="str">
        <f>IF(ISNA(VLOOKUP($A64&amp;D$2,'2004'!$B$2:$K$1621,10,0)),VLOOKUP($A64&amp;D$2,'2004'!$A$2:$K$1621,10,0),VLOOKUP($A64&amp;D$2,'2004'!$B$2:$K$1621,10,0))</f>
        <v>@BRK</v>
      </c>
      <c r="E64" s="36" t="str">
        <f>IF(ISNA(VLOOKUP($A64&amp;E$2,'2004'!$B$2:$K$1621,10,0)),VLOOKUP($A64&amp;E$2,'2004'!$A$2:$K$1621,10,0),VLOOKUP($A64&amp;E$2,'2004'!$B$2:$K$1621,10,0))</f>
        <v>@CBB</v>
      </c>
      <c r="F64" s="36" t="str">
        <f>IF(ISNA(VLOOKUP($A64&amp;F$2,'2004'!$B$2:$K$1621,10,0)),VLOOKUP($A64&amp;F$2,'2004'!$A$2:$K$1621,10,0),VLOOKUP($A64&amp;F$2,'2004'!$B$2:$K$1621,10,0))</f>
        <v>@HAR</v>
      </c>
      <c r="G64" s="35" t="str">
        <f>IF(ISNA(VLOOKUP($A64&amp;G$2,'2004'!$B$2:$K$1621,10,0)),VLOOKUP($A64&amp;G$2,'2004'!$A$2:$K$1621,10,0),VLOOKUP($A64&amp;G$2,'2004'!$B$2:$K$1621,10,0))</f>
        <v>@NNN</v>
      </c>
      <c r="H64" s="35" t="str">
        <f>IF(ISNA(VLOOKUP($A64&amp;H$2,'2004'!$B$2:$K$1621,10,0)),VLOOKUP($A64&amp;H$2,'2004'!$A$2:$K$1621,10,0),VLOOKUP($A64&amp;H$2,'2004'!$B$2:$K$1621,10,0))</f>
        <v>@OKO</v>
      </c>
      <c r="I64" s="35" t="str">
        <f>IF(ISNA(VLOOKUP($A64&amp;I$2,'2004'!$B$2:$K$1621,10,0)),VLOOKUP($A64&amp;I$2,'2004'!$A$2:$K$1621,10,0),VLOOKUP($A64&amp;I$2,'2004'!$B$2:$K$1621,10,0))</f>
        <v>@DIG</v>
      </c>
      <c r="J64" s="35" t="str">
        <f>IF(ISNA(VLOOKUP($A64&amp;J$2,'2004'!$B$2:$K$1621,10,0)),VLOOKUP($A64&amp;J$2,'2004'!$A$2:$K$1621,10,0),VLOOKUP($A64&amp;J$2,'2004'!$B$2:$K$1621,10,0))</f>
        <v>@FFR</v>
      </c>
      <c r="K64" s="35" t="str">
        <f>IF(ISNA(VLOOKUP($A64&amp;K$2,'2004'!$B$2:$K$1621,10,0)),VLOOKUP($A64&amp;K$2,'2004'!$A$2:$K$1621,10,0),VLOOKUP($A64&amp;K$2,'2004'!$B$2:$K$1621,10,0))</f>
        <v>@RMO</v>
      </c>
      <c r="L64" s="34" t="str">
        <f>IF(ISNA(VLOOKUP($A64&amp;L$2,'2004'!$B$2:$K$1621,10,0)),VLOOKUP($A64&amp;L$2,'2004'!$A$2:$K$1621,10,0),VLOOKUP($A64&amp;L$2,'2004'!$B$2:$K$1621,10,0))</f>
        <v>NEP</v>
      </c>
      <c r="M64" s="34" t="str">
        <f>IF(ISNA(VLOOKUP($A64&amp;M$2,'2004'!$B$2:$K$1621,10,0)),VLOOKUP($A64&amp;M$2,'2004'!$A$2:$K$1621,10,0),VLOOKUP($A64&amp;M$2,'2004'!$B$2:$K$1621,10,0))</f>
        <v>REN</v>
      </c>
      <c r="N64" s="34" t="str">
        <f>IF(ISNA(VLOOKUP($A64&amp;N$2,'2004'!$B$2:$K$1621,10,0)),VLOOKUP($A64&amp;N$2,'2004'!$A$2:$K$1621,10,0),VLOOKUP($A64&amp;N$2,'2004'!$B$2:$K$1621,10,0))</f>
        <v>CEN</v>
      </c>
      <c r="O64" s="34" t="str">
        <f>IF(ISNA(VLOOKUP($A64&amp;O$2,'2004'!$B$2:$K$1621,10,0)),VLOOKUP($A64&amp;O$2,'2004'!$A$2:$K$1621,10,0),VLOOKUP($A64&amp;O$2,'2004'!$B$2:$K$1621,10,0))</f>
        <v>FDH</v>
      </c>
      <c r="P64" s="34" t="str">
        <f>IF(ISNA(VLOOKUP($A64&amp;P$2,'2004'!$B$2:$K$1621,10,0)),VLOOKUP($A64&amp;P$2,'2004'!$A$2:$K$1621,10,0),VLOOKUP($A64&amp;P$2,'2004'!$B$2:$K$1621,10,0))</f>
        <v>TEW</v>
      </c>
      <c r="Q64" s="38" t="str">
        <f>IF(ISNA(VLOOKUP($A64&amp;Q$2,'2004'!$B$2:$K$1621,10,0)),VLOOKUP($A64&amp;Q$2,'2004'!$A$2:$K$1621,10,0),VLOOKUP($A64&amp;Q$2,'2004'!$B$2:$K$1621,10,0))</f>
        <v>CTW</v>
      </c>
      <c r="R64" s="38" t="str">
        <f>IF(ISNA(VLOOKUP($A64&amp;R$2,'2004'!$B$2:$K$1621,10,0)),VLOOKUP($A64&amp;R$2,'2004'!$A$2:$K$1621,10,0),VLOOKUP($A64&amp;R$2,'2004'!$B$2:$K$1621,10,0))</f>
        <v>CIN</v>
      </c>
      <c r="S64" s="38" t="str">
        <f>IF(ISNA(VLOOKUP($A64&amp;S$2,'2004'!$B$2:$K$1621,10,0)),VLOOKUP($A64&amp;S$2,'2004'!$A$2:$K$1621,10,0),VLOOKUP($A64&amp;S$2,'2004'!$B$2:$K$1621,10,0))</f>
        <v>GAR</v>
      </c>
      <c r="T64" s="38" t="str">
        <f>IF(ISNA(VLOOKUP($A64&amp;T$2,'2004'!$B$2:$K$1621,10,0)),VLOOKUP($A64&amp;T$2,'2004'!$A$2:$K$1621,10,0),VLOOKUP($A64&amp;T$2,'2004'!$B$2:$K$1621,10,0))</f>
        <v>BAR</v>
      </c>
      <c r="U64" s="38" t="str">
        <f>IF(ISNA(VLOOKUP($A64&amp;U$2,'2004'!$B$2:$K$1621,10,0)),VLOOKUP($A64&amp;U$2,'2004'!$A$2:$K$1621,10,0),VLOOKUP($A64&amp;U$2,'2004'!$B$2:$K$1621,10,0))</f>
        <v>BBG</v>
      </c>
    </row>
    <row r="65" spans="1:21" x14ac:dyDescent="0.25">
      <c r="A65" s="40">
        <f t="shared" si="1"/>
        <v>38142</v>
      </c>
      <c r="B65" s="36" t="str">
        <f>IF(ISNA(VLOOKUP($A65&amp;B$2,'2004'!$B$2:$K$1621,10,0)),VLOOKUP($A65&amp;B$2,'2004'!$A$2:$K$1621,10,0),VLOOKUP($A65&amp;B$2,'2004'!$B$2:$K$1621,10,0))</f>
        <v>@PHI</v>
      </c>
      <c r="C65" s="36" t="str">
        <f>IF(ISNA(VLOOKUP($A65&amp;C$2,'2004'!$B$2:$K$1621,10,0)),VLOOKUP($A65&amp;C$2,'2004'!$A$2:$K$1621,10,0),VLOOKUP($A65&amp;C$2,'2004'!$B$2:$K$1621,10,0))</f>
        <v>@NYD</v>
      </c>
      <c r="D65" s="36" t="str">
        <f>IF(ISNA(VLOOKUP($A65&amp;D$2,'2004'!$B$2:$K$1621,10,0)),VLOOKUP($A65&amp;D$2,'2004'!$A$2:$K$1621,10,0),VLOOKUP($A65&amp;D$2,'2004'!$B$2:$K$1621,10,0))</f>
        <v>@BRK</v>
      </c>
      <c r="E65" s="36" t="str">
        <f>IF(ISNA(VLOOKUP($A65&amp;E$2,'2004'!$B$2:$K$1621,10,0)),VLOOKUP($A65&amp;E$2,'2004'!$A$2:$K$1621,10,0),VLOOKUP($A65&amp;E$2,'2004'!$B$2:$K$1621,10,0))</f>
        <v>@CBB</v>
      </c>
      <c r="F65" s="36" t="str">
        <f>IF(ISNA(VLOOKUP($A65&amp;F$2,'2004'!$B$2:$K$1621,10,0)),VLOOKUP($A65&amp;F$2,'2004'!$A$2:$K$1621,10,0),VLOOKUP($A65&amp;F$2,'2004'!$B$2:$K$1621,10,0))</f>
        <v>@HAR</v>
      </c>
      <c r="G65" s="35" t="str">
        <f>IF(ISNA(VLOOKUP($A65&amp;G$2,'2004'!$B$2:$K$1621,10,0)),VLOOKUP($A65&amp;G$2,'2004'!$A$2:$K$1621,10,0),VLOOKUP($A65&amp;G$2,'2004'!$B$2:$K$1621,10,0))</f>
        <v>@NNN</v>
      </c>
      <c r="H65" s="35" t="str">
        <f>IF(ISNA(VLOOKUP($A65&amp;H$2,'2004'!$B$2:$K$1621,10,0)),VLOOKUP($A65&amp;H$2,'2004'!$A$2:$K$1621,10,0),VLOOKUP($A65&amp;H$2,'2004'!$B$2:$K$1621,10,0))</f>
        <v>@OKO</v>
      </c>
      <c r="I65" s="35" t="str">
        <f>IF(ISNA(VLOOKUP($A65&amp;I$2,'2004'!$B$2:$K$1621,10,0)),VLOOKUP($A65&amp;I$2,'2004'!$A$2:$K$1621,10,0),VLOOKUP($A65&amp;I$2,'2004'!$B$2:$K$1621,10,0))</f>
        <v>@DIG</v>
      </c>
      <c r="J65" s="35" t="str">
        <f>IF(ISNA(VLOOKUP($A65&amp;J$2,'2004'!$B$2:$K$1621,10,0)),VLOOKUP($A65&amp;J$2,'2004'!$A$2:$K$1621,10,0),VLOOKUP($A65&amp;J$2,'2004'!$B$2:$K$1621,10,0))</f>
        <v>@FFR</v>
      </c>
      <c r="K65" s="35" t="str">
        <f>IF(ISNA(VLOOKUP($A65&amp;K$2,'2004'!$B$2:$K$1621,10,0)),VLOOKUP($A65&amp;K$2,'2004'!$A$2:$K$1621,10,0),VLOOKUP($A65&amp;K$2,'2004'!$B$2:$K$1621,10,0))</f>
        <v>@RMO</v>
      </c>
      <c r="L65" s="34" t="str">
        <f>IF(ISNA(VLOOKUP($A65&amp;L$2,'2004'!$B$2:$K$1621,10,0)),VLOOKUP($A65&amp;L$2,'2004'!$A$2:$K$1621,10,0),VLOOKUP($A65&amp;L$2,'2004'!$B$2:$K$1621,10,0))</f>
        <v>NEP</v>
      </c>
      <c r="M65" s="34" t="str">
        <f>IF(ISNA(VLOOKUP($A65&amp;M$2,'2004'!$B$2:$K$1621,10,0)),VLOOKUP($A65&amp;M$2,'2004'!$A$2:$K$1621,10,0),VLOOKUP($A65&amp;M$2,'2004'!$B$2:$K$1621,10,0))</f>
        <v>REN</v>
      </c>
      <c r="N65" s="34" t="str">
        <f>IF(ISNA(VLOOKUP($A65&amp;N$2,'2004'!$B$2:$K$1621,10,0)),VLOOKUP($A65&amp;N$2,'2004'!$A$2:$K$1621,10,0),VLOOKUP($A65&amp;N$2,'2004'!$B$2:$K$1621,10,0))</f>
        <v>CEN</v>
      </c>
      <c r="O65" s="34" t="str">
        <f>IF(ISNA(VLOOKUP($A65&amp;O$2,'2004'!$B$2:$K$1621,10,0)),VLOOKUP($A65&amp;O$2,'2004'!$A$2:$K$1621,10,0),VLOOKUP($A65&amp;O$2,'2004'!$B$2:$K$1621,10,0))</f>
        <v>FDH</v>
      </c>
      <c r="P65" s="34" t="str">
        <f>IF(ISNA(VLOOKUP($A65&amp;P$2,'2004'!$B$2:$K$1621,10,0)),VLOOKUP($A65&amp;P$2,'2004'!$A$2:$K$1621,10,0),VLOOKUP($A65&amp;P$2,'2004'!$B$2:$K$1621,10,0))</f>
        <v>TEW</v>
      </c>
      <c r="Q65" s="38" t="str">
        <f>IF(ISNA(VLOOKUP($A65&amp;Q$2,'2004'!$B$2:$K$1621,10,0)),VLOOKUP($A65&amp;Q$2,'2004'!$A$2:$K$1621,10,0),VLOOKUP($A65&amp;Q$2,'2004'!$B$2:$K$1621,10,0))</f>
        <v>CTW</v>
      </c>
      <c r="R65" s="38" t="str">
        <f>IF(ISNA(VLOOKUP($A65&amp;R$2,'2004'!$B$2:$K$1621,10,0)),VLOOKUP($A65&amp;R$2,'2004'!$A$2:$K$1621,10,0),VLOOKUP($A65&amp;R$2,'2004'!$B$2:$K$1621,10,0))</f>
        <v>CIN</v>
      </c>
      <c r="S65" s="38" t="str">
        <f>IF(ISNA(VLOOKUP($A65&amp;S$2,'2004'!$B$2:$K$1621,10,0)),VLOOKUP($A65&amp;S$2,'2004'!$A$2:$K$1621,10,0),VLOOKUP($A65&amp;S$2,'2004'!$B$2:$K$1621,10,0))</f>
        <v>GAR</v>
      </c>
      <c r="T65" s="38" t="str">
        <f>IF(ISNA(VLOOKUP($A65&amp;T$2,'2004'!$B$2:$K$1621,10,0)),VLOOKUP($A65&amp;T$2,'2004'!$A$2:$K$1621,10,0),VLOOKUP($A65&amp;T$2,'2004'!$B$2:$K$1621,10,0))</f>
        <v>BAR</v>
      </c>
      <c r="U65" s="38" t="str">
        <f>IF(ISNA(VLOOKUP($A65&amp;U$2,'2004'!$B$2:$K$1621,10,0)),VLOOKUP($A65&amp;U$2,'2004'!$A$2:$K$1621,10,0),VLOOKUP($A65&amp;U$2,'2004'!$B$2:$K$1621,10,0))</f>
        <v>BBG</v>
      </c>
    </row>
    <row r="66" spans="1:21" x14ac:dyDescent="0.25">
      <c r="A66" s="40">
        <f t="shared" si="1"/>
        <v>38143</v>
      </c>
      <c r="B66" s="36" t="str">
        <f>IF(ISNA(VLOOKUP($A66&amp;B$2,'2004'!$B$2:$K$1621,10,0)),VLOOKUP($A66&amp;B$2,'2004'!$A$2:$K$1621,10,0),VLOOKUP($A66&amp;B$2,'2004'!$B$2:$K$1621,10,0))</f>
        <v>@PHI</v>
      </c>
      <c r="C66" s="36" t="str">
        <f>IF(ISNA(VLOOKUP($A66&amp;C$2,'2004'!$B$2:$K$1621,10,0)),VLOOKUP($A66&amp;C$2,'2004'!$A$2:$K$1621,10,0),VLOOKUP($A66&amp;C$2,'2004'!$B$2:$K$1621,10,0))</f>
        <v>@NYD</v>
      </c>
      <c r="D66" s="36" t="str">
        <f>IF(ISNA(VLOOKUP($A66&amp;D$2,'2004'!$B$2:$K$1621,10,0)),VLOOKUP($A66&amp;D$2,'2004'!$A$2:$K$1621,10,0),VLOOKUP($A66&amp;D$2,'2004'!$B$2:$K$1621,10,0))</f>
        <v>@BRK</v>
      </c>
      <c r="E66" s="36" t="str">
        <f>IF(ISNA(VLOOKUP($A66&amp;E$2,'2004'!$B$2:$K$1621,10,0)),VLOOKUP($A66&amp;E$2,'2004'!$A$2:$K$1621,10,0),VLOOKUP($A66&amp;E$2,'2004'!$B$2:$K$1621,10,0))</f>
        <v>@CBB</v>
      </c>
      <c r="F66" s="36" t="str">
        <f>IF(ISNA(VLOOKUP($A66&amp;F$2,'2004'!$B$2:$K$1621,10,0)),VLOOKUP($A66&amp;F$2,'2004'!$A$2:$K$1621,10,0),VLOOKUP($A66&amp;F$2,'2004'!$B$2:$K$1621,10,0))</f>
        <v>@HAR</v>
      </c>
      <c r="G66" s="35" t="str">
        <f>IF(ISNA(VLOOKUP($A66&amp;G$2,'2004'!$B$2:$K$1621,10,0)),VLOOKUP($A66&amp;G$2,'2004'!$A$2:$K$1621,10,0),VLOOKUP($A66&amp;G$2,'2004'!$B$2:$K$1621,10,0))</f>
        <v>@NNN</v>
      </c>
      <c r="H66" s="35" t="str">
        <f>IF(ISNA(VLOOKUP($A66&amp;H$2,'2004'!$B$2:$K$1621,10,0)),VLOOKUP($A66&amp;H$2,'2004'!$A$2:$K$1621,10,0),VLOOKUP($A66&amp;H$2,'2004'!$B$2:$K$1621,10,0))</f>
        <v>@OKO</v>
      </c>
      <c r="I66" s="35" t="str">
        <f>IF(ISNA(VLOOKUP($A66&amp;I$2,'2004'!$B$2:$K$1621,10,0)),VLOOKUP($A66&amp;I$2,'2004'!$A$2:$K$1621,10,0),VLOOKUP($A66&amp;I$2,'2004'!$B$2:$K$1621,10,0))</f>
        <v>@DIG</v>
      </c>
      <c r="J66" s="35" t="str">
        <f>IF(ISNA(VLOOKUP($A66&amp;J$2,'2004'!$B$2:$K$1621,10,0)),VLOOKUP($A66&amp;J$2,'2004'!$A$2:$K$1621,10,0),VLOOKUP($A66&amp;J$2,'2004'!$B$2:$K$1621,10,0))</f>
        <v>@FFR</v>
      </c>
      <c r="K66" s="35" t="str">
        <f>IF(ISNA(VLOOKUP($A66&amp;K$2,'2004'!$B$2:$K$1621,10,0)),VLOOKUP($A66&amp;K$2,'2004'!$A$2:$K$1621,10,0),VLOOKUP($A66&amp;K$2,'2004'!$B$2:$K$1621,10,0))</f>
        <v>@RMO</v>
      </c>
      <c r="L66" s="34" t="str">
        <f>IF(ISNA(VLOOKUP($A66&amp;L$2,'2004'!$B$2:$K$1621,10,0)),VLOOKUP($A66&amp;L$2,'2004'!$A$2:$K$1621,10,0),VLOOKUP($A66&amp;L$2,'2004'!$B$2:$K$1621,10,0))</f>
        <v>NEP</v>
      </c>
      <c r="M66" s="34" t="str">
        <f>IF(ISNA(VLOOKUP($A66&amp;M$2,'2004'!$B$2:$K$1621,10,0)),VLOOKUP($A66&amp;M$2,'2004'!$A$2:$K$1621,10,0),VLOOKUP($A66&amp;M$2,'2004'!$B$2:$K$1621,10,0))</f>
        <v>REN</v>
      </c>
      <c r="N66" s="34" t="str">
        <f>IF(ISNA(VLOOKUP($A66&amp;N$2,'2004'!$B$2:$K$1621,10,0)),VLOOKUP($A66&amp;N$2,'2004'!$A$2:$K$1621,10,0),VLOOKUP($A66&amp;N$2,'2004'!$B$2:$K$1621,10,0))</f>
        <v>CEN</v>
      </c>
      <c r="O66" s="34" t="str">
        <f>IF(ISNA(VLOOKUP($A66&amp;O$2,'2004'!$B$2:$K$1621,10,0)),VLOOKUP($A66&amp;O$2,'2004'!$A$2:$K$1621,10,0),VLOOKUP($A66&amp;O$2,'2004'!$B$2:$K$1621,10,0))</f>
        <v>FDH</v>
      </c>
      <c r="P66" s="34" t="str">
        <f>IF(ISNA(VLOOKUP($A66&amp;P$2,'2004'!$B$2:$K$1621,10,0)),VLOOKUP($A66&amp;P$2,'2004'!$A$2:$K$1621,10,0),VLOOKUP($A66&amp;P$2,'2004'!$B$2:$K$1621,10,0))</f>
        <v>TEW</v>
      </c>
      <c r="Q66" s="38" t="str">
        <f>IF(ISNA(VLOOKUP($A66&amp;Q$2,'2004'!$B$2:$K$1621,10,0)),VLOOKUP($A66&amp;Q$2,'2004'!$A$2:$K$1621,10,0),VLOOKUP($A66&amp;Q$2,'2004'!$B$2:$K$1621,10,0))</f>
        <v>CTW</v>
      </c>
      <c r="R66" s="38" t="str">
        <f>IF(ISNA(VLOOKUP($A66&amp;R$2,'2004'!$B$2:$K$1621,10,0)),VLOOKUP($A66&amp;R$2,'2004'!$A$2:$K$1621,10,0),VLOOKUP($A66&amp;R$2,'2004'!$B$2:$K$1621,10,0))</f>
        <v>CIN</v>
      </c>
      <c r="S66" s="38" t="str">
        <f>IF(ISNA(VLOOKUP($A66&amp;S$2,'2004'!$B$2:$K$1621,10,0)),VLOOKUP($A66&amp;S$2,'2004'!$A$2:$K$1621,10,0),VLOOKUP($A66&amp;S$2,'2004'!$B$2:$K$1621,10,0))</f>
        <v>GAR</v>
      </c>
      <c r="T66" s="38" t="str">
        <f>IF(ISNA(VLOOKUP($A66&amp;T$2,'2004'!$B$2:$K$1621,10,0)),VLOOKUP($A66&amp;T$2,'2004'!$A$2:$K$1621,10,0),VLOOKUP($A66&amp;T$2,'2004'!$B$2:$K$1621,10,0))</f>
        <v>BAR</v>
      </c>
      <c r="U66" s="38" t="str">
        <f>IF(ISNA(VLOOKUP($A66&amp;U$2,'2004'!$B$2:$K$1621,10,0)),VLOOKUP($A66&amp;U$2,'2004'!$A$2:$K$1621,10,0),VLOOKUP($A66&amp;U$2,'2004'!$B$2:$K$1621,10,0))</f>
        <v>BBG</v>
      </c>
    </row>
    <row r="67" spans="1:21" x14ac:dyDescent="0.25">
      <c r="A67" s="40">
        <f t="shared" si="1"/>
        <v>38144</v>
      </c>
      <c r="B67" s="36" t="str">
        <f>IF(ISNA(VLOOKUP($A67&amp;B$2,'2004'!$B$2:$K$1621,10,0)),VLOOKUP($A67&amp;B$2,'2004'!$A$2:$K$1621,10,0),VLOOKUP($A67&amp;B$2,'2004'!$B$2:$K$1621,10,0))</f>
        <v>@RMO</v>
      </c>
      <c r="C67" s="36" t="str">
        <f>IF(ISNA(VLOOKUP($A67&amp;C$2,'2004'!$B$2:$K$1621,10,0)),VLOOKUP($A67&amp;C$2,'2004'!$A$2:$K$1621,10,0),VLOOKUP($A67&amp;C$2,'2004'!$B$2:$K$1621,10,0))</f>
        <v>@NNN</v>
      </c>
      <c r="D67" s="36" t="str">
        <f>IF(ISNA(VLOOKUP($A67&amp;D$2,'2004'!$B$2:$K$1621,10,0)),VLOOKUP($A67&amp;D$2,'2004'!$A$2:$K$1621,10,0),VLOOKUP($A67&amp;D$2,'2004'!$B$2:$K$1621,10,0))</f>
        <v>@DIG</v>
      </c>
      <c r="E67" s="36" t="str">
        <f>IF(ISNA(VLOOKUP($A67&amp;E$2,'2004'!$B$2:$K$1621,10,0)),VLOOKUP($A67&amp;E$2,'2004'!$A$2:$K$1621,10,0),VLOOKUP($A67&amp;E$2,'2004'!$B$2:$K$1621,10,0))</f>
        <v>@OKO</v>
      </c>
      <c r="F67" s="36" t="str">
        <f>IF(ISNA(VLOOKUP($A67&amp;F$2,'2004'!$B$2:$K$1621,10,0)),VLOOKUP($A67&amp;F$2,'2004'!$A$2:$K$1621,10,0),VLOOKUP($A67&amp;F$2,'2004'!$B$2:$K$1621,10,0))</f>
        <v>@FFR</v>
      </c>
      <c r="G67" s="35" t="str">
        <f>IF(ISNA(VLOOKUP($A67&amp;G$2,'2004'!$B$2:$K$1621,10,0)),VLOOKUP($A67&amp;G$2,'2004'!$A$2:$K$1621,10,0),VLOOKUP($A67&amp;G$2,'2004'!$B$2:$K$1621,10,0))</f>
        <v>@NYD</v>
      </c>
      <c r="H67" s="35" t="str">
        <f>IF(ISNA(VLOOKUP($A67&amp;H$2,'2004'!$B$2:$K$1621,10,0)),VLOOKUP($A67&amp;H$2,'2004'!$A$2:$K$1621,10,0),VLOOKUP($A67&amp;H$2,'2004'!$B$2:$K$1621,10,0))</f>
        <v>@CBB</v>
      </c>
      <c r="I67" s="35" t="str">
        <f>IF(ISNA(VLOOKUP($A67&amp;I$2,'2004'!$B$2:$K$1621,10,0)),VLOOKUP($A67&amp;I$2,'2004'!$A$2:$K$1621,10,0),VLOOKUP($A67&amp;I$2,'2004'!$B$2:$K$1621,10,0))</f>
        <v>@BRK</v>
      </c>
      <c r="J67" s="35" t="str">
        <f>IF(ISNA(VLOOKUP($A67&amp;J$2,'2004'!$B$2:$K$1621,10,0)),VLOOKUP($A67&amp;J$2,'2004'!$A$2:$K$1621,10,0),VLOOKUP($A67&amp;J$2,'2004'!$B$2:$K$1621,10,0))</f>
        <v>@HAR</v>
      </c>
      <c r="K67" s="35" t="str">
        <f>IF(ISNA(VLOOKUP($A67&amp;K$2,'2004'!$B$2:$K$1621,10,0)),VLOOKUP($A67&amp;K$2,'2004'!$A$2:$K$1621,10,0),VLOOKUP($A67&amp;K$2,'2004'!$B$2:$K$1621,10,0))</f>
        <v>@PHI</v>
      </c>
      <c r="L67" s="34" t="str">
        <f>IF(ISNA(VLOOKUP($A67&amp;L$2,'2004'!$B$2:$K$1621,10,0)),VLOOKUP($A67&amp;L$2,'2004'!$A$2:$K$1621,10,0),VLOOKUP($A67&amp;L$2,'2004'!$B$2:$K$1621,10,0))</f>
        <v>CTW</v>
      </c>
      <c r="M67" s="34" t="str">
        <f>IF(ISNA(VLOOKUP($A67&amp;M$2,'2004'!$B$2:$K$1621,10,0)),VLOOKUP($A67&amp;M$2,'2004'!$A$2:$K$1621,10,0),VLOOKUP($A67&amp;M$2,'2004'!$B$2:$K$1621,10,0))</f>
        <v>GAR</v>
      </c>
      <c r="N67" s="34" t="str">
        <f>IF(ISNA(VLOOKUP($A67&amp;N$2,'2004'!$B$2:$K$1621,10,0)),VLOOKUP($A67&amp;N$2,'2004'!$A$2:$K$1621,10,0),VLOOKUP($A67&amp;N$2,'2004'!$B$2:$K$1621,10,0))</f>
        <v>BAR</v>
      </c>
      <c r="O67" s="34" t="str">
        <f>IF(ISNA(VLOOKUP($A67&amp;O$2,'2004'!$B$2:$K$1621,10,0)),VLOOKUP($A67&amp;O$2,'2004'!$A$2:$K$1621,10,0),VLOOKUP($A67&amp;O$2,'2004'!$B$2:$K$1621,10,0))</f>
        <v>CIN</v>
      </c>
      <c r="P67" s="34" t="str">
        <f>IF(ISNA(VLOOKUP($A67&amp;P$2,'2004'!$B$2:$K$1621,10,0)),VLOOKUP($A67&amp;P$2,'2004'!$A$2:$K$1621,10,0),VLOOKUP($A67&amp;P$2,'2004'!$B$2:$K$1621,10,0))</f>
        <v>BBG</v>
      </c>
      <c r="Q67" s="38" t="str">
        <f>IF(ISNA(VLOOKUP($A67&amp;Q$2,'2004'!$B$2:$K$1621,10,0)),VLOOKUP($A67&amp;Q$2,'2004'!$A$2:$K$1621,10,0),VLOOKUP($A67&amp;Q$2,'2004'!$B$2:$K$1621,10,0))</f>
        <v>NEP</v>
      </c>
      <c r="R67" s="38" t="str">
        <f>IF(ISNA(VLOOKUP($A67&amp;R$2,'2004'!$B$2:$K$1621,10,0)),VLOOKUP($A67&amp;R$2,'2004'!$A$2:$K$1621,10,0),VLOOKUP($A67&amp;R$2,'2004'!$B$2:$K$1621,10,0))</f>
        <v>FDH</v>
      </c>
      <c r="S67" s="38" t="str">
        <f>IF(ISNA(VLOOKUP($A67&amp;S$2,'2004'!$B$2:$K$1621,10,0)),VLOOKUP($A67&amp;S$2,'2004'!$A$2:$K$1621,10,0),VLOOKUP($A67&amp;S$2,'2004'!$B$2:$K$1621,10,0))</f>
        <v>REN</v>
      </c>
      <c r="T67" s="38" t="str">
        <f>IF(ISNA(VLOOKUP($A67&amp;T$2,'2004'!$B$2:$K$1621,10,0)),VLOOKUP($A67&amp;T$2,'2004'!$A$2:$K$1621,10,0),VLOOKUP($A67&amp;T$2,'2004'!$B$2:$K$1621,10,0))</f>
        <v>CEN</v>
      </c>
      <c r="U67" s="38" t="str">
        <f>IF(ISNA(VLOOKUP($A67&amp;U$2,'2004'!$B$2:$K$1621,10,0)),VLOOKUP($A67&amp;U$2,'2004'!$A$2:$K$1621,10,0),VLOOKUP($A67&amp;U$2,'2004'!$B$2:$K$1621,10,0))</f>
        <v>TEW</v>
      </c>
    </row>
    <row r="68" spans="1:21" x14ac:dyDescent="0.25">
      <c r="A68" s="40">
        <f t="shared" si="1"/>
        <v>38145</v>
      </c>
      <c r="B68" s="36" t="str">
        <f>IF(ISNA(VLOOKUP($A68&amp;B$2,'2004'!$B$2:$K$1621,10,0)),VLOOKUP($A68&amp;B$2,'2004'!$A$2:$K$1621,10,0),VLOOKUP($A68&amp;B$2,'2004'!$B$2:$K$1621,10,0))</f>
        <v>@RMO</v>
      </c>
      <c r="C68" s="36" t="str">
        <f>IF(ISNA(VLOOKUP($A68&amp;C$2,'2004'!$B$2:$K$1621,10,0)),VLOOKUP($A68&amp;C$2,'2004'!$A$2:$K$1621,10,0),VLOOKUP($A68&amp;C$2,'2004'!$B$2:$K$1621,10,0))</f>
        <v>@NNN</v>
      </c>
      <c r="D68" s="36" t="str">
        <f>IF(ISNA(VLOOKUP($A68&amp;D$2,'2004'!$B$2:$K$1621,10,0)),VLOOKUP($A68&amp;D$2,'2004'!$A$2:$K$1621,10,0),VLOOKUP($A68&amp;D$2,'2004'!$B$2:$K$1621,10,0))</f>
        <v>@DIG</v>
      </c>
      <c r="E68" s="36" t="str">
        <f>IF(ISNA(VLOOKUP($A68&amp;E$2,'2004'!$B$2:$K$1621,10,0)),VLOOKUP($A68&amp;E$2,'2004'!$A$2:$K$1621,10,0),VLOOKUP($A68&amp;E$2,'2004'!$B$2:$K$1621,10,0))</f>
        <v>@OKO</v>
      </c>
      <c r="F68" s="36" t="str">
        <f>IF(ISNA(VLOOKUP($A68&amp;F$2,'2004'!$B$2:$K$1621,10,0)),VLOOKUP($A68&amp;F$2,'2004'!$A$2:$K$1621,10,0),VLOOKUP($A68&amp;F$2,'2004'!$B$2:$K$1621,10,0))</f>
        <v>@FFR</v>
      </c>
      <c r="G68" s="35" t="str">
        <f>IF(ISNA(VLOOKUP($A68&amp;G$2,'2004'!$B$2:$K$1621,10,0)),VLOOKUP($A68&amp;G$2,'2004'!$A$2:$K$1621,10,0),VLOOKUP($A68&amp;G$2,'2004'!$B$2:$K$1621,10,0))</f>
        <v>@NYD</v>
      </c>
      <c r="H68" s="35" t="str">
        <f>IF(ISNA(VLOOKUP($A68&amp;H$2,'2004'!$B$2:$K$1621,10,0)),VLOOKUP($A68&amp;H$2,'2004'!$A$2:$K$1621,10,0),VLOOKUP($A68&amp;H$2,'2004'!$B$2:$K$1621,10,0))</f>
        <v>@CBB</v>
      </c>
      <c r="I68" s="35" t="str">
        <f>IF(ISNA(VLOOKUP($A68&amp;I$2,'2004'!$B$2:$K$1621,10,0)),VLOOKUP($A68&amp;I$2,'2004'!$A$2:$K$1621,10,0),VLOOKUP($A68&amp;I$2,'2004'!$B$2:$K$1621,10,0))</f>
        <v>@BRK</v>
      </c>
      <c r="J68" s="35" t="str">
        <f>IF(ISNA(VLOOKUP($A68&amp;J$2,'2004'!$B$2:$K$1621,10,0)),VLOOKUP($A68&amp;J$2,'2004'!$A$2:$K$1621,10,0),VLOOKUP($A68&amp;J$2,'2004'!$B$2:$K$1621,10,0))</f>
        <v>@HAR</v>
      </c>
      <c r="K68" s="35" t="str">
        <f>IF(ISNA(VLOOKUP($A68&amp;K$2,'2004'!$B$2:$K$1621,10,0)),VLOOKUP($A68&amp;K$2,'2004'!$A$2:$K$1621,10,0),VLOOKUP($A68&amp;K$2,'2004'!$B$2:$K$1621,10,0))</f>
        <v>@PHI</v>
      </c>
      <c r="L68" s="34" t="str">
        <f>IF(ISNA(VLOOKUP($A68&amp;L$2,'2004'!$B$2:$K$1621,10,0)),VLOOKUP($A68&amp;L$2,'2004'!$A$2:$K$1621,10,0),VLOOKUP($A68&amp;L$2,'2004'!$B$2:$K$1621,10,0))</f>
        <v>CTW</v>
      </c>
      <c r="M68" s="34" t="str">
        <f>IF(ISNA(VLOOKUP($A68&amp;M$2,'2004'!$B$2:$K$1621,10,0)),VLOOKUP($A68&amp;M$2,'2004'!$A$2:$K$1621,10,0),VLOOKUP($A68&amp;M$2,'2004'!$B$2:$K$1621,10,0))</f>
        <v>GAR</v>
      </c>
      <c r="N68" s="34" t="str">
        <f>IF(ISNA(VLOOKUP($A68&amp;N$2,'2004'!$B$2:$K$1621,10,0)),VLOOKUP($A68&amp;N$2,'2004'!$A$2:$K$1621,10,0),VLOOKUP($A68&amp;N$2,'2004'!$B$2:$K$1621,10,0))</f>
        <v>BAR</v>
      </c>
      <c r="O68" s="34" t="str">
        <f>IF(ISNA(VLOOKUP($A68&amp;O$2,'2004'!$B$2:$K$1621,10,0)),VLOOKUP($A68&amp;O$2,'2004'!$A$2:$K$1621,10,0),VLOOKUP($A68&amp;O$2,'2004'!$B$2:$K$1621,10,0))</f>
        <v>CIN</v>
      </c>
      <c r="P68" s="34" t="str">
        <f>IF(ISNA(VLOOKUP($A68&amp;P$2,'2004'!$B$2:$K$1621,10,0)),VLOOKUP($A68&amp;P$2,'2004'!$A$2:$K$1621,10,0),VLOOKUP($A68&amp;P$2,'2004'!$B$2:$K$1621,10,0))</f>
        <v>BBG</v>
      </c>
      <c r="Q68" s="38" t="str">
        <f>IF(ISNA(VLOOKUP($A68&amp;Q$2,'2004'!$B$2:$K$1621,10,0)),VLOOKUP($A68&amp;Q$2,'2004'!$A$2:$K$1621,10,0),VLOOKUP($A68&amp;Q$2,'2004'!$B$2:$K$1621,10,0))</f>
        <v>NEP</v>
      </c>
      <c r="R68" s="38" t="str">
        <f>IF(ISNA(VLOOKUP($A68&amp;R$2,'2004'!$B$2:$K$1621,10,0)),VLOOKUP($A68&amp;R$2,'2004'!$A$2:$K$1621,10,0),VLOOKUP($A68&amp;R$2,'2004'!$B$2:$K$1621,10,0))</f>
        <v>FDH</v>
      </c>
      <c r="S68" s="38" t="str">
        <f>IF(ISNA(VLOOKUP($A68&amp;S$2,'2004'!$B$2:$K$1621,10,0)),VLOOKUP($A68&amp;S$2,'2004'!$A$2:$K$1621,10,0),VLOOKUP($A68&amp;S$2,'2004'!$B$2:$K$1621,10,0))</f>
        <v>REN</v>
      </c>
      <c r="T68" s="38" t="str">
        <f>IF(ISNA(VLOOKUP($A68&amp;T$2,'2004'!$B$2:$K$1621,10,0)),VLOOKUP($A68&amp;T$2,'2004'!$A$2:$K$1621,10,0),VLOOKUP($A68&amp;T$2,'2004'!$B$2:$K$1621,10,0))</f>
        <v>CEN</v>
      </c>
      <c r="U68" s="38" t="str">
        <f>IF(ISNA(VLOOKUP($A68&amp;U$2,'2004'!$B$2:$K$1621,10,0)),VLOOKUP($A68&amp;U$2,'2004'!$A$2:$K$1621,10,0),VLOOKUP($A68&amp;U$2,'2004'!$B$2:$K$1621,10,0))</f>
        <v>TEW</v>
      </c>
    </row>
    <row r="69" spans="1:21" x14ac:dyDescent="0.25">
      <c r="A69" s="40">
        <f t="shared" si="1"/>
        <v>38146</v>
      </c>
      <c r="B69" s="36" t="str">
        <f>IF(ISNA(VLOOKUP($A69&amp;B$2,'2004'!$B$2:$K$1621,10,0)),VLOOKUP($A69&amp;B$2,'2004'!$A$2:$K$1621,10,0),VLOOKUP($A69&amp;B$2,'2004'!$B$2:$K$1621,10,0))</f>
        <v>@RMO</v>
      </c>
      <c r="C69" s="36" t="str">
        <f>IF(ISNA(VLOOKUP($A69&amp;C$2,'2004'!$B$2:$K$1621,10,0)),VLOOKUP($A69&amp;C$2,'2004'!$A$2:$K$1621,10,0),VLOOKUP($A69&amp;C$2,'2004'!$B$2:$K$1621,10,0))</f>
        <v>@NNN</v>
      </c>
      <c r="D69" s="36" t="str">
        <f>IF(ISNA(VLOOKUP($A69&amp;D$2,'2004'!$B$2:$K$1621,10,0)),VLOOKUP($A69&amp;D$2,'2004'!$A$2:$K$1621,10,0),VLOOKUP($A69&amp;D$2,'2004'!$B$2:$K$1621,10,0))</f>
        <v>@DIG</v>
      </c>
      <c r="E69" s="36" t="str">
        <f>IF(ISNA(VLOOKUP($A69&amp;E$2,'2004'!$B$2:$K$1621,10,0)),VLOOKUP($A69&amp;E$2,'2004'!$A$2:$K$1621,10,0),VLOOKUP($A69&amp;E$2,'2004'!$B$2:$K$1621,10,0))</f>
        <v>@OKO</v>
      </c>
      <c r="F69" s="36" t="str">
        <f>IF(ISNA(VLOOKUP($A69&amp;F$2,'2004'!$B$2:$K$1621,10,0)),VLOOKUP($A69&amp;F$2,'2004'!$A$2:$K$1621,10,0),VLOOKUP($A69&amp;F$2,'2004'!$B$2:$K$1621,10,0))</f>
        <v>@FFR</v>
      </c>
      <c r="G69" s="35" t="str">
        <f>IF(ISNA(VLOOKUP($A69&amp;G$2,'2004'!$B$2:$K$1621,10,0)),VLOOKUP($A69&amp;G$2,'2004'!$A$2:$K$1621,10,0),VLOOKUP($A69&amp;G$2,'2004'!$B$2:$K$1621,10,0))</f>
        <v>@NYD</v>
      </c>
      <c r="H69" s="35" t="str">
        <f>IF(ISNA(VLOOKUP($A69&amp;H$2,'2004'!$B$2:$K$1621,10,0)),VLOOKUP($A69&amp;H$2,'2004'!$A$2:$K$1621,10,0),VLOOKUP($A69&amp;H$2,'2004'!$B$2:$K$1621,10,0))</f>
        <v>@CBB</v>
      </c>
      <c r="I69" s="35" t="str">
        <f>IF(ISNA(VLOOKUP($A69&amp;I$2,'2004'!$B$2:$K$1621,10,0)),VLOOKUP($A69&amp;I$2,'2004'!$A$2:$K$1621,10,0),VLOOKUP($A69&amp;I$2,'2004'!$B$2:$K$1621,10,0))</f>
        <v>@BRK</v>
      </c>
      <c r="J69" s="35" t="str">
        <f>IF(ISNA(VLOOKUP($A69&amp;J$2,'2004'!$B$2:$K$1621,10,0)),VLOOKUP($A69&amp;J$2,'2004'!$A$2:$K$1621,10,0),VLOOKUP($A69&amp;J$2,'2004'!$B$2:$K$1621,10,0))</f>
        <v>@HAR</v>
      </c>
      <c r="K69" s="35" t="str">
        <f>IF(ISNA(VLOOKUP($A69&amp;K$2,'2004'!$B$2:$K$1621,10,0)),VLOOKUP($A69&amp;K$2,'2004'!$A$2:$K$1621,10,0),VLOOKUP($A69&amp;K$2,'2004'!$B$2:$K$1621,10,0))</f>
        <v>@PHI</v>
      </c>
      <c r="L69" s="34" t="str">
        <f>IF(ISNA(VLOOKUP($A69&amp;L$2,'2004'!$B$2:$K$1621,10,0)),VLOOKUP($A69&amp;L$2,'2004'!$A$2:$K$1621,10,0),VLOOKUP($A69&amp;L$2,'2004'!$B$2:$K$1621,10,0))</f>
        <v>CTW</v>
      </c>
      <c r="M69" s="34" t="str">
        <f>IF(ISNA(VLOOKUP($A69&amp;M$2,'2004'!$B$2:$K$1621,10,0)),VLOOKUP($A69&amp;M$2,'2004'!$A$2:$K$1621,10,0),VLOOKUP($A69&amp;M$2,'2004'!$B$2:$K$1621,10,0))</f>
        <v>GAR</v>
      </c>
      <c r="N69" s="34" t="str">
        <f>IF(ISNA(VLOOKUP($A69&amp;N$2,'2004'!$B$2:$K$1621,10,0)),VLOOKUP($A69&amp;N$2,'2004'!$A$2:$K$1621,10,0),VLOOKUP($A69&amp;N$2,'2004'!$B$2:$K$1621,10,0))</f>
        <v>BAR</v>
      </c>
      <c r="O69" s="34" t="str">
        <f>IF(ISNA(VLOOKUP($A69&amp;O$2,'2004'!$B$2:$K$1621,10,0)),VLOOKUP($A69&amp;O$2,'2004'!$A$2:$K$1621,10,0),VLOOKUP($A69&amp;O$2,'2004'!$B$2:$K$1621,10,0))</f>
        <v>CIN</v>
      </c>
      <c r="P69" s="34" t="str">
        <f>IF(ISNA(VLOOKUP($A69&amp;P$2,'2004'!$B$2:$K$1621,10,0)),VLOOKUP($A69&amp;P$2,'2004'!$A$2:$K$1621,10,0),VLOOKUP($A69&amp;P$2,'2004'!$B$2:$K$1621,10,0))</f>
        <v>BBG</v>
      </c>
      <c r="Q69" s="38" t="str">
        <f>IF(ISNA(VLOOKUP($A69&amp;Q$2,'2004'!$B$2:$K$1621,10,0)),VLOOKUP($A69&amp;Q$2,'2004'!$A$2:$K$1621,10,0),VLOOKUP($A69&amp;Q$2,'2004'!$B$2:$K$1621,10,0))</f>
        <v>NEP</v>
      </c>
      <c r="R69" s="38" t="str">
        <f>IF(ISNA(VLOOKUP($A69&amp;R$2,'2004'!$B$2:$K$1621,10,0)),VLOOKUP($A69&amp;R$2,'2004'!$A$2:$K$1621,10,0),VLOOKUP($A69&amp;R$2,'2004'!$B$2:$K$1621,10,0))</f>
        <v>FDH</v>
      </c>
      <c r="S69" s="38" t="str">
        <f>IF(ISNA(VLOOKUP($A69&amp;S$2,'2004'!$B$2:$K$1621,10,0)),VLOOKUP($A69&amp;S$2,'2004'!$A$2:$K$1621,10,0),VLOOKUP($A69&amp;S$2,'2004'!$B$2:$K$1621,10,0))</f>
        <v>REN</v>
      </c>
      <c r="T69" s="38" t="str">
        <f>IF(ISNA(VLOOKUP($A69&amp;T$2,'2004'!$B$2:$K$1621,10,0)),VLOOKUP($A69&amp;T$2,'2004'!$A$2:$K$1621,10,0),VLOOKUP($A69&amp;T$2,'2004'!$B$2:$K$1621,10,0))</f>
        <v>CEN</v>
      </c>
      <c r="U69" s="38" t="str">
        <f>IF(ISNA(VLOOKUP($A69&amp;U$2,'2004'!$B$2:$K$1621,10,0)),VLOOKUP($A69&amp;U$2,'2004'!$A$2:$K$1621,10,0),VLOOKUP($A69&amp;U$2,'2004'!$B$2:$K$1621,10,0))</f>
        <v>TEW</v>
      </c>
    </row>
    <row r="70" spans="1:21" x14ac:dyDescent="0.25">
      <c r="A70" s="40">
        <f t="shared" si="1"/>
        <v>38147</v>
      </c>
      <c r="B70" s="36" t="str">
        <f>IF(ISNA(VLOOKUP($A70&amp;B$2,'2004'!$B$2:$K$1621,10,0)),VLOOKUP($A70&amp;B$2,'2004'!$A$2:$K$1621,10,0),VLOOKUP($A70&amp;B$2,'2004'!$B$2:$K$1621,10,0))</f>
        <v>@RMO</v>
      </c>
      <c r="C70" s="36" t="str">
        <f>IF(ISNA(VLOOKUP($A70&amp;C$2,'2004'!$B$2:$K$1621,10,0)),VLOOKUP($A70&amp;C$2,'2004'!$A$2:$K$1621,10,0),VLOOKUP($A70&amp;C$2,'2004'!$B$2:$K$1621,10,0))</f>
        <v>@NNN</v>
      </c>
      <c r="D70" s="36" t="str">
        <f>IF(ISNA(VLOOKUP($A70&amp;D$2,'2004'!$B$2:$K$1621,10,0)),VLOOKUP($A70&amp;D$2,'2004'!$A$2:$K$1621,10,0),VLOOKUP($A70&amp;D$2,'2004'!$B$2:$K$1621,10,0))</f>
        <v>@DIG</v>
      </c>
      <c r="E70" s="36" t="str">
        <f>IF(ISNA(VLOOKUP($A70&amp;E$2,'2004'!$B$2:$K$1621,10,0)),VLOOKUP($A70&amp;E$2,'2004'!$A$2:$K$1621,10,0),VLOOKUP($A70&amp;E$2,'2004'!$B$2:$K$1621,10,0))</f>
        <v>@OKO</v>
      </c>
      <c r="F70" s="36" t="str">
        <f>IF(ISNA(VLOOKUP($A70&amp;F$2,'2004'!$B$2:$K$1621,10,0)),VLOOKUP($A70&amp;F$2,'2004'!$A$2:$K$1621,10,0),VLOOKUP($A70&amp;F$2,'2004'!$B$2:$K$1621,10,0))</f>
        <v>@FFR</v>
      </c>
      <c r="G70" s="35" t="str">
        <f>IF(ISNA(VLOOKUP($A70&amp;G$2,'2004'!$B$2:$K$1621,10,0)),VLOOKUP($A70&amp;G$2,'2004'!$A$2:$K$1621,10,0),VLOOKUP($A70&amp;G$2,'2004'!$B$2:$K$1621,10,0))</f>
        <v>@NYD</v>
      </c>
      <c r="H70" s="35" t="str">
        <f>IF(ISNA(VLOOKUP($A70&amp;H$2,'2004'!$B$2:$K$1621,10,0)),VLOOKUP($A70&amp;H$2,'2004'!$A$2:$K$1621,10,0),VLOOKUP($A70&amp;H$2,'2004'!$B$2:$K$1621,10,0))</f>
        <v>@CBB</v>
      </c>
      <c r="I70" s="35" t="str">
        <f>IF(ISNA(VLOOKUP($A70&amp;I$2,'2004'!$B$2:$K$1621,10,0)),VLOOKUP($A70&amp;I$2,'2004'!$A$2:$K$1621,10,0),VLOOKUP($A70&amp;I$2,'2004'!$B$2:$K$1621,10,0))</f>
        <v>@BRK</v>
      </c>
      <c r="J70" s="35" t="str">
        <f>IF(ISNA(VLOOKUP($A70&amp;J$2,'2004'!$B$2:$K$1621,10,0)),VLOOKUP($A70&amp;J$2,'2004'!$A$2:$K$1621,10,0),VLOOKUP($A70&amp;J$2,'2004'!$B$2:$K$1621,10,0))</f>
        <v>@HAR</v>
      </c>
      <c r="K70" s="35" t="str">
        <f>IF(ISNA(VLOOKUP($A70&amp;K$2,'2004'!$B$2:$K$1621,10,0)),VLOOKUP($A70&amp;K$2,'2004'!$A$2:$K$1621,10,0),VLOOKUP($A70&amp;K$2,'2004'!$B$2:$K$1621,10,0))</f>
        <v>@PHI</v>
      </c>
      <c r="L70" s="34" t="str">
        <f>IF(ISNA(VLOOKUP($A70&amp;L$2,'2004'!$B$2:$K$1621,10,0)),VLOOKUP($A70&amp;L$2,'2004'!$A$2:$K$1621,10,0),VLOOKUP($A70&amp;L$2,'2004'!$B$2:$K$1621,10,0))</f>
        <v>CTW</v>
      </c>
      <c r="M70" s="34" t="str">
        <f>IF(ISNA(VLOOKUP($A70&amp;M$2,'2004'!$B$2:$K$1621,10,0)),VLOOKUP($A70&amp;M$2,'2004'!$A$2:$K$1621,10,0),VLOOKUP($A70&amp;M$2,'2004'!$B$2:$K$1621,10,0))</f>
        <v>GAR</v>
      </c>
      <c r="N70" s="34" t="str">
        <f>IF(ISNA(VLOOKUP($A70&amp;N$2,'2004'!$B$2:$K$1621,10,0)),VLOOKUP($A70&amp;N$2,'2004'!$A$2:$K$1621,10,0),VLOOKUP($A70&amp;N$2,'2004'!$B$2:$K$1621,10,0))</f>
        <v>BAR</v>
      </c>
      <c r="O70" s="34" t="str">
        <f>IF(ISNA(VLOOKUP($A70&amp;O$2,'2004'!$B$2:$K$1621,10,0)),VLOOKUP($A70&amp;O$2,'2004'!$A$2:$K$1621,10,0),VLOOKUP($A70&amp;O$2,'2004'!$B$2:$K$1621,10,0))</f>
        <v>CIN</v>
      </c>
      <c r="P70" s="34" t="str">
        <f>IF(ISNA(VLOOKUP($A70&amp;P$2,'2004'!$B$2:$K$1621,10,0)),VLOOKUP($A70&amp;P$2,'2004'!$A$2:$K$1621,10,0),VLOOKUP($A70&amp;P$2,'2004'!$B$2:$K$1621,10,0))</f>
        <v>BBG</v>
      </c>
      <c r="Q70" s="38" t="str">
        <f>IF(ISNA(VLOOKUP($A70&amp;Q$2,'2004'!$B$2:$K$1621,10,0)),VLOOKUP($A70&amp;Q$2,'2004'!$A$2:$K$1621,10,0),VLOOKUP($A70&amp;Q$2,'2004'!$B$2:$K$1621,10,0))</f>
        <v>NEP</v>
      </c>
      <c r="R70" s="38" t="str">
        <f>IF(ISNA(VLOOKUP($A70&amp;R$2,'2004'!$B$2:$K$1621,10,0)),VLOOKUP($A70&amp;R$2,'2004'!$A$2:$K$1621,10,0),VLOOKUP($A70&amp;R$2,'2004'!$B$2:$K$1621,10,0))</f>
        <v>FDH</v>
      </c>
      <c r="S70" s="38" t="str">
        <f>IF(ISNA(VLOOKUP($A70&amp;S$2,'2004'!$B$2:$K$1621,10,0)),VLOOKUP($A70&amp;S$2,'2004'!$A$2:$K$1621,10,0),VLOOKUP($A70&amp;S$2,'2004'!$B$2:$K$1621,10,0))</f>
        <v>REN</v>
      </c>
      <c r="T70" s="38" t="str">
        <f>IF(ISNA(VLOOKUP($A70&amp;T$2,'2004'!$B$2:$K$1621,10,0)),VLOOKUP($A70&amp;T$2,'2004'!$A$2:$K$1621,10,0),VLOOKUP($A70&amp;T$2,'2004'!$B$2:$K$1621,10,0))</f>
        <v>CEN</v>
      </c>
      <c r="U70" s="38" t="str">
        <f>IF(ISNA(VLOOKUP($A70&amp;U$2,'2004'!$B$2:$K$1621,10,0)),VLOOKUP($A70&amp;U$2,'2004'!$A$2:$K$1621,10,0),VLOOKUP($A70&amp;U$2,'2004'!$B$2:$K$1621,10,0))</f>
        <v>TEW</v>
      </c>
    </row>
    <row r="71" spans="1:21" x14ac:dyDescent="0.25">
      <c r="A71" s="40">
        <f t="shared" si="1"/>
        <v>38148</v>
      </c>
      <c r="B71" s="36" t="str">
        <f>IF(ISNA(VLOOKUP($A71&amp;B$2,'2004'!$B$2:$K$1621,10,0)),VLOOKUP($A71&amp;B$2,'2004'!$A$2:$K$1621,10,0),VLOOKUP($A71&amp;B$2,'2004'!$B$2:$K$1621,10,0))</f>
        <v>BAR</v>
      </c>
      <c r="C71" s="36" t="str">
        <f>IF(ISNA(VLOOKUP($A71&amp;C$2,'2004'!$B$2:$K$1621,10,0)),VLOOKUP($A71&amp;C$2,'2004'!$A$2:$K$1621,10,0),VLOOKUP($A71&amp;C$2,'2004'!$B$2:$K$1621,10,0))</f>
        <v>@BBG</v>
      </c>
      <c r="D71" s="36" t="str">
        <f>IF(ISNA(VLOOKUP($A71&amp;D$2,'2004'!$B$2:$K$1621,10,0)),VLOOKUP($A71&amp;D$2,'2004'!$A$2:$K$1621,10,0),VLOOKUP($A71&amp;D$2,'2004'!$B$2:$K$1621,10,0))</f>
        <v>GAR</v>
      </c>
      <c r="E71" s="36" t="e">
        <f>IF(ISNA(VLOOKUP($A71&amp;E$2,'2004'!$B$2:$K$1621,10,0)),VLOOKUP($A71&amp;E$2,'2004'!$A$2:$K$1621,10,0),VLOOKUP($A71&amp;E$2,'2004'!$B$2:$K$1621,10,0))</f>
        <v>#N/A</v>
      </c>
      <c r="F71" s="36" t="str">
        <f>IF(ISNA(VLOOKUP($A71&amp;F$2,'2004'!$B$2:$K$1621,10,0)),VLOOKUP($A71&amp;F$2,'2004'!$A$2:$K$1621,10,0),VLOOKUP($A71&amp;F$2,'2004'!$B$2:$K$1621,10,0))</f>
        <v>@CTW</v>
      </c>
      <c r="G71" s="35" t="e">
        <f>IF(ISNA(VLOOKUP($A71&amp;G$2,'2004'!$B$2:$K$1621,10,0)),VLOOKUP($A71&amp;G$2,'2004'!$A$2:$K$1621,10,0),VLOOKUP($A71&amp;G$2,'2004'!$B$2:$K$1621,10,0))</f>
        <v>#N/A</v>
      </c>
      <c r="H71" s="35" t="e">
        <f>IF(ISNA(VLOOKUP($A71&amp;H$2,'2004'!$B$2:$K$1621,10,0)),VLOOKUP($A71&amp;H$2,'2004'!$A$2:$K$1621,10,0),VLOOKUP($A71&amp;H$2,'2004'!$B$2:$K$1621,10,0))</f>
        <v>#N/A</v>
      </c>
      <c r="I71" s="35" t="e">
        <f>IF(ISNA(VLOOKUP($A71&amp;I$2,'2004'!$B$2:$K$1621,10,0)),VLOOKUP($A71&amp;I$2,'2004'!$A$2:$K$1621,10,0),VLOOKUP($A71&amp;I$2,'2004'!$B$2:$K$1621,10,0))</f>
        <v>#N/A</v>
      </c>
      <c r="J71" s="35" t="e">
        <f>IF(ISNA(VLOOKUP($A71&amp;J$2,'2004'!$B$2:$K$1621,10,0)),VLOOKUP($A71&amp;J$2,'2004'!$A$2:$K$1621,10,0),VLOOKUP($A71&amp;J$2,'2004'!$B$2:$K$1621,10,0))</f>
        <v>#N/A</v>
      </c>
      <c r="K71" s="35" t="e">
        <f>IF(ISNA(VLOOKUP($A71&amp;K$2,'2004'!$B$2:$K$1621,10,0)),VLOOKUP($A71&amp;K$2,'2004'!$A$2:$K$1621,10,0),VLOOKUP($A71&amp;K$2,'2004'!$B$2:$K$1621,10,0))</f>
        <v>#N/A</v>
      </c>
      <c r="L71" s="34" t="e">
        <f>IF(ISNA(VLOOKUP($A71&amp;L$2,'2004'!$B$2:$K$1621,10,0)),VLOOKUP($A71&amp;L$2,'2004'!$A$2:$K$1621,10,0),VLOOKUP($A71&amp;L$2,'2004'!$B$2:$K$1621,10,0))</f>
        <v>#N/A</v>
      </c>
      <c r="M71" s="34" t="e">
        <f>IF(ISNA(VLOOKUP($A71&amp;M$2,'2004'!$B$2:$K$1621,10,0)),VLOOKUP($A71&amp;M$2,'2004'!$A$2:$K$1621,10,0),VLOOKUP($A71&amp;M$2,'2004'!$B$2:$K$1621,10,0))</f>
        <v>#N/A</v>
      </c>
      <c r="N71" s="34" t="e">
        <f>IF(ISNA(VLOOKUP($A71&amp;N$2,'2004'!$B$2:$K$1621,10,0)),VLOOKUP($A71&amp;N$2,'2004'!$A$2:$K$1621,10,0),VLOOKUP($A71&amp;N$2,'2004'!$B$2:$K$1621,10,0))</f>
        <v>#N/A</v>
      </c>
      <c r="O71" s="34" t="e">
        <f>IF(ISNA(VLOOKUP($A71&amp;O$2,'2004'!$B$2:$K$1621,10,0)),VLOOKUP($A71&amp;O$2,'2004'!$A$2:$K$1621,10,0),VLOOKUP($A71&amp;O$2,'2004'!$B$2:$K$1621,10,0))</f>
        <v>#N/A</v>
      </c>
      <c r="P71" s="34" t="e">
        <f>IF(ISNA(VLOOKUP($A71&amp;P$2,'2004'!$B$2:$K$1621,10,0)),VLOOKUP($A71&amp;P$2,'2004'!$A$2:$K$1621,10,0),VLOOKUP($A71&amp;P$2,'2004'!$B$2:$K$1621,10,0))</f>
        <v>#N/A</v>
      </c>
      <c r="Q71" s="38" t="e">
        <f>IF(ISNA(VLOOKUP($A71&amp;Q$2,'2004'!$B$2:$K$1621,10,0)),VLOOKUP($A71&amp;Q$2,'2004'!$A$2:$K$1621,10,0),VLOOKUP($A71&amp;Q$2,'2004'!$B$2:$K$1621,10,0))</f>
        <v>#N/A</v>
      </c>
      <c r="R71" s="38" t="str">
        <f>IF(ISNA(VLOOKUP($A71&amp;R$2,'2004'!$B$2:$K$1621,10,0)),VLOOKUP($A71&amp;R$2,'2004'!$A$2:$K$1621,10,0),VLOOKUP($A71&amp;R$2,'2004'!$B$2:$K$1621,10,0))</f>
        <v>@HAR</v>
      </c>
      <c r="S71" s="38" t="str">
        <f>IF(ISNA(VLOOKUP($A71&amp;S$2,'2004'!$B$2:$K$1621,10,0)),VLOOKUP($A71&amp;S$2,'2004'!$A$2:$K$1621,10,0),VLOOKUP($A71&amp;S$2,'2004'!$B$2:$K$1621,10,0))</f>
        <v>CBB</v>
      </c>
      <c r="T71" s="38" t="str">
        <f>IF(ISNA(VLOOKUP($A71&amp;T$2,'2004'!$B$2:$K$1621,10,0)),VLOOKUP($A71&amp;T$2,'2004'!$A$2:$K$1621,10,0),VLOOKUP($A71&amp;T$2,'2004'!$B$2:$K$1621,10,0))</f>
        <v>@PHI</v>
      </c>
      <c r="U71" s="38" t="str">
        <f>IF(ISNA(VLOOKUP($A71&amp;U$2,'2004'!$B$2:$K$1621,10,0)),VLOOKUP($A71&amp;U$2,'2004'!$A$2:$K$1621,10,0),VLOOKUP($A71&amp;U$2,'2004'!$B$2:$K$1621,10,0))</f>
        <v>NYD</v>
      </c>
    </row>
    <row r="72" spans="1:21" x14ac:dyDescent="0.25">
      <c r="A72" s="40">
        <f t="shared" si="1"/>
        <v>38149</v>
      </c>
      <c r="B72" s="36" t="str">
        <f>IF(ISNA(VLOOKUP($A72&amp;B$2,'2004'!$B$2:$K$1621,10,0)),VLOOKUP($A72&amp;B$2,'2004'!$A$2:$K$1621,10,0),VLOOKUP($A72&amp;B$2,'2004'!$B$2:$K$1621,10,0))</f>
        <v>BAR</v>
      </c>
      <c r="C72" s="36" t="str">
        <f>IF(ISNA(VLOOKUP($A72&amp;C$2,'2004'!$B$2:$K$1621,10,0)),VLOOKUP($A72&amp;C$2,'2004'!$A$2:$K$1621,10,0),VLOOKUP($A72&amp;C$2,'2004'!$B$2:$K$1621,10,0))</f>
        <v>@BBG</v>
      </c>
      <c r="D72" s="36" t="str">
        <f>IF(ISNA(VLOOKUP($A72&amp;D$2,'2004'!$B$2:$K$1621,10,0)),VLOOKUP($A72&amp;D$2,'2004'!$A$2:$K$1621,10,0),VLOOKUP($A72&amp;D$2,'2004'!$B$2:$K$1621,10,0))</f>
        <v>GAR</v>
      </c>
      <c r="E72" s="36" t="str">
        <f>IF(ISNA(VLOOKUP($A72&amp;E$2,'2004'!$B$2:$K$1621,10,0)),VLOOKUP($A72&amp;E$2,'2004'!$A$2:$K$1621,10,0),VLOOKUP($A72&amp;E$2,'2004'!$B$2:$K$1621,10,0))</f>
        <v>@FDH</v>
      </c>
      <c r="F72" s="36" t="str">
        <f>IF(ISNA(VLOOKUP($A72&amp;F$2,'2004'!$B$2:$K$1621,10,0)),VLOOKUP($A72&amp;F$2,'2004'!$A$2:$K$1621,10,0),VLOOKUP($A72&amp;F$2,'2004'!$B$2:$K$1621,10,0))</f>
        <v>@CTW</v>
      </c>
      <c r="G72" s="35" t="str">
        <f>IF(ISNA(VLOOKUP($A72&amp;G$2,'2004'!$B$2:$K$1621,10,0)),VLOOKUP($A72&amp;G$2,'2004'!$A$2:$K$1621,10,0),VLOOKUP($A72&amp;G$2,'2004'!$B$2:$K$1621,10,0))</f>
        <v>@TEW</v>
      </c>
      <c r="H72" s="35" t="str">
        <f>IF(ISNA(VLOOKUP($A72&amp;H$2,'2004'!$B$2:$K$1621,10,0)),VLOOKUP($A72&amp;H$2,'2004'!$A$2:$K$1621,10,0),VLOOKUP($A72&amp;H$2,'2004'!$B$2:$K$1621,10,0))</f>
        <v>CIN</v>
      </c>
      <c r="I72" s="35" t="str">
        <f>IF(ISNA(VLOOKUP($A72&amp;I$2,'2004'!$B$2:$K$1621,10,0)),VLOOKUP($A72&amp;I$2,'2004'!$A$2:$K$1621,10,0),VLOOKUP($A72&amp;I$2,'2004'!$B$2:$K$1621,10,0))</f>
        <v>REN</v>
      </c>
      <c r="J72" s="35" t="str">
        <f>IF(ISNA(VLOOKUP($A72&amp;J$2,'2004'!$B$2:$K$1621,10,0)),VLOOKUP($A72&amp;J$2,'2004'!$A$2:$K$1621,10,0),VLOOKUP($A72&amp;J$2,'2004'!$B$2:$K$1621,10,0))</f>
        <v>@NEP</v>
      </c>
      <c r="K72" s="35" t="str">
        <f>IF(ISNA(VLOOKUP($A72&amp;K$2,'2004'!$B$2:$K$1621,10,0)),VLOOKUP($A72&amp;K$2,'2004'!$A$2:$K$1621,10,0),VLOOKUP($A72&amp;K$2,'2004'!$B$2:$K$1621,10,0))</f>
        <v>CEN</v>
      </c>
      <c r="L72" s="34" t="str">
        <f>IF(ISNA(VLOOKUP($A72&amp;L$2,'2004'!$B$2:$K$1621,10,0)),VLOOKUP($A72&amp;L$2,'2004'!$A$2:$K$1621,10,0),VLOOKUP($A72&amp;L$2,'2004'!$B$2:$K$1621,10,0))</f>
        <v>@BRK</v>
      </c>
      <c r="M72" s="34" t="str">
        <f>IF(ISNA(VLOOKUP($A72&amp;M$2,'2004'!$B$2:$K$1621,10,0)),VLOOKUP($A72&amp;M$2,'2004'!$A$2:$K$1621,10,0),VLOOKUP($A72&amp;M$2,'2004'!$B$2:$K$1621,10,0))</f>
        <v>OKO</v>
      </c>
      <c r="N72" s="34" t="str">
        <f>IF(ISNA(VLOOKUP($A72&amp;N$2,'2004'!$B$2:$K$1621,10,0)),VLOOKUP($A72&amp;N$2,'2004'!$A$2:$K$1621,10,0),VLOOKUP($A72&amp;N$2,'2004'!$B$2:$K$1621,10,0))</f>
        <v>@RMO</v>
      </c>
      <c r="O72" s="34" t="str">
        <f>IF(ISNA(VLOOKUP($A72&amp;O$2,'2004'!$B$2:$K$1621,10,0)),VLOOKUP($A72&amp;O$2,'2004'!$A$2:$K$1621,10,0),VLOOKUP($A72&amp;O$2,'2004'!$B$2:$K$1621,10,0))</f>
        <v>@FFR</v>
      </c>
      <c r="P72" s="34" t="str">
        <f>IF(ISNA(VLOOKUP($A72&amp;P$2,'2004'!$B$2:$K$1621,10,0)),VLOOKUP($A72&amp;P$2,'2004'!$A$2:$K$1621,10,0),VLOOKUP($A72&amp;P$2,'2004'!$B$2:$K$1621,10,0))</f>
        <v>NNN</v>
      </c>
      <c r="Q72" s="38" t="str">
        <f>IF(ISNA(VLOOKUP($A72&amp;Q$2,'2004'!$B$2:$K$1621,10,0)),VLOOKUP($A72&amp;Q$2,'2004'!$A$2:$K$1621,10,0),VLOOKUP($A72&amp;Q$2,'2004'!$B$2:$K$1621,10,0))</f>
        <v>DIG</v>
      </c>
      <c r="R72" s="38" t="str">
        <f>IF(ISNA(VLOOKUP($A72&amp;R$2,'2004'!$B$2:$K$1621,10,0)),VLOOKUP($A72&amp;R$2,'2004'!$A$2:$K$1621,10,0),VLOOKUP($A72&amp;R$2,'2004'!$B$2:$K$1621,10,0))</f>
        <v>@HAR</v>
      </c>
      <c r="S72" s="38" t="str">
        <f>IF(ISNA(VLOOKUP($A72&amp;S$2,'2004'!$B$2:$K$1621,10,0)),VLOOKUP($A72&amp;S$2,'2004'!$A$2:$K$1621,10,0),VLOOKUP($A72&amp;S$2,'2004'!$B$2:$K$1621,10,0))</f>
        <v>CBB</v>
      </c>
      <c r="T72" s="38" t="str">
        <f>IF(ISNA(VLOOKUP($A72&amp;T$2,'2004'!$B$2:$K$1621,10,0)),VLOOKUP($A72&amp;T$2,'2004'!$A$2:$K$1621,10,0),VLOOKUP($A72&amp;T$2,'2004'!$B$2:$K$1621,10,0))</f>
        <v>@PHI</v>
      </c>
      <c r="U72" s="38" t="str">
        <f>IF(ISNA(VLOOKUP($A72&amp;U$2,'2004'!$B$2:$K$1621,10,0)),VLOOKUP($A72&amp;U$2,'2004'!$A$2:$K$1621,10,0),VLOOKUP($A72&amp;U$2,'2004'!$B$2:$K$1621,10,0))</f>
        <v>NYD</v>
      </c>
    </row>
    <row r="73" spans="1:21" x14ac:dyDescent="0.25">
      <c r="A73" s="40">
        <f t="shared" si="1"/>
        <v>38150</v>
      </c>
      <c r="B73" s="36" t="str">
        <f>IF(ISNA(VLOOKUP($A73&amp;B$2,'2004'!$B$2:$K$1621,10,0)),VLOOKUP($A73&amp;B$2,'2004'!$A$2:$K$1621,10,0),VLOOKUP($A73&amp;B$2,'2004'!$B$2:$K$1621,10,0))</f>
        <v>BAR</v>
      </c>
      <c r="C73" s="36" t="str">
        <f>IF(ISNA(VLOOKUP($A73&amp;C$2,'2004'!$B$2:$K$1621,10,0)),VLOOKUP($A73&amp;C$2,'2004'!$A$2:$K$1621,10,0),VLOOKUP($A73&amp;C$2,'2004'!$B$2:$K$1621,10,0))</f>
        <v>@BBG</v>
      </c>
      <c r="D73" s="36" t="str">
        <f>IF(ISNA(VLOOKUP($A73&amp;D$2,'2004'!$B$2:$K$1621,10,0)),VLOOKUP($A73&amp;D$2,'2004'!$A$2:$K$1621,10,0),VLOOKUP($A73&amp;D$2,'2004'!$B$2:$K$1621,10,0))</f>
        <v>GAR</v>
      </c>
      <c r="E73" s="36" t="str">
        <f>IF(ISNA(VLOOKUP($A73&amp;E$2,'2004'!$B$2:$K$1621,10,0)),VLOOKUP($A73&amp;E$2,'2004'!$A$2:$K$1621,10,0),VLOOKUP($A73&amp;E$2,'2004'!$B$2:$K$1621,10,0))</f>
        <v>@FDH</v>
      </c>
      <c r="F73" s="36" t="str">
        <f>IF(ISNA(VLOOKUP($A73&amp;F$2,'2004'!$B$2:$K$1621,10,0)),VLOOKUP($A73&amp;F$2,'2004'!$A$2:$K$1621,10,0),VLOOKUP($A73&amp;F$2,'2004'!$B$2:$K$1621,10,0))</f>
        <v>@CTW</v>
      </c>
      <c r="G73" s="35" t="str">
        <f>IF(ISNA(VLOOKUP($A73&amp;G$2,'2004'!$B$2:$K$1621,10,0)),VLOOKUP($A73&amp;G$2,'2004'!$A$2:$K$1621,10,0),VLOOKUP($A73&amp;G$2,'2004'!$B$2:$K$1621,10,0))</f>
        <v>@TEW</v>
      </c>
      <c r="H73" s="35" t="str">
        <f>IF(ISNA(VLOOKUP($A73&amp;H$2,'2004'!$B$2:$K$1621,10,0)),VLOOKUP($A73&amp;H$2,'2004'!$A$2:$K$1621,10,0),VLOOKUP($A73&amp;H$2,'2004'!$B$2:$K$1621,10,0))</f>
        <v>CIN</v>
      </c>
      <c r="I73" s="35" t="str">
        <f>IF(ISNA(VLOOKUP($A73&amp;I$2,'2004'!$B$2:$K$1621,10,0)),VLOOKUP($A73&amp;I$2,'2004'!$A$2:$K$1621,10,0),VLOOKUP($A73&amp;I$2,'2004'!$B$2:$K$1621,10,0))</f>
        <v>REN</v>
      </c>
      <c r="J73" s="35" t="str">
        <f>IF(ISNA(VLOOKUP($A73&amp;J$2,'2004'!$B$2:$K$1621,10,0)),VLOOKUP($A73&amp;J$2,'2004'!$A$2:$K$1621,10,0),VLOOKUP($A73&amp;J$2,'2004'!$B$2:$K$1621,10,0))</f>
        <v>@NEP</v>
      </c>
      <c r="K73" s="35" t="str">
        <f>IF(ISNA(VLOOKUP($A73&amp;K$2,'2004'!$B$2:$K$1621,10,0)),VLOOKUP($A73&amp;K$2,'2004'!$A$2:$K$1621,10,0),VLOOKUP($A73&amp;K$2,'2004'!$B$2:$K$1621,10,0))</f>
        <v>CEN</v>
      </c>
      <c r="L73" s="34" t="str">
        <f>IF(ISNA(VLOOKUP($A73&amp;L$2,'2004'!$B$2:$K$1621,10,0)),VLOOKUP($A73&amp;L$2,'2004'!$A$2:$K$1621,10,0),VLOOKUP($A73&amp;L$2,'2004'!$B$2:$K$1621,10,0))</f>
        <v>@BRK</v>
      </c>
      <c r="M73" s="34" t="str">
        <f>IF(ISNA(VLOOKUP($A73&amp;M$2,'2004'!$B$2:$K$1621,10,0)),VLOOKUP($A73&amp;M$2,'2004'!$A$2:$K$1621,10,0),VLOOKUP($A73&amp;M$2,'2004'!$B$2:$K$1621,10,0))</f>
        <v>OKO</v>
      </c>
      <c r="N73" s="34" t="str">
        <f>IF(ISNA(VLOOKUP($A73&amp;N$2,'2004'!$B$2:$K$1621,10,0)),VLOOKUP($A73&amp;N$2,'2004'!$A$2:$K$1621,10,0),VLOOKUP($A73&amp;N$2,'2004'!$B$2:$K$1621,10,0))</f>
        <v>@RMO</v>
      </c>
      <c r="O73" s="34" t="str">
        <f>IF(ISNA(VLOOKUP($A73&amp;O$2,'2004'!$B$2:$K$1621,10,0)),VLOOKUP($A73&amp;O$2,'2004'!$A$2:$K$1621,10,0),VLOOKUP($A73&amp;O$2,'2004'!$B$2:$K$1621,10,0))</f>
        <v>@FFR</v>
      </c>
      <c r="P73" s="34" t="str">
        <f>IF(ISNA(VLOOKUP($A73&amp;P$2,'2004'!$B$2:$K$1621,10,0)),VLOOKUP($A73&amp;P$2,'2004'!$A$2:$K$1621,10,0),VLOOKUP($A73&amp;P$2,'2004'!$B$2:$K$1621,10,0))</f>
        <v>NNN</v>
      </c>
      <c r="Q73" s="38" t="str">
        <f>IF(ISNA(VLOOKUP($A73&amp;Q$2,'2004'!$B$2:$K$1621,10,0)),VLOOKUP($A73&amp;Q$2,'2004'!$A$2:$K$1621,10,0),VLOOKUP($A73&amp;Q$2,'2004'!$B$2:$K$1621,10,0))</f>
        <v>DIG</v>
      </c>
      <c r="R73" s="38" t="str">
        <f>IF(ISNA(VLOOKUP($A73&amp;R$2,'2004'!$B$2:$K$1621,10,0)),VLOOKUP($A73&amp;R$2,'2004'!$A$2:$K$1621,10,0),VLOOKUP($A73&amp;R$2,'2004'!$B$2:$K$1621,10,0))</f>
        <v>@HAR</v>
      </c>
      <c r="S73" s="38" t="str">
        <f>IF(ISNA(VLOOKUP($A73&amp;S$2,'2004'!$B$2:$K$1621,10,0)),VLOOKUP($A73&amp;S$2,'2004'!$A$2:$K$1621,10,0),VLOOKUP($A73&amp;S$2,'2004'!$B$2:$K$1621,10,0))</f>
        <v>CBB</v>
      </c>
      <c r="T73" s="38" t="str">
        <f>IF(ISNA(VLOOKUP($A73&amp;T$2,'2004'!$B$2:$K$1621,10,0)),VLOOKUP($A73&amp;T$2,'2004'!$A$2:$K$1621,10,0),VLOOKUP($A73&amp;T$2,'2004'!$B$2:$K$1621,10,0))</f>
        <v>@PHI</v>
      </c>
      <c r="U73" s="38" t="str">
        <f>IF(ISNA(VLOOKUP($A73&amp;U$2,'2004'!$B$2:$K$1621,10,0)),VLOOKUP($A73&amp;U$2,'2004'!$A$2:$K$1621,10,0),VLOOKUP($A73&amp;U$2,'2004'!$B$2:$K$1621,10,0))</f>
        <v>NYD</v>
      </c>
    </row>
    <row r="74" spans="1:21" x14ac:dyDescent="0.25">
      <c r="A74" s="40">
        <f t="shared" si="1"/>
        <v>38151</v>
      </c>
      <c r="B74" s="36" t="str">
        <f>IF(ISNA(VLOOKUP($A74&amp;B$2,'2004'!$B$2:$K$1621,10,0)),VLOOKUP($A74&amp;B$2,'2004'!$A$2:$K$1621,10,0),VLOOKUP($A74&amp;B$2,'2004'!$B$2:$K$1621,10,0))</f>
        <v>BAR</v>
      </c>
      <c r="C74" s="36" t="str">
        <f>IF(ISNA(VLOOKUP($A74&amp;C$2,'2004'!$B$2:$K$1621,10,0)),VLOOKUP($A74&amp;C$2,'2004'!$A$2:$K$1621,10,0),VLOOKUP($A74&amp;C$2,'2004'!$B$2:$K$1621,10,0))</f>
        <v>@BBG</v>
      </c>
      <c r="D74" s="36" t="str">
        <f>IF(ISNA(VLOOKUP($A74&amp;D$2,'2004'!$B$2:$K$1621,10,0)),VLOOKUP($A74&amp;D$2,'2004'!$A$2:$K$1621,10,0),VLOOKUP($A74&amp;D$2,'2004'!$B$2:$K$1621,10,0))</f>
        <v>GAR</v>
      </c>
      <c r="E74" s="36" t="str">
        <f>IF(ISNA(VLOOKUP($A74&amp;E$2,'2004'!$B$2:$K$1621,10,0)),VLOOKUP($A74&amp;E$2,'2004'!$A$2:$K$1621,10,0),VLOOKUP($A74&amp;E$2,'2004'!$B$2:$K$1621,10,0))</f>
        <v>@FDH</v>
      </c>
      <c r="F74" s="36" t="str">
        <f>IF(ISNA(VLOOKUP($A74&amp;F$2,'2004'!$B$2:$K$1621,10,0)),VLOOKUP($A74&amp;F$2,'2004'!$A$2:$K$1621,10,0),VLOOKUP($A74&amp;F$2,'2004'!$B$2:$K$1621,10,0))</f>
        <v>@CTW</v>
      </c>
      <c r="G74" s="35" t="str">
        <f>IF(ISNA(VLOOKUP($A74&amp;G$2,'2004'!$B$2:$K$1621,10,0)),VLOOKUP($A74&amp;G$2,'2004'!$A$2:$K$1621,10,0),VLOOKUP($A74&amp;G$2,'2004'!$B$2:$K$1621,10,0))</f>
        <v>@TEW</v>
      </c>
      <c r="H74" s="35" t="str">
        <f>IF(ISNA(VLOOKUP($A74&amp;H$2,'2004'!$B$2:$K$1621,10,0)),VLOOKUP($A74&amp;H$2,'2004'!$A$2:$K$1621,10,0),VLOOKUP($A74&amp;H$2,'2004'!$B$2:$K$1621,10,0))</f>
        <v>CIN</v>
      </c>
      <c r="I74" s="35" t="str">
        <f>IF(ISNA(VLOOKUP($A74&amp;I$2,'2004'!$B$2:$K$1621,10,0)),VLOOKUP($A74&amp;I$2,'2004'!$A$2:$K$1621,10,0),VLOOKUP($A74&amp;I$2,'2004'!$B$2:$K$1621,10,0))</f>
        <v>REN</v>
      </c>
      <c r="J74" s="35" t="str">
        <f>IF(ISNA(VLOOKUP($A74&amp;J$2,'2004'!$B$2:$K$1621,10,0)),VLOOKUP($A74&amp;J$2,'2004'!$A$2:$K$1621,10,0),VLOOKUP($A74&amp;J$2,'2004'!$B$2:$K$1621,10,0))</f>
        <v>@NEP</v>
      </c>
      <c r="K74" s="35" t="str">
        <f>IF(ISNA(VLOOKUP($A74&amp;K$2,'2004'!$B$2:$K$1621,10,0)),VLOOKUP($A74&amp;K$2,'2004'!$A$2:$K$1621,10,0),VLOOKUP($A74&amp;K$2,'2004'!$B$2:$K$1621,10,0))</f>
        <v>CEN</v>
      </c>
      <c r="L74" s="34" t="str">
        <f>IF(ISNA(VLOOKUP($A74&amp;L$2,'2004'!$B$2:$K$1621,10,0)),VLOOKUP($A74&amp;L$2,'2004'!$A$2:$K$1621,10,0),VLOOKUP($A74&amp;L$2,'2004'!$B$2:$K$1621,10,0))</f>
        <v>@BRK</v>
      </c>
      <c r="M74" s="34" t="str">
        <f>IF(ISNA(VLOOKUP($A74&amp;M$2,'2004'!$B$2:$K$1621,10,0)),VLOOKUP($A74&amp;M$2,'2004'!$A$2:$K$1621,10,0),VLOOKUP($A74&amp;M$2,'2004'!$B$2:$K$1621,10,0))</f>
        <v>OKO</v>
      </c>
      <c r="N74" s="34" t="str">
        <f>IF(ISNA(VLOOKUP($A74&amp;N$2,'2004'!$B$2:$K$1621,10,0)),VLOOKUP($A74&amp;N$2,'2004'!$A$2:$K$1621,10,0),VLOOKUP($A74&amp;N$2,'2004'!$B$2:$K$1621,10,0))</f>
        <v>@RMO</v>
      </c>
      <c r="O74" s="34" t="str">
        <f>IF(ISNA(VLOOKUP($A74&amp;O$2,'2004'!$B$2:$K$1621,10,0)),VLOOKUP($A74&amp;O$2,'2004'!$A$2:$K$1621,10,0),VLOOKUP($A74&amp;O$2,'2004'!$B$2:$K$1621,10,0))</f>
        <v>@FFR</v>
      </c>
      <c r="P74" s="34" t="str">
        <f>IF(ISNA(VLOOKUP($A74&amp;P$2,'2004'!$B$2:$K$1621,10,0)),VLOOKUP($A74&amp;P$2,'2004'!$A$2:$K$1621,10,0),VLOOKUP($A74&amp;P$2,'2004'!$B$2:$K$1621,10,0))</f>
        <v>NNN</v>
      </c>
      <c r="Q74" s="38" t="str">
        <f>IF(ISNA(VLOOKUP($A74&amp;Q$2,'2004'!$B$2:$K$1621,10,0)),VLOOKUP($A74&amp;Q$2,'2004'!$A$2:$K$1621,10,0),VLOOKUP($A74&amp;Q$2,'2004'!$B$2:$K$1621,10,0))</f>
        <v>DIG</v>
      </c>
      <c r="R74" s="38" t="str">
        <f>IF(ISNA(VLOOKUP($A74&amp;R$2,'2004'!$B$2:$K$1621,10,0)),VLOOKUP($A74&amp;R$2,'2004'!$A$2:$K$1621,10,0),VLOOKUP($A74&amp;R$2,'2004'!$B$2:$K$1621,10,0))</f>
        <v>@HAR</v>
      </c>
      <c r="S74" s="38" t="str">
        <f>IF(ISNA(VLOOKUP($A74&amp;S$2,'2004'!$B$2:$K$1621,10,0)),VLOOKUP($A74&amp;S$2,'2004'!$A$2:$K$1621,10,0),VLOOKUP($A74&amp;S$2,'2004'!$B$2:$K$1621,10,0))</f>
        <v>CBB</v>
      </c>
      <c r="T74" s="38" t="str">
        <f>IF(ISNA(VLOOKUP($A74&amp;T$2,'2004'!$B$2:$K$1621,10,0)),VLOOKUP($A74&amp;T$2,'2004'!$A$2:$K$1621,10,0),VLOOKUP($A74&amp;T$2,'2004'!$B$2:$K$1621,10,0))</f>
        <v>@PHI</v>
      </c>
      <c r="U74" s="38" t="str">
        <f>IF(ISNA(VLOOKUP($A74&amp;U$2,'2004'!$B$2:$K$1621,10,0)),VLOOKUP($A74&amp;U$2,'2004'!$A$2:$K$1621,10,0),VLOOKUP($A74&amp;U$2,'2004'!$B$2:$K$1621,10,0))</f>
        <v>NYD</v>
      </c>
    </row>
    <row r="75" spans="1:21" x14ac:dyDescent="0.25">
      <c r="A75" s="40">
        <f t="shared" si="1"/>
        <v>38152</v>
      </c>
      <c r="B75" s="36" t="str">
        <f>IF(ISNA(VLOOKUP($A75&amp;B$2,'2004'!$B$2:$K$1621,10,0)),VLOOKUP($A75&amp;B$2,'2004'!$A$2:$K$1621,10,0),VLOOKUP($A75&amp;B$2,'2004'!$B$2:$K$1621,10,0))</f>
        <v>BAR</v>
      </c>
      <c r="C75" s="36" t="str">
        <f>IF(ISNA(VLOOKUP($A75&amp;C$2,'2004'!$B$2:$K$1621,10,0)),VLOOKUP($A75&amp;C$2,'2004'!$A$2:$K$1621,10,0),VLOOKUP($A75&amp;C$2,'2004'!$B$2:$K$1621,10,0))</f>
        <v>@BBG</v>
      </c>
      <c r="D75" s="36" t="str">
        <f>IF(ISNA(VLOOKUP($A75&amp;D$2,'2004'!$B$2:$K$1621,10,0)),VLOOKUP($A75&amp;D$2,'2004'!$A$2:$K$1621,10,0),VLOOKUP($A75&amp;D$2,'2004'!$B$2:$K$1621,10,0))</f>
        <v>GAR</v>
      </c>
      <c r="E75" s="36" t="str">
        <f>IF(ISNA(VLOOKUP($A75&amp;E$2,'2004'!$B$2:$K$1621,10,0)),VLOOKUP($A75&amp;E$2,'2004'!$A$2:$K$1621,10,0),VLOOKUP($A75&amp;E$2,'2004'!$B$2:$K$1621,10,0))</f>
        <v>@FDH</v>
      </c>
      <c r="F75" s="36" t="str">
        <f>IF(ISNA(VLOOKUP($A75&amp;F$2,'2004'!$B$2:$K$1621,10,0)),VLOOKUP($A75&amp;F$2,'2004'!$A$2:$K$1621,10,0),VLOOKUP($A75&amp;F$2,'2004'!$B$2:$K$1621,10,0))</f>
        <v>@CTW</v>
      </c>
      <c r="G75" s="35" t="str">
        <f>IF(ISNA(VLOOKUP($A75&amp;G$2,'2004'!$B$2:$K$1621,10,0)),VLOOKUP($A75&amp;G$2,'2004'!$A$2:$K$1621,10,0),VLOOKUP($A75&amp;G$2,'2004'!$B$2:$K$1621,10,0))</f>
        <v>@TEW</v>
      </c>
      <c r="H75" s="35" t="str">
        <f>IF(ISNA(VLOOKUP($A75&amp;H$2,'2004'!$B$2:$K$1621,10,0)),VLOOKUP($A75&amp;H$2,'2004'!$A$2:$K$1621,10,0),VLOOKUP($A75&amp;H$2,'2004'!$B$2:$K$1621,10,0))</f>
        <v>CIN</v>
      </c>
      <c r="I75" s="35" t="str">
        <f>IF(ISNA(VLOOKUP($A75&amp;I$2,'2004'!$B$2:$K$1621,10,0)),VLOOKUP($A75&amp;I$2,'2004'!$A$2:$K$1621,10,0),VLOOKUP($A75&amp;I$2,'2004'!$B$2:$K$1621,10,0))</f>
        <v>REN</v>
      </c>
      <c r="J75" s="35" t="str">
        <f>IF(ISNA(VLOOKUP($A75&amp;J$2,'2004'!$B$2:$K$1621,10,0)),VLOOKUP($A75&amp;J$2,'2004'!$A$2:$K$1621,10,0),VLOOKUP($A75&amp;J$2,'2004'!$B$2:$K$1621,10,0))</f>
        <v>@NEP</v>
      </c>
      <c r="K75" s="35" t="str">
        <f>IF(ISNA(VLOOKUP($A75&amp;K$2,'2004'!$B$2:$K$1621,10,0)),VLOOKUP($A75&amp;K$2,'2004'!$A$2:$K$1621,10,0),VLOOKUP($A75&amp;K$2,'2004'!$B$2:$K$1621,10,0))</f>
        <v>CEN</v>
      </c>
      <c r="L75" s="34" t="str">
        <f>IF(ISNA(VLOOKUP($A75&amp;L$2,'2004'!$B$2:$K$1621,10,0)),VLOOKUP($A75&amp;L$2,'2004'!$A$2:$K$1621,10,0),VLOOKUP($A75&amp;L$2,'2004'!$B$2:$K$1621,10,0))</f>
        <v>@BRK</v>
      </c>
      <c r="M75" s="34" t="str">
        <f>IF(ISNA(VLOOKUP($A75&amp;M$2,'2004'!$B$2:$K$1621,10,0)),VLOOKUP($A75&amp;M$2,'2004'!$A$2:$K$1621,10,0),VLOOKUP($A75&amp;M$2,'2004'!$B$2:$K$1621,10,0))</f>
        <v>OKO</v>
      </c>
      <c r="N75" s="34" t="str">
        <f>IF(ISNA(VLOOKUP($A75&amp;N$2,'2004'!$B$2:$K$1621,10,0)),VLOOKUP($A75&amp;N$2,'2004'!$A$2:$K$1621,10,0),VLOOKUP($A75&amp;N$2,'2004'!$B$2:$K$1621,10,0))</f>
        <v>@RMO</v>
      </c>
      <c r="O75" s="34" t="str">
        <f>IF(ISNA(VLOOKUP($A75&amp;O$2,'2004'!$B$2:$K$1621,10,0)),VLOOKUP($A75&amp;O$2,'2004'!$A$2:$K$1621,10,0),VLOOKUP($A75&amp;O$2,'2004'!$B$2:$K$1621,10,0))</f>
        <v>@FFR</v>
      </c>
      <c r="P75" s="34" t="str">
        <f>IF(ISNA(VLOOKUP($A75&amp;P$2,'2004'!$B$2:$K$1621,10,0)),VLOOKUP($A75&amp;P$2,'2004'!$A$2:$K$1621,10,0),VLOOKUP($A75&amp;P$2,'2004'!$B$2:$K$1621,10,0))</f>
        <v>NNN</v>
      </c>
      <c r="Q75" s="38" t="str">
        <f>IF(ISNA(VLOOKUP($A75&amp;Q$2,'2004'!$B$2:$K$1621,10,0)),VLOOKUP($A75&amp;Q$2,'2004'!$A$2:$K$1621,10,0),VLOOKUP($A75&amp;Q$2,'2004'!$B$2:$K$1621,10,0))</f>
        <v>DIG</v>
      </c>
      <c r="R75" s="38" t="str">
        <f>IF(ISNA(VLOOKUP($A75&amp;R$2,'2004'!$B$2:$K$1621,10,0)),VLOOKUP($A75&amp;R$2,'2004'!$A$2:$K$1621,10,0),VLOOKUP($A75&amp;R$2,'2004'!$B$2:$K$1621,10,0))</f>
        <v>@HAR</v>
      </c>
      <c r="S75" s="38" t="str">
        <f>IF(ISNA(VLOOKUP($A75&amp;S$2,'2004'!$B$2:$K$1621,10,0)),VLOOKUP($A75&amp;S$2,'2004'!$A$2:$K$1621,10,0),VLOOKUP($A75&amp;S$2,'2004'!$B$2:$K$1621,10,0))</f>
        <v>CBB</v>
      </c>
      <c r="T75" s="38" t="str">
        <f>IF(ISNA(VLOOKUP($A75&amp;T$2,'2004'!$B$2:$K$1621,10,0)),VLOOKUP($A75&amp;T$2,'2004'!$A$2:$K$1621,10,0),VLOOKUP($A75&amp;T$2,'2004'!$B$2:$K$1621,10,0))</f>
        <v>@PHI</v>
      </c>
      <c r="U75" s="38" t="str">
        <f>IF(ISNA(VLOOKUP($A75&amp;U$2,'2004'!$B$2:$K$1621,10,0)),VLOOKUP($A75&amp;U$2,'2004'!$A$2:$K$1621,10,0),VLOOKUP($A75&amp;U$2,'2004'!$B$2:$K$1621,10,0))</f>
        <v>NYD</v>
      </c>
    </row>
    <row r="76" spans="1:21" x14ac:dyDescent="0.25">
      <c r="A76" s="40">
        <f t="shared" si="1"/>
        <v>38153</v>
      </c>
      <c r="B76" s="36" t="str">
        <f>IF(ISNA(VLOOKUP($A76&amp;B$2,'2004'!$B$2:$K$1621,10,0)),VLOOKUP($A76&amp;B$2,'2004'!$A$2:$K$1621,10,0),VLOOKUP($A76&amp;B$2,'2004'!$B$2:$K$1621,10,0))</f>
        <v>GAR</v>
      </c>
      <c r="C76" s="36" t="e">
        <f>IF(ISNA(VLOOKUP($A76&amp;C$2,'2004'!$B$2:$K$1621,10,0)),VLOOKUP($A76&amp;C$2,'2004'!$A$2:$K$1621,10,0),VLOOKUP($A76&amp;C$2,'2004'!$B$2:$K$1621,10,0))</f>
        <v>#N/A</v>
      </c>
      <c r="D76" s="36" t="str">
        <f>IF(ISNA(VLOOKUP($A76&amp;D$2,'2004'!$B$2:$K$1621,10,0)),VLOOKUP($A76&amp;D$2,'2004'!$A$2:$K$1621,10,0),VLOOKUP($A76&amp;D$2,'2004'!$B$2:$K$1621,10,0))</f>
        <v>@CIN</v>
      </c>
      <c r="E76" s="36" t="str">
        <f>IF(ISNA(VLOOKUP($A76&amp;E$2,'2004'!$B$2:$K$1621,10,0)),VLOOKUP($A76&amp;E$2,'2004'!$A$2:$K$1621,10,0),VLOOKUP($A76&amp;E$2,'2004'!$B$2:$K$1621,10,0))</f>
        <v>CTW</v>
      </c>
      <c r="F76" s="36" t="str">
        <f>IF(ISNA(VLOOKUP($A76&amp;F$2,'2004'!$B$2:$K$1621,10,0)),VLOOKUP($A76&amp;F$2,'2004'!$A$2:$K$1621,10,0),VLOOKUP($A76&amp;F$2,'2004'!$B$2:$K$1621,10,0))</f>
        <v>@BBG</v>
      </c>
      <c r="G76" s="35" t="str">
        <f>IF(ISNA(VLOOKUP($A76&amp;G$2,'2004'!$B$2:$K$1621,10,0)),VLOOKUP($A76&amp;G$2,'2004'!$A$2:$K$1621,10,0),VLOOKUP($A76&amp;G$2,'2004'!$B$2:$K$1621,10,0))</f>
        <v>@TEW</v>
      </c>
      <c r="H76" s="35" t="e">
        <f>IF(ISNA(VLOOKUP($A76&amp;H$2,'2004'!$B$2:$K$1621,10,0)),VLOOKUP($A76&amp;H$2,'2004'!$A$2:$K$1621,10,0),VLOOKUP($A76&amp;H$2,'2004'!$B$2:$K$1621,10,0))</f>
        <v>#N/A</v>
      </c>
      <c r="I76" s="35" t="str">
        <f>IF(ISNA(VLOOKUP($A76&amp;I$2,'2004'!$B$2:$K$1621,10,0)),VLOOKUP($A76&amp;I$2,'2004'!$A$2:$K$1621,10,0),VLOOKUP($A76&amp;I$2,'2004'!$B$2:$K$1621,10,0))</f>
        <v>REN</v>
      </c>
      <c r="J76" s="35" t="str">
        <f>IF(ISNA(VLOOKUP($A76&amp;J$2,'2004'!$B$2:$K$1621,10,0)),VLOOKUP($A76&amp;J$2,'2004'!$A$2:$K$1621,10,0),VLOOKUP($A76&amp;J$2,'2004'!$B$2:$K$1621,10,0))</f>
        <v>@NEP</v>
      </c>
      <c r="K76" s="35" t="str">
        <f>IF(ISNA(VLOOKUP($A76&amp;K$2,'2004'!$B$2:$K$1621,10,0)),VLOOKUP($A76&amp;K$2,'2004'!$A$2:$K$1621,10,0),VLOOKUP($A76&amp;K$2,'2004'!$B$2:$K$1621,10,0))</f>
        <v>CEN</v>
      </c>
      <c r="L76" s="34" t="e">
        <f>IF(ISNA(VLOOKUP($A76&amp;L$2,'2004'!$B$2:$K$1621,10,0)),VLOOKUP($A76&amp;L$2,'2004'!$A$2:$K$1621,10,0),VLOOKUP($A76&amp;L$2,'2004'!$B$2:$K$1621,10,0))</f>
        <v>#N/A</v>
      </c>
      <c r="M76" s="34" t="str">
        <f>IF(ISNA(VLOOKUP($A76&amp;M$2,'2004'!$B$2:$K$1621,10,0)),VLOOKUP($A76&amp;M$2,'2004'!$A$2:$K$1621,10,0),VLOOKUP($A76&amp;M$2,'2004'!$B$2:$K$1621,10,0))</f>
        <v>OKO</v>
      </c>
      <c r="N76" s="34" t="str">
        <f>IF(ISNA(VLOOKUP($A76&amp;N$2,'2004'!$B$2:$K$1621,10,0)),VLOOKUP($A76&amp;N$2,'2004'!$A$2:$K$1621,10,0),VLOOKUP($A76&amp;N$2,'2004'!$B$2:$K$1621,10,0))</f>
        <v>@RMO</v>
      </c>
      <c r="O76" s="34" t="str">
        <f>IF(ISNA(VLOOKUP($A76&amp;O$2,'2004'!$B$2:$K$1621,10,0)),VLOOKUP($A76&amp;O$2,'2004'!$A$2:$K$1621,10,0),VLOOKUP($A76&amp;O$2,'2004'!$B$2:$K$1621,10,0))</f>
        <v>@FFR</v>
      </c>
      <c r="P76" s="34" t="str">
        <f>IF(ISNA(VLOOKUP($A76&amp;P$2,'2004'!$B$2:$K$1621,10,0)),VLOOKUP($A76&amp;P$2,'2004'!$A$2:$K$1621,10,0),VLOOKUP($A76&amp;P$2,'2004'!$B$2:$K$1621,10,0))</f>
        <v>NNN</v>
      </c>
      <c r="Q76" s="38" t="e">
        <f>IF(ISNA(VLOOKUP($A76&amp;Q$2,'2004'!$B$2:$K$1621,10,0)),VLOOKUP($A76&amp;Q$2,'2004'!$A$2:$K$1621,10,0),VLOOKUP($A76&amp;Q$2,'2004'!$B$2:$K$1621,10,0))</f>
        <v>#N/A</v>
      </c>
      <c r="R76" s="38" t="e">
        <f>IF(ISNA(VLOOKUP($A76&amp;R$2,'2004'!$B$2:$K$1621,10,0)),VLOOKUP($A76&amp;R$2,'2004'!$A$2:$K$1621,10,0),VLOOKUP($A76&amp;R$2,'2004'!$B$2:$K$1621,10,0))</f>
        <v>#N/A</v>
      </c>
      <c r="S76" s="38" t="e">
        <f>IF(ISNA(VLOOKUP($A76&amp;S$2,'2004'!$B$2:$K$1621,10,0)),VLOOKUP($A76&amp;S$2,'2004'!$A$2:$K$1621,10,0),VLOOKUP($A76&amp;S$2,'2004'!$B$2:$K$1621,10,0))</f>
        <v>#N/A</v>
      </c>
      <c r="T76" s="38" t="e">
        <f>IF(ISNA(VLOOKUP($A76&amp;T$2,'2004'!$B$2:$K$1621,10,0)),VLOOKUP($A76&amp;T$2,'2004'!$A$2:$K$1621,10,0),VLOOKUP($A76&amp;T$2,'2004'!$B$2:$K$1621,10,0))</f>
        <v>#N/A</v>
      </c>
      <c r="U76" s="38" t="e">
        <f>IF(ISNA(VLOOKUP($A76&amp;U$2,'2004'!$B$2:$K$1621,10,0)),VLOOKUP($A76&amp;U$2,'2004'!$A$2:$K$1621,10,0),VLOOKUP($A76&amp;U$2,'2004'!$B$2:$K$1621,10,0))</f>
        <v>#N/A</v>
      </c>
    </row>
    <row r="77" spans="1:21" x14ac:dyDescent="0.25">
      <c r="A77" s="40">
        <f t="shared" si="1"/>
        <v>38154</v>
      </c>
      <c r="B77" s="36" t="str">
        <f>IF(ISNA(VLOOKUP($A77&amp;B$2,'2004'!$B$2:$K$1621,10,0)),VLOOKUP($A77&amp;B$2,'2004'!$A$2:$K$1621,10,0),VLOOKUP($A77&amp;B$2,'2004'!$B$2:$K$1621,10,0))</f>
        <v>GAR</v>
      </c>
      <c r="C77" s="36" t="str">
        <f>IF(ISNA(VLOOKUP($A77&amp;C$2,'2004'!$B$2:$K$1621,10,0)),VLOOKUP($A77&amp;C$2,'2004'!$A$2:$K$1621,10,0),VLOOKUP($A77&amp;C$2,'2004'!$B$2:$K$1621,10,0))</f>
        <v>CEN</v>
      </c>
      <c r="D77" s="36" t="str">
        <f>IF(ISNA(VLOOKUP($A77&amp;D$2,'2004'!$B$2:$K$1621,10,0)),VLOOKUP($A77&amp;D$2,'2004'!$A$2:$K$1621,10,0),VLOOKUP($A77&amp;D$2,'2004'!$B$2:$K$1621,10,0))</f>
        <v>@CIN</v>
      </c>
      <c r="E77" s="36" t="str">
        <f>IF(ISNA(VLOOKUP($A77&amp;E$2,'2004'!$B$2:$K$1621,10,0)),VLOOKUP($A77&amp;E$2,'2004'!$A$2:$K$1621,10,0),VLOOKUP($A77&amp;E$2,'2004'!$B$2:$K$1621,10,0))</f>
        <v>CTW</v>
      </c>
      <c r="F77" s="36" t="str">
        <f>IF(ISNA(VLOOKUP($A77&amp;F$2,'2004'!$B$2:$K$1621,10,0)),VLOOKUP($A77&amp;F$2,'2004'!$A$2:$K$1621,10,0),VLOOKUP($A77&amp;F$2,'2004'!$B$2:$K$1621,10,0))</f>
        <v>@BBG</v>
      </c>
      <c r="G77" s="35" t="str">
        <f>IF(ISNA(VLOOKUP($A77&amp;G$2,'2004'!$B$2:$K$1621,10,0)),VLOOKUP($A77&amp;G$2,'2004'!$A$2:$K$1621,10,0),VLOOKUP($A77&amp;G$2,'2004'!$B$2:$K$1621,10,0))</f>
        <v>@BAR</v>
      </c>
      <c r="H77" s="35" t="str">
        <f>IF(ISNA(VLOOKUP($A77&amp;H$2,'2004'!$B$2:$K$1621,10,0)),VLOOKUP($A77&amp;H$2,'2004'!$A$2:$K$1621,10,0),VLOOKUP($A77&amp;H$2,'2004'!$B$2:$K$1621,10,0))</f>
        <v>NEP</v>
      </c>
      <c r="I77" s="35" t="str">
        <f>IF(ISNA(VLOOKUP($A77&amp;I$2,'2004'!$B$2:$K$1621,10,0)),VLOOKUP($A77&amp;I$2,'2004'!$A$2:$K$1621,10,0),VLOOKUP($A77&amp;I$2,'2004'!$B$2:$K$1621,10,0))</f>
        <v>@FDH</v>
      </c>
      <c r="J77" s="35" t="str">
        <f>IF(ISNA(VLOOKUP($A77&amp;J$2,'2004'!$B$2:$K$1621,10,0)),VLOOKUP($A77&amp;J$2,'2004'!$A$2:$K$1621,10,0),VLOOKUP($A77&amp;J$2,'2004'!$B$2:$K$1621,10,0))</f>
        <v>@TEW</v>
      </c>
      <c r="K77" s="35" t="str">
        <f>IF(ISNA(VLOOKUP($A77&amp;K$2,'2004'!$B$2:$K$1621,10,0)),VLOOKUP($A77&amp;K$2,'2004'!$A$2:$K$1621,10,0),VLOOKUP($A77&amp;K$2,'2004'!$B$2:$K$1621,10,0))</f>
        <v>REN</v>
      </c>
      <c r="L77" s="34" t="str">
        <f>IF(ISNA(VLOOKUP($A77&amp;L$2,'2004'!$B$2:$K$1621,10,0)),VLOOKUP($A77&amp;L$2,'2004'!$A$2:$K$1621,10,0),VLOOKUP($A77&amp;L$2,'2004'!$B$2:$K$1621,10,0))</f>
        <v>RMO</v>
      </c>
      <c r="M77" s="34" t="str">
        <f>IF(ISNA(VLOOKUP($A77&amp;M$2,'2004'!$B$2:$K$1621,10,0)),VLOOKUP($A77&amp;M$2,'2004'!$A$2:$K$1621,10,0),VLOOKUP($A77&amp;M$2,'2004'!$B$2:$K$1621,10,0))</f>
        <v>NNN</v>
      </c>
      <c r="N77" s="34" t="str">
        <f>IF(ISNA(VLOOKUP($A77&amp;N$2,'2004'!$B$2:$K$1621,10,0)),VLOOKUP($A77&amp;N$2,'2004'!$A$2:$K$1621,10,0),VLOOKUP($A77&amp;N$2,'2004'!$B$2:$K$1621,10,0))</f>
        <v>@FFR</v>
      </c>
      <c r="O77" s="34" t="str">
        <f>IF(ISNA(VLOOKUP($A77&amp;O$2,'2004'!$B$2:$K$1621,10,0)),VLOOKUP($A77&amp;O$2,'2004'!$A$2:$K$1621,10,0),VLOOKUP($A77&amp;O$2,'2004'!$B$2:$K$1621,10,0))</f>
        <v>CBB</v>
      </c>
      <c r="P77" s="34" t="str">
        <f>IF(ISNA(VLOOKUP($A77&amp;P$2,'2004'!$B$2:$K$1621,10,0)),VLOOKUP($A77&amp;P$2,'2004'!$A$2:$K$1621,10,0),VLOOKUP($A77&amp;P$2,'2004'!$B$2:$K$1621,10,0))</f>
        <v>@DIG</v>
      </c>
      <c r="Q77" s="38" t="str">
        <f>IF(ISNA(VLOOKUP($A77&amp;Q$2,'2004'!$B$2:$K$1621,10,0)),VLOOKUP($A77&amp;Q$2,'2004'!$A$2:$K$1621,10,0),VLOOKUP($A77&amp;Q$2,'2004'!$B$2:$K$1621,10,0))</f>
        <v>PHI</v>
      </c>
      <c r="R77" s="38" t="str">
        <f>IF(ISNA(VLOOKUP($A77&amp;R$2,'2004'!$B$2:$K$1621,10,0)),VLOOKUP($A77&amp;R$2,'2004'!$A$2:$K$1621,10,0),VLOOKUP($A77&amp;R$2,'2004'!$B$2:$K$1621,10,0))</f>
        <v>@OKO</v>
      </c>
      <c r="S77" s="38" t="str">
        <f>IF(ISNA(VLOOKUP($A77&amp;S$2,'2004'!$B$2:$K$1621,10,0)),VLOOKUP($A77&amp;S$2,'2004'!$A$2:$K$1621,10,0),VLOOKUP($A77&amp;S$2,'2004'!$B$2:$K$1621,10,0))</f>
        <v>NYD</v>
      </c>
      <c r="T77" s="38" t="str">
        <f>IF(ISNA(VLOOKUP($A77&amp;T$2,'2004'!$B$2:$K$1621,10,0)),VLOOKUP($A77&amp;T$2,'2004'!$A$2:$K$1621,10,0),VLOOKUP($A77&amp;T$2,'2004'!$B$2:$K$1621,10,0))</f>
        <v>@HAR</v>
      </c>
      <c r="U77" s="38" t="str">
        <f>IF(ISNA(VLOOKUP($A77&amp;U$2,'2004'!$B$2:$K$1621,10,0)),VLOOKUP($A77&amp;U$2,'2004'!$A$2:$K$1621,10,0),VLOOKUP($A77&amp;U$2,'2004'!$B$2:$K$1621,10,0))</f>
        <v>@BRK</v>
      </c>
    </row>
    <row r="78" spans="1:21" x14ac:dyDescent="0.25">
      <c r="A78" s="40">
        <f t="shared" si="1"/>
        <v>38155</v>
      </c>
      <c r="B78" s="36" t="str">
        <f>IF(ISNA(VLOOKUP($A78&amp;B$2,'2004'!$B$2:$K$1621,10,0)),VLOOKUP($A78&amp;B$2,'2004'!$A$2:$K$1621,10,0),VLOOKUP($A78&amp;B$2,'2004'!$B$2:$K$1621,10,0))</f>
        <v>GAR</v>
      </c>
      <c r="C78" s="36" t="str">
        <f>IF(ISNA(VLOOKUP($A78&amp;C$2,'2004'!$B$2:$K$1621,10,0)),VLOOKUP($A78&amp;C$2,'2004'!$A$2:$K$1621,10,0),VLOOKUP($A78&amp;C$2,'2004'!$B$2:$K$1621,10,0))</f>
        <v>CEN</v>
      </c>
      <c r="D78" s="36" t="str">
        <f>IF(ISNA(VLOOKUP($A78&amp;D$2,'2004'!$B$2:$K$1621,10,0)),VLOOKUP($A78&amp;D$2,'2004'!$A$2:$K$1621,10,0),VLOOKUP($A78&amp;D$2,'2004'!$B$2:$K$1621,10,0))</f>
        <v>@CIN</v>
      </c>
      <c r="E78" s="36" t="str">
        <f>IF(ISNA(VLOOKUP($A78&amp;E$2,'2004'!$B$2:$K$1621,10,0)),VLOOKUP($A78&amp;E$2,'2004'!$A$2:$K$1621,10,0),VLOOKUP($A78&amp;E$2,'2004'!$B$2:$K$1621,10,0))</f>
        <v>CTW</v>
      </c>
      <c r="F78" s="36" t="str">
        <f>IF(ISNA(VLOOKUP($A78&amp;F$2,'2004'!$B$2:$K$1621,10,0)),VLOOKUP($A78&amp;F$2,'2004'!$A$2:$K$1621,10,0),VLOOKUP($A78&amp;F$2,'2004'!$B$2:$K$1621,10,0))</f>
        <v>@BBG</v>
      </c>
      <c r="G78" s="35" t="str">
        <f>IF(ISNA(VLOOKUP($A78&amp;G$2,'2004'!$B$2:$K$1621,10,0)),VLOOKUP($A78&amp;G$2,'2004'!$A$2:$K$1621,10,0),VLOOKUP($A78&amp;G$2,'2004'!$B$2:$K$1621,10,0))</f>
        <v>@BAR</v>
      </c>
      <c r="H78" s="35" t="str">
        <f>IF(ISNA(VLOOKUP($A78&amp;H$2,'2004'!$B$2:$K$1621,10,0)),VLOOKUP($A78&amp;H$2,'2004'!$A$2:$K$1621,10,0),VLOOKUP($A78&amp;H$2,'2004'!$B$2:$K$1621,10,0))</f>
        <v>NEP</v>
      </c>
      <c r="I78" s="35" t="str">
        <f>IF(ISNA(VLOOKUP($A78&amp;I$2,'2004'!$B$2:$K$1621,10,0)),VLOOKUP($A78&amp;I$2,'2004'!$A$2:$K$1621,10,0),VLOOKUP($A78&amp;I$2,'2004'!$B$2:$K$1621,10,0))</f>
        <v>@FDH</v>
      </c>
      <c r="J78" s="35" t="str">
        <f>IF(ISNA(VLOOKUP($A78&amp;J$2,'2004'!$B$2:$K$1621,10,0)),VLOOKUP($A78&amp;J$2,'2004'!$A$2:$K$1621,10,0),VLOOKUP($A78&amp;J$2,'2004'!$B$2:$K$1621,10,0))</f>
        <v>@TEW</v>
      </c>
      <c r="K78" s="35" t="str">
        <f>IF(ISNA(VLOOKUP($A78&amp;K$2,'2004'!$B$2:$K$1621,10,0)),VLOOKUP($A78&amp;K$2,'2004'!$A$2:$K$1621,10,0),VLOOKUP($A78&amp;K$2,'2004'!$B$2:$K$1621,10,0))</f>
        <v>REN</v>
      </c>
      <c r="L78" s="34" t="str">
        <f>IF(ISNA(VLOOKUP($A78&amp;L$2,'2004'!$B$2:$K$1621,10,0)),VLOOKUP($A78&amp;L$2,'2004'!$A$2:$K$1621,10,0),VLOOKUP($A78&amp;L$2,'2004'!$B$2:$K$1621,10,0))</f>
        <v>RMO</v>
      </c>
      <c r="M78" s="34" t="str">
        <f>IF(ISNA(VLOOKUP($A78&amp;M$2,'2004'!$B$2:$K$1621,10,0)),VLOOKUP($A78&amp;M$2,'2004'!$A$2:$K$1621,10,0),VLOOKUP($A78&amp;M$2,'2004'!$B$2:$K$1621,10,0))</f>
        <v>NNN</v>
      </c>
      <c r="N78" s="34" t="str">
        <f>IF(ISNA(VLOOKUP($A78&amp;N$2,'2004'!$B$2:$K$1621,10,0)),VLOOKUP($A78&amp;N$2,'2004'!$A$2:$K$1621,10,0),VLOOKUP($A78&amp;N$2,'2004'!$B$2:$K$1621,10,0))</f>
        <v>@FFR</v>
      </c>
      <c r="O78" s="34" t="str">
        <f>IF(ISNA(VLOOKUP($A78&amp;O$2,'2004'!$B$2:$K$1621,10,0)),VLOOKUP($A78&amp;O$2,'2004'!$A$2:$K$1621,10,0),VLOOKUP($A78&amp;O$2,'2004'!$B$2:$K$1621,10,0))</f>
        <v>CBB</v>
      </c>
      <c r="P78" s="34" t="str">
        <f>IF(ISNA(VLOOKUP($A78&amp;P$2,'2004'!$B$2:$K$1621,10,0)),VLOOKUP($A78&amp;P$2,'2004'!$A$2:$K$1621,10,0),VLOOKUP($A78&amp;P$2,'2004'!$B$2:$K$1621,10,0))</f>
        <v>@DIG</v>
      </c>
      <c r="Q78" s="38" t="str">
        <f>IF(ISNA(VLOOKUP($A78&amp;Q$2,'2004'!$B$2:$K$1621,10,0)),VLOOKUP($A78&amp;Q$2,'2004'!$A$2:$K$1621,10,0),VLOOKUP($A78&amp;Q$2,'2004'!$B$2:$K$1621,10,0))</f>
        <v>PHI</v>
      </c>
      <c r="R78" s="38" t="str">
        <f>IF(ISNA(VLOOKUP($A78&amp;R$2,'2004'!$B$2:$K$1621,10,0)),VLOOKUP($A78&amp;R$2,'2004'!$A$2:$K$1621,10,0),VLOOKUP($A78&amp;R$2,'2004'!$B$2:$K$1621,10,0))</f>
        <v>@OKO</v>
      </c>
      <c r="S78" s="38" t="str">
        <f>IF(ISNA(VLOOKUP($A78&amp;S$2,'2004'!$B$2:$K$1621,10,0)),VLOOKUP($A78&amp;S$2,'2004'!$A$2:$K$1621,10,0),VLOOKUP($A78&amp;S$2,'2004'!$B$2:$K$1621,10,0))</f>
        <v>NYD</v>
      </c>
      <c r="T78" s="38" t="str">
        <f>IF(ISNA(VLOOKUP($A78&amp;T$2,'2004'!$B$2:$K$1621,10,0)),VLOOKUP($A78&amp;T$2,'2004'!$A$2:$K$1621,10,0),VLOOKUP($A78&amp;T$2,'2004'!$B$2:$K$1621,10,0))</f>
        <v>@HAR</v>
      </c>
      <c r="U78" s="38" t="str">
        <f>IF(ISNA(VLOOKUP($A78&amp;U$2,'2004'!$B$2:$K$1621,10,0)),VLOOKUP($A78&amp;U$2,'2004'!$A$2:$K$1621,10,0),VLOOKUP($A78&amp;U$2,'2004'!$B$2:$K$1621,10,0))</f>
        <v>@BRK</v>
      </c>
    </row>
    <row r="79" spans="1:21" x14ac:dyDescent="0.25">
      <c r="A79" s="40">
        <f t="shared" si="1"/>
        <v>38156</v>
      </c>
      <c r="B79" s="36" t="e">
        <f>IF(ISNA(VLOOKUP($A79&amp;B$2,'2004'!$B$2:$K$1621,10,0)),VLOOKUP($A79&amp;B$2,'2004'!$A$2:$K$1621,10,0),VLOOKUP($A79&amp;B$2,'2004'!$B$2:$K$1621,10,0))</f>
        <v>#N/A</v>
      </c>
      <c r="C79" s="36" t="e">
        <f>IF(ISNA(VLOOKUP($A79&amp;C$2,'2004'!$B$2:$K$1621,10,0)),VLOOKUP($A79&amp;C$2,'2004'!$A$2:$K$1621,10,0),VLOOKUP($A79&amp;C$2,'2004'!$B$2:$K$1621,10,0))</f>
        <v>#N/A</v>
      </c>
      <c r="D79" s="36" t="e">
        <f>IF(ISNA(VLOOKUP($A79&amp;D$2,'2004'!$B$2:$K$1621,10,0)),VLOOKUP($A79&amp;D$2,'2004'!$A$2:$K$1621,10,0),VLOOKUP($A79&amp;D$2,'2004'!$B$2:$K$1621,10,0))</f>
        <v>#N/A</v>
      </c>
      <c r="E79" s="36" t="e">
        <f>IF(ISNA(VLOOKUP($A79&amp;E$2,'2004'!$B$2:$K$1621,10,0)),VLOOKUP($A79&amp;E$2,'2004'!$A$2:$K$1621,10,0),VLOOKUP($A79&amp;E$2,'2004'!$B$2:$K$1621,10,0))</f>
        <v>#N/A</v>
      </c>
      <c r="F79" s="36" t="e">
        <f>IF(ISNA(VLOOKUP($A79&amp;F$2,'2004'!$B$2:$K$1621,10,0)),VLOOKUP($A79&amp;F$2,'2004'!$A$2:$K$1621,10,0),VLOOKUP($A79&amp;F$2,'2004'!$B$2:$K$1621,10,0))</f>
        <v>#N/A</v>
      </c>
      <c r="G79" s="35" t="e">
        <f>IF(ISNA(VLOOKUP($A79&amp;G$2,'2004'!$B$2:$K$1621,10,0)),VLOOKUP($A79&amp;G$2,'2004'!$A$2:$K$1621,10,0),VLOOKUP($A79&amp;G$2,'2004'!$B$2:$K$1621,10,0))</f>
        <v>#N/A</v>
      </c>
      <c r="H79" s="35" t="e">
        <f>IF(ISNA(VLOOKUP($A79&amp;H$2,'2004'!$B$2:$K$1621,10,0)),VLOOKUP($A79&amp;H$2,'2004'!$A$2:$K$1621,10,0),VLOOKUP($A79&amp;H$2,'2004'!$B$2:$K$1621,10,0))</f>
        <v>#N/A</v>
      </c>
      <c r="I79" s="35" t="e">
        <f>IF(ISNA(VLOOKUP($A79&amp;I$2,'2004'!$B$2:$K$1621,10,0)),VLOOKUP($A79&amp;I$2,'2004'!$A$2:$K$1621,10,0),VLOOKUP($A79&amp;I$2,'2004'!$B$2:$K$1621,10,0))</f>
        <v>#N/A</v>
      </c>
      <c r="J79" s="35" t="str">
        <f>IF(ISNA(VLOOKUP($A79&amp;J$2,'2004'!$B$2:$K$1621,10,0)),VLOOKUP($A79&amp;J$2,'2004'!$A$2:$K$1621,10,0),VLOOKUP($A79&amp;J$2,'2004'!$B$2:$K$1621,10,0))</f>
        <v>@TEW</v>
      </c>
      <c r="K79" s="35" t="str">
        <f>IF(ISNA(VLOOKUP($A79&amp;K$2,'2004'!$B$2:$K$1621,10,0)),VLOOKUP($A79&amp;K$2,'2004'!$A$2:$K$1621,10,0),VLOOKUP($A79&amp;K$2,'2004'!$B$2:$K$1621,10,0))</f>
        <v>REN</v>
      </c>
      <c r="L79" s="34" t="str">
        <f>IF(ISNA(VLOOKUP($A79&amp;L$2,'2004'!$B$2:$K$1621,10,0)),VLOOKUP($A79&amp;L$2,'2004'!$A$2:$K$1621,10,0),VLOOKUP($A79&amp;L$2,'2004'!$B$2:$K$1621,10,0))</f>
        <v>RMO</v>
      </c>
      <c r="M79" s="34" t="str">
        <f>IF(ISNA(VLOOKUP($A79&amp;M$2,'2004'!$B$2:$K$1621,10,0)),VLOOKUP($A79&amp;M$2,'2004'!$A$2:$K$1621,10,0),VLOOKUP($A79&amp;M$2,'2004'!$B$2:$K$1621,10,0))</f>
        <v>NNN</v>
      </c>
      <c r="N79" s="34" t="str">
        <f>IF(ISNA(VLOOKUP($A79&amp;N$2,'2004'!$B$2:$K$1621,10,0)),VLOOKUP($A79&amp;N$2,'2004'!$A$2:$K$1621,10,0),VLOOKUP($A79&amp;N$2,'2004'!$B$2:$K$1621,10,0))</f>
        <v>@FFR</v>
      </c>
      <c r="O79" s="34" t="e">
        <f>IF(ISNA(VLOOKUP($A79&amp;O$2,'2004'!$B$2:$K$1621,10,0)),VLOOKUP($A79&amp;O$2,'2004'!$A$2:$K$1621,10,0),VLOOKUP($A79&amp;O$2,'2004'!$B$2:$K$1621,10,0))</f>
        <v>#N/A</v>
      </c>
      <c r="P79" s="34" t="str">
        <f>IF(ISNA(VLOOKUP($A79&amp;P$2,'2004'!$B$2:$K$1621,10,0)),VLOOKUP($A79&amp;P$2,'2004'!$A$2:$K$1621,10,0),VLOOKUP($A79&amp;P$2,'2004'!$B$2:$K$1621,10,0))</f>
        <v>@DIG</v>
      </c>
      <c r="Q79" s="38" t="str">
        <f>IF(ISNA(VLOOKUP($A79&amp;Q$2,'2004'!$B$2:$K$1621,10,0)),VLOOKUP($A79&amp;Q$2,'2004'!$A$2:$K$1621,10,0),VLOOKUP($A79&amp;Q$2,'2004'!$B$2:$K$1621,10,0))</f>
        <v>PHI</v>
      </c>
      <c r="R79" s="38" t="e">
        <f>IF(ISNA(VLOOKUP($A79&amp;R$2,'2004'!$B$2:$K$1621,10,0)),VLOOKUP($A79&amp;R$2,'2004'!$A$2:$K$1621,10,0),VLOOKUP($A79&amp;R$2,'2004'!$B$2:$K$1621,10,0))</f>
        <v>#N/A</v>
      </c>
      <c r="S79" s="38" t="str">
        <f>IF(ISNA(VLOOKUP($A79&amp;S$2,'2004'!$B$2:$K$1621,10,0)),VLOOKUP($A79&amp;S$2,'2004'!$A$2:$K$1621,10,0),VLOOKUP($A79&amp;S$2,'2004'!$B$2:$K$1621,10,0))</f>
        <v>NYD</v>
      </c>
      <c r="T79" s="38" t="str">
        <f>IF(ISNA(VLOOKUP($A79&amp;T$2,'2004'!$B$2:$K$1621,10,0)),VLOOKUP($A79&amp;T$2,'2004'!$A$2:$K$1621,10,0),VLOOKUP($A79&amp;T$2,'2004'!$B$2:$K$1621,10,0))</f>
        <v>@HAR</v>
      </c>
      <c r="U79" s="38" t="str">
        <f>IF(ISNA(VLOOKUP($A79&amp;U$2,'2004'!$B$2:$K$1621,10,0)),VLOOKUP($A79&amp;U$2,'2004'!$A$2:$K$1621,10,0),VLOOKUP($A79&amp;U$2,'2004'!$B$2:$K$1621,10,0))</f>
        <v>@BRK</v>
      </c>
    </row>
    <row r="80" spans="1:21" x14ac:dyDescent="0.25">
      <c r="A80" s="40">
        <f t="shared" si="1"/>
        <v>38157</v>
      </c>
      <c r="B80" s="36" t="str">
        <f>IF(ISNA(VLOOKUP($A80&amp;B$2,'2004'!$B$2:$K$1621,10,0)),VLOOKUP($A80&amp;B$2,'2004'!$A$2:$K$1621,10,0),VLOOKUP($A80&amp;B$2,'2004'!$B$2:$K$1621,10,0))</f>
        <v>GAR</v>
      </c>
      <c r="C80" s="36" t="str">
        <f>IF(ISNA(VLOOKUP($A80&amp;C$2,'2004'!$B$2:$K$1621,10,0)),VLOOKUP($A80&amp;C$2,'2004'!$A$2:$K$1621,10,0),VLOOKUP($A80&amp;C$2,'2004'!$B$2:$K$1621,10,0))</f>
        <v>@OKO</v>
      </c>
      <c r="D80" s="36" t="str">
        <f>IF(ISNA(VLOOKUP($A80&amp;D$2,'2004'!$B$2:$K$1621,10,0)),VLOOKUP($A80&amp;D$2,'2004'!$A$2:$K$1621,10,0),VLOOKUP($A80&amp;D$2,'2004'!$B$2:$K$1621,10,0))</f>
        <v>@CIN</v>
      </c>
      <c r="E80" s="36" t="str">
        <f>IF(ISNA(VLOOKUP($A80&amp;E$2,'2004'!$B$2:$K$1621,10,0)),VLOOKUP($A80&amp;E$2,'2004'!$A$2:$K$1621,10,0),VLOOKUP($A80&amp;E$2,'2004'!$B$2:$K$1621,10,0))</f>
        <v>CTW</v>
      </c>
      <c r="F80" s="36" t="str">
        <f>IF(ISNA(VLOOKUP($A80&amp;F$2,'2004'!$B$2:$K$1621,10,0)),VLOOKUP($A80&amp;F$2,'2004'!$A$2:$K$1621,10,0),VLOOKUP($A80&amp;F$2,'2004'!$B$2:$K$1621,10,0))</f>
        <v>@BBG</v>
      </c>
      <c r="G80" s="35" t="str">
        <f>IF(ISNA(VLOOKUP($A80&amp;G$2,'2004'!$B$2:$K$1621,10,0)),VLOOKUP($A80&amp;G$2,'2004'!$A$2:$K$1621,10,0),VLOOKUP($A80&amp;G$2,'2004'!$B$2:$K$1621,10,0))</f>
        <v>@CBB</v>
      </c>
      <c r="H80" s="35" t="str">
        <f>IF(ISNA(VLOOKUP($A80&amp;H$2,'2004'!$B$2:$K$1621,10,0)),VLOOKUP($A80&amp;H$2,'2004'!$A$2:$K$1621,10,0),VLOOKUP($A80&amp;H$2,'2004'!$B$2:$K$1621,10,0))</f>
        <v>NEP</v>
      </c>
      <c r="I80" s="35" t="str">
        <f>IF(ISNA(VLOOKUP($A80&amp;I$2,'2004'!$B$2:$K$1621,10,0)),VLOOKUP($A80&amp;I$2,'2004'!$A$2:$K$1621,10,0),VLOOKUP($A80&amp;I$2,'2004'!$B$2:$K$1621,10,0))</f>
        <v>@FDH</v>
      </c>
      <c r="J80" s="35" t="str">
        <f>IF(ISNA(VLOOKUP($A80&amp;J$2,'2004'!$B$2:$K$1621,10,0)),VLOOKUP($A80&amp;J$2,'2004'!$A$2:$K$1621,10,0),VLOOKUP($A80&amp;J$2,'2004'!$B$2:$K$1621,10,0))</f>
        <v>@TEW</v>
      </c>
      <c r="K80" s="35" t="str">
        <f>IF(ISNA(VLOOKUP($A80&amp;K$2,'2004'!$B$2:$K$1621,10,0)),VLOOKUP($A80&amp;K$2,'2004'!$A$2:$K$1621,10,0),VLOOKUP($A80&amp;K$2,'2004'!$B$2:$K$1621,10,0))</f>
        <v>REN</v>
      </c>
      <c r="L80" s="34" t="str">
        <f>IF(ISNA(VLOOKUP($A80&amp;L$2,'2004'!$B$2:$K$1621,10,0)),VLOOKUP($A80&amp;L$2,'2004'!$A$2:$K$1621,10,0),VLOOKUP($A80&amp;L$2,'2004'!$B$2:$K$1621,10,0))</f>
        <v>RMO</v>
      </c>
      <c r="M80" s="34" t="str">
        <f>IF(ISNA(VLOOKUP($A80&amp;M$2,'2004'!$B$2:$K$1621,10,0)),VLOOKUP($A80&amp;M$2,'2004'!$A$2:$K$1621,10,0),VLOOKUP($A80&amp;M$2,'2004'!$B$2:$K$1621,10,0))</f>
        <v>NNN</v>
      </c>
      <c r="N80" s="34" t="str">
        <f>IF(ISNA(VLOOKUP($A80&amp;N$2,'2004'!$B$2:$K$1621,10,0)),VLOOKUP($A80&amp;N$2,'2004'!$A$2:$K$1621,10,0),VLOOKUP($A80&amp;N$2,'2004'!$B$2:$K$1621,10,0))</f>
        <v>@FFR</v>
      </c>
      <c r="O80" s="34" t="str">
        <f>IF(ISNA(VLOOKUP($A80&amp;O$2,'2004'!$B$2:$K$1621,10,0)),VLOOKUP($A80&amp;O$2,'2004'!$A$2:$K$1621,10,0),VLOOKUP($A80&amp;O$2,'2004'!$B$2:$K$1621,10,0))</f>
        <v>BAR</v>
      </c>
      <c r="P80" s="34" t="str">
        <f>IF(ISNA(VLOOKUP($A80&amp;P$2,'2004'!$B$2:$K$1621,10,0)),VLOOKUP($A80&amp;P$2,'2004'!$A$2:$K$1621,10,0),VLOOKUP($A80&amp;P$2,'2004'!$B$2:$K$1621,10,0))</f>
        <v>@DIG</v>
      </c>
      <c r="Q80" s="38" t="str">
        <f>IF(ISNA(VLOOKUP($A80&amp;Q$2,'2004'!$B$2:$K$1621,10,0)),VLOOKUP($A80&amp;Q$2,'2004'!$A$2:$K$1621,10,0),VLOOKUP($A80&amp;Q$2,'2004'!$B$2:$K$1621,10,0))</f>
        <v>PHI</v>
      </c>
      <c r="R80" s="38" t="str">
        <f>IF(ISNA(VLOOKUP($A80&amp;R$2,'2004'!$B$2:$K$1621,10,0)),VLOOKUP($A80&amp;R$2,'2004'!$A$2:$K$1621,10,0),VLOOKUP($A80&amp;R$2,'2004'!$B$2:$K$1621,10,0))</f>
        <v>CEN</v>
      </c>
      <c r="S80" s="38" t="str">
        <f>IF(ISNA(VLOOKUP($A80&amp;S$2,'2004'!$B$2:$K$1621,10,0)),VLOOKUP($A80&amp;S$2,'2004'!$A$2:$K$1621,10,0),VLOOKUP($A80&amp;S$2,'2004'!$B$2:$K$1621,10,0))</f>
        <v>NYD</v>
      </c>
      <c r="T80" s="38" t="str">
        <f>IF(ISNA(VLOOKUP($A80&amp;T$2,'2004'!$B$2:$K$1621,10,0)),VLOOKUP($A80&amp;T$2,'2004'!$A$2:$K$1621,10,0),VLOOKUP($A80&amp;T$2,'2004'!$B$2:$K$1621,10,0))</f>
        <v>@HAR</v>
      </c>
      <c r="U80" s="38" t="str">
        <f>IF(ISNA(VLOOKUP($A80&amp;U$2,'2004'!$B$2:$K$1621,10,0)),VLOOKUP($A80&amp;U$2,'2004'!$A$2:$K$1621,10,0),VLOOKUP($A80&amp;U$2,'2004'!$B$2:$K$1621,10,0))</f>
        <v>@BRK</v>
      </c>
    </row>
    <row r="81" spans="1:21" x14ac:dyDescent="0.25">
      <c r="A81" s="40">
        <f t="shared" si="1"/>
        <v>38158</v>
      </c>
      <c r="B81" s="36" t="str">
        <f>IF(ISNA(VLOOKUP($A81&amp;B$2,'2004'!$B$2:$K$1621,10,0)),VLOOKUP($A81&amp;B$2,'2004'!$A$2:$K$1621,10,0),VLOOKUP($A81&amp;B$2,'2004'!$B$2:$K$1621,10,0))</f>
        <v>GAR</v>
      </c>
      <c r="C81" s="36" t="str">
        <f>IF(ISNA(VLOOKUP($A81&amp;C$2,'2004'!$B$2:$K$1621,10,0)),VLOOKUP($A81&amp;C$2,'2004'!$A$2:$K$1621,10,0),VLOOKUP($A81&amp;C$2,'2004'!$B$2:$K$1621,10,0))</f>
        <v>@OKO</v>
      </c>
      <c r="D81" s="36" t="str">
        <f>IF(ISNA(VLOOKUP($A81&amp;D$2,'2004'!$B$2:$K$1621,10,0)),VLOOKUP($A81&amp;D$2,'2004'!$A$2:$K$1621,10,0),VLOOKUP($A81&amp;D$2,'2004'!$B$2:$K$1621,10,0))</f>
        <v>@CIN</v>
      </c>
      <c r="E81" s="36" t="str">
        <f>IF(ISNA(VLOOKUP($A81&amp;E$2,'2004'!$B$2:$K$1621,10,0)),VLOOKUP($A81&amp;E$2,'2004'!$A$2:$K$1621,10,0),VLOOKUP($A81&amp;E$2,'2004'!$B$2:$K$1621,10,0))</f>
        <v>CTW</v>
      </c>
      <c r="F81" s="36" t="str">
        <f>IF(ISNA(VLOOKUP($A81&amp;F$2,'2004'!$B$2:$K$1621,10,0)),VLOOKUP($A81&amp;F$2,'2004'!$A$2:$K$1621,10,0),VLOOKUP($A81&amp;F$2,'2004'!$B$2:$K$1621,10,0))</f>
        <v>@BBG</v>
      </c>
      <c r="G81" s="35" t="str">
        <f>IF(ISNA(VLOOKUP($A81&amp;G$2,'2004'!$B$2:$K$1621,10,0)),VLOOKUP($A81&amp;G$2,'2004'!$A$2:$K$1621,10,0),VLOOKUP($A81&amp;G$2,'2004'!$B$2:$K$1621,10,0))</f>
        <v>@CBB</v>
      </c>
      <c r="H81" s="35" t="str">
        <f>IF(ISNA(VLOOKUP($A81&amp;H$2,'2004'!$B$2:$K$1621,10,0)),VLOOKUP($A81&amp;H$2,'2004'!$A$2:$K$1621,10,0),VLOOKUP($A81&amp;H$2,'2004'!$B$2:$K$1621,10,0))</f>
        <v>NEP</v>
      </c>
      <c r="I81" s="35" t="str">
        <f>IF(ISNA(VLOOKUP($A81&amp;I$2,'2004'!$B$2:$K$1621,10,0)),VLOOKUP($A81&amp;I$2,'2004'!$A$2:$K$1621,10,0),VLOOKUP($A81&amp;I$2,'2004'!$B$2:$K$1621,10,0))</f>
        <v>@FDH</v>
      </c>
      <c r="J81" s="35" t="str">
        <f>IF(ISNA(VLOOKUP($A81&amp;J$2,'2004'!$B$2:$K$1621,10,0)),VLOOKUP($A81&amp;J$2,'2004'!$A$2:$K$1621,10,0),VLOOKUP($A81&amp;J$2,'2004'!$B$2:$K$1621,10,0))</f>
        <v>@TEW</v>
      </c>
      <c r="K81" s="35" t="str">
        <f>IF(ISNA(VLOOKUP($A81&amp;K$2,'2004'!$B$2:$K$1621,10,0)),VLOOKUP($A81&amp;K$2,'2004'!$A$2:$K$1621,10,0),VLOOKUP($A81&amp;K$2,'2004'!$B$2:$K$1621,10,0))</f>
        <v>REN</v>
      </c>
      <c r="L81" s="34" t="str">
        <f>IF(ISNA(VLOOKUP($A81&amp;L$2,'2004'!$B$2:$K$1621,10,0)),VLOOKUP($A81&amp;L$2,'2004'!$A$2:$K$1621,10,0),VLOOKUP($A81&amp;L$2,'2004'!$B$2:$K$1621,10,0))</f>
        <v>RMO</v>
      </c>
      <c r="M81" s="34" t="str">
        <f>IF(ISNA(VLOOKUP($A81&amp;M$2,'2004'!$B$2:$K$1621,10,0)),VLOOKUP($A81&amp;M$2,'2004'!$A$2:$K$1621,10,0),VLOOKUP($A81&amp;M$2,'2004'!$B$2:$K$1621,10,0))</f>
        <v>NNN</v>
      </c>
      <c r="N81" s="34" t="str">
        <f>IF(ISNA(VLOOKUP($A81&amp;N$2,'2004'!$B$2:$K$1621,10,0)),VLOOKUP($A81&amp;N$2,'2004'!$A$2:$K$1621,10,0),VLOOKUP($A81&amp;N$2,'2004'!$B$2:$K$1621,10,0))</f>
        <v>@FFR</v>
      </c>
      <c r="O81" s="34" t="str">
        <f>IF(ISNA(VLOOKUP($A81&amp;O$2,'2004'!$B$2:$K$1621,10,0)),VLOOKUP($A81&amp;O$2,'2004'!$A$2:$K$1621,10,0),VLOOKUP($A81&amp;O$2,'2004'!$B$2:$K$1621,10,0))</f>
        <v>BAR</v>
      </c>
      <c r="P81" s="34" t="str">
        <f>IF(ISNA(VLOOKUP($A81&amp;P$2,'2004'!$B$2:$K$1621,10,0)),VLOOKUP($A81&amp;P$2,'2004'!$A$2:$K$1621,10,0),VLOOKUP($A81&amp;P$2,'2004'!$B$2:$K$1621,10,0))</f>
        <v>@DIG</v>
      </c>
      <c r="Q81" s="38" t="str">
        <f>IF(ISNA(VLOOKUP($A81&amp;Q$2,'2004'!$B$2:$K$1621,10,0)),VLOOKUP($A81&amp;Q$2,'2004'!$A$2:$K$1621,10,0),VLOOKUP($A81&amp;Q$2,'2004'!$B$2:$K$1621,10,0))</f>
        <v>PHI</v>
      </c>
      <c r="R81" s="38" t="str">
        <f>IF(ISNA(VLOOKUP($A81&amp;R$2,'2004'!$B$2:$K$1621,10,0)),VLOOKUP($A81&amp;R$2,'2004'!$A$2:$K$1621,10,0),VLOOKUP($A81&amp;R$2,'2004'!$B$2:$K$1621,10,0))</f>
        <v>CEN</v>
      </c>
      <c r="S81" s="38" t="str">
        <f>IF(ISNA(VLOOKUP($A81&amp;S$2,'2004'!$B$2:$K$1621,10,0)),VLOOKUP($A81&amp;S$2,'2004'!$A$2:$K$1621,10,0),VLOOKUP($A81&amp;S$2,'2004'!$B$2:$K$1621,10,0))</f>
        <v>NYD</v>
      </c>
      <c r="T81" s="38" t="str">
        <f>IF(ISNA(VLOOKUP($A81&amp;T$2,'2004'!$B$2:$K$1621,10,0)),VLOOKUP($A81&amp;T$2,'2004'!$A$2:$K$1621,10,0),VLOOKUP($A81&amp;T$2,'2004'!$B$2:$K$1621,10,0))</f>
        <v>@HAR</v>
      </c>
      <c r="U81" s="38" t="str">
        <f>IF(ISNA(VLOOKUP($A81&amp;U$2,'2004'!$B$2:$K$1621,10,0)),VLOOKUP($A81&amp;U$2,'2004'!$A$2:$K$1621,10,0),VLOOKUP($A81&amp;U$2,'2004'!$B$2:$K$1621,10,0))</f>
        <v>@BRK</v>
      </c>
    </row>
    <row r="82" spans="1:21" x14ac:dyDescent="0.25">
      <c r="A82" s="40">
        <f t="shared" si="1"/>
        <v>38159</v>
      </c>
      <c r="B82" s="36" t="str">
        <f>IF(ISNA(VLOOKUP($A82&amp;B$2,'2004'!$B$2:$K$1621,10,0)),VLOOKUP($A82&amp;B$2,'2004'!$A$2:$K$1621,10,0),VLOOKUP($A82&amp;B$2,'2004'!$B$2:$K$1621,10,0))</f>
        <v>GAR</v>
      </c>
      <c r="C82" s="36" t="e">
        <f>IF(ISNA(VLOOKUP($A82&amp;C$2,'2004'!$B$2:$K$1621,10,0)),VLOOKUP($A82&amp;C$2,'2004'!$A$2:$K$1621,10,0),VLOOKUP($A82&amp;C$2,'2004'!$B$2:$K$1621,10,0))</f>
        <v>#N/A</v>
      </c>
      <c r="D82" s="36" t="str">
        <f>IF(ISNA(VLOOKUP($A82&amp;D$2,'2004'!$B$2:$K$1621,10,0)),VLOOKUP($A82&amp;D$2,'2004'!$A$2:$K$1621,10,0),VLOOKUP($A82&amp;D$2,'2004'!$B$2:$K$1621,10,0))</f>
        <v>@CIN</v>
      </c>
      <c r="E82" s="36" t="str">
        <f>IF(ISNA(VLOOKUP($A82&amp;E$2,'2004'!$B$2:$K$1621,10,0)),VLOOKUP($A82&amp;E$2,'2004'!$A$2:$K$1621,10,0),VLOOKUP($A82&amp;E$2,'2004'!$B$2:$K$1621,10,0))</f>
        <v>CTW</v>
      </c>
      <c r="F82" s="36" t="str">
        <f>IF(ISNA(VLOOKUP($A82&amp;F$2,'2004'!$B$2:$K$1621,10,0)),VLOOKUP($A82&amp;F$2,'2004'!$A$2:$K$1621,10,0),VLOOKUP($A82&amp;F$2,'2004'!$B$2:$K$1621,10,0))</f>
        <v>@BBG</v>
      </c>
      <c r="G82" s="35" t="e">
        <f>IF(ISNA(VLOOKUP($A82&amp;G$2,'2004'!$B$2:$K$1621,10,0)),VLOOKUP($A82&amp;G$2,'2004'!$A$2:$K$1621,10,0),VLOOKUP($A82&amp;G$2,'2004'!$B$2:$K$1621,10,0))</f>
        <v>#N/A</v>
      </c>
      <c r="H82" s="35" t="str">
        <f>IF(ISNA(VLOOKUP($A82&amp;H$2,'2004'!$B$2:$K$1621,10,0)),VLOOKUP($A82&amp;H$2,'2004'!$A$2:$K$1621,10,0),VLOOKUP($A82&amp;H$2,'2004'!$B$2:$K$1621,10,0))</f>
        <v>NEP</v>
      </c>
      <c r="I82" s="35" t="str">
        <f>IF(ISNA(VLOOKUP($A82&amp;I$2,'2004'!$B$2:$K$1621,10,0)),VLOOKUP($A82&amp;I$2,'2004'!$A$2:$K$1621,10,0),VLOOKUP($A82&amp;I$2,'2004'!$B$2:$K$1621,10,0))</f>
        <v>@FDH</v>
      </c>
      <c r="J82" s="35" t="str">
        <f>IF(ISNA(VLOOKUP($A82&amp;J$2,'2004'!$B$2:$K$1621,10,0)),VLOOKUP($A82&amp;J$2,'2004'!$A$2:$K$1621,10,0),VLOOKUP($A82&amp;J$2,'2004'!$B$2:$K$1621,10,0))</f>
        <v>@TEW</v>
      </c>
      <c r="K82" s="35" t="str">
        <f>IF(ISNA(VLOOKUP($A82&amp;K$2,'2004'!$B$2:$K$1621,10,0)),VLOOKUP($A82&amp;K$2,'2004'!$A$2:$K$1621,10,0),VLOOKUP($A82&amp;K$2,'2004'!$B$2:$K$1621,10,0))</f>
        <v>REN</v>
      </c>
      <c r="L82" s="34" t="e">
        <f>IF(ISNA(VLOOKUP($A82&amp;L$2,'2004'!$B$2:$K$1621,10,0)),VLOOKUP($A82&amp;L$2,'2004'!$A$2:$K$1621,10,0),VLOOKUP($A82&amp;L$2,'2004'!$B$2:$K$1621,10,0))</f>
        <v>#N/A</v>
      </c>
      <c r="M82" s="34" t="e">
        <f>IF(ISNA(VLOOKUP($A82&amp;M$2,'2004'!$B$2:$K$1621,10,0)),VLOOKUP($A82&amp;M$2,'2004'!$A$2:$K$1621,10,0),VLOOKUP($A82&amp;M$2,'2004'!$B$2:$K$1621,10,0))</f>
        <v>#N/A</v>
      </c>
      <c r="N82" s="34" t="e">
        <f>IF(ISNA(VLOOKUP($A82&amp;N$2,'2004'!$B$2:$K$1621,10,0)),VLOOKUP($A82&amp;N$2,'2004'!$A$2:$K$1621,10,0),VLOOKUP($A82&amp;N$2,'2004'!$B$2:$K$1621,10,0))</f>
        <v>#N/A</v>
      </c>
      <c r="O82" s="34" t="e">
        <f>IF(ISNA(VLOOKUP($A82&amp;O$2,'2004'!$B$2:$K$1621,10,0)),VLOOKUP($A82&amp;O$2,'2004'!$A$2:$K$1621,10,0),VLOOKUP($A82&amp;O$2,'2004'!$B$2:$K$1621,10,0))</f>
        <v>#N/A</v>
      </c>
      <c r="P82" s="34" t="e">
        <f>IF(ISNA(VLOOKUP($A82&amp;P$2,'2004'!$B$2:$K$1621,10,0)),VLOOKUP($A82&amp;P$2,'2004'!$A$2:$K$1621,10,0),VLOOKUP($A82&amp;P$2,'2004'!$B$2:$K$1621,10,0))</f>
        <v>#N/A</v>
      </c>
      <c r="Q82" s="38" t="e">
        <f>IF(ISNA(VLOOKUP($A82&amp;Q$2,'2004'!$B$2:$K$1621,10,0)),VLOOKUP($A82&amp;Q$2,'2004'!$A$2:$K$1621,10,0),VLOOKUP($A82&amp;Q$2,'2004'!$B$2:$K$1621,10,0))</f>
        <v>#N/A</v>
      </c>
      <c r="R82" s="38" t="e">
        <f>IF(ISNA(VLOOKUP($A82&amp;R$2,'2004'!$B$2:$K$1621,10,0)),VLOOKUP($A82&amp;R$2,'2004'!$A$2:$K$1621,10,0),VLOOKUP($A82&amp;R$2,'2004'!$B$2:$K$1621,10,0))</f>
        <v>#N/A</v>
      </c>
      <c r="S82" s="38" t="e">
        <f>IF(ISNA(VLOOKUP($A82&amp;S$2,'2004'!$B$2:$K$1621,10,0)),VLOOKUP($A82&amp;S$2,'2004'!$A$2:$K$1621,10,0),VLOOKUP($A82&amp;S$2,'2004'!$B$2:$K$1621,10,0))</f>
        <v>#N/A</v>
      </c>
      <c r="T82" s="38" t="e">
        <f>IF(ISNA(VLOOKUP($A82&amp;T$2,'2004'!$B$2:$K$1621,10,0)),VLOOKUP($A82&amp;T$2,'2004'!$A$2:$K$1621,10,0),VLOOKUP($A82&amp;T$2,'2004'!$B$2:$K$1621,10,0))</f>
        <v>#N/A</v>
      </c>
      <c r="U82" s="38" t="e">
        <f>IF(ISNA(VLOOKUP($A82&amp;U$2,'2004'!$B$2:$K$1621,10,0)),VLOOKUP($A82&amp;U$2,'2004'!$A$2:$K$1621,10,0),VLOOKUP($A82&amp;U$2,'2004'!$B$2:$K$1621,10,0))</f>
        <v>#N/A</v>
      </c>
    </row>
    <row r="83" spans="1:21" x14ac:dyDescent="0.25">
      <c r="A83" s="40">
        <f t="shared" si="1"/>
        <v>38160</v>
      </c>
      <c r="B83" s="36" t="str">
        <f>IF(ISNA(VLOOKUP($A83&amp;B$2,'2004'!$B$2:$K$1621,10,0)),VLOOKUP($A83&amp;B$2,'2004'!$A$2:$K$1621,10,0),VLOOKUP($A83&amp;B$2,'2004'!$B$2:$K$1621,10,0))</f>
        <v>DIG</v>
      </c>
      <c r="C83" s="36" t="str">
        <f>IF(ISNA(VLOOKUP($A83&amp;C$2,'2004'!$B$2:$K$1621,10,0)),VLOOKUP($A83&amp;C$2,'2004'!$A$2:$K$1621,10,0),VLOOKUP($A83&amp;C$2,'2004'!$B$2:$K$1621,10,0))</f>
        <v>FFR</v>
      </c>
      <c r="D83" s="36" t="str">
        <f>IF(ISNA(VLOOKUP($A83&amp;D$2,'2004'!$B$2:$K$1621,10,0)),VLOOKUP($A83&amp;D$2,'2004'!$A$2:$K$1621,10,0),VLOOKUP($A83&amp;D$2,'2004'!$B$2:$K$1621,10,0))</f>
        <v>OKO</v>
      </c>
      <c r="E83" s="36" t="str">
        <f>IF(ISNA(VLOOKUP($A83&amp;E$2,'2004'!$B$2:$K$1621,10,0)),VLOOKUP($A83&amp;E$2,'2004'!$A$2:$K$1621,10,0),VLOOKUP($A83&amp;E$2,'2004'!$B$2:$K$1621,10,0))</f>
        <v>NNN</v>
      </c>
      <c r="F83" s="36" t="str">
        <f>IF(ISNA(VLOOKUP($A83&amp;F$2,'2004'!$B$2:$K$1621,10,0)),VLOOKUP($A83&amp;F$2,'2004'!$A$2:$K$1621,10,0),VLOOKUP($A83&amp;F$2,'2004'!$B$2:$K$1621,10,0))</f>
        <v>RMO</v>
      </c>
      <c r="G83" s="35" t="str">
        <f>IF(ISNA(VLOOKUP($A83&amp;G$2,'2004'!$B$2:$K$1621,10,0)),VLOOKUP($A83&amp;G$2,'2004'!$A$2:$K$1621,10,0),VLOOKUP($A83&amp;G$2,'2004'!$B$2:$K$1621,10,0))</f>
        <v>HAR</v>
      </c>
      <c r="H83" s="35" t="str">
        <f>IF(ISNA(VLOOKUP($A83&amp;H$2,'2004'!$B$2:$K$1621,10,0)),VLOOKUP($A83&amp;H$2,'2004'!$A$2:$K$1621,10,0),VLOOKUP($A83&amp;H$2,'2004'!$B$2:$K$1621,10,0))</f>
        <v>NYD</v>
      </c>
      <c r="I83" s="35" t="str">
        <f>IF(ISNA(VLOOKUP($A83&amp;I$2,'2004'!$B$2:$K$1621,10,0)),VLOOKUP($A83&amp;I$2,'2004'!$A$2:$K$1621,10,0),VLOOKUP($A83&amp;I$2,'2004'!$B$2:$K$1621,10,0))</f>
        <v>CBB</v>
      </c>
      <c r="J83" s="35" t="str">
        <f>IF(ISNA(VLOOKUP($A83&amp;J$2,'2004'!$B$2:$K$1621,10,0)),VLOOKUP($A83&amp;J$2,'2004'!$A$2:$K$1621,10,0),VLOOKUP($A83&amp;J$2,'2004'!$B$2:$K$1621,10,0))</f>
        <v>PHI</v>
      </c>
      <c r="K83" s="35" t="str">
        <f>IF(ISNA(VLOOKUP($A83&amp;K$2,'2004'!$B$2:$K$1621,10,0)),VLOOKUP($A83&amp;K$2,'2004'!$A$2:$K$1621,10,0),VLOOKUP($A83&amp;K$2,'2004'!$B$2:$K$1621,10,0))</f>
        <v>BRK</v>
      </c>
      <c r="L83" s="34" t="str">
        <f>IF(ISNA(VLOOKUP($A83&amp;L$2,'2004'!$B$2:$K$1621,10,0)),VLOOKUP($A83&amp;L$2,'2004'!$A$2:$K$1621,10,0),VLOOKUP($A83&amp;L$2,'2004'!$B$2:$K$1621,10,0))</f>
        <v>@BBG</v>
      </c>
      <c r="M83" s="34" t="str">
        <f>IF(ISNA(VLOOKUP($A83&amp;M$2,'2004'!$B$2:$K$1621,10,0)),VLOOKUP($A83&amp;M$2,'2004'!$A$2:$K$1621,10,0),VLOOKUP($A83&amp;M$2,'2004'!$B$2:$K$1621,10,0))</f>
        <v>@BAR</v>
      </c>
      <c r="N83" s="34" t="str">
        <f>IF(ISNA(VLOOKUP($A83&amp;N$2,'2004'!$B$2:$K$1621,10,0)),VLOOKUP($A83&amp;N$2,'2004'!$A$2:$K$1621,10,0),VLOOKUP($A83&amp;N$2,'2004'!$B$2:$K$1621,10,0))</f>
        <v>@CIN</v>
      </c>
      <c r="O83" s="34" t="str">
        <f>IF(ISNA(VLOOKUP($A83&amp;O$2,'2004'!$B$2:$K$1621,10,0)),VLOOKUP($A83&amp;O$2,'2004'!$A$2:$K$1621,10,0),VLOOKUP($A83&amp;O$2,'2004'!$B$2:$K$1621,10,0))</f>
        <v>@CTW</v>
      </c>
      <c r="P83" s="34" t="str">
        <f>IF(ISNA(VLOOKUP($A83&amp;P$2,'2004'!$B$2:$K$1621,10,0)),VLOOKUP($A83&amp;P$2,'2004'!$A$2:$K$1621,10,0),VLOOKUP($A83&amp;P$2,'2004'!$B$2:$K$1621,10,0))</f>
        <v>@GAR</v>
      </c>
      <c r="Q83" s="38" t="str">
        <f>IF(ISNA(VLOOKUP($A83&amp;Q$2,'2004'!$B$2:$K$1621,10,0)),VLOOKUP($A83&amp;Q$2,'2004'!$A$2:$K$1621,10,0),VLOOKUP($A83&amp;Q$2,'2004'!$B$2:$K$1621,10,0))</f>
        <v>@TEW</v>
      </c>
      <c r="R83" s="38" t="str">
        <f>IF(ISNA(VLOOKUP($A83&amp;R$2,'2004'!$B$2:$K$1621,10,0)),VLOOKUP($A83&amp;R$2,'2004'!$A$2:$K$1621,10,0),VLOOKUP($A83&amp;R$2,'2004'!$B$2:$K$1621,10,0))</f>
        <v>@NEP</v>
      </c>
      <c r="S83" s="38" t="str">
        <f>IF(ISNA(VLOOKUP($A83&amp;S$2,'2004'!$B$2:$K$1621,10,0)),VLOOKUP($A83&amp;S$2,'2004'!$A$2:$K$1621,10,0),VLOOKUP($A83&amp;S$2,'2004'!$B$2:$K$1621,10,0))</f>
        <v>@CEN</v>
      </c>
      <c r="T83" s="38" t="str">
        <f>IF(ISNA(VLOOKUP($A83&amp;T$2,'2004'!$B$2:$K$1621,10,0)),VLOOKUP($A83&amp;T$2,'2004'!$A$2:$K$1621,10,0),VLOOKUP($A83&amp;T$2,'2004'!$B$2:$K$1621,10,0))</f>
        <v>@FDH</v>
      </c>
      <c r="U83" s="38" t="str">
        <f>IF(ISNA(VLOOKUP($A83&amp;U$2,'2004'!$B$2:$K$1621,10,0)),VLOOKUP($A83&amp;U$2,'2004'!$A$2:$K$1621,10,0),VLOOKUP($A83&amp;U$2,'2004'!$B$2:$K$1621,10,0))</f>
        <v>@REN</v>
      </c>
    </row>
    <row r="84" spans="1:21" x14ac:dyDescent="0.25">
      <c r="A84" s="40">
        <f t="shared" si="1"/>
        <v>38161</v>
      </c>
      <c r="B84" s="36" t="str">
        <f>IF(ISNA(VLOOKUP($A84&amp;B$2,'2004'!$B$2:$K$1621,10,0)),VLOOKUP($A84&amp;B$2,'2004'!$A$2:$K$1621,10,0),VLOOKUP($A84&amp;B$2,'2004'!$B$2:$K$1621,10,0))</f>
        <v>DIG</v>
      </c>
      <c r="C84" s="36" t="str">
        <f>IF(ISNA(VLOOKUP($A84&amp;C$2,'2004'!$B$2:$K$1621,10,0)),VLOOKUP($A84&amp;C$2,'2004'!$A$2:$K$1621,10,0),VLOOKUP($A84&amp;C$2,'2004'!$B$2:$K$1621,10,0))</f>
        <v>FFR</v>
      </c>
      <c r="D84" s="36" t="str">
        <f>IF(ISNA(VLOOKUP($A84&amp;D$2,'2004'!$B$2:$K$1621,10,0)),VLOOKUP($A84&amp;D$2,'2004'!$A$2:$K$1621,10,0),VLOOKUP($A84&amp;D$2,'2004'!$B$2:$K$1621,10,0))</f>
        <v>OKO</v>
      </c>
      <c r="E84" s="36" t="str">
        <f>IF(ISNA(VLOOKUP($A84&amp;E$2,'2004'!$B$2:$K$1621,10,0)),VLOOKUP($A84&amp;E$2,'2004'!$A$2:$K$1621,10,0),VLOOKUP($A84&amp;E$2,'2004'!$B$2:$K$1621,10,0))</f>
        <v>NNN</v>
      </c>
      <c r="F84" s="36" t="str">
        <f>IF(ISNA(VLOOKUP($A84&amp;F$2,'2004'!$B$2:$K$1621,10,0)),VLOOKUP($A84&amp;F$2,'2004'!$A$2:$K$1621,10,0),VLOOKUP($A84&amp;F$2,'2004'!$B$2:$K$1621,10,0))</f>
        <v>RMO</v>
      </c>
      <c r="G84" s="35" t="str">
        <f>IF(ISNA(VLOOKUP($A84&amp;G$2,'2004'!$B$2:$K$1621,10,0)),VLOOKUP($A84&amp;G$2,'2004'!$A$2:$K$1621,10,0),VLOOKUP($A84&amp;G$2,'2004'!$B$2:$K$1621,10,0))</f>
        <v>HAR</v>
      </c>
      <c r="H84" s="35" t="str">
        <f>IF(ISNA(VLOOKUP($A84&amp;H$2,'2004'!$B$2:$K$1621,10,0)),VLOOKUP($A84&amp;H$2,'2004'!$A$2:$K$1621,10,0),VLOOKUP($A84&amp;H$2,'2004'!$B$2:$K$1621,10,0))</f>
        <v>NYD</v>
      </c>
      <c r="I84" s="35" t="str">
        <f>IF(ISNA(VLOOKUP($A84&amp;I$2,'2004'!$B$2:$K$1621,10,0)),VLOOKUP($A84&amp;I$2,'2004'!$A$2:$K$1621,10,0),VLOOKUP($A84&amp;I$2,'2004'!$B$2:$K$1621,10,0))</f>
        <v>CBB</v>
      </c>
      <c r="J84" s="35" t="str">
        <f>IF(ISNA(VLOOKUP($A84&amp;J$2,'2004'!$B$2:$K$1621,10,0)),VLOOKUP($A84&amp;J$2,'2004'!$A$2:$K$1621,10,0),VLOOKUP($A84&amp;J$2,'2004'!$B$2:$K$1621,10,0))</f>
        <v>PHI</v>
      </c>
      <c r="K84" s="35" t="str">
        <f>IF(ISNA(VLOOKUP($A84&amp;K$2,'2004'!$B$2:$K$1621,10,0)),VLOOKUP($A84&amp;K$2,'2004'!$A$2:$K$1621,10,0),VLOOKUP($A84&amp;K$2,'2004'!$B$2:$K$1621,10,0))</f>
        <v>BRK</v>
      </c>
      <c r="L84" s="34" t="str">
        <f>IF(ISNA(VLOOKUP($A84&amp;L$2,'2004'!$B$2:$K$1621,10,0)),VLOOKUP($A84&amp;L$2,'2004'!$A$2:$K$1621,10,0),VLOOKUP($A84&amp;L$2,'2004'!$B$2:$K$1621,10,0))</f>
        <v>@BBG</v>
      </c>
      <c r="M84" s="34" t="str">
        <f>IF(ISNA(VLOOKUP($A84&amp;M$2,'2004'!$B$2:$K$1621,10,0)),VLOOKUP($A84&amp;M$2,'2004'!$A$2:$K$1621,10,0),VLOOKUP($A84&amp;M$2,'2004'!$B$2:$K$1621,10,0))</f>
        <v>@BAR</v>
      </c>
      <c r="N84" s="34" t="str">
        <f>IF(ISNA(VLOOKUP($A84&amp;N$2,'2004'!$B$2:$K$1621,10,0)),VLOOKUP($A84&amp;N$2,'2004'!$A$2:$K$1621,10,0),VLOOKUP($A84&amp;N$2,'2004'!$B$2:$K$1621,10,0))</f>
        <v>@CIN</v>
      </c>
      <c r="O84" s="34" t="str">
        <f>IF(ISNA(VLOOKUP($A84&amp;O$2,'2004'!$B$2:$K$1621,10,0)),VLOOKUP($A84&amp;O$2,'2004'!$A$2:$K$1621,10,0),VLOOKUP($A84&amp;O$2,'2004'!$B$2:$K$1621,10,0))</f>
        <v>@CTW</v>
      </c>
      <c r="P84" s="34" t="str">
        <f>IF(ISNA(VLOOKUP($A84&amp;P$2,'2004'!$B$2:$K$1621,10,0)),VLOOKUP($A84&amp;P$2,'2004'!$A$2:$K$1621,10,0),VLOOKUP($A84&amp;P$2,'2004'!$B$2:$K$1621,10,0))</f>
        <v>@GAR</v>
      </c>
      <c r="Q84" s="38" t="str">
        <f>IF(ISNA(VLOOKUP($A84&amp;Q$2,'2004'!$B$2:$K$1621,10,0)),VLOOKUP($A84&amp;Q$2,'2004'!$A$2:$K$1621,10,0),VLOOKUP($A84&amp;Q$2,'2004'!$B$2:$K$1621,10,0))</f>
        <v>@TEW</v>
      </c>
      <c r="R84" s="38" t="str">
        <f>IF(ISNA(VLOOKUP($A84&amp;R$2,'2004'!$B$2:$K$1621,10,0)),VLOOKUP($A84&amp;R$2,'2004'!$A$2:$K$1621,10,0),VLOOKUP($A84&amp;R$2,'2004'!$B$2:$K$1621,10,0))</f>
        <v>@NEP</v>
      </c>
      <c r="S84" s="38" t="str">
        <f>IF(ISNA(VLOOKUP($A84&amp;S$2,'2004'!$B$2:$K$1621,10,0)),VLOOKUP($A84&amp;S$2,'2004'!$A$2:$K$1621,10,0),VLOOKUP($A84&amp;S$2,'2004'!$B$2:$K$1621,10,0))</f>
        <v>@CEN</v>
      </c>
      <c r="T84" s="38" t="str">
        <f>IF(ISNA(VLOOKUP($A84&amp;T$2,'2004'!$B$2:$K$1621,10,0)),VLOOKUP($A84&amp;T$2,'2004'!$A$2:$K$1621,10,0),VLOOKUP($A84&amp;T$2,'2004'!$B$2:$K$1621,10,0))</f>
        <v>@FDH</v>
      </c>
      <c r="U84" s="38" t="str">
        <f>IF(ISNA(VLOOKUP($A84&amp;U$2,'2004'!$B$2:$K$1621,10,0)),VLOOKUP($A84&amp;U$2,'2004'!$A$2:$K$1621,10,0),VLOOKUP($A84&amp;U$2,'2004'!$B$2:$K$1621,10,0))</f>
        <v>@REN</v>
      </c>
    </row>
    <row r="85" spans="1:21" x14ac:dyDescent="0.25">
      <c r="A85" s="40">
        <f t="shared" si="1"/>
        <v>38162</v>
      </c>
      <c r="B85" s="36" t="str">
        <f>IF(ISNA(VLOOKUP($A85&amp;B$2,'2004'!$B$2:$K$1621,10,0)),VLOOKUP($A85&amp;B$2,'2004'!$A$2:$K$1621,10,0),VLOOKUP($A85&amp;B$2,'2004'!$B$2:$K$1621,10,0))</f>
        <v>DIG</v>
      </c>
      <c r="C85" s="36" t="str">
        <f>IF(ISNA(VLOOKUP($A85&amp;C$2,'2004'!$B$2:$K$1621,10,0)),VLOOKUP($A85&amp;C$2,'2004'!$A$2:$K$1621,10,0),VLOOKUP($A85&amp;C$2,'2004'!$B$2:$K$1621,10,0))</f>
        <v>FFR</v>
      </c>
      <c r="D85" s="36" t="str">
        <f>IF(ISNA(VLOOKUP($A85&amp;D$2,'2004'!$B$2:$K$1621,10,0)),VLOOKUP($A85&amp;D$2,'2004'!$A$2:$K$1621,10,0),VLOOKUP($A85&amp;D$2,'2004'!$B$2:$K$1621,10,0))</f>
        <v>OKO</v>
      </c>
      <c r="E85" s="36" t="str">
        <f>IF(ISNA(VLOOKUP($A85&amp;E$2,'2004'!$B$2:$K$1621,10,0)),VLOOKUP($A85&amp;E$2,'2004'!$A$2:$K$1621,10,0),VLOOKUP($A85&amp;E$2,'2004'!$B$2:$K$1621,10,0))</f>
        <v>NNN</v>
      </c>
      <c r="F85" s="36" t="str">
        <f>IF(ISNA(VLOOKUP($A85&amp;F$2,'2004'!$B$2:$K$1621,10,0)),VLOOKUP($A85&amp;F$2,'2004'!$A$2:$K$1621,10,0),VLOOKUP($A85&amp;F$2,'2004'!$B$2:$K$1621,10,0))</f>
        <v>RMO</v>
      </c>
      <c r="G85" s="35" t="str">
        <f>IF(ISNA(VLOOKUP($A85&amp;G$2,'2004'!$B$2:$K$1621,10,0)),VLOOKUP($A85&amp;G$2,'2004'!$A$2:$K$1621,10,0),VLOOKUP($A85&amp;G$2,'2004'!$B$2:$K$1621,10,0))</f>
        <v>HAR</v>
      </c>
      <c r="H85" s="35" t="str">
        <f>IF(ISNA(VLOOKUP($A85&amp;H$2,'2004'!$B$2:$K$1621,10,0)),VLOOKUP($A85&amp;H$2,'2004'!$A$2:$K$1621,10,0),VLOOKUP($A85&amp;H$2,'2004'!$B$2:$K$1621,10,0))</f>
        <v>NYD</v>
      </c>
      <c r="I85" s="35" t="str">
        <f>IF(ISNA(VLOOKUP($A85&amp;I$2,'2004'!$B$2:$K$1621,10,0)),VLOOKUP($A85&amp;I$2,'2004'!$A$2:$K$1621,10,0),VLOOKUP($A85&amp;I$2,'2004'!$B$2:$K$1621,10,0))</f>
        <v>CBB</v>
      </c>
      <c r="J85" s="35" t="str">
        <f>IF(ISNA(VLOOKUP($A85&amp;J$2,'2004'!$B$2:$K$1621,10,0)),VLOOKUP($A85&amp;J$2,'2004'!$A$2:$K$1621,10,0),VLOOKUP($A85&amp;J$2,'2004'!$B$2:$K$1621,10,0))</f>
        <v>PHI</v>
      </c>
      <c r="K85" s="35" t="str">
        <f>IF(ISNA(VLOOKUP($A85&amp;K$2,'2004'!$B$2:$K$1621,10,0)),VLOOKUP($A85&amp;K$2,'2004'!$A$2:$K$1621,10,0),VLOOKUP($A85&amp;K$2,'2004'!$B$2:$K$1621,10,0))</f>
        <v>BRK</v>
      </c>
      <c r="L85" s="34" t="str">
        <f>IF(ISNA(VLOOKUP($A85&amp;L$2,'2004'!$B$2:$K$1621,10,0)),VLOOKUP($A85&amp;L$2,'2004'!$A$2:$K$1621,10,0),VLOOKUP($A85&amp;L$2,'2004'!$B$2:$K$1621,10,0))</f>
        <v>@BBG</v>
      </c>
      <c r="M85" s="34" t="str">
        <f>IF(ISNA(VLOOKUP($A85&amp;M$2,'2004'!$B$2:$K$1621,10,0)),VLOOKUP($A85&amp;M$2,'2004'!$A$2:$K$1621,10,0),VLOOKUP($A85&amp;M$2,'2004'!$B$2:$K$1621,10,0))</f>
        <v>@BAR</v>
      </c>
      <c r="N85" s="34" t="str">
        <f>IF(ISNA(VLOOKUP($A85&amp;N$2,'2004'!$B$2:$K$1621,10,0)),VLOOKUP($A85&amp;N$2,'2004'!$A$2:$K$1621,10,0),VLOOKUP($A85&amp;N$2,'2004'!$B$2:$K$1621,10,0))</f>
        <v>@CIN</v>
      </c>
      <c r="O85" s="34" t="str">
        <f>IF(ISNA(VLOOKUP($A85&amp;O$2,'2004'!$B$2:$K$1621,10,0)),VLOOKUP($A85&amp;O$2,'2004'!$A$2:$K$1621,10,0),VLOOKUP($A85&amp;O$2,'2004'!$B$2:$K$1621,10,0))</f>
        <v>@CTW</v>
      </c>
      <c r="P85" s="34" t="str">
        <f>IF(ISNA(VLOOKUP($A85&amp;P$2,'2004'!$B$2:$K$1621,10,0)),VLOOKUP($A85&amp;P$2,'2004'!$A$2:$K$1621,10,0),VLOOKUP($A85&amp;P$2,'2004'!$B$2:$K$1621,10,0))</f>
        <v>@GAR</v>
      </c>
      <c r="Q85" s="38" t="str">
        <f>IF(ISNA(VLOOKUP($A85&amp;Q$2,'2004'!$B$2:$K$1621,10,0)),VLOOKUP($A85&amp;Q$2,'2004'!$A$2:$K$1621,10,0),VLOOKUP($A85&amp;Q$2,'2004'!$B$2:$K$1621,10,0))</f>
        <v>@TEW</v>
      </c>
      <c r="R85" s="38" t="str">
        <f>IF(ISNA(VLOOKUP($A85&amp;R$2,'2004'!$B$2:$K$1621,10,0)),VLOOKUP($A85&amp;R$2,'2004'!$A$2:$K$1621,10,0),VLOOKUP($A85&amp;R$2,'2004'!$B$2:$K$1621,10,0))</f>
        <v>@NEP</v>
      </c>
      <c r="S85" s="38" t="str">
        <f>IF(ISNA(VLOOKUP($A85&amp;S$2,'2004'!$B$2:$K$1621,10,0)),VLOOKUP($A85&amp;S$2,'2004'!$A$2:$K$1621,10,0),VLOOKUP($A85&amp;S$2,'2004'!$B$2:$K$1621,10,0))</f>
        <v>@CEN</v>
      </c>
      <c r="T85" s="38" t="str">
        <f>IF(ISNA(VLOOKUP($A85&amp;T$2,'2004'!$B$2:$K$1621,10,0)),VLOOKUP($A85&amp;T$2,'2004'!$A$2:$K$1621,10,0),VLOOKUP($A85&amp;T$2,'2004'!$B$2:$K$1621,10,0))</f>
        <v>@FDH</v>
      </c>
      <c r="U85" s="38" t="str">
        <f>IF(ISNA(VLOOKUP($A85&amp;U$2,'2004'!$B$2:$K$1621,10,0)),VLOOKUP($A85&amp;U$2,'2004'!$A$2:$K$1621,10,0),VLOOKUP($A85&amp;U$2,'2004'!$B$2:$K$1621,10,0))</f>
        <v>@REN</v>
      </c>
    </row>
    <row r="86" spans="1:21" x14ac:dyDescent="0.25">
      <c r="A86" s="40">
        <f t="shared" si="1"/>
        <v>38163</v>
      </c>
      <c r="B86" s="36" t="str">
        <f>IF(ISNA(VLOOKUP($A86&amp;B$2,'2004'!$B$2:$K$1621,10,0)),VLOOKUP($A86&amp;B$2,'2004'!$A$2:$K$1621,10,0),VLOOKUP($A86&amp;B$2,'2004'!$B$2:$K$1621,10,0))</f>
        <v>DIG</v>
      </c>
      <c r="C86" s="36" t="str">
        <f>IF(ISNA(VLOOKUP($A86&amp;C$2,'2004'!$B$2:$K$1621,10,0)),VLOOKUP($A86&amp;C$2,'2004'!$A$2:$K$1621,10,0),VLOOKUP($A86&amp;C$2,'2004'!$B$2:$K$1621,10,0))</f>
        <v>FFR</v>
      </c>
      <c r="D86" s="36" t="str">
        <f>IF(ISNA(VLOOKUP($A86&amp;D$2,'2004'!$B$2:$K$1621,10,0)),VLOOKUP($A86&amp;D$2,'2004'!$A$2:$K$1621,10,0),VLOOKUP($A86&amp;D$2,'2004'!$B$2:$K$1621,10,0))</f>
        <v>OKO</v>
      </c>
      <c r="E86" s="36" t="str">
        <f>IF(ISNA(VLOOKUP($A86&amp;E$2,'2004'!$B$2:$K$1621,10,0)),VLOOKUP($A86&amp;E$2,'2004'!$A$2:$K$1621,10,0),VLOOKUP($A86&amp;E$2,'2004'!$B$2:$K$1621,10,0))</f>
        <v>NNN</v>
      </c>
      <c r="F86" s="36" t="str">
        <f>IF(ISNA(VLOOKUP($A86&amp;F$2,'2004'!$B$2:$K$1621,10,0)),VLOOKUP($A86&amp;F$2,'2004'!$A$2:$K$1621,10,0),VLOOKUP($A86&amp;F$2,'2004'!$B$2:$K$1621,10,0))</f>
        <v>RMO</v>
      </c>
      <c r="G86" s="35" t="str">
        <f>IF(ISNA(VLOOKUP($A86&amp;G$2,'2004'!$B$2:$K$1621,10,0)),VLOOKUP($A86&amp;G$2,'2004'!$A$2:$K$1621,10,0),VLOOKUP($A86&amp;G$2,'2004'!$B$2:$K$1621,10,0))</f>
        <v>HAR</v>
      </c>
      <c r="H86" s="35" t="str">
        <f>IF(ISNA(VLOOKUP($A86&amp;H$2,'2004'!$B$2:$K$1621,10,0)),VLOOKUP($A86&amp;H$2,'2004'!$A$2:$K$1621,10,0),VLOOKUP($A86&amp;H$2,'2004'!$B$2:$K$1621,10,0))</f>
        <v>NYD</v>
      </c>
      <c r="I86" s="35" t="str">
        <f>IF(ISNA(VLOOKUP($A86&amp;I$2,'2004'!$B$2:$K$1621,10,0)),VLOOKUP($A86&amp;I$2,'2004'!$A$2:$K$1621,10,0),VLOOKUP($A86&amp;I$2,'2004'!$B$2:$K$1621,10,0))</f>
        <v>CBB</v>
      </c>
      <c r="J86" s="35" t="str">
        <f>IF(ISNA(VLOOKUP($A86&amp;J$2,'2004'!$B$2:$K$1621,10,0)),VLOOKUP($A86&amp;J$2,'2004'!$A$2:$K$1621,10,0),VLOOKUP($A86&amp;J$2,'2004'!$B$2:$K$1621,10,0))</f>
        <v>PHI</v>
      </c>
      <c r="K86" s="35" t="str">
        <f>IF(ISNA(VLOOKUP($A86&amp;K$2,'2004'!$B$2:$K$1621,10,0)),VLOOKUP($A86&amp;K$2,'2004'!$A$2:$K$1621,10,0),VLOOKUP($A86&amp;K$2,'2004'!$B$2:$K$1621,10,0))</f>
        <v>BRK</v>
      </c>
      <c r="L86" s="34" t="str">
        <f>IF(ISNA(VLOOKUP($A86&amp;L$2,'2004'!$B$2:$K$1621,10,0)),VLOOKUP($A86&amp;L$2,'2004'!$A$2:$K$1621,10,0),VLOOKUP($A86&amp;L$2,'2004'!$B$2:$K$1621,10,0))</f>
        <v>@BBG</v>
      </c>
      <c r="M86" s="34" t="str">
        <f>IF(ISNA(VLOOKUP($A86&amp;M$2,'2004'!$B$2:$K$1621,10,0)),VLOOKUP($A86&amp;M$2,'2004'!$A$2:$K$1621,10,0),VLOOKUP($A86&amp;M$2,'2004'!$B$2:$K$1621,10,0))</f>
        <v>@BAR</v>
      </c>
      <c r="N86" s="34" t="str">
        <f>IF(ISNA(VLOOKUP($A86&amp;N$2,'2004'!$B$2:$K$1621,10,0)),VLOOKUP($A86&amp;N$2,'2004'!$A$2:$K$1621,10,0),VLOOKUP($A86&amp;N$2,'2004'!$B$2:$K$1621,10,0))</f>
        <v>@CIN</v>
      </c>
      <c r="O86" s="34" t="str">
        <f>IF(ISNA(VLOOKUP($A86&amp;O$2,'2004'!$B$2:$K$1621,10,0)),VLOOKUP($A86&amp;O$2,'2004'!$A$2:$K$1621,10,0),VLOOKUP($A86&amp;O$2,'2004'!$B$2:$K$1621,10,0))</f>
        <v>@CTW</v>
      </c>
      <c r="P86" s="34" t="str">
        <f>IF(ISNA(VLOOKUP($A86&amp;P$2,'2004'!$B$2:$K$1621,10,0)),VLOOKUP($A86&amp;P$2,'2004'!$A$2:$K$1621,10,0),VLOOKUP($A86&amp;P$2,'2004'!$B$2:$K$1621,10,0))</f>
        <v>@GAR</v>
      </c>
      <c r="Q86" s="38" t="str">
        <f>IF(ISNA(VLOOKUP($A86&amp;Q$2,'2004'!$B$2:$K$1621,10,0)),VLOOKUP($A86&amp;Q$2,'2004'!$A$2:$K$1621,10,0),VLOOKUP($A86&amp;Q$2,'2004'!$B$2:$K$1621,10,0))</f>
        <v>@TEW</v>
      </c>
      <c r="R86" s="38" t="str">
        <f>IF(ISNA(VLOOKUP($A86&amp;R$2,'2004'!$B$2:$K$1621,10,0)),VLOOKUP($A86&amp;R$2,'2004'!$A$2:$K$1621,10,0),VLOOKUP($A86&amp;R$2,'2004'!$B$2:$K$1621,10,0))</f>
        <v>@NEP</v>
      </c>
      <c r="S86" s="38" t="str">
        <f>IF(ISNA(VLOOKUP($A86&amp;S$2,'2004'!$B$2:$K$1621,10,0)),VLOOKUP($A86&amp;S$2,'2004'!$A$2:$K$1621,10,0),VLOOKUP($A86&amp;S$2,'2004'!$B$2:$K$1621,10,0))</f>
        <v>@CEN</v>
      </c>
      <c r="T86" s="38" t="str">
        <f>IF(ISNA(VLOOKUP($A86&amp;T$2,'2004'!$B$2:$K$1621,10,0)),VLOOKUP($A86&amp;T$2,'2004'!$A$2:$K$1621,10,0),VLOOKUP($A86&amp;T$2,'2004'!$B$2:$K$1621,10,0))</f>
        <v>@FDH</v>
      </c>
      <c r="U86" s="38" t="str">
        <f>IF(ISNA(VLOOKUP($A86&amp;U$2,'2004'!$B$2:$K$1621,10,0)),VLOOKUP($A86&amp;U$2,'2004'!$A$2:$K$1621,10,0),VLOOKUP($A86&amp;U$2,'2004'!$B$2:$K$1621,10,0))</f>
        <v>@REN</v>
      </c>
    </row>
    <row r="87" spans="1:21" x14ac:dyDescent="0.25">
      <c r="A87" s="40">
        <f t="shared" si="1"/>
        <v>38164</v>
      </c>
      <c r="B87" s="36" t="e">
        <f>IF(ISNA(VLOOKUP($A87&amp;B$2,'2004'!$B$2:$K$1621,10,0)),VLOOKUP($A87&amp;B$2,'2004'!$A$2:$K$1621,10,0),VLOOKUP($A87&amp;B$2,'2004'!$B$2:$K$1621,10,0))</f>
        <v>#N/A</v>
      </c>
      <c r="C87" s="36" t="e">
        <f>IF(ISNA(VLOOKUP($A87&amp;C$2,'2004'!$B$2:$K$1621,10,0)),VLOOKUP($A87&amp;C$2,'2004'!$A$2:$K$1621,10,0),VLOOKUP($A87&amp;C$2,'2004'!$B$2:$K$1621,10,0))</f>
        <v>#N/A</v>
      </c>
      <c r="D87" s="36" t="e">
        <f>IF(ISNA(VLOOKUP($A87&amp;D$2,'2004'!$B$2:$K$1621,10,0)),VLOOKUP($A87&amp;D$2,'2004'!$A$2:$K$1621,10,0),VLOOKUP($A87&amp;D$2,'2004'!$B$2:$K$1621,10,0))</f>
        <v>#N/A</v>
      </c>
      <c r="E87" s="36" t="e">
        <f>IF(ISNA(VLOOKUP($A87&amp;E$2,'2004'!$B$2:$K$1621,10,0)),VLOOKUP($A87&amp;E$2,'2004'!$A$2:$K$1621,10,0),VLOOKUP($A87&amp;E$2,'2004'!$B$2:$K$1621,10,0))</f>
        <v>#N/A</v>
      </c>
      <c r="F87" s="36" t="e">
        <f>IF(ISNA(VLOOKUP($A87&amp;F$2,'2004'!$B$2:$K$1621,10,0)),VLOOKUP($A87&amp;F$2,'2004'!$A$2:$K$1621,10,0),VLOOKUP($A87&amp;F$2,'2004'!$B$2:$K$1621,10,0))</f>
        <v>#N/A</v>
      </c>
      <c r="G87" s="35" t="e">
        <f>IF(ISNA(VLOOKUP($A87&amp;G$2,'2004'!$B$2:$K$1621,10,0)),VLOOKUP($A87&amp;G$2,'2004'!$A$2:$K$1621,10,0),VLOOKUP($A87&amp;G$2,'2004'!$B$2:$K$1621,10,0))</f>
        <v>#N/A</v>
      </c>
      <c r="H87" s="35" t="e">
        <f>IF(ISNA(VLOOKUP($A87&amp;H$2,'2004'!$B$2:$K$1621,10,0)),VLOOKUP($A87&amp;H$2,'2004'!$A$2:$K$1621,10,0),VLOOKUP($A87&amp;H$2,'2004'!$B$2:$K$1621,10,0))</f>
        <v>#N/A</v>
      </c>
      <c r="I87" s="35" t="e">
        <f>IF(ISNA(VLOOKUP($A87&amp;I$2,'2004'!$B$2:$K$1621,10,0)),VLOOKUP($A87&amp;I$2,'2004'!$A$2:$K$1621,10,0),VLOOKUP($A87&amp;I$2,'2004'!$B$2:$K$1621,10,0))</f>
        <v>#N/A</v>
      </c>
      <c r="J87" s="35" t="e">
        <f>IF(ISNA(VLOOKUP($A87&amp;J$2,'2004'!$B$2:$K$1621,10,0)),VLOOKUP($A87&amp;J$2,'2004'!$A$2:$K$1621,10,0),VLOOKUP($A87&amp;J$2,'2004'!$B$2:$K$1621,10,0))</f>
        <v>#N/A</v>
      </c>
      <c r="K87" s="35" t="e">
        <f>IF(ISNA(VLOOKUP($A87&amp;K$2,'2004'!$B$2:$K$1621,10,0)),VLOOKUP($A87&amp;K$2,'2004'!$A$2:$K$1621,10,0),VLOOKUP($A87&amp;K$2,'2004'!$B$2:$K$1621,10,0))</f>
        <v>#N/A</v>
      </c>
      <c r="L87" s="34" t="e">
        <f>IF(ISNA(VLOOKUP($A87&amp;L$2,'2004'!$B$2:$K$1621,10,0)),VLOOKUP($A87&amp;L$2,'2004'!$A$2:$K$1621,10,0),VLOOKUP($A87&amp;L$2,'2004'!$B$2:$K$1621,10,0))</f>
        <v>#N/A</v>
      </c>
      <c r="M87" s="34" t="e">
        <f>IF(ISNA(VLOOKUP($A87&amp;M$2,'2004'!$B$2:$K$1621,10,0)),VLOOKUP($A87&amp;M$2,'2004'!$A$2:$K$1621,10,0),VLOOKUP($A87&amp;M$2,'2004'!$B$2:$K$1621,10,0))</f>
        <v>#N/A</v>
      </c>
      <c r="N87" s="34" t="e">
        <f>IF(ISNA(VLOOKUP($A87&amp;N$2,'2004'!$B$2:$K$1621,10,0)),VLOOKUP($A87&amp;N$2,'2004'!$A$2:$K$1621,10,0),VLOOKUP($A87&amp;N$2,'2004'!$B$2:$K$1621,10,0))</f>
        <v>#N/A</v>
      </c>
      <c r="O87" s="34" t="e">
        <f>IF(ISNA(VLOOKUP($A87&amp;O$2,'2004'!$B$2:$K$1621,10,0)),VLOOKUP($A87&amp;O$2,'2004'!$A$2:$K$1621,10,0),VLOOKUP($A87&amp;O$2,'2004'!$B$2:$K$1621,10,0))</f>
        <v>#N/A</v>
      </c>
      <c r="P87" s="34" t="e">
        <f>IF(ISNA(VLOOKUP($A87&amp;P$2,'2004'!$B$2:$K$1621,10,0)),VLOOKUP($A87&amp;P$2,'2004'!$A$2:$K$1621,10,0),VLOOKUP($A87&amp;P$2,'2004'!$B$2:$K$1621,10,0))</f>
        <v>#N/A</v>
      </c>
      <c r="Q87" s="38" t="e">
        <f>IF(ISNA(VLOOKUP($A87&amp;Q$2,'2004'!$B$2:$K$1621,10,0)),VLOOKUP($A87&amp;Q$2,'2004'!$A$2:$K$1621,10,0),VLOOKUP($A87&amp;Q$2,'2004'!$B$2:$K$1621,10,0))</f>
        <v>#N/A</v>
      </c>
      <c r="R87" s="38" t="e">
        <f>IF(ISNA(VLOOKUP($A87&amp;R$2,'2004'!$B$2:$K$1621,10,0)),VLOOKUP($A87&amp;R$2,'2004'!$A$2:$K$1621,10,0),VLOOKUP($A87&amp;R$2,'2004'!$B$2:$K$1621,10,0))</f>
        <v>#N/A</v>
      </c>
      <c r="S87" s="38" t="e">
        <f>IF(ISNA(VLOOKUP($A87&amp;S$2,'2004'!$B$2:$K$1621,10,0)),VLOOKUP($A87&amp;S$2,'2004'!$A$2:$K$1621,10,0),VLOOKUP($A87&amp;S$2,'2004'!$B$2:$K$1621,10,0))</f>
        <v>#N/A</v>
      </c>
      <c r="T87" s="38" t="e">
        <f>IF(ISNA(VLOOKUP($A87&amp;T$2,'2004'!$B$2:$K$1621,10,0)),VLOOKUP($A87&amp;T$2,'2004'!$A$2:$K$1621,10,0),VLOOKUP($A87&amp;T$2,'2004'!$B$2:$K$1621,10,0))</f>
        <v>#N/A</v>
      </c>
      <c r="U87" s="38" t="e">
        <f>IF(ISNA(VLOOKUP($A87&amp;U$2,'2004'!$B$2:$K$1621,10,0)),VLOOKUP($A87&amp;U$2,'2004'!$A$2:$K$1621,10,0),VLOOKUP($A87&amp;U$2,'2004'!$B$2:$K$1621,10,0))</f>
        <v>#N/A</v>
      </c>
    </row>
    <row r="88" spans="1:21" x14ac:dyDescent="0.25">
      <c r="A88" s="40">
        <f t="shared" si="1"/>
        <v>38165</v>
      </c>
      <c r="B88" s="36" t="str">
        <f>IF(ISNA(VLOOKUP($A88&amp;B$2,'2004'!$B$2:$K$1621,10,0)),VLOOKUP($A88&amp;B$2,'2004'!$A$2:$K$1621,10,0),VLOOKUP($A88&amp;B$2,'2004'!$B$2:$K$1621,10,0))</f>
        <v>CEN</v>
      </c>
      <c r="C88" s="36" t="str">
        <f>IF(ISNA(VLOOKUP($A88&amp;C$2,'2004'!$B$2:$K$1621,10,0)),VLOOKUP($A88&amp;C$2,'2004'!$A$2:$K$1621,10,0),VLOOKUP($A88&amp;C$2,'2004'!$B$2:$K$1621,10,0))</f>
        <v>NEP</v>
      </c>
      <c r="D88" s="36" t="str">
        <f>IF(ISNA(VLOOKUP($A88&amp;D$2,'2004'!$B$2:$K$1621,10,0)),VLOOKUP($A88&amp;D$2,'2004'!$A$2:$K$1621,10,0),VLOOKUP($A88&amp;D$2,'2004'!$B$2:$K$1621,10,0))</f>
        <v>REN</v>
      </c>
      <c r="E88" s="36" t="str">
        <f>IF(ISNA(VLOOKUP($A88&amp;E$2,'2004'!$B$2:$K$1621,10,0)),VLOOKUP($A88&amp;E$2,'2004'!$A$2:$K$1621,10,0),VLOOKUP($A88&amp;E$2,'2004'!$B$2:$K$1621,10,0))</f>
        <v>TEW</v>
      </c>
      <c r="F88" s="36" t="str">
        <f>IF(ISNA(VLOOKUP($A88&amp;F$2,'2004'!$B$2:$K$1621,10,0)),VLOOKUP($A88&amp;F$2,'2004'!$A$2:$K$1621,10,0),VLOOKUP($A88&amp;F$2,'2004'!$B$2:$K$1621,10,0))</f>
        <v>FDH</v>
      </c>
      <c r="G88" s="35" t="str">
        <f>IF(ISNA(VLOOKUP($A88&amp;G$2,'2004'!$B$2:$K$1621,10,0)),VLOOKUP($A88&amp;G$2,'2004'!$A$2:$K$1621,10,0),VLOOKUP($A88&amp;G$2,'2004'!$B$2:$K$1621,10,0))</f>
        <v>@BBG</v>
      </c>
      <c r="H88" s="35" t="str">
        <f>IF(ISNA(VLOOKUP($A88&amp;H$2,'2004'!$B$2:$K$1621,10,0)),VLOOKUP($A88&amp;H$2,'2004'!$A$2:$K$1621,10,0),VLOOKUP($A88&amp;H$2,'2004'!$B$2:$K$1621,10,0))</f>
        <v>@GAR</v>
      </c>
      <c r="I88" s="35" t="str">
        <f>IF(ISNA(VLOOKUP($A88&amp;I$2,'2004'!$B$2:$K$1621,10,0)),VLOOKUP($A88&amp;I$2,'2004'!$A$2:$K$1621,10,0),VLOOKUP($A88&amp;I$2,'2004'!$B$2:$K$1621,10,0))</f>
        <v>@BAR</v>
      </c>
      <c r="J88" s="35" t="str">
        <f>IF(ISNA(VLOOKUP($A88&amp;J$2,'2004'!$B$2:$K$1621,10,0)),VLOOKUP($A88&amp;J$2,'2004'!$A$2:$K$1621,10,0),VLOOKUP($A88&amp;J$2,'2004'!$B$2:$K$1621,10,0))</f>
        <v>@CTW</v>
      </c>
      <c r="K88" s="35" t="str">
        <f>IF(ISNA(VLOOKUP($A88&amp;K$2,'2004'!$B$2:$K$1621,10,0)),VLOOKUP($A88&amp;K$2,'2004'!$A$2:$K$1621,10,0),VLOOKUP($A88&amp;K$2,'2004'!$B$2:$K$1621,10,0))</f>
        <v>@CIN</v>
      </c>
      <c r="L88" s="34" t="str">
        <f>IF(ISNA(VLOOKUP($A88&amp;L$2,'2004'!$B$2:$K$1621,10,0)),VLOOKUP($A88&amp;L$2,'2004'!$A$2:$K$1621,10,0),VLOOKUP($A88&amp;L$2,'2004'!$B$2:$K$1621,10,0))</f>
        <v>HAR</v>
      </c>
      <c r="M88" s="34" t="str">
        <f>IF(ISNA(VLOOKUP($A88&amp;M$2,'2004'!$B$2:$K$1621,10,0)),VLOOKUP($A88&amp;M$2,'2004'!$A$2:$K$1621,10,0),VLOOKUP($A88&amp;M$2,'2004'!$B$2:$K$1621,10,0))</f>
        <v>CBB</v>
      </c>
      <c r="N88" s="34" t="str">
        <f>IF(ISNA(VLOOKUP($A88&amp;N$2,'2004'!$B$2:$K$1621,10,0)),VLOOKUP($A88&amp;N$2,'2004'!$A$2:$K$1621,10,0),VLOOKUP($A88&amp;N$2,'2004'!$B$2:$K$1621,10,0))</f>
        <v>BRK</v>
      </c>
      <c r="O88" s="34" t="str">
        <f>IF(ISNA(VLOOKUP($A88&amp;O$2,'2004'!$B$2:$K$1621,10,0)),VLOOKUP($A88&amp;O$2,'2004'!$A$2:$K$1621,10,0),VLOOKUP($A88&amp;O$2,'2004'!$B$2:$K$1621,10,0))</f>
        <v>PHI</v>
      </c>
      <c r="P88" s="34" t="str">
        <f>IF(ISNA(VLOOKUP($A88&amp;P$2,'2004'!$B$2:$K$1621,10,0)),VLOOKUP($A88&amp;P$2,'2004'!$A$2:$K$1621,10,0),VLOOKUP($A88&amp;P$2,'2004'!$B$2:$K$1621,10,0))</f>
        <v>NYD</v>
      </c>
      <c r="Q88" s="38" t="str">
        <f>IF(ISNA(VLOOKUP($A88&amp;Q$2,'2004'!$B$2:$K$1621,10,0)),VLOOKUP($A88&amp;Q$2,'2004'!$A$2:$K$1621,10,0),VLOOKUP($A88&amp;Q$2,'2004'!$B$2:$K$1621,10,0))</f>
        <v>@NNN</v>
      </c>
      <c r="R88" s="38" t="str">
        <f>IF(ISNA(VLOOKUP($A88&amp;R$2,'2004'!$B$2:$K$1621,10,0)),VLOOKUP($A88&amp;R$2,'2004'!$A$2:$K$1621,10,0),VLOOKUP($A88&amp;R$2,'2004'!$B$2:$K$1621,10,0))</f>
        <v>@FFR</v>
      </c>
      <c r="S88" s="38" t="str">
        <f>IF(ISNA(VLOOKUP($A88&amp;S$2,'2004'!$B$2:$K$1621,10,0)),VLOOKUP($A88&amp;S$2,'2004'!$A$2:$K$1621,10,0),VLOOKUP($A88&amp;S$2,'2004'!$B$2:$K$1621,10,0))</f>
        <v>@DIG</v>
      </c>
      <c r="T88" s="38" t="str">
        <f>IF(ISNA(VLOOKUP($A88&amp;T$2,'2004'!$B$2:$K$1621,10,0)),VLOOKUP($A88&amp;T$2,'2004'!$A$2:$K$1621,10,0),VLOOKUP($A88&amp;T$2,'2004'!$B$2:$K$1621,10,0))</f>
        <v>@RMO</v>
      </c>
      <c r="U88" s="38" t="str">
        <f>IF(ISNA(VLOOKUP($A88&amp;U$2,'2004'!$B$2:$K$1621,10,0)),VLOOKUP($A88&amp;U$2,'2004'!$A$2:$K$1621,10,0),VLOOKUP($A88&amp;U$2,'2004'!$B$2:$K$1621,10,0))</f>
        <v>@OKO</v>
      </c>
    </row>
    <row r="89" spans="1:21" x14ac:dyDescent="0.25">
      <c r="A89" s="40">
        <f t="shared" si="1"/>
        <v>38166</v>
      </c>
      <c r="B89" s="36" t="str">
        <f>IF(ISNA(VLOOKUP($A89&amp;B$2,'2004'!$B$2:$K$1621,10,0)),VLOOKUP($A89&amp;B$2,'2004'!$A$2:$K$1621,10,0),VLOOKUP($A89&amp;B$2,'2004'!$B$2:$K$1621,10,0))</f>
        <v>CEN</v>
      </c>
      <c r="C89" s="36" t="str">
        <f>IF(ISNA(VLOOKUP($A89&amp;C$2,'2004'!$B$2:$K$1621,10,0)),VLOOKUP($A89&amp;C$2,'2004'!$A$2:$K$1621,10,0),VLOOKUP($A89&amp;C$2,'2004'!$B$2:$K$1621,10,0))</f>
        <v>NEP</v>
      </c>
      <c r="D89" s="36" t="str">
        <f>IF(ISNA(VLOOKUP($A89&amp;D$2,'2004'!$B$2:$K$1621,10,0)),VLOOKUP($A89&amp;D$2,'2004'!$A$2:$K$1621,10,0),VLOOKUP($A89&amp;D$2,'2004'!$B$2:$K$1621,10,0))</f>
        <v>REN</v>
      </c>
      <c r="E89" s="36" t="str">
        <f>IF(ISNA(VLOOKUP($A89&amp;E$2,'2004'!$B$2:$K$1621,10,0)),VLOOKUP($A89&amp;E$2,'2004'!$A$2:$K$1621,10,0),VLOOKUP($A89&amp;E$2,'2004'!$B$2:$K$1621,10,0))</f>
        <v>TEW</v>
      </c>
      <c r="F89" s="36" t="str">
        <f>IF(ISNA(VLOOKUP($A89&amp;F$2,'2004'!$B$2:$K$1621,10,0)),VLOOKUP($A89&amp;F$2,'2004'!$A$2:$K$1621,10,0),VLOOKUP($A89&amp;F$2,'2004'!$B$2:$K$1621,10,0))</f>
        <v>FDH</v>
      </c>
      <c r="G89" s="35" t="str">
        <f>IF(ISNA(VLOOKUP($A89&amp;G$2,'2004'!$B$2:$K$1621,10,0)),VLOOKUP($A89&amp;G$2,'2004'!$A$2:$K$1621,10,0),VLOOKUP($A89&amp;G$2,'2004'!$B$2:$K$1621,10,0))</f>
        <v>@BBG</v>
      </c>
      <c r="H89" s="35" t="str">
        <f>IF(ISNA(VLOOKUP($A89&amp;H$2,'2004'!$B$2:$K$1621,10,0)),VLOOKUP($A89&amp;H$2,'2004'!$A$2:$K$1621,10,0),VLOOKUP($A89&amp;H$2,'2004'!$B$2:$K$1621,10,0))</f>
        <v>@GAR</v>
      </c>
      <c r="I89" s="35" t="str">
        <f>IF(ISNA(VLOOKUP($A89&amp;I$2,'2004'!$B$2:$K$1621,10,0)),VLOOKUP($A89&amp;I$2,'2004'!$A$2:$K$1621,10,0),VLOOKUP($A89&amp;I$2,'2004'!$B$2:$K$1621,10,0))</f>
        <v>@BAR</v>
      </c>
      <c r="J89" s="35" t="str">
        <f>IF(ISNA(VLOOKUP($A89&amp;J$2,'2004'!$B$2:$K$1621,10,0)),VLOOKUP($A89&amp;J$2,'2004'!$A$2:$K$1621,10,0),VLOOKUP($A89&amp;J$2,'2004'!$B$2:$K$1621,10,0))</f>
        <v>@CTW</v>
      </c>
      <c r="K89" s="35" t="str">
        <f>IF(ISNA(VLOOKUP($A89&amp;K$2,'2004'!$B$2:$K$1621,10,0)),VLOOKUP($A89&amp;K$2,'2004'!$A$2:$K$1621,10,0),VLOOKUP($A89&amp;K$2,'2004'!$B$2:$K$1621,10,0))</f>
        <v>@CIN</v>
      </c>
      <c r="L89" s="34" t="str">
        <f>IF(ISNA(VLOOKUP($A89&amp;L$2,'2004'!$B$2:$K$1621,10,0)),VLOOKUP($A89&amp;L$2,'2004'!$A$2:$K$1621,10,0),VLOOKUP($A89&amp;L$2,'2004'!$B$2:$K$1621,10,0))</f>
        <v>HAR</v>
      </c>
      <c r="M89" s="34" t="str">
        <f>IF(ISNA(VLOOKUP($A89&amp;M$2,'2004'!$B$2:$K$1621,10,0)),VLOOKUP($A89&amp;M$2,'2004'!$A$2:$K$1621,10,0),VLOOKUP($A89&amp;M$2,'2004'!$B$2:$K$1621,10,0))</f>
        <v>CBB</v>
      </c>
      <c r="N89" s="34" t="str">
        <f>IF(ISNA(VLOOKUP($A89&amp;N$2,'2004'!$B$2:$K$1621,10,0)),VLOOKUP($A89&amp;N$2,'2004'!$A$2:$K$1621,10,0),VLOOKUP($A89&amp;N$2,'2004'!$B$2:$K$1621,10,0))</f>
        <v>BRK</v>
      </c>
      <c r="O89" s="34" t="str">
        <f>IF(ISNA(VLOOKUP($A89&amp;O$2,'2004'!$B$2:$K$1621,10,0)),VLOOKUP($A89&amp;O$2,'2004'!$A$2:$K$1621,10,0),VLOOKUP($A89&amp;O$2,'2004'!$B$2:$K$1621,10,0))</f>
        <v>PHI</v>
      </c>
      <c r="P89" s="34" t="str">
        <f>IF(ISNA(VLOOKUP($A89&amp;P$2,'2004'!$B$2:$K$1621,10,0)),VLOOKUP($A89&amp;P$2,'2004'!$A$2:$K$1621,10,0),VLOOKUP($A89&amp;P$2,'2004'!$B$2:$K$1621,10,0))</f>
        <v>NYD</v>
      </c>
      <c r="Q89" s="38" t="str">
        <f>IF(ISNA(VLOOKUP($A89&amp;Q$2,'2004'!$B$2:$K$1621,10,0)),VLOOKUP($A89&amp;Q$2,'2004'!$A$2:$K$1621,10,0),VLOOKUP($A89&amp;Q$2,'2004'!$B$2:$K$1621,10,0))</f>
        <v>@NNN</v>
      </c>
      <c r="R89" s="38" t="str">
        <f>IF(ISNA(VLOOKUP($A89&amp;R$2,'2004'!$B$2:$K$1621,10,0)),VLOOKUP($A89&amp;R$2,'2004'!$A$2:$K$1621,10,0),VLOOKUP($A89&amp;R$2,'2004'!$B$2:$K$1621,10,0))</f>
        <v>@FFR</v>
      </c>
      <c r="S89" s="38" t="str">
        <f>IF(ISNA(VLOOKUP($A89&amp;S$2,'2004'!$B$2:$K$1621,10,0)),VLOOKUP($A89&amp;S$2,'2004'!$A$2:$K$1621,10,0),VLOOKUP($A89&amp;S$2,'2004'!$B$2:$K$1621,10,0))</f>
        <v>@DIG</v>
      </c>
      <c r="T89" s="38" t="str">
        <f>IF(ISNA(VLOOKUP($A89&amp;T$2,'2004'!$B$2:$K$1621,10,0)),VLOOKUP($A89&amp;T$2,'2004'!$A$2:$K$1621,10,0),VLOOKUP($A89&amp;T$2,'2004'!$B$2:$K$1621,10,0))</f>
        <v>@RMO</v>
      </c>
      <c r="U89" s="38" t="str">
        <f>IF(ISNA(VLOOKUP($A89&amp;U$2,'2004'!$B$2:$K$1621,10,0)),VLOOKUP($A89&amp;U$2,'2004'!$A$2:$K$1621,10,0),VLOOKUP($A89&amp;U$2,'2004'!$B$2:$K$1621,10,0))</f>
        <v>@OKO</v>
      </c>
    </row>
    <row r="90" spans="1:21" x14ac:dyDescent="0.25">
      <c r="A90" s="40">
        <f t="shared" si="1"/>
        <v>38167</v>
      </c>
      <c r="B90" s="36" t="str">
        <f>IF(ISNA(VLOOKUP($A90&amp;B$2,'2004'!$B$2:$K$1621,10,0)),VLOOKUP($A90&amp;B$2,'2004'!$A$2:$K$1621,10,0),VLOOKUP($A90&amp;B$2,'2004'!$B$2:$K$1621,10,0))</f>
        <v>CEN</v>
      </c>
      <c r="C90" s="36" t="str">
        <f>IF(ISNA(VLOOKUP($A90&amp;C$2,'2004'!$B$2:$K$1621,10,0)),VLOOKUP($A90&amp;C$2,'2004'!$A$2:$K$1621,10,0),VLOOKUP($A90&amp;C$2,'2004'!$B$2:$K$1621,10,0))</f>
        <v>NEP</v>
      </c>
      <c r="D90" s="36" t="str">
        <f>IF(ISNA(VLOOKUP($A90&amp;D$2,'2004'!$B$2:$K$1621,10,0)),VLOOKUP($A90&amp;D$2,'2004'!$A$2:$K$1621,10,0),VLOOKUP($A90&amp;D$2,'2004'!$B$2:$K$1621,10,0))</f>
        <v>REN</v>
      </c>
      <c r="E90" s="36" t="str">
        <f>IF(ISNA(VLOOKUP($A90&amp;E$2,'2004'!$B$2:$K$1621,10,0)),VLOOKUP($A90&amp;E$2,'2004'!$A$2:$K$1621,10,0),VLOOKUP($A90&amp;E$2,'2004'!$B$2:$K$1621,10,0))</f>
        <v>TEW</v>
      </c>
      <c r="F90" s="36" t="str">
        <f>IF(ISNA(VLOOKUP($A90&amp;F$2,'2004'!$B$2:$K$1621,10,0)),VLOOKUP($A90&amp;F$2,'2004'!$A$2:$K$1621,10,0),VLOOKUP($A90&amp;F$2,'2004'!$B$2:$K$1621,10,0))</f>
        <v>FDH</v>
      </c>
      <c r="G90" s="35" t="str">
        <f>IF(ISNA(VLOOKUP($A90&amp;G$2,'2004'!$B$2:$K$1621,10,0)),VLOOKUP($A90&amp;G$2,'2004'!$A$2:$K$1621,10,0),VLOOKUP($A90&amp;G$2,'2004'!$B$2:$K$1621,10,0))</f>
        <v>@BBG</v>
      </c>
      <c r="H90" s="35" t="str">
        <f>IF(ISNA(VLOOKUP($A90&amp;H$2,'2004'!$B$2:$K$1621,10,0)),VLOOKUP($A90&amp;H$2,'2004'!$A$2:$K$1621,10,0),VLOOKUP($A90&amp;H$2,'2004'!$B$2:$K$1621,10,0))</f>
        <v>@GAR</v>
      </c>
      <c r="I90" s="35" t="str">
        <f>IF(ISNA(VLOOKUP($A90&amp;I$2,'2004'!$B$2:$K$1621,10,0)),VLOOKUP($A90&amp;I$2,'2004'!$A$2:$K$1621,10,0),VLOOKUP($A90&amp;I$2,'2004'!$B$2:$K$1621,10,0))</f>
        <v>@BAR</v>
      </c>
      <c r="J90" s="35" t="str">
        <f>IF(ISNA(VLOOKUP($A90&amp;J$2,'2004'!$B$2:$K$1621,10,0)),VLOOKUP($A90&amp;J$2,'2004'!$A$2:$K$1621,10,0),VLOOKUP($A90&amp;J$2,'2004'!$B$2:$K$1621,10,0))</f>
        <v>@CTW</v>
      </c>
      <c r="K90" s="35" t="str">
        <f>IF(ISNA(VLOOKUP($A90&amp;K$2,'2004'!$B$2:$K$1621,10,0)),VLOOKUP($A90&amp;K$2,'2004'!$A$2:$K$1621,10,0),VLOOKUP($A90&amp;K$2,'2004'!$B$2:$K$1621,10,0))</f>
        <v>@CIN</v>
      </c>
      <c r="L90" s="34" t="str">
        <f>IF(ISNA(VLOOKUP($A90&amp;L$2,'2004'!$B$2:$K$1621,10,0)),VLOOKUP($A90&amp;L$2,'2004'!$A$2:$K$1621,10,0),VLOOKUP($A90&amp;L$2,'2004'!$B$2:$K$1621,10,0))</f>
        <v>HAR</v>
      </c>
      <c r="M90" s="34" t="str">
        <f>IF(ISNA(VLOOKUP($A90&amp;M$2,'2004'!$B$2:$K$1621,10,0)),VLOOKUP($A90&amp;M$2,'2004'!$A$2:$K$1621,10,0),VLOOKUP($A90&amp;M$2,'2004'!$B$2:$K$1621,10,0))</f>
        <v>CBB</v>
      </c>
      <c r="N90" s="34" t="str">
        <f>IF(ISNA(VLOOKUP($A90&amp;N$2,'2004'!$B$2:$K$1621,10,0)),VLOOKUP($A90&amp;N$2,'2004'!$A$2:$K$1621,10,0),VLOOKUP($A90&amp;N$2,'2004'!$B$2:$K$1621,10,0))</f>
        <v>BRK</v>
      </c>
      <c r="O90" s="34" t="str">
        <f>IF(ISNA(VLOOKUP($A90&amp;O$2,'2004'!$B$2:$K$1621,10,0)),VLOOKUP($A90&amp;O$2,'2004'!$A$2:$K$1621,10,0),VLOOKUP($A90&amp;O$2,'2004'!$B$2:$K$1621,10,0))</f>
        <v>PHI</v>
      </c>
      <c r="P90" s="34" t="str">
        <f>IF(ISNA(VLOOKUP($A90&amp;P$2,'2004'!$B$2:$K$1621,10,0)),VLOOKUP($A90&amp;P$2,'2004'!$A$2:$K$1621,10,0),VLOOKUP($A90&amp;P$2,'2004'!$B$2:$K$1621,10,0))</f>
        <v>NYD</v>
      </c>
      <c r="Q90" s="38" t="str">
        <f>IF(ISNA(VLOOKUP($A90&amp;Q$2,'2004'!$B$2:$K$1621,10,0)),VLOOKUP($A90&amp;Q$2,'2004'!$A$2:$K$1621,10,0),VLOOKUP($A90&amp;Q$2,'2004'!$B$2:$K$1621,10,0))</f>
        <v>@NNN</v>
      </c>
      <c r="R90" s="38" t="str">
        <f>IF(ISNA(VLOOKUP($A90&amp;R$2,'2004'!$B$2:$K$1621,10,0)),VLOOKUP($A90&amp;R$2,'2004'!$A$2:$K$1621,10,0),VLOOKUP($A90&amp;R$2,'2004'!$B$2:$K$1621,10,0))</f>
        <v>@FFR</v>
      </c>
      <c r="S90" s="38" t="str">
        <f>IF(ISNA(VLOOKUP($A90&amp;S$2,'2004'!$B$2:$K$1621,10,0)),VLOOKUP($A90&amp;S$2,'2004'!$A$2:$K$1621,10,0),VLOOKUP($A90&amp;S$2,'2004'!$B$2:$K$1621,10,0))</f>
        <v>@DIG</v>
      </c>
      <c r="T90" s="38" t="str">
        <f>IF(ISNA(VLOOKUP($A90&amp;T$2,'2004'!$B$2:$K$1621,10,0)),VLOOKUP($A90&amp;T$2,'2004'!$A$2:$K$1621,10,0),VLOOKUP($A90&amp;T$2,'2004'!$B$2:$K$1621,10,0))</f>
        <v>@RMO</v>
      </c>
      <c r="U90" s="38" t="str">
        <f>IF(ISNA(VLOOKUP($A90&amp;U$2,'2004'!$B$2:$K$1621,10,0)),VLOOKUP($A90&amp;U$2,'2004'!$A$2:$K$1621,10,0),VLOOKUP($A90&amp;U$2,'2004'!$B$2:$K$1621,10,0))</f>
        <v>@OKO</v>
      </c>
    </row>
    <row r="91" spans="1:21" x14ac:dyDescent="0.25">
      <c r="A91" s="40">
        <f t="shared" si="1"/>
        <v>38168</v>
      </c>
      <c r="B91" s="36" t="str">
        <f>IF(ISNA(VLOOKUP($A91&amp;B$2,'2004'!$B$2:$K$1621,10,0)),VLOOKUP($A91&amp;B$2,'2004'!$A$2:$K$1621,10,0),VLOOKUP($A91&amp;B$2,'2004'!$B$2:$K$1621,10,0))</f>
        <v>CEN</v>
      </c>
      <c r="C91" s="36" t="str">
        <f>IF(ISNA(VLOOKUP($A91&amp;C$2,'2004'!$B$2:$K$1621,10,0)),VLOOKUP($A91&amp;C$2,'2004'!$A$2:$K$1621,10,0),VLOOKUP($A91&amp;C$2,'2004'!$B$2:$K$1621,10,0))</f>
        <v>NEP</v>
      </c>
      <c r="D91" s="36" t="str">
        <f>IF(ISNA(VLOOKUP($A91&amp;D$2,'2004'!$B$2:$K$1621,10,0)),VLOOKUP($A91&amp;D$2,'2004'!$A$2:$K$1621,10,0),VLOOKUP($A91&amp;D$2,'2004'!$B$2:$K$1621,10,0))</f>
        <v>REN</v>
      </c>
      <c r="E91" s="36" t="str">
        <f>IF(ISNA(VLOOKUP($A91&amp;E$2,'2004'!$B$2:$K$1621,10,0)),VLOOKUP($A91&amp;E$2,'2004'!$A$2:$K$1621,10,0),VLOOKUP($A91&amp;E$2,'2004'!$B$2:$K$1621,10,0))</f>
        <v>TEW</v>
      </c>
      <c r="F91" s="36" t="str">
        <f>IF(ISNA(VLOOKUP($A91&amp;F$2,'2004'!$B$2:$K$1621,10,0)),VLOOKUP($A91&amp;F$2,'2004'!$A$2:$K$1621,10,0),VLOOKUP($A91&amp;F$2,'2004'!$B$2:$K$1621,10,0))</f>
        <v>FDH</v>
      </c>
      <c r="G91" s="35" t="str">
        <f>IF(ISNA(VLOOKUP($A91&amp;G$2,'2004'!$B$2:$K$1621,10,0)),VLOOKUP($A91&amp;G$2,'2004'!$A$2:$K$1621,10,0),VLOOKUP($A91&amp;G$2,'2004'!$B$2:$K$1621,10,0))</f>
        <v>@BBG</v>
      </c>
      <c r="H91" s="35" t="str">
        <f>IF(ISNA(VLOOKUP($A91&amp;H$2,'2004'!$B$2:$K$1621,10,0)),VLOOKUP($A91&amp;H$2,'2004'!$A$2:$K$1621,10,0),VLOOKUP($A91&amp;H$2,'2004'!$B$2:$K$1621,10,0))</f>
        <v>@GAR</v>
      </c>
      <c r="I91" s="35" t="str">
        <f>IF(ISNA(VLOOKUP($A91&amp;I$2,'2004'!$B$2:$K$1621,10,0)),VLOOKUP($A91&amp;I$2,'2004'!$A$2:$K$1621,10,0),VLOOKUP($A91&amp;I$2,'2004'!$B$2:$K$1621,10,0))</f>
        <v>@BAR</v>
      </c>
      <c r="J91" s="35" t="str">
        <f>IF(ISNA(VLOOKUP($A91&amp;J$2,'2004'!$B$2:$K$1621,10,0)),VLOOKUP($A91&amp;J$2,'2004'!$A$2:$K$1621,10,0),VLOOKUP($A91&amp;J$2,'2004'!$B$2:$K$1621,10,0))</f>
        <v>@CTW</v>
      </c>
      <c r="K91" s="35" t="str">
        <f>IF(ISNA(VLOOKUP($A91&amp;K$2,'2004'!$B$2:$K$1621,10,0)),VLOOKUP($A91&amp;K$2,'2004'!$A$2:$K$1621,10,0),VLOOKUP($A91&amp;K$2,'2004'!$B$2:$K$1621,10,0))</f>
        <v>@CIN</v>
      </c>
      <c r="L91" s="34" t="str">
        <f>IF(ISNA(VLOOKUP($A91&amp;L$2,'2004'!$B$2:$K$1621,10,0)),VLOOKUP($A91&amp;L$2,'2004'!$A$2:$K$1621,10,0),VLOOKUP($A91&amp;L$2,'2004'!$B$2:$K$1621,10,0))</f>
        <v>HAR</v>
      </c>
      <c r="M91" s="34" t="str">
        <f>IF(ISNA(VLOOKUP($A91&amp;M$2,'2004'!$B$2:$K$1621,10,0)),VLOOKUP($A91&amp;M$2,'2004'!$A$2:$K$1621,10,0),VLOOKUP($A91&amp;M$2,'2004'!$B$2:$K$1621,10,0))</f>
        <v>CBB</v>
      </c>
      <c r="N91" s="34" t="str">
        <f>IF(ISNA(VLOOKUP($A91&amp;N$2,'2004'!$B$2:$K$1621,10,0)),VLOOKUP($A91&amp;N$2,'2004'!$A$2:$K$1621,10,0),VLOOKUP($A91&amp;N$2,'2004'!$B$2:$K$1621,10,0))</f>
        <v>BRK</v>
      </c>
      <c r="O91" s="34" t="str">
        <f>IF(ISNA(VLOOKUP($A91&amp;O$2,'2004'!$B$2:$K$1621,10,0)),VLOOKUP($A91&amp;O$2,'2004'!$A$2:$K$1621,10,0),VLOOKUP($A91&amp;O$2,'2004'!$B$2:$K$1621,10,0))</f>
        <v>PHI</v>
      </c>
      <c r="P91" s="34" t="str">
        <f>IF(ISNA(VLOOKUP($A91&amp;P$2,'2004'!$B$2:$K$1621,10,0)),VLOOKUP($A91&amp;P$2,'2004'!$A$2:$K$1621,10,0),VLOOKUP($A91&amp;P$2,'2004'!$B$2:$K$1621,10,0))</f>
        <v>NYD</v>
      </c>
      <c r="Q91" s="38" t="str">
        <f>IF(ISNA(VLOOKUP($A91&amp;Q$2,'2004'!$B$2:$K$1621,10,0)),VLOOKUP($A91&amp;Q$2,'2004'!$A$2:$K$1621,10,0),VLOOKUP($A91&amp;Q$2,'2004'!$B$2:$K$1621,10,0))</f>
        <v>@NNN</v>
      </c>
      <c r="R91" s="38" t="str">
        <f>IF(ISNA(VLOOKUP($A91&amp;R$2,'2004'!$B$2:$K$1621,10,0)),VLOOKUP($A91&amp;R$2,'2004'!$A$2:$K$1621,10,0),VLOOKUP($A91&amp;R$2,'2004'!$B$2:$K$1621,10,0))</f>
        <v>@FFR</v>
      </c>
      <c r="S91" s="38" t="str">
        <f>IF(ISNA(VLOOKUP($A91&amp;S$2,'2004'!$B$2:$K$1621,10,0)),VLOOKUP($A91&amp;S$2,'2004'!$A$2:$K$1621,10,0),VLOOKUP($A91&amp;S$2,'2004'!$B$2:$K$1621,10,0))</f>
        <v>@DIG</v>
      </c>
      <c r="T91" s="38" t="str">
        <f>IF(ISNA(VLOOKUP($A91&amp;T$2,'2004'!$B$2:$K$1621,10,0)),VLOOKUP($A91&amp;T$2,'2004'!$A$2:$K$1621,10,0),VLOOKUP($A91&amp;T$2,'2004'!$B$2:$K$1621,10,0))</f>
        <v>@RMO</v>
      </c>
      <c r="U91" s="38" t="str">
        <f>IF(ISNA(VLOOKUP($A91&amp;U$2,'2004'!$B$2:$K$1621,10,0)),VLOOKUP($A91&amp;U$2,'2004'!$A$2:$K$1621,10,0),VLOOKUP($A91&amp;U$2,'2004'!$B$2:$K$1621,10,0))</f>
        <v>@OKO</v>
      </c>
    </row>
    <row r="92" spans="1:21" x14ac:dyDescent="0.25">
      <c r="A92" s="40">
        <f t="shared" si="1"/>
        <v>38169</v>
      </c>
      <c r="B92" s="36" t="str">
        <f>IF(ISNA(VLOOKUP($A92&amp;B$2,'2004'!$B$2:$K$1621,10,0)),VLOOKUP($A92&amp;B$2,'2004'!$A$2:$K$1621,10,0),VLOOKUP($A92&amp;B$2,'2004'!$B$2:$K$1621,10,0))</f>
        <v>OKO</v>
      </c>
      <c r="C92" s="36" t="str">
        <f>IF(ISNA(VLOOKUP($A92&amp;C$2,'2004'!$B$2:$K$1621,10,0)),VLOOKUP($A92&amp;C$2,'2004'!$A$2:$K$1621,10,0),VLOOKUP($A92&amp;C$2,'2004'!$B$2:$K$1621,10,0))</f>
        <v>RMO</v>
      </c>
      <c r="D92" s="36" t="str">
        <f>IF(ISNA(VLOOKUP($A92&amp;D$2,'2004'!$B$2:$K$1621,10,0)),VLOOKUP($A92&amp;D$2,'2004'!$A$2:$K$1621,10,0),VLOOKUP($A92&amp;D$2,'2004'!$B$2:$K$1621,10,0))</f>
        <v>NNN</v>
      </c>
      <c r="E92" s="36" t="str">
        <f>IF(ISNA(VLOOKUP($A92&amp;E$2,'2004'!$B$2:$K$1621,10,0)),VLOOKUP($A92&amp;E$2,'2004'!$A$2:$K$1621,10,0),VLOOKUP($A92&amp;E$2,'2004'!$B$2:$K$1621,10,0))</f>
        <v>FFR</v>
      </c>
      <c r="F92" s="36" t="str">
        <f>IF(ISNA(VLOOKUP($A92&amp;F$2,'2004'!$B$2:$K$1621,10,0)),VLOOKUP($A92&amp;F$2,'2004'!$A$2:$K$1621,10,0),VLOOKUP($A92&amp;F$2,'2004'!$B$2:$K$1621,10,0))</f>
        <v>DIG</v>
      </c>
      <c r="G92" s="35" t="str">
        <f>IF(ISNA(VLOOKUP($A92&amp;G$2,'2004'!$B$2:$K$1621,10,0)),VLOOKUP($A92&amp;G$2,'2004'!$A$2:$K$1621,10,0),VLOOKUP($A92&amp;G$2,'2004'!$B$2:$K$1621,10,0))</f>
        <v>PHI</v>
      </c>
      <c r="H92" s="35" t="str">
        <f>IF(ISNA(VLOOKUP($A92&amp;H$2,'2004'!$B$2:$K$1621,10,0)),VLOOKUP($A92&amp;H$2,'2004'!$A$2:$K$1621,10,0),VLOOKUP($A92&amp;H$2,'2004'!$B$2:$K$1621,10,0))</f>
        <v>HAR</v>
      </c>
      <c r="I92" s="35" t="str">
        <f>IF(ISNA(VLOOKUP($A92&amp;I$2,'2004'!$B$2:$K$1621,10,0)),VLOOKUP($A92&amp;I$2,'2004'!$A$2:$K$1621,10,0),VLOOKUP($A92&amp;I$2,'2004'!$B$2:$K$1621,10,0))</f>
        <v>NYD</v>
      </c>
      <c r="J92" s="35" t="str">
        <f>IF(ISNA(VLOOKUP($A92&amp;J$2,'2004'!$B$2:$K$1621,10,0)),VLOOKUP($A92&amp;J$2,'2004'!$A$2:$K$1621,10,0),VLOOKUP($A92&amp;J$2,'2004'!$B$2:$K$1621,10,0))</f>
        <v>BRK</v>
      </c>
      <c r="K92" s="35" t="str">
        <f>IF(ISNA(VLOOKUP($A92&amp;K$2,'2004'!$B$2:$K$1621,10,0)),VLOOKUP($A92&amp;K$2,'2004'!$A$2:$K$1621,10,0),VLOOKUP($A92&amp;K$2,'2004'!$B$2:$K$1621,10,0))</f>
        <v>CBB</v>
      </c>
      <c r="L92" s="34" t="str">
        <f>IF(ISNA(VLOOKUP($A92&amp;L$2,'2004'!$B$2:$K$1621,10,0)),VLOOKUP($A92&amp;L$2,'2004'!$A$2:$K$1621,10,0),VLOOKUP($A92&amp;L$2,'2004'!$B$2:$K$1621,10,0))</f>
        <v>@GAR</v>
      </c>
      <c r="M92" s="34" t="str">
        <f>IF(ISNA(VLOOKUP($A92&amp;M$2,'2004'!$B$2:$K$1621,10,0)),VLOOKUP($A92&amp;M$2,'2004'!$A$2:$K$1621,10,0),VLOOKUP($A92&amp;M$2,'2004'!$B$2:$K$1621,10,0))</f>
        <v>@CIN</v>
      </c>
      <c r="N92" s="34" t="str">
        <f>IF(ISNA(VLOOKUP($A92&amp;N$2,'2004'!$B$2:$K$1621,10,0)),VLOOKUP($A92&amp;N$2,'2004'!$A$2:$K$1621,10,0),VLOOKUP($A92&amp;N$2,'2004'!$B$2:$K$1621,10,0))</f>
        <v>@CTW</v>
      </c>
      <c r="O92" s="34" t="str">
        <f>IF(ISNA(VLOOKUP($A92&amp;O$2,'2004'!$B$2:$K$1621,10,0)),VLOOKUP($A92&amp;O$2,'2004'!$A$2:$K$1621,10,0),VLOOKUP($A92&amp;O$2,'2004'!$B$2:$K$1621,10,0))</f>
        <v>@BBG</v>
      </c>
      <c r="P92" s="34" t="str">
        <f>IF(ISNA(VLOOKUP($A92&amp;P$2,'2004'!$B$2:$K$1621,10,0)),VLOOKUP($A92&amp;P$2,'2004'!$A$2:$K$1621,10,0),VLOOKUP($A92&amp;P$2,'2004'!$B$2:$K$1621,10,0))</f>
        <v>@BAR</v>
      </c>
      <c r="Q92" s="38" t="str">
        <f>IF(ISNA(VLOOKUP($A92&amp;Q$2,'2004'!$B$2:$K$1621,10,0)),VLOOKUP($A92&amp;Q$2,'2004'!$A$2:$K$1621,10,0),VLOOKUP($A92&amp;Q$2,'2004'!$B$2:$K$1621,10,0))</f>
        <v>@REN</v>
      </c>
      <c r="R92" s="38" t="str">
        <f>IF(ISNA(VLOOKUP($A92&amp;R$2,'2004'!$B$2:$K$1621,10,0)),VLOOKUP($A92&amp;R$2,'2004'!$A$2:$K$1621,10,0),VLOOKUP($A92&amp;R$2,'2004'!$B$2:$K$1621,10,0))</f>
        <v>@TEW</v>
      </c>
      <c r="S92" s="38" t="str">
        <f>IF(ISNA(VLOOKUP($A92&amp;S$2,'2004'!$B$2:$K$1621,10,0)),VLOOKUP($A92&amp;S$2,'2004'!$A$2:$K$1621,10,0),VLOOKUP($A92&amp;S$2,'2004'!$B$2:$K$1621,10,0))</f>
        <v>@FDH</v>
      </c>
      <c r="T92" s="38" t="str">
        <f>IF(ISNA(VLOOKUP($A92&amp;T$2,'2004'!$B$2:$K$1621,10,0)),VLOOKUP($A92&amp;T$2,'2004'!$A$2:$K$1621,10,0),VLOOKUP($A92&amp;T$2,'2004'!$B$2:$K$1621,10,0))</f>
        <v>@NEP</v>
      </c>
      <c r="U92" s="38" t="str">
        <f>IF(ISNA(VLOOKUP($A92&amp;U$2,'2004'!$B$2:$K$1621,10,0)),VLOOKUP($A92&amp;U$2,'2004'!$A$2:$K$1621,10,0),VLOOKUP($A92&amp;U$2,'2004'!$B$2:$K$1621,10,0))</f>
        <v>@CEN</v>
      </c>
    </row>
    <row r="93" spans="1:21" x14ac:dyDescent="0.25">
      <c r="A93" s="40">
        <f t="shared" si="1"/>
        <v>38170</v>
      </c>
      <c r="B93" s="36" t="str">
        <f>IF(ISNA(VLOOKUP($A93&amp;B$2,'2004'!$B$2:$K$1621,10,0)),VLOOKUP($A93&amp;B$2,'2004'!$A$2:$K$1621,10,0),VLOOKUP($A93&amp;B$2,'2004'!$B$2:$K$1621,10,0))</f>
        <v>OKO</v>
      </c>
      <c r="C93" s="36" t="str">
        <f>IF(ISNA(VLOOKUP($A93&amp;C$2,'2004'!$B$2:$K$1621,10,0)),VLOOKUP($A93&amp;C$2,'2004'!$A$2:$K$1621,10,0),VLOOKUP($A93&amp;C$2,'2004'!$B$2:$K$1621,10,0))</f>
        <v>RMO</v>
      </c>
      <c r="D93" s="36" t="str">
        <f>IF(ISNA(VLOOKUP($A93&amp;D$2,'2004'!$B$2:$K$1621,10,0)),VLOOKUP($A93&amp;D$2,'2004'!$A$2:$K$1621,10,0),VLOOKUP($A93&amp;D$2,'2004'!$B$2:$K$1621,10,0))</f>
        <v>NNN</v>
      </c>
      <c r="E93" s="36" t="str">
        <f>IF(ISNA(VLOOKUP($A93&amp;E$2,'2004'!$B$2:$K$1621,10,0)),VLOOKUP($A93&amp;E$2,'2004'!$A$2:$K$1621,10,0),VLOOKUP($A93&amp;E$2,'2004'!$B$2:$K$1621,10,0))</f>
        <v>FFR</v>
      </c>
      <c r="F93" s="36" t="str">
        <f>IF(ISNA(VLOOKUP($A93&amp;F$2,'2004'!$B$2:$K$1621,10,0)),VLOOKUP($A93&amp;F$2,'2004'!$A$2:$K$1621,10,0),VLOOKUP($A93&amp;F$2,'2004'!$B$2:$K$1621,10,0))</f>
        <v>DIG</v>
      </c>
      <c r="G93" s="35" t="str">
        <f>IF(ISNA(VLOOKUP($A93&amp;G$2,'2004'!$B$2:$K$1621,10,0)),VLOOKUP($A93&amp;G$2,'2004'!$A$2:$K$1621,10,0),VLOOKUP($A93&amp;G$2,'2004'!$B$2:$K$1621,10,0))</f>
        <v>PHI</v>
      </c>
      <c r="H93" s="35" t="str">
        <f>IF(ISNA(VLOOKUP($A93&amp;H$2,'2004'!$B$2:$K$1621,10,0)),VLOOKUP($A93&amp;H$2,'2004'!$A$2:$K$1621,10,0),VLOOKUP($A93&amp;H$2,'2004'!$B$2:$K$1621,10,0))</f>
        <v>HAR</v>
      </c>
      <c r="I93" s="35" t="str">
        <f>IF(ISNA(VLOOKUP($A93&amp;I$2,'2004'!$B$2:$K$1621,10,0)),VLOOKUP($A93&amp;I$2,'2004'!$A$2:$K$1621,10,0),VLOOKUP($A93&amp;I$2,'2004'!$B$2:$K$1621,10,0))</f>
        <v>NYD</v>
      </c>
      <c r="J93" s="35" t="str">
        <f>IF(ISNA(VLOOKUP($A93&amp;J$2,'2004'!$B$2:$K$1621,10,0)),VLOOKUP($A93&amp;J$2,'2004'!$A$2:$K$1621,10,0),VLOOKUP($A93&amp;J$2,'2004'!$B$2:$K$1621,10,0))</f>
        <v>BRK</v>
      </c>
      <c r="K93" s="35" t="str">
        <f>IF(ISNA(VLOOKUP($A93&amp;K$2,'2004'!$B$2:$K$1621,10,0)),VLOOKUP($A93&amp;K$2,'2004'!$A$2:$K$1621,10,0),VLOOKUP($A93&amp;K$2,'2004'!$B$2:$K$1621,10,0))</f>
        <v>CBB</v>
      </c>
      <c r="L93" s="34" t="str">
        <f>IF(ISNA(VLOOKUP($A93&amp;L$2,'2004'!$B$2:$K$1621,10,0)),VLOOKUP($A93&amp;L$2,'2004'!$A$2:$K$1621,10,0),VLOOKUP($A93&amp;L$2,'2004'!$B$2:$K$1621,10,0))</f>
        <v>@GAR</v>
      </c>
      <c r="M93" s="34" t="str">
        <f>IF(ISNA(VLOOKUP($A93&amp;M$2,'2004'!$B$2:$K$1621,10,0)),VLOOKUP($A93&amp;M$2,'2004'!$A$2:$K$1621,10,0),VLOOKUP($A93&amp;M$2,'2004'!$B$2:$K$1621,10,0))</f>
        <v>@CIN</v>
      </c>
      <c r="N93" s="34" t="str">
        <f>IF(ISNA(VLOOKUP($A93&amp;N$2,'2004'!$B$2:$K$1621,10,0)),VLOOKUP($A93&amp;N$2,'2004'!$A$2:$K$1621,10,0),VLOOKUP($A93&amp;N$2,'2004'!$B$2:$K$1621,10,0))</f>
        <v>@CTW</v>
      </c>
      <c r="O93" s="34" t="str">
        <f>IF(ISNA(VLOOKUP($A93&amp;O$2,'2004'!$B$2:$K$1621,10,0)),VLOOKUP($A93&amp;O$2,'2004'!$A$2:$K$1621,10,0),VLOOKUP($A93&amp;O$2,'2004'!$B$2:$K$1621,10,0))</f>
        <v>@BBG</v>
      </c>
      <c r="P93" s="34" t="str">
        <f>IF(ISNA(VLOOKUP($A93&amp;P$2,'2004'!$B$2:$K$1621,10,0)),VLOOKUP($A93&amp;P$2,'2004'!$A$2:$K$1621,10,0),VLOOKUP($A93&amp;P$2,'2004'!$B$2:$K$1621,10,0))</f>
        <v>@BAR</v>
      </c>
      <c r="Q93" s="38" t="str">
        <f>IF(ISNA(VLOOKUP($A93&amp;Q$2,'2004'!$B$2:$K$1621,10,0)),VLOOKUP($A93&amp;Q$2,'2004'!$A$2:$K$1621,10,0),VLOOKUP($A93&amp;Q$2,'2004'!$B$2:$K$1621,10,0))</f>
        <v>@REN</v>
      </c>
      <c r="R93" s="38" t="str">
        <f>IF(ISNA(VLOOKUP($A93&amp;R$2,'2004'!$B$2:$K$1621,10,0)),VLOOKUP($A93&amp;R$2,'2004'!$A$2:$K$1621,10,0),VLOOKUP($A93&amp;R$2,'2004'!$B$2:$K$1621,10,0))</f>
        <v>@TEW</v>
      </c>
      <c r="S93" s="38" t="str">
        <f>IF(ISNA(VLOOKUP($A93&amp;S$2,'2004'!$B$2:$K$1621,10,0)),VLOOKUP($A93&amp;S$2,'2004'!$A$2:$K$1621,10,0),VLOOKUP($A93&amp;S$2,'2004'!$B$2:$K$1621,10,0))</f>
        <v>@FDH</v>
      </c>
      <c r="T93" s="38" t="str">
        <f>IF(ISNA(VLOOKUP($A93&amp;T$2,'2004'!$B$2:$K$1621,10,0)),VLOOKUP($A93&amp;T$2,'2004'!$A$2:$K$1621,10,0),VLOOKUP($A93&amp;T$2,'2004'!$B$2:$K$1621,10,0))</f>
        <v>@NEP</v>
      </c>
      <c r="U93" s="38" t="str">
        <f>IF(ISNA(VLOOKUP($A93&amp;U$2,'2004'!$B$2:$K$1621,10,0)),VLOOKUP($A93&amp;U$2,'2004'!$A$2:$K$1621,10,0),VLOOKUP($A93&amp;U$2,'2004'!$B$2:$K$1621,10,0))</f>
        <v>@CEN</v>
      </c>
    </row>
    <row r="94" spans="1:21" x14ac:dyDescent="0.25">
      <c r="A94" s="40">
        <f t="shared" si="1"/>
        <v>38171</v>
      </c>
      <c r="B94" s="36" t="str">
        <f>IF(ISNA(VLOOKUP($A94&amp;B$2,'2004'!$B$2:$K$1621,10,0)),VLOOKUP($A94&amp;B$2,'2004'!$A$2:$K$1621,10,0),VLOOKUP($A94&amp;B$2,'2004'!$B$2:$K$1621,10,0))</f>
        <v>OKO</v>
      </c>
      <c r="C94" s="36" t="str">
        <f>IF(ISNA(VLOOKUP($A94&amp;C$2,'2004'!$B$2:$K$1621,10,0)),VLOOKUP($A94&amp;C$2,'2004'!$A$2:$K$1621,10,0),VLOOKUP($A94&amp;C$2,'2004'!$B$2:$K$1621,10,0))</f>
        <v>RMO</v>
      </c>
      <c r="D94" s="36" t="str">
        <f>IF(ISNA(VLOOKUP($A94&amp;D$2,'2004'!$B$2:$K$1621,10,0)),VLOOKUP($A94&amp;D$2,'2004'!$A$2:$K$1621,10,0),VLOOKUP($A94&amp;D$2,'2004'!$B$2:$K$1621,10,0))</f>
        <v>NNN</v>
      </c>
      <c r="E94" s="36" t="str">
        <f>IF(ISNA(VLOOKUP($A94&amp;E$2,'2004'!$B$2:$K$1621,10,0)),VLOOKUP($A94&amp;E$2,'2004'!$A$2:$K$1621,10,0),VLOOKUP($A94&amp;E$2,'2004'!$B$2:$K$1621,10,0))</f>
        <v>FFR</v>
      </c>
      <c r="F94" s="36" t="str">
        <f>IF(ISNA(VLOOKUP($A94&amp;F$2,'2004'!$B$2:$K$1621,10,0)),VLOOKUP($A94&amp;F$2,'2004'!$A$2:$K$1621,10,0),VLOOKUP($A94&amp;F$2,'2004'!$B$2:$K$1621,10,0))</f>
        <v>DIG</v>
      </c>
      <c r="G94" s="35" t="str">
        <f>IF(ISNA(VLOOKUP($A94&amp;G$2,'2004'!$B$2:$K$1621,10,0)),VLOOKUP($A94&amp;G$2,'2004'!$A$2:$K$1621,10,0),VLOOKUP($A94&amp;G$2,'2004'!$B$2:$K$1621,10,0))</f>
        <v>PHI</v>
      </c>
      <c r="H94" s="35" t="str">
        <f>IF(ISNA(VLOOKUP($A94&amp;H$2,'2004'!$B$2:$K$1621,10,0)),VLOOKUP($A94&amp;H$2,'2004'!$A$2:$K$1621,10,0),VLOOKUP($A94&amp;H$2,'2004'!$B$2:$K$1621,10,0))</f>
        <v>HAR</v>
      </c>
      <c r="I94" s="35" t="str">
        <f>IF(ISNA(VLOOKUP($A94&amp;I$2,'2004'!$B$2:$K$1621,10,0)),VLOOKUP($A94&amp;I$2,'2004'!$A$2:$K$1621,10,0),VLOOKUP($A94&amp;I$2,'2004'!$B$2:$K$1621,10,0))</f>
        <v>NYD</v>
      </c>
      <c r="J94" s="35" t="str">
        <f>IF(ISNA(VLOOKUP($A94&amp;J$2,'2004'!$B$2:$K$1621,10,0)),VLOOKUP($A94&amp;J$2,'2004'!$A$2:$K$1621,10,0),VLOOKUP($A94&amp;J$2,'2004'!$B$2:$K$1621,10,0))</f>
        <v>BRK</v>
      </c>
      <c r="K94" s="35" t="str">
        <f>IF(ISNA(VLOOKUP($A94&amp;K$2,'2004'!$B$2:$K$1621,10,0)),VLOOKUP($A94&amp;K$2,'2004'!$A$2:$K$1621,10,0),VLOOKUP($A94&amp;K$2,'2004'!$B$2:$K$1621,10,0))</f>
        <v>CBB</v>
      </c>
      <c r="L94" s="34" t="str">
        <f>IF(ISNA(VLOOKUP($A94&amp;L$2,'2004'!$B$2:$K$1621,10,0)),VLOOKUP($A94&amp;L$2,'2004'!$A$2:$K$1621,10,0),VLOOKUP($A94&amp;L$2,'2004'!$B$2:$K$1621,10,0))</f>
        <v>@GAR</v>
      </c>
      <c r="M94" s="34" t="str">
        <f>IF(ISNA(VLOOKUP($A94&amp;M$2,'2004'!$B$2:$K$1621,10,0)),VLOOKUP($A94&amp;M$2,'2004'!$A$2:$K$1621,10,0),VLOOKUP($A94&amp;M$2,'2004'!$B$2:$K$1621,10,0))</f>
        <v>@CIN</v>
      </c>
      <c r="N94" s="34" t="str">
        <f>IF(ISNA(VLOOKUP($A94&amp;N$2,'2004'!$B$2:$K$1621,10,0)),VLOOKUP($A94&amp;N$2,'2004'!$A$2:$K$1621,10,0),VLOOKUP($A94&amp;N$2,'2004'!$B$2:$K$1621,10,0))</f>
        <v>@CTW</v>
      </c>
      <c r="O94" s="34" t="str">
        <f>IF(ISNA(VLOOKUP($A94&amp;O$2,'2004'!$B$2:$K$1621,10,0)),VLOOKUP($A94&amp;O$2,'2004'!$A$2:$K$1621,10,0),VLOOKUP($A94&amp;O$2,'2004'!$B$2:$K$1621,10,0))</f>
        <v>@BBG</v>
      </c>
      <c r="P94" s="34" t="str">
        <f>IF(ISNA(VLOOKUP($A94&amp;P$2,'2004'!$B$2:$K$1621,10,0)),VLOOKUP($A94&amp;P$2,'2004'!$A$2:$K$1621,10,0),VLOOKUP($A94&amp;P$2,'2004'!$B$2:$K$1621,10,0))</f>
        <v>@BAR</v>
      </c>
      <c r="Q94" s="38" t="str">
        <f>IF(ISNA(VLOOKUP($A94&amp;Q$2,'2004'!$B$2:$K$1621,10,0)),VLOOKUP($A94&amp;Q$2,'2004'!$A$2:$K$1621,10,0),VLOOKUP($A94&amp;Q$2,'2004'!$B$2:$K$1621,10,0))</f>
        <v>@REN</v>
      </c>
      <c r="R94" s="38" t="str">
        <f>IF(ISNA(VLOOKUP($A94&amp;R$2,'2004'!$B$2:$K$1621,10,0)),VLOOKUP($A94&amp;R$2,'2004'!$A$2:$K$1621,10,0),VLOOKUP($A94&amp;R$2,'2004'!$B$2:$K$1621,10,0))</f>
        <v>@TEW</v>
      </c>
      <c r="S94" s="38" t="str">
        <f>IF(ISNA(VLOOKUP($A94&amp;S$2,'2004'!$B$2:$K$1621,10,0)),VLOOKUP($A94&amp;S$2,'2004'!$A$2:$K$1621,10,0),VLOOKUP($A94&amp;S$2,'2004'!$B$2:$K$1621,10,0))</f>
        <v>@FDH</v>
      </c>
      <c r="T94" s="38" t="str">
        <f>IF(ISNA(VLOOKUP($A94&amp;T$2,'2004'!$B$2:$K$1621,10,0)),VLOOKUP($A94&amp;T$2,'2004'!$A$2:$K$1621,10,0),VLOOKUP($A94&amp;T$2,'2004'!$B$2:$K$1621,10,0))</f>
        <v>@NEP</v>
      </c>
      <c r="U94" s="38" t="str">
        <f>IF(ISNA(VLOOKUP($A94&amp;U$2,'2004'!$B$2:$K$1621,10,0)),VLOOKUP($A94&amp;U$2,'2004'!$A$2:$K$1621,10,0),VLOOKUP($A94&amp;U$2,'2004'!$B$2:$K$1621,10,0))</f>
        <v>@CEN</v>
      </c>
    </row>
    <row r="95" spans="1:21" x14ac:dyDescent="0.25">
      <c r="A95" s="40">
        <f t="shared" si="1"/>
        <v>38172</v>
      </c>
      <c r="B95" s="36" t="str">
        <f>IF(ISNA(VLOOKUP($A95&amp;B$2,'2004'!$B$2:$K$1621,10,0)),VLOOKUP($A95&amp;B$2,'2004'!$A$2:$K$1621,10,0),VLOOKUP($A95&amp;B$2,'2004'!$B$2:$K$1621,10,0))</f>
        <v>OKO</v>
      </c>
      <c r="C95" s="36" t="str">
        <f>IF(ISNA(VLOOKUP($A95&amp;C$2,'2004'!$B$2:$K$1621,10,0)),VLOOKUP($A95&amp;C$2,'2004'!$A$2:$K$1621,10,0),VLOOKUP($A95&amp;C$2,'2004'!$B$2:$K$1621,10,0))</f>
        <v>RMO</v>
      </c>
      <c r="D95" s="36" t="str">
        <f>IF(ISNA(VLOOKUP($A95&amp;D$2,'2004'!$B$2:$K$1621,10,0)),VLOOKUP($A95&amp;D$2,'2004'!$A$2:$K$1621,10,0),VLOOKUP($A95&amp;D$2,'2004'!$B$2:$K$1621,10,0))</f>
        <v>NNN</v>
      </c>
      <c r="E95" s="36" t="str">
        <f>IF(ISNA(VLOOKUP($A95&amp;E$2,'2004'!$B$2:$K$1621,10,0)),VLOOKUP($A95&amp;E$2,'2004'!$A$2:$K$1621,10,0),VLOOKUP($A95&amp;E$2,'2004'!$B$2:$K$1621,10,0))</f>
        <v>FFR</v>
      </c>
      <c r="F95" s="36" t="str">
        <f>IF(ISNA(VLOOKUP($A95&amp;F$2,'2004'!$B$2:$K$1621,10,0)),VLOOKUP($A95&amp;F$2,'2004'!$A$2:$K$1621,10,0),VLOOKUP($A95&amp;F$2,'2004'!$B$2:$K$1621,10,0))</f>
        <v>DIG</v>
      </c>
      <c r="G95" s="35" t="str">
        <f>IF(ISNA(VLOOKUP($A95&amp;G$2,'2004'!$B$2:$K$1621,10,0)),VLOOKUP($A95&amp;G$2,'2004'!$A$2:$K$1621,10,0),VLOOKUP($A95&amp;G$2,'2004'!$B$2:$K$1621,10,0))</f>
        <v>PHI</v>
      </c>
      <c r="H95" s="35" t="str">
        <f>IF(ISNA(VLOOKUP($A95&amp;H$2,'2004'!$B$2:$K$1621,10,0)),VLOOKUP($A95&amp;H$2,'2004'!$A$2:$K$1621,10,0),VLOOKUP($A95&amp;H$2,'2004'!$B$2:$K$1621,10,0))</f>
        <v>HAR</v>
      </c>
      <c r="I95" s="35" t="str">
        <f>IF(ISNA(VLOOKUP($A95&amp;I$2,'2004'!$B$2:$K$1621,10,0)),VLOOKUP($A95&amp;I$2,'2004'!$A$2:$K$1621,10,0),VLOOKUP($A95&amp;I$2,'2004'!$B$2:$K$1621,10,0))</f>
        <v>NYD</v>
      </c>
      <c r="J95" s="35" t="str">
        <f>IF(ISNA(VLOOKUP($A95&amp;J$2,'2004'!$B$2:$K$1621,10,0)),VLOOKUP($A95&amp;J$2,'2004'!$A$2:$K$1621,10,0),VLOOKUP($A95&amp;J$2,'2004'!$B$2:$K$1621,10,0))</f>
        <v>BRK</v>
      </c>
      <c r="K95" s="35" t="str">
        <f>IF(ISNA(VLOOKUP($A95&amp;K$2,'2004'!$B$2:$K$1621,10,0)),VLOOKUP($A95&amp;K$2,'2004'!$A$2:$K$1621,10,0),VLOOKUP($A95&amp;K$2,'2004'!$B$2:$K$1621,10,0))</f>
        <v>CBB</v>
      </c>
      <c r="L95" s="34" t="str">
        <f>IF(ISNA(VLOOKUP($A95&amp;L$2,'2004'!$B$2:$K$1621,10,0)),VLOOKUP($A95&amp;L$2,'2004'!$A$2:$K$1621,10,0),VLOOKUP($A95&amp;L$2,'2004'!$B$2:$K$1621,10,0))</f>
        <v>@GAR</v>
      </c>
      <c r="M95" s="34" t="str">
        <f>IF(ISNA(VLOOKUP($A95&amp;M$2,'2004'!$B$2:$K$1621,10,0)),VLOOKUP($A95&amp;M$2,'2004'!$A$2:$K$1621,10,0),VLOOKUP($A95&amp;M$2,'2004'!$B$2:$K$1621,10,0))</f>
        <v>@CIN</v>
      </c>
      <c r="N95" s="34" t="str">
        <f>IF(ISNA(VLOOKUP($A95&amp;N$2,'2004'!$B$2:$K$1621,10,0)),VLOOKUP($A95&amp;N$2,'2004'!$A$2:$K$1621,10,0),VLOOKUP($A95&amp;N$2,'2004'!$B$2:$K$1621,10,0))</f>
        <v>@CTW</v>
      </c>
      <c r="O95" s="34" t="str">
        <f>IF(ISNA(VLOOKUP($A95&amp;O$2,'2004'!$B$2:$K$1621,10,0)),VLOOKUP($A95&amp;O$2,'2004'!$A$2:$K$1621,10,0),VLOOKUP($A95&amp;O$2,'2004'!$B$2:$K$1621,10,0))</f>
        <v>@BBG</v>
      </c>
      <c r="P95" s="34" t="str">
        <f>IF(ISNA(VLOOKUP($A95&amp;P$2,'2004'!$B$2:$K$1621,10,0)),VLOOKUP($A95&amp;P$2,'2004'!$A$2:$K$1621,10,0),VLOOKUP($A95&amp;P$2,'2004'!$B$2:$K$1621,10,0))</f>
        <v>@BAR</v>
      </c>
      <c r="Q95" s="38" t="str">
        <f>IF(ISNA(VLOOKUP($A95&amp;Q$2,'2004'!$B$2:$K$1621,10,0)),VLOOKUP($A95&amp;Q$2,'2004'!$A$2:$K$1621,10,0),VLOOKUP($A95&amp;Q$2,'2004'!$B$2:$K$1621,10,0))</f>
        <v>@REN</v>
      </c>
      <c r="R95" s="38" t="str">
        <f>IF(ISNA(VLOOKUP($A95&amp;R$2,'2004'!$B$2:$K$1621,10,0)),VLOOKUP($A95&amp;R$2,'2004'!$A$2:$K$1621,10,0),VLOOKUP($A95&amp;R$2,'2004'!$B$2:$K$1621,10,0))</f>
        <v>@TEW</v>
      </c>
      <c r="S95" s="38" t="str">
        <f>IF(ISNA(VLOOKUP($A95&amp;S$2,'2004'!$B$2:$K$1621,10,0)),VLOOKUP($A95&amp;S$2,'2004'!$A$2:$K$1621,10,0),VLOOKUP($A95&amp;S$2,'2004'!$B$2:$K$1621,10,0))</f>
        <v>@FDH</v>
      </c>
      <c r="T95" s="38" t="str">
        <f>IF(ISNA(VLOOKUP($A95&amp;T$2,'2004'!$B$2:$K$1621,10,0)),VLOOKUP($A95&amp;T$2,'2004'!$A$2:$K$1621,10,0),VLOOKUP($A95&amp;T$2,'2004'!$B$2:$K$1621,10,0))</f>
        <v>@NEP</v>
      </c>
      <c r="U95" s="38" t="str">
        <f>IF(ISNA(VLOOKUP($A95&amp;U$2,'2004'!$B$2:$K$1621,10,0)),VLOOKUP($A95&amp;U$2,'2004'!$A$2:$K$1621,10,0),VLOOKUP($A95&amp;U$2,'2004'!$B$2:$K$1621,10,0))</f>
        <v>@CEN</v>
      </c>
    </row>
    <row r="96" spans="1:21" x14ac:dyDescent="0.25">
      <c r="A96" s="40">
        <f t="shared" si="1"/>
        <v>38173</v>
      </c>
      <c r="B96" s="36" t="str">
        <f>IF(ISNA(VLOOKUP($A96&amp;B$2,'2004'!$B$2:$K$1621,10,0)),VLOOKUP($A96&amp;B$2,'2004'!$A$2:$K$1621,10,0),VLOOKUP($A96&amp;B$2,'2004'!$B$2:$K$1621,10,0))</f>
        <v>@FFR</v>
      </c>
      <c r="C96" s="36" t="str">
        <f>IF(ISNA(VLOOKUP($A96&amp;C$2,'2004'!$B$2:$K$1621,10,0)),VLOOKUP($A96&amp;C$2,'2004'!$A$2:$K$1621,10,0),VLOOKUP($A96&amp;C$2,'2004'!$B$2:$K$1621,10,0))</f>
        <v>@OKO</v>
      </c>
      <c r="D96" s="36" t="str">
        <f>IF(ISNA(VLOOKUP($A96&amp;D$2,'2004'!$B$2:$K$1621,10,0)),VLOOKUP($A96&amp;D$2,'2004'!$A$2:$K$1621,10,0),VLOOKUP($A96&amp;D$2,'2004'!$B$2:$K$1621,10,0))</f>
        <v>@RMO</v>
      </c>
      <c r="E96" s="36" t="str">
        <f>IF(ISNA(VLOOKUP($A96&amp;E$2,'2004'!$B$2:$K$1621,10,0)),VLOOKUP($A96&amp;E$2,'2004'!$A$2:$K$1621,10,0),VLOOKUP($A96&amp;E$2,'2004'!$B$2:$K$1621,10,0))</f>
        <v>@DIG</v>
      </c>
      <c r="F96" s="36" t="str">
        <f>IF(ISNA(VLOOKUP($A96&amp;F$2,'2004'!$B$2:$K$1621,10,0)),VLOOKUP($A96&amp;F$2,'2004'!$A$2:$K$1621,10,0),VLOOKUP($A96&amp;F$2,'2004'!$B$2:$K$1621,10,0))</f>
        <v>@NNN</v>
      </c>
      <c r="G96" s="35" t="str">
        <f>IF(ISNA(VLOOKUP($A96&amp;G$2,'2004'!$B$2:$K$1621,10,0)),VLOOKUP($A96&amp;G$2,'2004'!$A$2:$K$1621,10,0),VLOOKUP($A96&amp;G$2,'2004'!$B$2:$K$1621,10,0))</f>
        <v>@CBB</v>
      </c>
      <c r="H96" s="35" t="str">
        <f>IF(ISNA(VLOOKUP($A96&amp;H$2,'2004'!$B$2:$K$1621,10,0)),VLOOKUP($A96&amp;H$2,'2004'!$A$2:$K$1621,10,0),VLOOKUP($A96&amp;H$2,'2004'!$B$2:$K$1621,10,0))</f>
        <v>@BRK</v>
      </c>
      <c r="I96" s="35" t="str">
        <f>IF(ISNA(VLOOKUP($A96&amp;I$2,'2004'!$B$2:$K$1621,10,0)),VLOOKUP($A96&amp;I$2,'2004'!$A$2:$K$1621,10,0),VLOOKUP($A96&amp;I$2,'2004'!$B$2:$K$1621,10,0))</f>
        <v>@PHI</v>
      </c>
      <c r="J96" s="35" t="str">
        <f>IF(ISNA(VLOOKUP($A96&amp;J$2,'2004'!$B$2:$K$1621,10,0)),VLOOKUP($A96&amp;J$2,'2004'!$A$2:$K$1621,10,0),VLOOKUP($A96&amp;J$2,'2004'!$B$2:$K$1621,10,0))</f>
        <v>@NYD</v>
      </c>
      <c r="K96" s="35" t="str">
        <f>IF(ISNA(VLOOKUP($A96&amp;K$2,'2004'!$B$2:$K$1621,10,0)),VLOOKUP($A96&amp;K$2,'2004'!$A$2:$K$1621,10,0),VLOOKUP($A96&amp;K$2,'2004'!$B$2:$K$1621,10,0))</f>
        <v>@HAR</v>
      </c>
      <c r="L96" s="34" t="str">
        <f>IF(ISNA(VLOOKUP($A96&amp;L$2,'2004'!$B$2:$K$1621,10,0)),VLOOKUP($A96&amp;L$2,'2004'!$A$2:$K$1621,10,0),VLOOKUP($A96&amp;L$2,'2004'!$B$2:$K$1621,10,0))</f>
        <v>CIN</v>
      </c>
      <c r="M96" s="34" t="str">
        <f>IF(ISNA(VLOOKUP($A96&amp;M$2,'2004'!$B$2:$K$1621,10,0)),VLOOKUP($A96&amp;M$2,'2004'!$A$2:$K$1621,10,0),VLOOKUP($A96&amp;M$2,'2004'!$B$2:$K$1621,10,0))</f>
        <v>BBG</v>
      </c>
      <c r="N96" s="34" t="str">
        <f>IF(ISNA(VLOOKUP($A96&amp;N$2,'2004'!$B$2:$K$1621,10,0)),VLOOKUP($A96&amp;N$2,'2004'!$A$2:$K$1621,10,0),VLOOKUP($A96&amp;N$2,'2004'!$B$2:$K$1621,10,0))</f>
        <v>GAR</v>
      </c>
      <c r="O96" s="34" t="str">
        <f>IF(ISNA(VLOOKUP($A96&amp;O$2,'2004'!$B$2:$K$1621,10,0)),VLOOKUP($A96&amp;O$2,'2004'!$A$2:$K$1621,10,0),VLOOKUP($A96&amp;O$2,'2004'!$B$2:$K$1621,10,0))</f>
        <v>BAR</v>
      </c>
      <c r="P96" s="34" t="str">
        <f>IF(ISNA(VLOOKUP($A96&amp;P$2,'2004'!$B$2:$K$1621,10,0)),VLOOKUP($A96&amp;P$2,'2004'!$A$2:$K$1621,10,0),VLOOKUP($A96&amp;P$2,'2004'!$B$2:$K$1621,10,0))</f>
        <v>CTW</v>
      </c>
      <c r="Q96" s="38" t="str">
        <f>IF(ISNA(VLOOKUP($A96&amp;Q$2,'2004'!$B$2:$K$1621,10,0)),VLOOKUP($A96&amp;Q$2,'2004'!$A$2:$K$1621,10,0),VLOOKUP($A96&amp;Q$2,'2004'!$B$2:$K$1621,10,0))</f>
        <v>FDH</v>
      </c>
      <c r="R96" s="38" t="str">
        <f>IF(ISNA(VLOOKUP($A96&amp;R$2,'2004'!$B$2:$K$1621,10,0)),VLOOKUP($A96&amp;R$2,'2004'!$A$2:$K$1621,10,0),VLOOKUP($A96&amp;R$2,'2004'!$B$2:$K$1621,10,0))</f>
        <v>CEN</v>
      </c>
      <c r="S96" s="38" t="str">
        <f>IF(ISNA(VLOOKUP($A96&amp;S$2,'2004'!$B$2:$K$1621,10,0)),VLOOKUP($A96&amp;S$2,'2004'!$A$2:$K$1621,10,0),VLOOKUP($A96&amp;S$2,'2004'!$B$2:$K$1621,10,0))</f>
        <v>TEW</v>
      </c>
      <c r="T96" s="38" t="str">
        <f>IF(ISNA(VLOOKUP($A96&amp;T$2,'2004'!$B$2:$K$1621,10,0)),VLOOKUP($A96&amp;T$2,'2004'!$A$2:$K$1621,10,0),VLOOKUP($A96&amp;T$2,'2004'!$B$2:$K$1621,10,0))</f>
        <v>REN</v>
      </c>
      <c r="U96" s="38" t="str">
        <f>IF(ISNA(VLOOKUP($A96&amp;U$2,'2004'!$B$2:$K$1621,10,0)),VLOOKUP($A96&amp;U$2,'2004'!$A$2:$K$1621,10,0),VLOOKUP($A96&amp;U$2,'2004'!$B$2:$K$1621,10,0))</f>
        <v>NEP</v>
      </c>
    </row>
    <row r="97" spans="1:21" x14ac:dyDescent="0.25">
      <c r="A97" s="40">
        <f t="shared" si="1"/>
        <v>38174</v>
      </c>
      <c r="B97" s="36" t="str">
        <f>IF(ISNA(VLOOKUP($A97&amp;B$2,'2004'!$B$2:$K$1621,10,0)),VLOOKUP($A97&amp;B$2,'2004'!$A$2:$K$1621,10,0),VLOOKUP($A97&amp;B$2,'2004'!$B$2:$K$1621,10,0))</f>
        <v>@FFR</v>
      </c>
      <c r="C97" s="36" t="str">
        <f>IF(ISNA(VLOOKUP($A97&amp;C$2,'2004'!$B$2:$K$1621,10,0)),VLOOKUP($A97&amp;C$2,'2004'!$A$2:$K$1621,10,0),VLOOKUP($A97&amp;C$2,'2004'!$B$2:$K$1621,10,0))</f>
        <v>@OKO</v>
      </c>
      <c r="D97" s="36" t="str">
        <f>IF(ISNA(VLOOKUP($A97&amp;D$2,'2004'!$B$2:$K$1621,10,0)),VLOOKUP($A97&amp;D$2,'2004'!$A$2:$K$1621,10,0),VLOOKUP($A97&amp;D$2,'2004'!$B$2:$K$1621,10,0))</f>
        <v>@RMO</v>
      </c>
      <c r="E97" s="36" t="str">
        <f>IF(ISNA(VLOOKUP($A97&amp;E$2,'2004'!$B$2:$K$1621,10,0)),VLOOKUP($A97&amp;E$2,'2004'!$A$2:$K$1621,10,0),VLOOKUP($A97&amp;E$2,'2004'!$B$2:$K$1621,10,0))</f>
        <v>@DIG</v>
      </c>
      <c r="F97" s="36" t="str">
        <f>IF(ISNA(VLOOKUP($A97&amp;F$2,'2004'!$B$2:$K$1621,10,0)),VLOOKUP($A97&amp;F$2,'2004'!$A$2:$K$1621,10,0),VLOOKUP($A97&amp;F$2,'2004'!$B$2:$K$1621,10,0))</f>
        <v>@NNN</v>
      </c>
      <c r="G97" s="35" t="str">
        <f>IF(ISNA(VLOOKUP($A97&amp;G$2,'2004'!$B$2:$K$1621,10,0)),VLOOKUP($A97&amp;G$2,'2004'!$A$2:$K$1621,10,0),VLOOKUP($A97&amp;G$2,'2004'!$B$2:$K$1621,10,0))</f>
        <v>@CBB</v>
      </c>
      <c r="H97" s="35" t="str">
        <f>IF(ISNA(VLOOKUP($A97&amp;H$2,'2004'!$B$2:$K$1621,10,0)),VLOOKUP($A97&amp;H$2,'2004'!$A$2:$K$1621,10,0),VLOOKUP($A97&amp;H$2,'2004'!$B$2:$K$1621,10,0))</f>
        <v>@BRK</v>
      </c>
      <c r="I97" s="35" t="str">
        <f>IF(ISNA(VLOOKUP($A97&amp;I$2,'2004'!$B$2:$K$1621,10,0)),VLOOKUP($A97&amp;I$2,'2004'!$A$2:$K$1621,10,0),VLOOKUP($A97&amp;I$2,'2004'!$B$2:$K$1621,10,0))</f>
        <v>@PHI</v>
      </c>
      <c r="J97" s="35" t="str">
        <f>IF(ISNA(VLOOKUP($A97&amp;J$2,'2004'!$B$2:$K$1621,10,0)),VLOOKUP($A97&amp;J$2,'2004'!$A$2:$K$1621,10,0),VLOOKUP($A97&amp;J$2,'2004'!$B$2:$K$1621,10,0))</f>
        <v>@NYD</v>
      </c>
      <c r="K97" s="35" t="str">
        <f>IF(ISNA(VLOOKUP($A97&amp;K$2,'2004'!$B$2:$K$1621,10,0)),VLOOKUP($A97&amp;K$2,'2004'!$A$2:$K$1621,10,0),VLOOKUP($A97&amp;K$2,'2004'!$B$2:$K$1621,10,0))</f>
        <v>@HAR</v>
      </c>
      <c r="L97" s="34" t="str">
        <f>IF(ISNA(VLOOKUP($A97&amp;L$2,'2004'!$B$2:$K$1621,10,0)),VLOOKUP($A97&amp;L$2,'2004'!$A$2:$K$1621,10,0),VLOOKUP($A97&amp;L$2,'2004'!$B$2:$K$1621,10,0))</f>
        <v>CIN</v>
      </c>
      <c r="M97" s="34" t="str">
        <f>IF(ISNA(VLOOKUP($A97&amp;M$2,'2004'!$B$2:$K$1621,10,0)),VLOOKUP($A97&amp;M$2,'2004'!$A$2:$K$1621,10,0),VLOOKUP($A97&amp;M$2,'2004'!$B$2:$K$1621,10,0))</f>
        <v>BBG</v>
      </c>
      <c r="N97" s="34" t="str">
        <f>IF(ISNA(VLOOKUP($A97&amp;N$2,'2004'!$B$2:$K$1621,10,0)),VLOOKUP($A97&amp;N$2,'2004'!$A$2:$K$1621,10,0),VLOOKUP($A97&amp;N$2,'2004'!$B$2:$K$1621,10,0))</f>
        <v>GAR</v>
      </c>
      <c r="O97" s="34" t="str">
        <f>IF(ISNA(VLOOKUP($A97&amp;O$2,'2004'!$B$2:$K$1621,10,0)),VLOOKUP($A97&amp;O$2,'2004'!$A$2:$K$1621,10,0),VLOOKUP($A97&amp;O$2,'2004'!$B$2:$K$1621,10,0))</f>
        <v>BAR</v>
      </c>
      <c r="P97" s="34" t="str">
        <f>IF(ISNA(VLOOKUP($A97&amp;P$2,'2004'!$B$2:$K$1621,10,0)),VLOOKUP($A97&amp;P$2,'2004'!$A$2:$K$1621,10,0),VLOOKUP($A97&amp;P$2,'2004'!$B$2:$K$1621,10,0))</f>
        <v>CTW</v>
      </c>
      <c r="Q97" s="38" t="str">
        <f>IF(ISNA(VLOOKUP($A97&amp;Q$2,'2004'!$B$2:$K$1621,10,0)),VLOOKUP($A97&amp;Q$2,'2004'!$A$2:$K$1621,10,0),VLOOKUP($A97&amp;Q$2,'2004'!$B$2:$K$1621,10,0))</f>
        <v>FDH</v>
      </c>
      <c r="R97" s="38" t="str">
        <f>IF(ISNA(VLOOKUP($A97&amp;R$2,'2004'!$B$2:$K$1621,10,0)),VLOOKUP($A97&amp;R$2,'2004'!$A$2:$K$1621,10,0),VLOOKUP($A97&amp;R$2,'2004'!$B$2:$K$1621,10,0))</f>
        <v>CEN</v>
      </c>
      <c r="S97" s="38" t="str">
        <f>IF(ISNA(VLOOKUP($A97&amp;S$2,'2004'!$B$2:$K$1621,10,0)),VLOOKUP($A97&amp;S$2,'2004'!$A$2:$K$1621,10,0),VLOOKUP($A97&amp;S$2,'2004'!$B$2:$K$1621,10,0))</f>
        <v>TEW</v>
      </c>
      <c r="T97" s="38" t="str">
        <f>IF(ISNA(VLOOKUP($A97&amp;T$2,'2004'!$B$2:$K$1621,10,0)),VLOOKUP($A97&amp;T$2,'2004'!$A$2:$K$1621,10,0),VLOOKUP($A97&amp;T$2,'2004'!$B$2:$K$1621,10,0))</f>
        <v>REN</v>
      </c>
      <c r="U97" s="38" t="str">
        <f>IF(ISNA(VLOOKUP($A97&amp;U$2,'2004'!$B$2:$K$1621,10,0)),VLOOKUP($A97&amp;U$2,'2004'!$A$2:$K$1621,10,0),VLOOKUP($A97&amp;U$2,'2004'!$B$2:$K$1621,10,0))</f>
        <v>NEP</v>
      </c>
    </row>
    <row r="98" spans="1:21" x14ac:dyDescent="0.25">
      <c r="A98" s="40">
        <f t="shared" si="1"/>
        <v>38175</v>
      </c>
      <c r="B98" s="36" t="e">
        <f>IF(ISNA(VLOOKUP($A98&amp;B$2,'2004'!$B$2:$K$1621,10,0)),VLOOKUP($A98&amp;B$2,'2004'!$A$2:$K$1621,10,0),VLOOKUP($A98&amp;B$2,'2004'!$B$2:$K$1621,10,0))</f>
        <v>#N/A</v>
      </c>
      <c r="C98" s="36" t="str">
        <f>IF(ISNA(VLOOKUP($A98&amp;C$2,'2004'!$B$2:$K$1621,10,0)),VLOOKUP($A98&amp;C$2,'2004'!$A$2:$K$1621,10,0),VLOOKUP($A98&amp;C$2,'2004'!$B$2:$K$1621,10,0))</f>
        <v>@CEN</v>
      </c>
      <c r="D98" s="36" t="e">
        <f>IF(ISNA(VLOOKUP($A98&amp;D$2,'2004'!$B$2:$K$1621,10,0)),VLOOKUP($A98&amp;D$2,'2004'!$A$2:$K$1621,10,0),VLOOKUP($A98&amp;D$2,'2004'!$B$2:$K$1621,10,0))</f>
        <v>#N/A</v>
      </c>
      <c r="E98" s="36" t="e">
        <f>IF(ISNA(VLOOKUP($A98&amp;E$2,'2004'!$B$2:$K$1621,10,0)),VLOOKUP($A98&amp;E$2,'2004'!$A$2:$K$1621,10,0),VLOOKUP($A98&amp;E$2,'2004'!$B$2:$K$1621,10,0))</f>
        <v>#N/A</v>
      </c>
      <c r="F98" s="36" t="e">
        <f>IF(ISNA(VLOOKUP($A98&amp;F$2,'2004'!$B$2:$K$1621,10,0)),VLOOKUP($A98&amp;F$2,'2004'!$A$2:$K$1621,10,0),VLOOKUP($A98&amp;F$2,'2004'!$B$2:$K$1621,10,0))</f>
        <v>#N/A</v>
      </c>
      <c r="G98" s="35" t="str">
        <f>IF(ISNA(VLOOKUP($A98&amp;G$2,'2004'!$B$2:$K$1621,10,0)),VLOOKUP($A98&amp;G$2,'2004'!$A$2:$K$1621,10,0),VLOOKUP($A98&amp;G$2,'2004'!$B$2:$K$1621,10,0))</f>
        <v>BAR</v>
      </c>
      <c r="H98" s="35" t="e">
        <f>IF(ISNA(VLOOKUP($A98&amp;H$2,'2004'!$B$2:$K$1621,10,0)),VLOOKUP($A98&amp;H$2,'2004'!$A$2:$K$1621,10,0),VLOOKUP($A98&amp;H$2,'2004'!$B$2:$K$1621,10,0))</f>
        <v>#N/A</v>
      </c>
      <c r="I98" s="35" t="e">
        <f>IF(ISNA(VLOOKUP($A98&amp;I$2,'2004'!$B$2:$K$1621,10,0)),VLOOKUP($A98&amp;I$2,'2004'!$A$2:$K$1621,10,0),VLOOKUP($A98&amp;I$2,'2004'!$B$2:$K$1621,10,0))</f>
        <v>#N/A</v>
      </c>
      <c r="J98" s="35" t="e">
        <f>IF(ISNA(VLOOKUP($A98&amp;J$2,'2004'!$B$2:$K$1621,10,0)),VLOOKUP($A98&amp;J$2,'2004'!$A$2:$K$1621,10,0),VLOOKUP($A98&amp;J$2,'2004'!$B$2:$K$1621,10,0))</f>
        <v>#N/A</v>
      </c>
      <c r="K98" s="35" t="e">
        <f>IF(ISNA(VLOOKUP($A98&amp;K$2,'2004'!$B$2:$K$1621,10,0)),VLOOKUP($A98&amp;K$2,'2004'!$A$2:$K$1621,10,0),VLOOKUP($A98&amp;K$2,'2004'!$B$2:$K$1621,10,0))</f>
        <v>#N/A</v>
      </c>
      <c r="L98" s="34" t="e">
        <f>IF(ISNA(VLOOKUP($A98&amp;L$2,'2004'!$B$2:$K$1621,10,0)),VLOOKUP($A98&amp;L$2,'2004'!$A$2:$K$1621,10,0),VLOOKUP($A98&amp;L$2,'2004'!$B$2:$K$1621,10,0))</f>
        <v>#N/A</v>
      </c>
      <c r="M98" s="34" t="e">
        <f>IF(ISNA(VLOOKUP($A98&amp;M$2,'2004'!$B$2:$K$1621,10,0)),VLOOKUP($A98&amp;M$2,'2004'!$A$2:$K$1621,10,0),VLOOKUP($A98&amp;M$2,'2004'!$B$2:$K$1621,10,0))</f>
        <v>#N/A</v>
      </c>
      <c r="N98" s="34" t="e">
        <f>IF(ISNA(VLOOKUP($A98&amp;N$2,'2004'!$B$2:$K$1621,10,0)),VLOOKUP($A98&amp;N$2,'2004'!$A$2:$K$1621,10,0),VLOOKUP($A98&amp;N$2,'2004'!$B$2:$K$1621,10,0))</f>
        <v>#N/A</v>
      </c>
      <c r="O98" s="34" t="str">
        <f>IF(ISNA(VLOOKUP($A98&amp;O$2,'2004'!$B$2:$K$1621,10,0)),VLOOKUP($A98&amp;O$2,'2004'!$A$2:$K$1621,10,0),VLOOKUP($A98&amp;O$2,'2004'!$B$2:$K$1621,10,0))</f>
        <v>@CBB</v>
      </c>
      <c r="P98" s="34" t="e">
        <f>IF(ISNA(VLOOKUP($A98&amp;P$2,'2004'!$B$2:$K$1621,10,0)),VLOOKUP($A98&amp;P$2,'2004'!$A$2:$K$1621,10,0),VLOOKUP($A98&amp;P$2,'2004'!$B$2:$K$1621,10,0))</f>
        <v>#N/A</v>
      </c>
      <c r="Q98" s="38" t="e">
        <f>IF(ISNA(VLOOKUP($A98&amp;Q$2,'2004'!$B$2:$K$1621,10,0)),VLOOKUP($A98&amp;Q$2,'2004'!$A$2:$K$1621,10,0),VLOOKUP($A98&amp;Q$2,'2004'!$B$2:$K$1621,10,0))</f>
        <v>#N/A</v>
      </c>
      <c r="R98" s="38" t="str">
        <f>IF(ISNA(VLOOKUP($A98&amp;R$2,'2004'!$B$2:$K$1621,10,0)),VLOOKUP($A98&amp;R$2,'2004'!$A$2:$K$1621,10,0),VLOOKUP($A98&amp;R$2,'2004'!$B$2:$K$1621,10,0))</f>
        <v>OKO</v>
      </c>
      <c r="S98" s="38" t="str">
        <f>IF(ISNA(VLOOKUP($A98&amp;S$2,'2004'!$B$2:$K$1621,10,0)),VLOOKUP($A98&amp;S$2,'2004'!$A$2:$K$1621,10,0),VLOOKUP($A98&amp;S$2,'2004'!$B$2:$K$1621,10,0))</f>
        <v>@NYD</v>
      </c>
      <c r="T98" s="38" t="str">
        <f>IF(ISNA(VLOOKUP($A98&amp;T$2,'2004'!$B$2:$K$1621,10,0)),VLOOKUP($A98&amp;T$2,'2004'!$A$2:$K$1621,10,0),VLOOKUP($A98&amp;T$2,'2004'!$B$2:$K$1621,10,0))</f>
        <v>HAR</v>
      </c>
      <c r="U98" s="38" t="e">
        <f>IF(ISNA(VLOOKUP($A98&amp;U$2,'2004'!$B$2:$K$1621,10,0)),VLOOKUP($A98&amp;U$2,'2004'!$A$2:$K$1621,10,0),VLOOKUP($A98&amp;U$2,'2004'!$B$2:$K$1621,10,0))</f>
        <v>#N/A</v>
      </c>
    </row>
    <row r="99" spans="1:21" x14ac:dyDescent="0.25">
      <c r="A99" s="40">
        <f t="shared" si="1"/>
        <v>38176</v>
      </c>
      <c r="B99" s="36" t="str">
        <f>IF(ISNA(VLOOKUP($A99&amp;B$2,'2004'!$B$2:$K$1621,10,0)),VLOOKUP($A99&amp;B$2,'2004'!$A$2:$K$1621,10,0),VLOOKUP($A99&amp;B$2,'2004'!$B$2:$K$1621,10,0))</f>
        <v>@GAR</v>
      </c>
      <c r="C99" s="36" t="str">
        <f>IF(ISNA(VLOOKUP($A99&amp;C$2,'2004'!$B$2:$K$1621,10,0)),VLOOKUP($A99&amp;C$2,'2004'!$A$2:$K$1621,10,0),VLOOKUP($A99&amp;C$2,'2004'!$B$2:$K$1621,10,0))</f>
        <v>@CEN</v>
      </c>
      <c r="D99" s="36" t="str">
        <f>IF(ISNA(VLOOKUP($A99&amp;D$2,'2004'!$B$2:$K$1621,10,0)),VLOOKUP($A99&amp;D$2,'2004'!$A$2:$K$1621,10,0),VLOOKUP($A99&amp;D$2,'2004'!$B$2:$K$1621,10,0))</f>
        <v>CIN</v>
      </c>
      <c r="E99" s="36" t="str">
        <f>IF(ISNA(VLOOKUP($A99&amp;E$2,'2004'!$B$2:$K$1621,10,0)),VLOOKUP($A99&amp;E$2,'2004'!$A$2:$K$1621,10,0),VLOOKUP($A99&amp;E$2,'2004'!$B$2:$K$1621,10,0))</f>
        <v>@CTW</v>
      </c>
      <c r="F99" s="36" t="str">
        <f>IF(ISNA(VLOOKUP($A99&amp;F$2,'2004'!$B$2:$K$1621,10,0)),VLOOKUP($A99&amp;F$2,'2004'!$A$2:$K$1621,10,0),VLOOKUP($A99&amp;F$2,'2004'!$B$2:$K$1621,10,0))</f>
        <v>BBG</v>
      </c>
      <c r="G99" s="35" t="str">
        <f>IF(ISNA(VLOOKUP($A99&amp;G$2,'2004'!$B$2:$K$1621,10,0)),VLOOKUP($A99&amp;G$2,'2004'!$A$2:$K$1621,10,0),VLOOKUP($A99&amp;G$2,'2004'!$B$2:$K$1621,10,0))</f>
        <v>BAR</v>
      </c>
      <c r="H99" s="35" t="str">
        <f>IF(ISNA(VLOOKUP($A99&amp;H$2,'2004'!$B$2:$K$1621,10,0)),VLOOKUP($A99&amp;H$2,'2004'!$A$2:$K$1621,10,0),VLOOKUP($A99&amp;H$2,'2004'!$B$2:$K$1621,10,0))</f>
        <v>@NEP</v>
      </c>
      <c r="I99" s="35" t="str">
        <f>IF(ISNA(VLOOKUP($A99&amp;I$2,'2004'!$B$2:$K$1621,10,0)),VLOOKUP($A99&amp;I$2,'2004'!$A$2:$K$1621,10,0),VLOOKUP($A99&amp;I$2,'2004'!$B$2:$K$1621,10,0))</f>
        <v>FDH</v>
      </c>
      <c r="J99" s="35" t="str">
        <f>IF(ISNA(VLOOKUP($A99&amp;J$2,'2004'!$B$2:$K$1621,10,0)),VLOOKUP($A99&amp;J$2,'2004'!$A$2:$K$1621,10,0),VLOOKUP($A99&amp;J$2,'2004'!$B$2:$K$1621,10,0))</f>
        <v>TEW</v>
      </c>
      <c r="K99" s="35" t="str">
        <f>IF(ISNA(VLOOKUP($A99&amp;K$2,'2004'!$B$2:$K$1621,10,0)),VLOOKUP($A99&amp;K$2,'2004'!$A$2:$K$1621,10,0),VLOOKUP($A99&amp;K$2,'2004'!$B$2:$K$1621,10,0))</f>
        <v>@REN</v>
      </c>
      <c r="L99" s="34" t="str">
        <f>IF(ISNA(VLOOKUP($A99&amp;L$2,'2004'!$B$2:$K$1621,10,0)),VLOOKUP($A99&amp;L$2,'2004'!$A$2:$K$1621,10,0),VLOOKUP($A99&amp;L$2,'2004'!$B$2:$K$1621,10,0))</f>
        <v>@RMO</v>
      </c>
      <c r="M99" s="34" t="str">
        <f>IF(ISNA(VLOOKUP($A99&amp;M$2,'2004'!$B$2:$K$1621,10,0)),VLOOKUP($A99&amp;M$2,'2004'!$A$2:$K$1621,10,0),VLOOKUP($A99&amp;M$2,'2004'!$B$2:$K$1621,10,0))</f>
        <v>@NNN</v>
      </c>
      <c r="N99" s="34" t="str">
        <f>IF(ISNA(VLOOKUP($A99&amp;N$2,'2004'!$B$2:$K$1621,10,0)),VLOOKUP($A99&amp;N$2,'2004'!$A$2:$K$1621,10,0),VLOOKUP($A99&amp;N$2,'2004'!$B$2:$K$1621,10,0))</f>
        <v>FFR</v>
      </c>
      <c r="O99" s="34" t="str">
        <f>IF(ISNA(VLOOKUP($A99&amp;O$2,'2004'!$B$2:$K$1621,10,0)),VLOOKUP($A99&amp;O$2,'2004'!$A$2:$K$1621,10,0),VLOOKUP($A99&amp;O$2,'2004'!$B$2:$K$1621,10,0))</f>
        <v>@CBB</v>
      </c>
      <c r="P99" s="34" t="str">
        <f>IF(ISNA(VLOOKUP($A99&amp;P$2,'2004'!$B$2:$K$1621,10,0)),VLOOKUP($A99&amp;P$2,'2004'!$A$2:$K$1621,10,0),VLOOKUP($A99&amp;P$2,'2004'!$B$2:$K$1621,10,0))</f>
        <v>DIG</v>
      </c>
      <c r="Q99" s="38" t="str">
        <f>IF(ISNA(VLOOKUP($A99&amp;Q$2,'2004'!$B$2:$K$1621,10,0)),VLOOKUP($A99&amp;Q$2,'2004'!$A$2:$K$1621,10,0),VLOOKUP($A99&amp;Q$2,'2004'!$B$2:$K$1621,10,0))</f>
        <v>@PHI</v>
      </c>
      <c r="R99" s="38" t="str">
        <f>IF(ISNA(VLOOKUP($A99&amp;R$2,'2004'!$B$2:$K$1621,10,0)),VLOOKUP($A99&amp;R$2,'2004'!$A$2:$K$1621,10,0),VLOOKUP($A99&amp;R$2,'2004'!$B$2:$K$1621,10,0))</f>
        <v>OKO</v>
      </c>
      <c r="S99" s="38" t="str">
        <f>IF(ISNA(VLOOKUP($A99&amp;S$2,'2004'!$B$2:$K$1621,10,0)),VLOOKUP($A99&amp;S$2,'2004'!$A$2:$K$1621,10,0),VLOOKUP($A99&amp;S$2,'2004'!$B$2:$K$1621,10,0))</f>
        <v>@NYD</v>
      </c>
      <c r="T99" s="38" t="str">
        <f>IF(ISNA(VLOOKUP($A99&amp;T$2,'2004'!$B$2:$K$1621,10,0)),VLOOKUP($A99&amp;T$2,'2004'!$A$2:$K$1621,10,0),VLOOKUP($A99&amp;T$2,'2004'!$B$2:$K$1621,10,0))</f>
        <v>HAR</v>
      </c>
      <c r="U99" s="38" t="str">
        <f>IF(ISNA(VLOOKUP($A99&amp;U$2,'2004'!$B$2:$K$1621,10,0)),VLOOKUP($A99&amp;U$2,'2004'!$A$2:$K$1621,10,0),VLOOKUP($A99&amp;U$2,'2004'!$B$2:$K$1621,10,0))</f>
        <v>BRK</v>
      </c>
    </row>
    <row r="100" spans="1:21" x14ac:dyDescent="0.25">
      <c r="A100" s="40">
        <f t="shared" si="1"/>
        <v>38177</v>
      </c>
      <c r="B100" s="36" t="str">
        <f>IF(ISNA(VLOOKUP($A100&amp;B$2,'2004'!$B$2:$K$1621,10,0)),VLOOKUP($A100&amp;B$2,'2004'!$A$2:$K$1621,10,0),VLOOKUP($A100&amp;B$2,'2004'!$B$2:$K$1621,10,0))</f>
        <v>@GAR</v>
      </c>
      <c r="C100" s="36" t="str">
        <f>IF(ISNA(VLOOKUP($A100&amp;C$2,'2004'!$B$2:$K$1621,10,0)),VLOOKUP($A100&amp;C$2,'2004'!$A$2:$K$1621,10,0),VLOOKUP($A100&amp;C$2,'2004'!$B$2:$K$1621,10,0))</f>
        <v>@CEN</v>
      </c>
      <c r="D100" s="36" t="str">
        <f>IF(ISNA(VLOOKUP($A100&amp;D$2,'2004'!$B$2:$K$1621,10,0)),VLOOKUP($A100&amp;D$2,'2004'!$A$2:$K$1621,10,0),VLOOKUP($A100&amp;D$2,'2004'!$B$2:$K$1621,10,0))</f>
        <v>CIN</v>
      </c>
      <c r="E100" s="36" t="str">
        <f>IF(ISNA(VLOOKUP($A100&amp;E$2,'2004'!$B$2:$K$1621,10,0)),VLOOKUP($A100&amp;E$2,'2004'!$A$2:$K$1621,10,0),VLOOKUP($A100&amp;E$2,'2004'!$B$2:$K$1621,10,0))</f>
        <v>@CTW</v>
      </c>
      <c r="F100" s="36" t="str">
        <f>IF(ISNA(VLOOKUP($A100&amp;F$2,'2004'!$B$2:$K$1621,10,0)),VLOOKUP($A100&amp;F$2,'2004'!$A$2:$K$1621,10,0),VLOOKUP($A100&amp;F$2,'2004'!$B$2:$K$1621,10,0))</f>
        <v>BBG</v>
      </c>
      <c r="G100" s="35" t="str">
        <f>IF(ISNA(VLOOKUP($A100&amp;G$2,'2004'!$B$2:$K$1621,10,0)),VLOOKUP($A100&amp;G$2,'2004'!$A$2:$K$1621,10,0),VLOOKUP($A100&amp;G$2,'2004'!$B$2:$K$1621,10,0))</f>
        <v>BAR</v>
      </c>
      <c r="H100" s="35" t="str">
        <f>IF(ISNA(VLOOKUP($A100&amp;H$2,'2004'!$B$2:$K$1621,10,0)),VLOOKUP($A100&amp;H$2,'2004'!$A$2:$K$1621,10,0),VLOOKUP($A100&amp;H$2,'2004'!$B$2:$K$1621,10,0))</f>
        <v>@NEP</v>
      </c>
      <c r="I100" s="35" t="str">
        <f>IF(ISNA(VLOOKUP($A100&amp;I$2,'2004'!$B$2:$K$1621,10,0)),VLOOKUP($A100&amp;I$2,'2004'!$A$2:$K$1621,10,0),VLOOKUP($A100&amp;I$2,'2004'!$B$2:$K$1621,10,0))</f>
        <v>FDH</v>
      </c>
      <c r="J100" s="35" t="str">
        <f>IF(ISNA(VLOOKUP($A100&amp;J$2,'2004'!$B$2:$K$1621,10,0)),VLOOKUP($A100&amp;J$2,'2004'!$A$2:$K$1621,10,0),VLOOKUP($A100&amp;J$2,'2004'!$B$2:$K$1621,10,0))</f>
        <v>TEW</v>
      </c>
      <c r="K100" s="35" t="str">
        <f>IF(ISNA(VLOOKUP($A100&amp;K$2,'2004'!$B$2:$K$1621,10,0)),VLOOKUP($A100&amp;K$2,'2004'!$A$2:$K$1621,10,0),VLOOKUP($A100&amp;K$2,'2004'!$B$2:$K$1621,10,0))</f>
        <v>@REN</v>
      </c>
      <c r="L100" s="34" t="str">
        <f>IF(ISNA(VLOOKUP($A100&amp;L$2,'2004'!$B$2:$K$1621,10,0)),VLOOKUP($A100&amp;L$2,'2004'!$A$2:$K$1621,10,0),VLOOKUP($A100&amp;L$2,'2004'!$B$2:$K$1621,10,0))</f>
        <v>@RMO</v>
      </c>
      <c r="M100" s="34" t="str">
        <f>IF(ISNA(VLOOKUP($A100&amp;M$2,'2004'!$B$2:$K$1621,10,0)),VLOOKUP($A100&amp;M$2,'2004'!$A$2:$K$1621,10,0),VLOOKUP($A100&amp;M$2,'2004'!$B$2:$K$1621,10,0))</f>
        <v>@NNN</v>
      </c>
      <c r="N100" s="34" t="str">
        <f>IF(ISNA(VLOOKUP($A100&amp;N$2,'2004'!$B$2:$K$1621,10,0)),VLOOKUP($A100&amp;N$2,'2004'!$A$2:$K$1621,10,0),VLOOKUP($A100&amp;N$2,'2004'!$B$2:$K$1621,10,0))</f>
        <v>FFR</v>
      </c>
      <c r="O100" s="34" t="str">
        <f>IF(ISNA(VLOOKUP($A100&amp;O$2,'2004'!$B$2:$K$1621,10,0)),VLOOKUP($A100&amp;O$2,'2004'!$A$2:$K$1621,10,0),VLOOKUP($A100&amp;O$2,'2004'!$B$2:$K$1621,10,0))</f>
        <v>@CBB</v>
      </c>
      <c r="P100" s="34" t="str">
        <f>IF(ISNA(VLOOKUP($A100&amp;P$2,'2004'!$B$2:$K$1621,10,0)),VLOOKUP($A100&amp;P$2,'2004'!$A$2:$K$1621,10,0),VLOOKUP($A100&amp;P$2,'2004'!$B$2:$K$1621,10,0))</f>
        <v>DIG</v>
      </c>
      <c r="Q100" s="38" t="str">
        <f>IF(ISNA(VLOOKUP($A100&amp;Q$2,'2004'!$B$2:$K$1621,10,0)),VLOOKUP($A100&amp;Q$2,'2004'!$A$2:$K$1621,10,0),VLOOKUP($A100&amp;Q$2,'2004'!$B$2:$K$1621,10,0))</f>
        <v>@PHI</v>
      </c>
      <c r="R100" s="38" t="str">
        <f>IF(ISNA(VLOOKUP($A100&amp;R$2,'2004'!$B$2:$K$1621,10,0)),VLOOKUP($A100&amp;R$2,'2004'!$A$2:$K$1621,10,0),VLOOKUP($A100&amp;R$2,'2004'!$B$2:$K$1621,10,0))</f>
        <v>OKO</v>
      </c>
      <c r="S100" s="38" t="str">
        <f>IF(ISNA(VLOOKUP($A100&amp;S$2,'2004'!$B$2:$K$1621,10,0)),VLOOKUP($A100&amp;S$2,'2004'!$A$2:$K$1621,10,0),VLOOKUP($A100&amp;S$2,'2004'!$B$2:$K$1621,10,0))</f>
        <v>@NYD</v>
      </c>
      <c r="T100" s="38" t="str">
        <f>IF(ISNA(VLOOKUP($A100&amp;T$2,'2004'!$B$2:$K$1621,10,0)),VLOOKUP($A100&amp;T$2,'2004'!$A$2:$K$1621,10,0),VLOOKUP($A100&amp;T$2,'2004'!$B$2:$K$1621,10,0))</f>
        <v>HAR</v>
      </c>
      <c r="U100" s="38" t="str">
        <f>IF(ISNA(VLOOKUP($A100&amp;U$2,'2004'!$B$2:$K$1621,10,0)),VLOOKUP($A100&amp;U$2,'2004'!$A$2:$K$1621,10,0),VLOOKUP($A100&amp;U$2,'2004'!$B$2:$K$1621,10,0))</f>
        <v>BRK</v>
      </c>
    </row>
    <row r="101" spans="1:21" x14ac:dyDescent="0.25">
      <c r="A101" s="40">
        <f t="shared" si="1"/>
        <v>38178</v>
      </c>
      <c r="B101" s="36" t="str">
        <f>IF(ISNA(VLOOKUP($A101&amp;B$2,'2004'!$B$2:$K$1621,10,0)),VLOOKUP($A101&amp;B$2,'2004'!$A$2:$K$1621,10,0),VLOOKUP($A101&amp;B$2,'2004'!$B$2:$K$1621,10,0))</f>
        <v>@GAR</v>
      </c>
      <c r="C101" s="36" t="str">
        <f>IF(ISNA(VLOOKUP($A101&amp;C$2,'2004'!$B$2:$K$1621,10,0)),VLOOKUP($A101&amp;C$2,'2004'!$A$2:$K$1621,10,0),VLOOKUP($A101&amp;C$2,'2004'!$B$2:$K$1621,10,0))</f>
        <v>@CEN</v>
      </c>
      <c r="D101" s="36" t="str">
        <f>IF(ISNA(VLOOKUP($A101&amp;D$2,'2004'!$B$2:$K$1621,10,0)),VLOOKUP($A101&amp;D$2,'2004'!$A$2:$K$1621,10,0),VLOOKUP($A101&amp;D$2,'2004'!$B$2:$K$1621,10,0))</f>
        <v>CIN</v>
      </c>
      <c r="E101" s="36" t="str">
        <f>IF(ISNA(VLOOKUP($A101&amp;E$2,'2004'!$B$2:$K$1621,10,0)),VLOOKUP($A101&amp;E$2,'2004'!$A$2:$K$1621,10,0),VLOOKUP($A101&amp;E$2,'2004'!$B$2:$K$1621,10,0))</f>
        <v>@CTW</v>
      </c>
      <c r="F101" s="36" t="str">
        <f>IF(ISNA(VLOOKUP($A101&amp;F$2,'2004'!$B$2:$K$1621,10,0)),VLOOKUP($A101&amp;F$2,'2004'!$A$2:$K$1621,10,0),VLOOKUP($A101&amp;F$2,'2004'!$B$2:$K$1621,10,0))</f>
        <v>BBG</v>
      </c>
      <c r="G101" s="35" t="str">
        <f>IF(ISNA(VLOOKUP($A101&amp;G$2,'2004'!$B$2:$K$1621,10,0)),VLOOKUP($A101&amp;G$2,'2004'!$A$2:$K$1621,10,0),VLOOKUP($A101&amp;G$2,'2004'!$B$2:$K$1621,10,0))</f>
        <v>BAR</v>
      </c>
      <c r="H101" s="35" t="str">
        <f>IF(ISNA(VLOOKUP($A101&amp;H$2,'2004'!$B$2:$K$1621,10,0)),VLOOKUP($A101&amp;H$2,'2004'!$A$2:$K$1621,10,0),VLOOKUP($A101&amp;H$2,'2004'!$B$2:$K$1621,10,0))</f>
        <v>@NEP</v>
      </c>
      <c r="I101" s="35" t="str">
        <f>IF(ISNA(VLOOKUP($A101&amp;I$2,'2004'!$B$2:$K$1621,10,0)),VLOOKUP($A101&amp;I$2,'2004'!$A$2:$K$1621,10,0),VLOOKUP($A101&amp;I$2,'2004'!$B$2:$K$1621,10,0))</f>
        <v>FDH</v>
      </c>
      <c r="J101" s="35" t="str">
        <f>IF(ISNA(VLOOKUP($A101&amp;J$2,'2004'!$B$2:$K$1621,10,0)),VLOOKUP($A101&amp;J$2,'2004'!$A$2:$K$1621,10,0),VLOOKUP($A101&amp;J$2,'2004'!$B$2:$K$1621,10,0))</f>
        <v>TEW</v>
      </c>
      <c r="K101" s="35" t="str">
        <f>IF(ISNA(VLOOKUP($A101&amp;K$2,'2004'!$B$2:$K$1621,10,0)),VLOOKUP($A101&amp;K$2,'2004'!$A$2:$K$1621,10,0),VLOOKUP($A101&amp;K$2,'2004'!$B$2:$K$1621,10,0))</f>
        <v>@REN</v>
      </c>
      <c r="L101" s="34" t="str">
        <f>IF(ISNA(VLOOKUP($A101&amp;L$2,'2004'!$B$2:$K$1621,10,0)),VLOOKUP($A101&amp;L$2,'2004'!$A$2:$K$1621,10,0),VLOOKUP($A101&amp;L$2,'2004'!$B$2:$K$1621,10,0))</f>
        <v>@RMO</v>
      </c>
      <c r="M101" s="34" t="str">
        <f>IF(ISNA(VLOOKUP($A101&amp;M$2,'2004'!$B$2:$K$1621,10,0)),VLOOKUP($A101&amp;M$2,'2004'!$A$2:$K$1621,10,0),VLOOKUP($A101&amp;M$2,'2004'!$B$2:$K$1621,10,0))</f>
        <v>@NNN</v>
      </c>
      <c r="N101" s="34" t="str">
        <f>IF(ISNA(VLOOKUP($A101&amp;N$2,'2004'!$B$2:$K$1621,10,0)),VLOOKUP($A101&amp;N$2,'2004'!$A$2:$K$1621,10,0),VLOOKUP($A101&amp;N$2,'2004'!$B$2:$K$1621,10,0))</f>
        <v>FFR</v>
      </c>
      <c r="O101" s="34" t="str">
        <f>IF(ISNA(VLOOKUP($A101&amp;O$2,'2004'!$B$2:$K$1621,10,0)),VLOOKUP($A101&amp;O$2,'2004'!$A$2:$K$1621,10,0),VLOOKUP($A101&amp;O$2,'2004'!$B$2:$K$1621,10,0))</f>
        <v>@CBB</v>
      </c>
      <c r="P101" s="34" t="str">
        <f>IF(ISNA(VLOOKUP($A101&amp;P$2,'2004'!$B$2:$K$1621,10,0)),VLOOKUP($A101&amp;P$2,'2004'!$A$2:$K$1621,10,0),VLOOKUP($A101&amp;P$2,'2004'!$B$2:$K$1621,10,0))</f>
        <v>DIG</v>
      </c>
      <c r="Q101" s="38" t="str">
        <f>IF(ISNA(VLOOKUP($A101&amp;Q$2,'2004'!$B$2:$K$1621,10,0)),VLOOKUP($A101&amp;Q$2,'2004'!$A$2:$K$1621,10,0),VLOOKUP($A101&amp;Q$2,'2004'!$B$2:$K$1621,10,0))</f>
        <v>@PHI</v>
      </c>
      <c r="R101" s="38" t="str">
        <f>IF(ISNA(VLOOKUP($A101&amp;R$2,'2004'!$B$2:$K$1621,10,0)),VLOOKUP($A101&amp;R$2,'2004'!$A$2:$K$1621,10,0),VLOOKUP($A101&amp;R$2,'2004'!$B$2:$K$1621,10,0))</f>
        <v>OKO</v>
      </c>
      <c r="S101" s="38" t="str">
        <f>IF(ISNA(VLOOKUP($A101&amp;S$2,'2004'!$B$2:$K$1621,10,0)),VLOOKUP($A101&amp;S$2,'2004'!$A$2:$K$1621,10,0),VLOOKUP($A101&amp;S$2,'2004'!$B$2:$K$1621,10,0))</f>
        <v>@NYD</v>
      </c>
      <c r="T101" s="38" t="str">
        <f>IF(ISNA(VLOOKUP($A101&amp;T$2,'2004'!$B$2:$K$1621,10,0)),VLOOKUP($A101&amp;T$2,'2004'!$A$2:$K$1621,10,0),VLOOKUP($A101&amp;T$2,'2004'!$B$2:$K$1621,10,0))</f>
        <v>HAR</v>
      </c>
      <c r="U101" s="38" t="str">
        <f>IF(ISNA(VLOOKUP($A101&amp;U$2,'2004'!$B$2:$K$1621,10,0)),VLOOKUP($A101&amp;U$2,'2004'!$A$2:$K$1621,10,0),VLOOKUP($A101&amp;U$2,'2004'!$B$2:$K$1621,10,0))</f>
        <v>BRK</v>
      </c>
    </row>
    <row r="102" spans="1:21" x14ac:dyDescent="0.25">
      <c r="A102" s="40">
        <f t="shared" si="1"/>
        <v>38179</v>
      </c>
      <c r="B102" s="36" t="str">
        <f>IF(ISNA(VLOOKUP($A102&amp;B$2,'2004'!$B$2:$K$1621,10,0)),VLOOKUP($A102&amp;B$2,'2004'!$A$2:$K$1621,10,0),VLOOKUP($A102&amp;B$2,'2004'!$B$2:$K$1621,10,0))</f>
        <v>@GAR</v>
      </c>
      <c r="C102" s="36" t="str">
        <f>IF(ISNA(VLOOKUP($A102&amp;C$2,'2004'!$B$2:$K$1621,10,0)),VLOOKUP($A102&amp;C$2,'2004'!$A$2:$K$1621,10,0),VLOOKUP($A102&amp;C$2,'2004'!$B$2:$K$1621,10,0))</f>
        <v>CEN</v>
      </c>
      <c r="D102" s="36" t="str">
        <f>IF(ISNA(VLOOKUP($A102&amp;D$2,'2004'!$B$2:$K$1621,10,0)),VLOOKUP($A102&amp;D$2,'2004'!$A$2:$K$1621,10,0),VLOOKUP($A102&amp;D$2,'2004'!$B$2:$K$1621,10,0))</f>
        <v>CIN</v>
      </c>
      <c r="E102" s="36" t="str">
        <f>IF(ISNA(VLOOKUP($A102&amp;E$2,'2004'!$B$2:$K$1621,10,0)),VLOOKUP($A102&amp;E$2,'2004'!$A$2:$K$1621,10,0),VLOOKUP($A102&amp;E$2,'2004'!$B$2:$K$1621,10,0))</f>
        <v>@CTW</v>
      </c>
      <c r="F102" s="36" t="str">
        <f>IF(ISNA(VLOOKUP($A102&amp;F$2,'2004'!$B$2:$K$1621,10,0)),VLOOKUP($A102&amp;F$2,'2004'!$A$2:$K$1621,10,0),VLOOKUP($A102&amp;F$2,'2004'!$B$2:$K$1621,10,0))</f>
        <v>BBG</v>
      </c>
      <c r="G102" s="35" t="str">
        <f>IF(ISNA(VLOOKUP($A102&amp;G$2,'2004'!$B$2:$K$1621,10,0)),VLOOKUP($A102&amp;G$2,'2004'!$A$2:$K$1621,10,0),VLOOKUP($A102&amp;G$2,'2004'!$B$2:$K$1621,10,0))</f>
        <v>@BAR</v>
      </c>
      <c r="H102" s="35" t="str">
        <f>IF(ISNA(VLOOKUP($A102&amp;H$2,'2004'!$B$2:$K$1621,10,0)),VLOOKUP($A102&amp;H$2,'2004'!$A$2:$K$1621,10,0),VLOOKUP($A102&amp;H$2,'2004'!$B$2:$K$1621,10,0))</f>
        <v>@NEP</v>
      </c>
      <c r="I102" s="35" t="str">
        <f>IF(ISNA(VLOOKUP($A102&amp;I$2,'2004'!$B$2:$K$1621,10,0)),VLOOKUP($A102&amp;I$2,'2004'!$A$2:$K$1621,10,0),VLOOKUP($A102&amp;I$2,'2004'!$B$2:$K$1621,10,0))</f>
        <v>FDH</v>
      </c>
      <c r="J102" s="35" t="str">
        <f>IF(ISNA(VLOOKUP($A102&amp;J$2,'2004'!$B$2:$K$1621,10,0)),VLOOKUP($A102&amp;J$2,'2004'!$A$2:$K$1621,10,0),VLOOKUP($A102&amp;J$2,'2004'!$B$2:$K$1621,10,0))</f>
        <v>TEW</v>
      </c>
      <c r="K102" s="35" t="str">
        <f>IF(ISNA(VLOOKUP($A102&amp;K$2,'2004'!$B$2:$K$1621,10,0)),VLOOKUP($A102&amp;K$2,'2004'!$A$2:$K$1621,10,0),VLOOKUP($A102&amp;K$2,'2004'!$B$2:$K$1621,10,0))</f>
        <v>@REN</v>
      </c>
      <c r="L102" s="34" t="str">
        <f>IF(ISNA(VLOOKUP($A102&amp;L$2,'2004'!$B$2:$K$1621,10,0)),VLOOKUP($A102&amp;L$2,'2004'!$A$2:$K$1621,10,0),VLOOKUP($A102&amp;L$2,'2004'!$B$2:$K$1621,10,0))</f>
        <v>@RMO</v>
      </c>
      <c r="M102" s="34" t="str">
        <f>IF(ISNA(VLOOKUP($A102&amp;M$2,'2004'!$B$2:$K$1621,10,0)),VLOOKUP($A102&amp;M$2,'2004'!$A$2:$K$1621,10,0),VLOOKUP($A102&amp;M$2,'2004'!$B$2:$K$1621,10,0))</f>
        <v>@NNN</v>
      </c>
      <c r="N102" s="34" t="str">
        <f>IF(ISNA(VLOOKUP($A102&amp;N$2,'2004'!$B$2:$K$1621,10,0)),VLOOKUP($A102&amp;N$2,'2004'!$A$2:$K$1621,10,0),VLOOKUP($A102&amp;N$2,'2004'!$B$2:$K$1621,10,0))</f>
        <v>FFR</v>
      </c>
      <c r="O102" s="34" t="str">
        <f>IF(ISNA(VLOOKUP($A102&amp;O$2,'2004'!$B$2:$K$1621,10,0)),VLOOKUP($A102&amp;O$2,'2004'!$A$2:$K$1621,10,0),VLOOKUP($A102&amp;O$2,'2004'!$B$2:$K$1621,10,0))</f>
        <v>CBB</v>
      </c>
      <c r="P102" s="34" t="str">
        <f>IF(ISNA(VLOOKUP($A102&amp;P$2,'2004'!$B$2:$K$1621,10,0)),VLOOKUP($A102&amp;P$2,'2004'!$A$2:$K$1621,10,0),VLOOKUP($A102&amp;P$2,'2004'!$B$2:$K$1621,10,0))</f>
        <v>DIG</v>
      </c>
      <c r="Q102" s="38" t="str">
        <f>IF(ISNA(VLOOKUP($A102&amp;Q$2,'2004'!$B$2:$K$1621,10,0)),VLOOKUP($A102&amp;Q$2,'2004'!$A$2:$K$1621,10,0),VLOOKUP($A102&amp;Q$2,'2004'!$B$2:$K$1621,10,0))</f>
        <v>@PHI</v>
      </c>
      <c r="R102" s="38" t="str">
        <f>IF(ISNA(VLOOKUP($A102&amp;R$2,'2004'!$B$2:$K$1621,10,0)),VLOOKUP($A102&amp;R$2,'2004'!$A$2:$K$1621,10,0),VLOOKUP($A102&amp;R$2,'2004'!$B$2:$K$1621,10,0))</f>
        <v>@OKO</v>
      </c>
      <c r="S102" s="38" t="str">
        <f>IF(ISNA(VLOOKUP($A102&amp;S$2,'2004'!$B$2:$K$1621,10,0)),VLOOKUP($A102&amp;S$2,'2004'!$A$2:$K$1621,10,0),VLOOKUP($A102&amp;S$2,'2004'!$B$2:$K$1621,10,0))</f>
        <v>@NYD</v>
      </c>
      <c r="T102" s="38" t="str">
        <f>IF(ISNA(VLOOKUP($A102&amp;T$2,'2004'!$B$2:$K$1621,10,0)),VLOOKUP($A102&amp;T$2,'2004'!$A$2:$K$1621,10,0),VLOOKUP($A102&amp;T$2,'2004'!$B$2:$K$1621,10,0))</f>
        <v>HAR</v>
      </c>
      <c r="U102" s="38" t="str">
        <f>IF(ISNA(VLOOKUP($A102&amp;U$2,'2004'!$B$2:$K$1621,10,0)),VLOOKUP($A102&amp;U$2,'2004'!$A$2:$K$1621,10,0),VLOOKUP($A102&amp;U$2,'2004'!$B$2:$K$1621,10,0))</f>
        <v>BRK</v>
      </c>
    </row>
    <row r="103" spans="1:21" x14ac:dyDescent="0.25">
      <c r="A103" s="40">
        <f t="shared" si="1"/>
        <v>38180</v>
      </c>
      <c r="B103" s="36" t="str">
        <f>IF(ISNA(VLOOKUP($A103&amp;B$2,'2004'!$B$2:$K$1621,10,0)),VLOOKUP($A103&amp;B$2,'2004'!$A$2:$K$1621,10,0),VLOOKUP($A103&amp;B$2,'2004'!$B$2:$K$1621,10,0))</f>
        <v>@GAR</v>
      </c>
      <c r="C103" s="36" t="str">
        <f>IF(ISNA(VLOOKUP($A103&amp;C$2,'2004'!$B$2:$K$1621,10,0)),VLOOKUP($A103&amp;C$2,'2004'!$A$2:$K$1621,10,0),VLOOKUP($A103&amp;C$2,'2004'!$B$2:$K$1621,10,0))</f>
        <v>CEN</v>
      </c>
      <c r="D103" s="36" t="str">
        <f>IF(ISNA(VLOOKUP($A103&amp;D$2,'2004'!$B$2:$K$1621,10,0)),VLOOKUP($A103&amp;D$2,'2004'!$A$2:$K$1621,10,0),VLOOKUP($A103&amp;D$2,'2004'!$B$2:$K$1621,10,0))</f>
        <v>CIN</v>
      </c>
      <c r="E103" s="36" t="str">
        <f>IF(ISNA(VLOOKUP($A103&amp;E$2,'2004'!$B$2:$K$1621,10,0)),VLOOKUP($A103&amp;E$2,'2004'!$A$2:$K$1621,10,0),VLOOKUP($A103&amp;E$2,'2004'!$B$2:$K$1621,10,0))</f>
        <v>@CTW</v>
      </c>
      <c r="F103" s="36" t="str">
        <f>IF(ISNA(VLOOKUP($A103&amp;F$2,'2004'!$B$2:$K$1621,10,0)),VLOOKUP($A103&amp;F$2,'2004'!$A$2:$K$1621,10,0),VLOOKUP($A103&amp;F$2,'2004'!$B$2:$K$1621,10,0))</f>
        <v>BBG</v>
      </c>
      <c r="G103" s="35" t="str">
        <f>IF(ISNA(VLOOKUP($A103&amp;G$2,'2004'!$B$2:$K$1621,10,0)),VLOOKUP($A103&amp;G$2,'2004'!$A$2:$K$1621,10,0),VLOOKUP($A103&amp;G$2,'2004'!$B$2:$K$1621,10,0))</f>
        <v>@BAR</v>
      </c>
      <c r="H103" s="35" t="str">
        <f>IF(ISNA(VLOOKUP($A103&amp;H$2,'2004'!$B$2:$K$1621,10,0)),VLOOKUP($A103&amp;H$2,'2004'!$A$2:$K$1621,10,0),VLOOKUP($A103&amp;H$2,'2004'!$B$2:$K$1621,10,0))</f>
        <v>@NEP</v>
      </c>
      <c r="I103" s="35" t="str">
        <f>IF(ISNA(VLOOKUP($A103&amp;I$2,'2004'!$B$2:$K$1621,10,0)),VLOOKUP($A103&amp;I$2,'2004'!$A$2:$K$1621,10,0),VLOOKUP($A103&amp;I$2,'2004'!$B$2:$K$1621,10,0))</f>
        <v>FDH</v>
      </c>
      <c r="J103" s="35" t="str">
        <f>IF(ISNA(VLOOKUP($A103&amp;J$2,'2004'!$B$2:$K$1621,10,0)),VLOOKUP($A103&amp;J$2,'2004'!$A$2:$K$1621,10,0),VLOOKUP($A103&amp;J$2,'2004'!$B$2:$K$1621,10,0))</f>
        <v>TEW</v>
      </c>
      <c r="K103" s="35" t="str">
        <f>IF(ISNA(VLOOKUP($A103&amp;K$2,'2004'!$B$2:$K$1621,10,0)),VLOOKUP($A103&amp;K$2,'2004'!$A$2:$K$1621,10,0),VLOOKUP($A103&amp;K$2,'2004'!$B$2:$K$1621,10,0))</f>
        <v>@REN</v>
      </c>
      <c r="L103" s="34" t="str">
        <f>IF(ISNA(VLOOKUP($A103&amp;L$2,'2004'!$B$2:$K$1621,10,0)),VLOOKUP($A103&amp;L$2,'2004'!$A$2:$K$1621,10,0),VLOOKUP($A103&amp;L$2,'2004'!$B$2:$K$1621,10,0))</f>
        <v>@RMO</v>
      </c>
      <c r="M103" s="34" t="str">
        <f>IF(ISNA(VLOOKUP($A103&amp;M$2,'2004'!$B$2:$K$1621,10,0)),VLOOKUP($A103&amp;M$2,'2004'!$A$2:$K$1621,10,0),VLOOKUP($A103&amp;M$2,'2004'!$B$2:$K$1621,10,0))</f>
        <v>@NNN</v>
      </c>
      <c r="N103" s="34" t="str">
        <f>IF(ISNA(VLOOKUP($A103&amp;N$2,'2004'!$B$2:$K$1621,10,0)),VLOOKUP($A103&amp;N$2,'2004'!$A$2:$K$1621,10,0),VLOOKUP($A103&amp;N$2,'2004'!$B$2:$K$1621,10,0))</f>
        <v>FFR</v>
      </c>
      <c r="O103" s="34" t="str">
        <f>IF(ISNA(VLOOKUP($A103&amp;O$2,'2004'!$B$2:$K$1621,10,0)),VLOOKUP($A103&amp;O$2,'2004'!$A$2:$K$1621,10,0),VLOOKUP($A103&amp;O$2,'2004'!$B$2:$K$1621,10,0))</f>
        <v>CBB</v>
      </c>
      <c r="P103" s="34" t="str">
        <f>IF(ISNA(VLOOKUP($A103&amp;P$2,'2004'!$B$2:$K$1621,10,0)),VLOOKUP($A103&amp;P$2,'2004'!$A$2:$K$1621,10,0),VLOOKUP($A103&amp;P$2,'2004'!$B$2:$K$1621,10,0))</f>
        <v>DIG</v>
      </c>
      <c r="Q103" s="38" t="str">
        <f>IF(ISNA(VLOOKUP($A103&amp;Q$2,'2004'!$B$2:$K$1621,10,0)),VLOOKUP($A103&amp;Q$2,'2004'!$A$2:$K$1621,10,0),VLOOKUP($A103&amp;Q$2,'2004'!$B$2:$K$1621,10,0))</f>
        <v>@PHI</v>
      </c>
      <c r="R103" s="38" t="str">
        <f>IF(ISNA(VLOOKUP($A103&amp;R$2,'2004'!$B$2:$K$1621,10,0)),VLOOKUP($A103&amp;R$2,'2004'!$A$2:$K$1621,10,0),VLOOKUP($A103&amp;R$2,'2004'!$B$2:$K$1621,10,0))</f>
        <v>@OKO</v>
      </c>
      <c r="S103" s="38" t="str">
        <f>IF(ISNA(VLOOKUP($A103&amp;S$2,'2004'!$B$2:$K$1621,10,0)),VLOOKUP($A103&amp;S$2,'2004'!$A$2:$K$1621,10,0),VLOOKUP($A103&amp;S$2,'2004'!$B$2:$K$1621,10,0))</f>
        <v>@NYD</v>
      </c>
      <c r="T103" s="38" t="str">
        <f>IF(ISNA(VLOOKUP($A103&amp;T$2,'2004'!$B$2:$K$1621,10,0)),VLOOKUP($A103&amp;T$2,'2004'!$A$2:$K$1621,10,0),VLOOKUP($A103&amp;T$2,'2004'!$B$2:$K$1621,10,0))</f>
        <v>HAR</v>
      </c>
      <c r="U103" s="38" t="str">
        <f>IF(ISNA(VLOOKUP($A103&amp;U$2,'2004'!$B$2:$K$1621,10,0)),VLOOKUP($A103&amp;U$2,'2004'!$A$2:$K$1621,10,0),VLOOKUP($A103&amp;U$2,'2004'!$B$2:$K$1621,10,0))</f>
        <v>BRK</v>
      </c>
    </row>
    <row r="104" spans="1:21" x14ac:dyDescent="0.25">
      <c r="A104" s="40">
        <f t="shared" si="1"/>
        <v>38181</v>
      </c>
      <c r="B104" s="36" t="e">
        <f>IF(ISNA(VLOOKUP($A104&amp;B$2,'2004'!$B$2:$K$1621,10,0)),VLOOKUP($A104&amp;B$2,'2004'!$A$2:$K$1621,10,0),VLOOKUP($A104&amp;B$2,'2004'!$B$2:$K$1621,10,0))</f>
        <v>#N/A</v>
      </c>
      <c r="C104" s="36" t="e">
        <f>IF(ISNA(VLOOKUP($A104&amp;C$2,'2004'!$B$2:$K$1621,10,0)),VLOOKUP($A104&amp;C$2,'2004'!$A$2:$K$1621,10,0),VLOOKUP($A104&amp;C$2,'2004'!$B$2:$K$1621,10,0))</f>
        <v>#N/A</v>
      </c>
      <c r="D104" s="36" t="e">
        <f>IF(ISNA(VLOOKUP($A104&amp;D$2,'2004'!$B$2:$K$1621,10,0)),VLOOKUP($A104&amp;D$2,'2004'!$A$2:$K$1621,10,0),VLOOKUP($A104&amp;D$2,'2004'!$B$2:$K$1621,10,0))</f>
        <v>#N/A</v>
      </c>
      <c r="E104" s="36" t="e">
        <f>IF(ISNA(VLOOKUP($A104&amp;E$2,'2004'!$B$2:$K$1621,10,0)),VLOOKUP($A104&amp;E$2,'2004'!$A$2:$K$1621,10,0),VLOOKUP($A104&amp;E$2,'2004'!$B$2:$K$1621,10,0))</f>
        <v>#N/A</v>
      </c>
      <c r="F104" s="36" t="e">
        <f>IF(ISNA(VLOOKUP($A104&amp;F$2,'2004'!$B$2:$K$1621,10,0)),VLOOKUP($A104&amp;F$2,'2004'!$A$2:$K$1621,10,0),VLOOKUP($A104&amp;F$2,'2004'!$B$2:$K$1621,10,0))</f>
        <v>#N/A</v>
      </c>
      <c r="G104" s="35" t="e">
        <f>IF(ISNA(VLOOKUP($A104&amp;G$2,'2004'!$B$2:$K$1621,10,0)),VLOOKUP($A104&amp;G$2,'2004'!$A$2:$K$1621,10,0),VLOOKUP($A104&amp;G$2,'2004'!$B$2:$K$1621,10,0))</f>
        <v>#N/A</v>
      </c>
      <c r="H104" s="35" t="e">
        <f>IF(ISNA(VLOOKUP($A104&amp;H$2,'2004'!$B$2:$K$1621,10,0)),VLOOKUP($A104&amp;H$2,'2004'!$A$2:$K$1621,10,0),VLOOKUP($A104&amp;H$2,'2004'!$B$2:$K$1621,10,0))</f>
        <v>#N/A</v>
      </c>
      <c r="I104" s="35" t="e">
        <f>IF(ISNA(VLOOKUP($A104&amp;I$2,'2004'!$B$2:$K$1621,10,0)),VLOOKUP($A104&amp;I$2,'2004'!$A$2:$K$1621,10,0),VLOOKUP($A104&amp;I$2,'2004'!$B$2:$K$1621,10,0))</f>
        <v>#N/A</v>
      </c>
      <c r="J104" s="35" t="e">
        <f>IF(ISNA(VLOOKUP($A104&amp;J$2,'2004'!$B$2:$K$1621,10,0)),VLOOKUP($A104&amp;J$2,'2004'!$A$2:$K$1621,10,0),VLOOKUP($A104&amp;J$2,'2004'!$B$2:$K$1621,10,0))</f>
        <v>#N/A</v>
      </c>
      <c r="K104" s="35" t="e">
        <f>IF(ISNA(VLOOKUP($A104&amp;K$2,'2004'!$B$2:$K$1621,10,0)),VLOOKUP($A104&amp;K$2,'2004'!$A$2:$K$1621,10,0),VLOOKUP($A104&amp;K$2,'2004'!$B$2:$K$1621,10,0))</f>
        <v>#N/A</v>
      </c>
      <c r="L104" s="34" t="e">
        <f>IF(ISNA(VLOOKUP($A104&amp;L$2,'2004'!$B$2:$K$1621,10,0)),VLOOKUP($A104&amp;L$2,'2004'!$A$2:$K$1621,10,0),VLOOKUP($A104&amp;L$2,'2004'!$B$2:$K$1621,10,0))</f>
        <v>#N/A</v>
      </c>
      <c r="M104" s="34" t="e">
        <f>IF(ISNA(VLOOKUP($A104&amp;M$2,'2004'!$B$2:$K$1621,10,0)),VLOOKUP($A104&amp;M$2,'2004'!$A$2:$K$1621,10,0),VLOOKUP($A104&amp;M$2,'2004'!$B$2:$K$1621,10,0))</f>
        <v>#N/A</v>
      </c>
      <c r="N104" s="34" t="e">
        <f>IF(ISNA(VLOOKUP($A104&amp;N$2,'2004'!$B$2:$K$1621,10,0)),VLOOKUP($A104&amp;N$2,'2004'!$A$2:$K$1621,10,0),VLOOKUP($A104&amp;N$2,'2004'!$B$2:$K$1621,10,0))</f>
        <v>#N/A</v>
      </c>
      <c r="O104" s="34" t="e">
        <f>IF(ISNA(VLOOKUP($A104&amp;O$2,'2004'!$B$2:$K$1621,10,0)),VLOOKUP($A104&amp;O$2,'2004'!$A$2:$K$1621,10,0),VLOOKUP($A104&amp;O$2,'2004'!$B$2:$K$1621,10,0))</f>
        <v>#N/A</v>
      </c>
      <c r="P104" s="34" t="e">
        <f>IF(ISNA(VLOOKUP($A104&amp;P$2,'2004'!$B$2:$K$1621,10,0)),VLOOKUP($A104&amp;P$2,'2004'!$A$2:$K$1621,10,0),VLOOKUP($A104&amp;P$2,'2004'!$B$2:$K$1621,10,0))</f>
        <v>#N/A</v>
      </c>
      <c r="Q104" s="38" t="e">
        <f>IF(ISNA(VLOOKUP($A104&amp;Q$2,'2004'!$B$2:$K$1621,10,0)),VLOOKUP($A104&amp;Q$2,'2004'!$A$2:$K$1621,10,0),VLOOKUP($A104&amp;Q$2,'2004'!$B$2:$K$1621,10,0))</f>
        <v>#N/A</v>
      </c>
      <c r="R104" s="38" t="e">
        <f>IF(ISNA(VLOOKUP($A104&amp;R$2,'2004'!$B$2:$K$1621,10,0)),VLOOKUP($A104&amp;R$2,'2004'!$A$2:$K$1621,10,0),VLOOKUP($A104&amp;R$2,'2004'!$B$2:$K$1621,10,0))</f>
        <v>#N/A</v>
      </c>
      <c r="S104" s="38" t="e">
        <f>IF(ISNA(VLOOKUP($A104&amp;S$2,'2004'!$B$2:$K$1621,10,0)),VLOOKUP($A104&amp;S$2,'2004'!$A$2:$K$1621,10,0),VLOOKUP($A104&amp;S$2,'2004'!$B$2:$K$1621,10,0))</f>
        <v>#N/A</v>
      </c>
      <c r="T104" s="38" t="e">
        <f>IF(ISNA(VLOOKUP($A104&amp;T$2,'2004'!$B$2:$K$1621,10,0)),VLOOKUP($A104&amp;T$2,'2004'!$A$2:$K$1621,10,0),VLOOKUP($A104&amp;T$2,'2004'!$B$2:$K$1621,10,0))</f>
        <v>#N/A</v>
      </c>
      <c r="U104" s="38" t="e">
        <f>IF(ISNA(VLOOKUP($A104&amp;U$2,'2004'!$B$2:$K$1621,10,0)),VLOOKUP($A104&amp;U$2,'2004'!$A$2:$K$1621,10,0),VLOOKUP($A104&amp;U$2,'2004'!$B$2:$K$1621,10,0))</f>
        <v>#N/A</v>
      </c>
    </row>
    <row r="105" spans="1:21" x14ac:dyDescent="0.25">
      <c r="A105" s="40">
        <f t="shared" si="1"/>
        <v>38182</v>
      </c>
      <c r="B105" s="36" t="str">
        <f>IF(ISNA(VLOOKUP($A105&amp;B$2,'2004'!$B$2:$K$1621,10,0)),VLOOKUP($A105&amp;B$2,'2004'!$A$2:$K$1621,10,0),VLOOKUP($A105&amp;B$2,'2004'!$B$2:$K$1621,10,0))</f>
        <v>@HAR</v>
      </c>
      <c r="C105" s="36" t="str">
        <f>IF(ISNA(VLOOKUP($A105&amp;C$2,'2004'!$B$2:$K$1621,10,0)),VLOOKUP($A105&amp;C$2,'2004'!$A$2:$K$1621,10,0),VLOOKUP($A105&amp;C$2,'2004'!$B$2:$K$1621,10,0))</f>
        <v>@CBB</v>
      </c>
      <c r="D105" s="36" t="str">
        <f>IF(ISNA(VLOOKUP($A105&amp;D$2,'2004'!$B$2:$K$1621,10,0)),VLOOKUP($A105&amp;D$2,'2004'!$A$2:$K$1621,10,0),VLOOKUP($A105&amp;D$2,'2004'!$B$2:$K$1621,10,0))</f>
        <v>@PHI</v>
      </c>
      <c r="E105" s="36" t="str">
        <f>IF(ISNA(VLOOKUP($A105&amp;E$2,'2004'!$B$2:$K$1621,10,0)),VLOOKUP($A105&amp;E$2,'2004'!$A$2:$K$1621,10,0),VLOOKUP($A105&amp;E$2,'2004'!$B$2:$K$1621,10,0))</f>
        <v>@BRK</v>
      </c>
      <c r="F105" s="36" t="str">
        <f>IF(ISNA(VLOOKUP($A105&amp;F$2,'2004'!$B$2:$K$1621,10,0)),VLOOKUP($A105&amp;F$2,'2004'!$A$2:$K$1621,10,0),VLOOKUP($A105&amp;F$2,'2004'!$B$2:$K$1621,10,0))</f>
        <v>@NYD</v>
      </c>
      <c r="G105" s="35" t="str">
        <f>IF(ISNA(VLOOKUP($A105&amp;G$2,'2004'!$B$2:$K$1621,10,0)),VLOOKUP($A105&amp;G$2,'2004'!$A$2:$K$1621,10,0),VLOOKUP($A105&amp;G$2,'2004'!$B$2:$K$1621,10,0))</f>
        <v>@OKO</v>
      </c>
      <c r="H105" s="35" t="str">
        <f>IF(ISNA(VLOOKUP($A105&amp;H$2,'2004'!$B$2:$K$1621,10,0)),VLOOKUP($A105&amp;H$2,'2004'!$A$2:$K$1621,10,0),VLOOKUP($A105&amp;H$2,'2004'!$B$2:$K$1621,10,0))</f>
        <v>@DIG</v>
      </c>
      <c r="I105" s="35" t="str">
        <f>IF(ISNA(VLOOKUP($A105&amp;I$2,'2004'!$B$2:$K$1621,10,0)),VLOOKUP($A105&amp;I$2,'2004'!$A$2:$K$1621,10,0),VLOOKUP($A105&amp;I$2,'2004'!$B$2:$K$1621,10,0))</f>
        <v>@RMO</v>
      </c>
      <c r="J105" s="35" t="str">
        <f>IF(ISNA(VLOOKUP($A105&amp;J$2,'2004'!$B$2:$K$1621,10,0)),VLOOKUP($A105&amp;J$2,'2004'!$A$2:$K$1621,10,0),VLOOKUP($A105&amp;J$2,'2004'!$B$2:$K$1621,10,0))</f>
        <v>@NNN</v>
      </c>
      <c r="K105" s="35" t="str">
        <f>IF(ISNA(VLOOKUP($A105&amp;K$2,'2004'!$B$2:$K$1621,10,0)),VLOOKUP($A105&amp;K$2,'2004'!$A$2:$K$1621,10,0),VLOOKUP($A105&amp;K$2,'2004'!$B$2:$K$1621,10,0))</f>
        <v>@FFR</v>
      </c>
      <c r="L105" s="34" t="str">
        <f>IF(ISNA(VLOOKUP($A105&amp;L$2,'2004'!$B$2:$K$1621,10,0)),VLOOKUP($A105&amp;L$2,'2004'!$A$2:$K$1621,10,0),VLOOKUP($A105&amp;L$2,'2004'!$B$2:$K$1621,10,0))</f>
        <v>FDH</v>
      </c>
      <c r="M105" s="34" t="str">
        <f>IF(ISNA(VLOOKUP($A105&amp;M$2,'2004'!$B$2:$K$1621,10,0)),VLOOKUP($A105&amp;M$2,'2004'!$A$2:$K$1621,10,0),VLOOKUP($A105&amp;M$2,'2004'!$B$2:$K$1621,10,0))</f>
        <v>TEW</v>
      </c>
      <c r="N105" s="34" t="str">
        <f>IF(ISNA(VLOOKUP($A105&amp;N$2,'2004'!$B$2:$K$1621,10,0)),VLOOKUP($A105&amp;N$2,'2004'!$A$2:$K$1621,10,0),VLOOKUP($A105&amp;N$2,'2004'!$B$2:$K$1621,10,0))</f>
        <v>REN</v>
      </c>
      <c r="O105" s="34" t="str">
        <f>IF(ISNA(VLOOKUP($A105&amp;O$2,'2004'!$B$2:$K$1621,10,0)),VLOOKUP($A105&amp;O$2,'2004'!$A$2:$K$1621,10,0),VLOOKUP($A105&amp;O$2,'2004'!$B$2:$K$1621,10,0))</f>
        <v>CEN</v>
      </c>
      <c r="P105" s="34" t="str">
        <f>IF(ISNA(VLOOKUP($A105&amp;P$2,'2004'!$B$2:$K$1621,10,0)),VLOOKUP($A105&amp;P$2,'2004'!$A$2:$K$1621,10,0),VLOOKUP($A105&amp;P$2,'2004'!$B$2:$K$1621,10,0))</f>
        <v>NEP</v>
      </c>
      <c r="Q105" s="38" t="str">
        <f>IF(ISNA(VLOOKUP($A105&amp;Q$2,'2004'!$B$2:$K$1621,10,0)),VLOOKUP($A105&amp;Q$2,'2004'!$A$2:$K$1621,10,0),VLOOKUP($A105&amp;Q$2,'2004'!$B$2:$K$1621,10,0))</f>
        <v>CIN</v>
      </c>
      <c r="R105" s="38" t="str">
        <f>IF(ISNA(VLOOKUP($A105&amp;R$2,'2004'!$B$2:$K$1621,10,0)),VLOOKUP($A105&amp;R$2,'2004'!$A$2:$K$1621,10,0),VLOOKUP($A105&amp;R$2,'2004'!$B$2:$K$1621,10,0))</f>
        <v>BAR</v>
      </c>
      <c r="S105" s="38" t="str">
        <f>IF(ISNA(VLOOKUP($A105&amp;S$2,'2004'!$B$2:$K$1621,10,0)),VLOOKUP($A105&amp;S$2,'2004'!$A$2:$K$1621,10,0),VLOOKUP($A105&amp;S$2,'2004'!$B$2:$K$1621,10,0))</f>
        <v>BBG</v>
      </c>
      <c r="T105" s="38" t="str">
        <f>IF(ISNA(VLOOKUP($A105&amp;T$2,'2004'!$B$2:$K$1621,10,0)),VLOOKUP($A105&amp;T$2,'2004'!$A$2:$K$1621,10,0),VLOOKUP($A105&amp;T$2,'2004'!$B$2:$K$1621,10,0))</f>
        <v>GAR</v>
      </c>
      <c r="U105" s="38" t="str">
        <f>IF(ISNA(VLOOKUP($A105&amp;U$2,'2004'!$B$2:$K$1621,10,0)),VLOOKUP($A105&amp;U$2,'2004'!$A$2:$K$1621,10,0),VLOOKUP($A105&amp;U$2,'2004'!$B$2:$K$1621,10,0))</f>
        <v>CTW</v>
      </c>
    </row>
    <row r="106" spans="1:21" x14ac:dyDescent="0.25">
      <c r="A106" s="40">
        <f t="shared" si="1"/>
        <v>38183</v>
      </c>
      <c r="B106" s="36" t="str">
        <f>IF(ISNA(VLOOKUP($A106&amp;B$2,'2004'!$B$2:$K$1621,10,0)),VLOOKUP($A106&amp;B$2,'2004'!$A$2:$K$1621,10,0),VLOOKUP($A106&amp;B$2,'2004'!$B$2:$K$1621,10,0))</f>
        <v>@HAR</v>
      </c>
      <c r="C106" s="36" t="str">
        <f>IF(ISNA(VLOOKUP($A106&amp;C$2,'2004'!$B$2:$K$1621,10,0)),VLOOKUP($A106&amp;C$2,'2004'!$A$2:$K$1621,10,0),VLOOKUP($A106&amp;C$2,'2004'!$B$2:$K$1621,10,0))</f>
        <v>@CBB</v>
      </c>
      <c r="D106" s="36" t="str">
        <f>IF(ISNA(VLOOKUP($A106&amp;D$2,'2004'!$B$2:$K$1621,10,0)),VLOOKUP($A106&amp;D$2,'2004'!$A$2:$K$1621,10,0),VLOOKUP($A106&amp;D$2,'2004'!$B$2:$K$1621,10,0))</f>
        <v>@PHI</v>
      </c>
      <c r="E106" s="36" t="str">
        <f>IF(ISNA(VLOOKUP($A106&amp;E$2,'2004'!$B$2:$K$1621,10,0)),VLOOKUP($A106&amp;E$2,'2004'!$A$2:$K$1621,10,0),VLOOKUP($A106&amp;E$2,'2004'!$B$2:$K$1621,10,0))</f>
        <v>@BRK</v>
      </c>
      <c r="F106" s="36" t="str">
        <f>IF(ISNA(VLOOKUP($A106&amp;F$2,'2004'!$B$2:$K$1621,10,0)),VLOOKUP($A106&amp;F$2,'2004'!$A$2:$K$1621,10,0),VLOOKUP($A106&amp;F$2,'2004'!$B$2:$K$1621,10,0))</f>
        <v>@NYD</v>
      </c>
      <c r="G106" s="35" t="str">
        <f>IF(ISNA(VLOOKUP($A106&amp;G$2,'2004'!$B$2:$K$1621,10,0)),VLOOKUP($A106&amp;G$2,'2004'!$A$2:$K$1621,10,0),VLOOKUP($A106&amp;G$2,'2004'!$B$2:$K$1621,10,0))</f>
        <v>@OKO</v>
      </c>
      <c r="H106" s="35" t="str">
        <f>IF(ISNA(VLOOKUP($A106&amp;H$2,'2004'!$B$2:$K$1621,10,0)),VLOOKUP($A106&amp;H$2,'2004'!$A$2:$K$1621,10,0),VLOOKUP($A106&amp;H$2,'2004'!$B$2:$K$1621,10,0))</f>
        <v>@DIG</v>
      </c>
      <c r="I106" s="35" t="str">
        <f>IF(ISNA(VLOOKUP($A106&amp;I$2,'2004'!$B$2:$K$1621,10,0)),VLOOKUP($A106&amp;I$2,'2004'!$A$2:$K$1621,10,0),VLOOKUP($A106&amp;I$2,'2004'!$B$2:$K$1621,10,0))</f>
        <v>@RMO</v>
      </c>
      <c r="J106" s="35" t="str">
        <f>IF(ISNA(VLOOKUP($A106&amp;J$2,'2004'!$B$2:$K$1621,10,0)),VLOOKUP($A106&amp;J$2,'2004'!$A$2:$K$1621,10,0),VLOOKUP($A106&amp;J$2,'2004'!$B$2:$K$1621,10,0))</f>
        <v>@NNN</v>
      </c>
      <c r="K106" s="35" t="str">
        <f>IF(ISNA(VLOOKUP($A106&amp;K$2,'2004'!$B$2:$K$1621,10,0)),VLOOKUP($A106&amp;K$2,'2004'!$A$2:$K$1621,10,0),VLOOKUP($A106&amp;K$2,'2004'!$B$2:$K$1621,10,0))</f>
        <v>@FFR</v>
      </c>
      <c r="L106" s="34" t="str">
        <f>IF(ISNA(VLOOKUP($A106&amp;L$2,'2004'!$B$2:$K$1621,10,0)),VLOOKUP($A106&amp;L$2,'2004'!$A$2:$K$1621,10,0),VLOOKUP($A106&amp;L$2,'2004'!$B$2:$K$1621,10,0))</f>
        <v>FDH</v>
      </c>
      <c r="M106" s="34" t="str">
        <f>IF(ISNA(VLOOKUP($A106&amp;M$2,'2004'!$B$2:$K$1621,10,0)),VLOOKUP($A106&amp;M$2,'2004'!$A$2:$K$1621,10,0),VLOOKUP($A106&amp;M$2,'2004'!$B$2:$K$1621,10,0))</f>
        <v>TEW</v>
      </c>
      <c r="N106" s="34" t="str">
        <f>IF(ISNA(VLOOKUP($A106&amp;N$2,'2004'!$B$2:$K$1621,10,0)),VLOOKUP($A106&amp;N$2,'2004'!$A$2:$K$1621,10,0),VLOOKUP($A106&amp;N$2,'2004'!$B$2:$K$1621,10,0))</f>
        <v>REN</v>
      </c>
      <c r="O106" s="34" t="str">
        <f>IF(ISNA(VLOOKUP($A106&amp;O$2,'2004'!$B$2:$K$1621,10,0)),VLOOKUP($A106&amp;O$2,'2004'!$A$2:$K$1621,10,0),VLOOKUP($A106&amp;O$2,'2004'!$B$2:$K$1621,10,0))</f>
        <v>CEN</v>
      </c>
      <c r="P106" s="34" t="str">
        <f>IF(ISNA(VLOOKUP($A106&amp;P$2,'2004'!$B$2:$K$1621,10,0)),VLOOKUP($A106&amp;P$2,'2004'!$A$2:$K$1621,10,0),VLOOKUP($A106&amp;P$2,'2004'!$B$2:$K$1621,10,0))</f>
        <v>NEP</v>
      </c>
      <c r="Q106" s="38" t="str">
        <f>IF(ISNA(VLOOKUP($A106&amp;Q$2,'2004'!$B$2:$K$1621,10,0)),VLOOKUP($A106&amp;Q$2,'2004'!$A$2:$K$1621,10,0),VLOOKUP($A106&amp;Q$2,'2004'!$B$2:$K$1621,10,0))</f>
        <v>CIN</v>
      </c>
      <c r="R106" s="38" t="str">
        <f>IF(ISNA(VLOOKUP($A106&amp;R$2,'2004'!$B$2:$K$1621,10,0)),VLOOKUP($A106&amp;R$2,'2004'!$A$2:$K$1621,10,0),VLOOKUP($A106&amp;R$2,'2004'!$B$2:$K$1621,10,0))</f>
        <v>BAR</v>
      </c>
      <c r="S106" s="38" t="str">
        <f>IF(ISNA(VLOOKUP($A106&amp;S$2,'2004'!$B$2:$K$1621,10,0)),VLOOKUP($A106&amp;S$2,'2004'!$A$2:$K$1621,10,0),VLOOKUP($A106&amp;S$2,'2004'!$B$2:$K$1621,10,0))</f>
        <v>BBG</v>
      </c>
      <c r="T106" s="38" t="str">
        <f>IF(ISNA(VLOOKUP($A106&amp;T$2,'2004'!$B$2:$K$1621,10,0)),VLOOKUP($A106&amp;T$2,'2004'!$A$2:$K$1621,10,0),VLOOKUP($A106&amp;T$2,'2004'!$B$2:$K$1621,10,0))</f>
        <v>GAR</v>
      </c>
      <c r="U106" s="38" t="str">
        <f>IF(ISNA(VLOOKUP($A106&amp;U$2,'2004'!$B$2:$K$1621,10,0)),VLOOKUP($A106&amp;U$2,'2004'!$A$2:$K$1621,10,0),VLOOKUP($A106&amp;U$2,'2004'!$B$2:$K$1621,10,0))</f>
        <v>CTW</v>
      </c>
    </row>
    <row r="107" spans="1:21" x14ac:dyDescent="0.25">
      <c r="A107" s="40">
        <f t="shared" si="1"/>
        <v>38184</v>
      </c>
      <c r="B107" s="36" t="str">
        <f>IF(ISNA(VLOOKUP($A107&amp;B$2,'2004'!$B$2:$K$1621,10,0)),VLOOKUP($A107&amp;B$2,'2004'!$A$2:$K$1621,10,0),VLOOKUP($A107&amp;B$2,'2004'!$B$2:$K$1621,10,0))</f>
        <v>@HAR</v>
      </c>
      <c r="C107" s="36" t="str">
        <f>IF(ISNA(VLOOKUP($A107&amp;C$2,'2004'!$B$2:$K$1621,10,0)),VLOOKUP($A107&amp;C$2,'2004'!$A$2:$K$1621,10,0),VLOOKUP($A107&amp;C$2,'2004'!$B$2:$K$1621,10,0))</f>
        <v>@CBB</v>
      </c>
      <c r="D107" s="36" t="str">
        <f>IF(ISNA(VLOOKUP($A107&amp;D$2,'2004'!$B$2:$K$1621,10,0)),VLOOKUP($A107&amp;D$2,'2004'!$A$2:$K$1621,10,0),VLOOKUP($A107&amp;D$2,'2004'!$B$2:$K$1621,10,0))</f>
        <v>@PHI</v>
      </c>
      <c r="E107" s="36" t="str">
        <f>IF(ISNA(VLOOKUP($A107&amp;E$2,'2004'!$B$2:$K$1621,10,0)),VLOOKUP($A107&amp;E$2,'2004'!$A$2:$K$1621,10,0),VLOOKUP($A107&amp;E$2,'2004'!$B$2:$K$1621,10,0))</f>
        <v>@BRK</v>
      </c>
      <c r="F107" s="36" t="str">
        <f>IF(ISNA(VLOOKUP($A107&amp;F$2,'2004'!$B$2:$K$1621,10,0)),VLOOKUP($A107&amp;F$2,'2004'!$A$2:$K$1621,10,0),VLOOKUP($A107&amp;F$2,'2004'!$B$2:$K$1621,10,0))</f>
        <v>@NYD</v>
      </c>
      <c r="G107" s="35" t="str">
        <f>IF(ISNA(VLOOKUP($A107&amp;G$2,'2004'!$B$2:$K$1621,10,0)),VLOOKUP($A107&amp;G$2,'2004'!$A$2:$K$1621,10,0),VLOOKUP($A107&amp;G$2,'2004'!$B$2:$K$1621,10,0))</f>
        <v>@OKO</v>
      </c>
      <c r="H107" s="35" t="str">
        <f>IF(ISNA(VLOOKUP($A107&amp;H$2,'2004'!$B$2:$K$1621,10,0)),VLOOKUP($A107&amp;H$2,'2004'!$A$2:$K$1621,10,0),VLOOKUP($A107&amp;H$2,'2004'!$B$2:$K$1621,10,0))</f>
        <v>@DIG</v>
      </c>
      <c r="I107" s="35" t="str">
        <f>IF(ISNA(VLOOKUP($A107&amp;I$2,'2004'!$B$2:$K$1621,10,0)),VLOOKUP($A107&amp;I$2,'2004'!$A$2:$K$1621,10,0),VLOOKUP($A107&amp;I$2,'2004'!$B$2:$K$1621,10,0))</f>
        <v>@RMO</v>
      </c>
      <c r="J107" s="35" t="str">
        <f>IF(ISNA(VLOOKUP($A107&amp;J$2,'2004'!$B$2:$K$1621,10,0)),VLOOKUP($A107&amp;J$2,'2004'!$A$2:$K$1621,10,0),VLOOKUP($A107&amp;J$2,'2004'!$B$2:$K$1621,10,0))</f>
        <v>@NNN</v>
      </c>
      <c r="K107" s="35" t="str">
        <f>IF(ISNA(VLOOKUP($A107&amp;K$2,'2004'!$B$2:$K$1621,10,0)),VLOOKUP($A107&amp;K$2,'2004'!$A$2:$K$1621,10,0),VLOOKUP($A107&amp;K$2,'2004'!$B$2:$K$1621,10,0))</f>
        <v>@FFR</v>
      </c>
      <c r="L107" s="34" t="str">
        <f>IF(ISNA(VLOOKUP($A107&amp;L$2,'2004'!$B$2:$K$1621,10,0)),VLOOKUP($A107&amp;L$2,'2004'!$A$2:$K$1621,10,0),VLOOKUP($A107&amp;L$2,'2004'!$B$2:$K$1621,10,0))</f>
        <v>FDH</v>
      </c>
      <c r="M107" s="34" t="str">
        <f>IF(ISNA(VLOOKUP($A107&amp;M$2,'2004'!$B$2:$K$1621,10,0)),VLOOKUP($A107&amp;M$2,'2004'!$A$2:$K$1621,10,0),VLOOKUP($A107&amp;M$2,'2004'!$B$2:$K$1621,10,0))</f>
        <v>TEW</v>
      </c>
      <c r="N107" s="34" t="str">
        <f>IF(ISNA(VLOOKUP($A107&amp;N$2,'2004'!$B$2:$K$1621,10,0)),VLOOKUP($A107&amp;N$2,'2004'!$A$2:$K$1621,10,0),VLOOKUP($A107&amp;N$2,'2004'!$B$2:$K$1621,10,0))</f>
        <v>REN</v>
      </c>
      <c r="O107" s="34" t="str">
        <f>IF(ISNA(VLOOKUP($A107&amp;O$2,'2004'!$B$2:$K$1621,10,0)),VLOOKUP($A107&amp;O$2,'2004'!$A$2:$K$1621,10,0),VLOOKUP($A107&amp;O$2,'2004'!$B$2:$K$1621,10,0))</f>
        <v>CEN</v>
      </c>
      <c r="P107" s="34" t="str">
        <f>IF(ISNA(VLOOKUP($A107&amp;P$2,'2004'!$B$2:$K$1621,10,0)),VLOOKUP($A107&amp;P$2,'2004'!$A$2:$K$1621,10,0),VLOOKUP($A107&amp;P$2,'2004'!$B$2:$K$1621,10,0))</f>
        <v>NEP</v>
      </c>
      <c r="Q107" s="38" t="str">
        <f>IF(ISNA(VLOOKUP($A107&amp;Q$2,'2004'!$B$2:$K$1621,10,0)),VLOOKUP($A107&amp;Q$2,'2004'!$A$2:$K$1621,10,0),VLOOKUP($A107&amp;Q$2,'2004'!$B$2:$K$1621,10,0))</f>
        <v>CIN</v>
      </c>
      <c r="R107" s="38" t="str">
        <f>IF(ISNA(VLOOKUP($A107&amp;R$2,'2004'!$B$2:$K$1621,10,0)),VLOOKUP($A107&amp;R$2,'2004'!$A$2:$K$1621,10,0),VLOOKUP($A107&amp;R$2,'2004'!$B$2:$K$1621,10,0))</f>
        <v>BAR</v>
      </c>
      <c r="S107" s="38" t="str">
        <f>IF(ISNA(VLOOKUP($A107&amp;S$2,'2004'!$B$2:$K$1621,10,0)),VLOOKUP($A107&amp;S$2,'2004'!$A$2:$K$1621,10,0),VLOOKUP($A107&amp;S$2,'2004'!$B$2:$K$1621,10,0))</f>
        <v>BBG</v>
      </c>
      <c r="T107" s="38" t="str">
        <f>IF(ISNA(VLOOKUP($A107&amp;T$2,'2004'!$B$2:$K$1621,10,0)),VLOOKUP($A107&amp;T$2,'2004'!$A$2:$K$1621,10,0),VLOOKUP($A107&amp;T$2,'2004'!$B$2:$K$1621,10,0))</f>
        <v>GAR</v>
      </c>
      <c r="U107" s="38" t="str">
        <f>IF(ISNA(VLOOKUP($A107&amp;U$2,'2004'!$B$2:$K$1621,10,0)),VLOOKUP($A107&amp;U$2,'2004'!$A$2:$K$1621,10,0),VLOOKUP($A107&amp;U$2,'2004'!$B$2:$K$1621,10,0))</f>
        <v>CTW</v>
      </c>
    </row>
    <row r="108" spans="1:21" x14ac:dyDescent="0.25">
      <c r="A108" s="40">
        <f t="shared" si="1"/>
        <v>38185</v>
      </c>
      <c r="B108" s="36" t="str">
        <f>IF(ISNA(VLOOKUP($A108&amp;B$2,'2004'!$B$2:$K$1621,10,0)),VLOOKUP($A108&amp;B$2,'2004'!$A$2:$K$1621,10,0),VLOOKUP($A108&amp;B$2,'2004'!$B$2:$K$1621,10,0))</f>
        <v>@HAR</v>
      </c>
      <c r="C108" s="36" t="str">
        <f>IF(ISNA(VLOOKUP($A108&amp;C$2,'2004'!$B$2:$K$1621,10,0)),VLOOKUP($A108&amp;C$2,'2004'!$A$2:$K$1621,10,0),VLOOKUP($A108&amp;C$2,'2004'!$B$2:$K$1621,10,0))</f>
        <v>@CBB</v>
      </c>
      <c r="D108" s="36" t="str">
        <f>IF(ISNA(VLOOKUP($A108&amp;D$2,'2004'!$B$2:$K$1621,10,0)),VLOOKUP($A108&amp;D$2,'2004'!$A$2:$K$1621,10,0),VLOOKUP($A108&amp;D$2,'2004'!$B$2:$K$1621,10,0))</f>
        <v>@PHI</v>
      </c>
      <c r="E108" s="36" t="str">
        <f>IF(ISNA(VLOOKUP($A108&amp;E$2,'2004'!$B$2:$K$1621,10,0)),VLOOKUP($A108&amp;E$2,'2004'!$A$2:$K$1621,10,0),VLOOKUP($A108&amp;E$2,'2004'!$B$2:$K$1621,10,0))</f>
        <v>@BRK</v>
      </c>
      <c r="F108" s="36" t="str">
        <f>IF(ISNA(VLOOKUP($A108&amp;F$2,'2004'!$B$2:$K$1621,10,0)),VLOOKUP($A108&amp;F$2,'2004'!$A$2:$K$1621,10,0),VLOOKUP($A108&amp;F$2,'2004'!$B$2:$K$1621,10,0))</f>
        <v>@NYD</v>
      </c>
      <c r="G108" s="35" t="str">
        <f>IF(ISNA(VLOOKUP($A108&amp;G$2,'2004'!$B$2:$K$1621,10,0)),VLOOKUP($A108&amp;G$2,'2004'!$A$2:$K$1621,10,0),VLOOKUP($A108&amp;G$2,'2004'!$B$2:$K$1621,10,0))</f>
        <v>@OKO</v>
      </c>
      <c r="H108" s="35" t="str">
        <f>IF(ISNA(VLOOKUP($A108&amp;H$2,'2004'!$B$2:$K$1621,10,0)),VLOOKUP($A108&amp;H$2,'2004'!$A$2:$K$1621,10,0),VLOOKUP($A108&amp;H$2,'2004'!$B$2:$K$1621,10,0))</f>
        <v>@DIG</v>
      </c>
      <c r="I108" s="35" t="str">
        <f>IF(ISNA(VLOOKUP($A108&amp;I$2,'2004'!$B$2:$K$1621,10,0)),VLOOKUP($A108&amp;I$2,'2004'!$A$2:$K$1621,10,0),VLOOKUP($A108&amp;I$2,'2004'!$B$2:$K$1621,10,0))</f>
        <v>@RMO</v>
      </c>
      <c r="J108" s="35" t="str">
        <f>IF(ISNA(VLOOKUP($A108&amp;J$2,'2004'!$B$2:$K$1621,10,0)),VLOOKUP($A108&amp;J$2,'2004'!$A$2:$K$1621,10,0),VLOOKUP($A108&amp;J$2,'2004'!$B$2:$K$1621,10,0))</f>
        <v>@NNN</v>
      </c>
      <c r="K108" s="35" t="str">
        <f>IF(ISNA(VLOOKUP($A108&amp;K$2,'2004'!$B$2:$K$1621,10,0)),VLOOKUP($A108&amp;K$2,'2004'!$A$2:$K$1621,10,0),VLOOKUP($A108&amp;K$2,'2004'!$B$2:$K$1621,10,0))</f>
        <v>@FFR</v>
      </c>
      <c r="L108" s="34" t="str">
        <f>IF(ISNA(VLOOKUP($A108&amp;L$2,'2004'!$B$2:$K$1621,10,0)),VLOOKUP($A108&amp;L$2,'2004'!$A$2:$K$1621,10,0),VLOOKUP($A108&amp;L$2,'2004'!$B$2:$K$1621,10,0))</f>
        <v>FDH</v>
      </c>
      <c r="M108" s="34" t="str">
        <f>IF(ISNA(VLOOKUP($A108&amp;M$2,'2004'!$B$2:$K$1621,10,0)),VLOOKUP($A108&amp;M$2,'2004'!$A$2:$K$1621,10,0),VLOOKUP($A108&amp;M$2,'2004'!$B$2:$K$1621,10,0))</f>
        <v>TEW</v>
      </c>
      <c r="N108" s="34" t="str">
        <f>IF(ISNA(VLOOKUP($A108&amp;N$2,'2004'!$B$2:$K$1621,10,0)),VLOOKUP($A108&amp;N$2,'2004'!$A$2:$K$1621,10,0),VLOOKUP($A108&amp;N$2,'2004'!$B$2:$K$1621,10,0))</f>
        <v>REN</v>
      </c>
      <c r="O108" s="34" t="str">
        <f>IF(ISNA(VLOOKUP($A108&amp;O$2,'2004'!$B$2:$K$1621,10,0)),VLOOKUP($A108&amp;O$2,'2004'!$A$2:$K$1621,10,0),VLOOKUP($A108&amp;O$2,'2004'!$B$2:$K$1621,10,0))</f>
        <v>CEN</v>
      </c>
      <c r="P108" s="34" t="str">
        <f>IF(ISNA(VLOOKUP($A108&amp;P$2,'2004'!$B$2:$K$1621,10,0)),VLOOKUP($A108&amp;P$2,'2004'!$A$2:$K$1621,10,0),VLOOKUP($A108&amp;P$2,'2004'!$B$2:$K$1621,10,0))</f>
        <v>NEP</v>
      </c>
      <c r="Q108" s="38" t="str">
        <f>IF(ISNA(VLOOKUP($A108&amp;Q$2,'2004'!$B$2:$K$1621,10,0)),VLOOKUP($A108&amp;Q$2,'2004'!$A$2:$K$1621,10,0),VLOOKUP($A108&amp;Q$2,'2004'!$B$2:$K$1621,10,0))</f>
        <v>CIN</v>
      </c>
      <c r="R108" s="38" t="str">
        <f>IF(ISNA(VLOOKUP($A108&amp;R$2,'2004'!$B$2:$K$1621,10,0)),VLOOKUP($A108&amp;R$2,'2004'!$A$2:$K$1621,10,0),VLOOKUP($A108&amp;R$2,'2004'!$B$2:$K$1621,10,0))</f>
        <v>BAR</v>
      </c>
      <c r="S108" s="38" t="str">
        <f>IF(ISNA(VLOOKUP($A108&amp;S$2,'2004'!$B$2:$K$1621,10,0)),VLOOKUP($A108&amp;S$2,'2004'!$A$2:$K$1621,10,0),VLOOKUP($A108&amp;S$2,'2004'!$B$2:$K$1621,10,0))</f>
        <v>BBG</v>
      </c>
      <c r="T108" s="38" t="str">
        <f>IF(ISNA(VLOOKUP($A108&amp;T$2,'2004'!$B$2:$K$1621,10,0)),VLOOKUP($A108&amp;T$2,'2004'!$A$2:$K$1621,10,0),VLOOKUP($A108&amp;T$2,'2004'!$B$2:$K$1621,10,0))</f>
        <v>GAR</v>
      </c>
      <c r="U108" s="38" t="str">
        <f>IF(ISNA(VLOOKUP($A108&amp;U$2,'2004'!$B$2:$K$1621,10,0)),VLOOKUP($A108&amp;U$2,'2004'!$A$2:$K$1621,10,0),VLOOKUP($A108&amp;U$2,'2004'!$B$2:$K$1621,10,0))</f>
        <v>CTW</v>
      </c>
    </row>
    <row r="109" spans="1:21" x14ac:dyDescent="0.25">
      <c r="A109" s="40">
        <f t="shared" si="1"/>
        <v>38186</v>
      </c>
      <c r="B109" s="36" t="str">
        <f>IF(ISNA(VLOOKUP($A109&amp;B$2,'2004'!$B$2:$K$1621,10,0)),VLOOKUP($A109&amp;B$2,'2004'!$A$2:$K$1621,10,0),VLOOKUP($A109&amp;B$2,'2004'!$B$2:$K$1621,10,0))</f>
        <v>@CTW</v>
      </c>
      <c r="C109" s="36" t="str">
        <f>IF(ISNA(VLOOKUP($A109&amp;C$2,'2004'!$B$2:$K$1621,10,0)),VLOOKUP($A109&amp;C$2,'2004'!$A$2:$K$1621,10,0),VLOOKUP($A109&amp;C$2,'2004'!$B$2:$K$1621,10,0))</f>
        <v>@CIN</v>
      </c>
      <c r="D109" s="36" t="str">
        <f>IF(ISNA(VLOOKUP($A109&amp;D$2,'2004'!$B$2:$K$1621,10,0)),VLOOKUP($A109&amp;D$2,'2004'!$A$2:$K$1621,10,0),VLOOKUP($A109&amp;D$2,'2004'!$B$2:$K$1621,10,0))</f>
        <v>BBG</v>
      </c>
      <c r="E109" s="36" t="str">
        <f>IF(ISNA(VLOOKUP($A109&amp;E$2,'2004'!$B$2:$K$1621,10,0)),VLOOKUP($A109&amp;E$2,'2004'!$A$2:$K$1621,10,0),VLOOKUP($A109&amp;E$2,'2004'!$B$2:$K$1621,10,0))</f>
        <v>BAR</v>
      </c>
      <c r="F109" s="36" t="str">
        <f>IF(ISNA(VLOOKUP($A109&amp;F$2,'2004'!$B$2:$K$1621,10,0)),VLOOKUP($A109&amp;F$2,'2004'!$A$2:$K$1621,10,0),VLOOKUP($A109&amp;F$2,'2004'!$B$2:$K$1621,10,0))</f>
        <v>REN</v>
      </c>
      <c r="G109" s="35" t="str">
        <f>IF(ISNA(VLOOKUP($A109&amp;G$2,'2004'!$B$2:$K$1621,10,0)),VLOOKUP($A109&amp;G$2,'2004'!$A$2:$K$1621,10,0),VLOOKUP($A109&amp;G$2,'2004'!$B$2:$K$1621,10,0))</f>
        <v>@FDH</v>
      </c>
      <c r="H109" s="35" t="str">
        <f>IF(ISNA(VLOOKUP($A109&amp;H$2,'2004'!$B$2:$K$1621,10,0)),VLOOKUP($A109&amp;H$2,'2004'!$A$2:$K$1621,10,0),VLOOKUP($A109&amp;H$2,'2004'!$B$2:$K$1621,10,0))</f>
        <v>CEN</v>
      </c>
      <c r="I109" s="35" t="str">
        <f>IF(ISNA(VLOOKUP($A109&amp;I$2,'2004'!$B$2:$K$1621,10,0)),VLOOKUP($A109&amp;I$2,'2004'!$A$2:$K$1621,10,0),VLOOKUP($A109&amp;I$2,'2004'!$B$2:$K$1621,10,0))</f>
        <v>TEW</v>
      </c>
      <c r="J109" s="35" t="str">
        <f>IF(ISNA(VLOOKUP($A109&amp;J$2,'2004'!$B$2:$K$1621,10,0)),VLOOKUP($A109&amp;J$2,'2004'!$A$2:$K$1621,10,0),VLOOKUP($A109&amp;J$2,'2004'!$B$2:$K$1621,10,0))</f>
        <v>@GAR</v>
      </c>
      <c r="K109" s="35" t="str">
        <f>IF(ISNA(VLOOKUP($A109&amp;K$2,'2004'!$B$2:$K$1621,10,0)),VLOOKUP($A109&amp;K$2,'2004'!$A$2:$K$1621,10,0),VLOOKUP($A109&amp;K$2,'2004'!$B$2:$K$1621,10,0))</f>
        <v>@NEP</v>
      </c>
      <c r="L109" s="34" t="str">
        <f>IF(ISNA(VLOOKUP($A109&amp;L$2,'2004'!$B$2:$K$1621,10,0)),VLOOKUP($A109&amp;L$2,'2004'!$A$2:$K$1621,10,0),VLOOKUP($A109&amp;L$2,'2004'!$B$2:$K$1621,10,0))</f>
        <v>OKO</v>
      </c>
      <c r="M109" s="34" t="str">
        <f>IF(ISNA(VLOOKUP($A109&amp;M$2,'2004'!$B$2:$K$1621,10,0)),VLOOKUP($A109&amp;M$2,'2004'!$A$2:$K$1621,10,0),VLOOKUP($A109&amp;M$2,'2004'!$B$2:$K$1621,10,0))</f>
        <v>@RMO</v>
      </c>
      <c r="N109" s="34" t="str">
        <f>IF(ISNA(VLOOKUP($A109&amp;N$2,'2004'!$B$2:$K$1621,10,0)),VLOOKUP($A109&amp;N$2,'2004'!$A$2:$K$1621,10,0),VLOOKUP($A109&amp;N$2,'2004'!$B$2:$K$1621,10,0))</f>
        <v>NYD</v>
      </c>
      <c r="O109" s="34" t="str">
        <f>IF(ISNA(VLOOKUP($A109&amp;O$2,'2004'!$B$2:$K$1621,10,0)),VLOOKUP($A109&amp;O$2,'2004'!$A$2:$K$1621,10,0),VLOOKUP($A109&amp;O$2,'2004'!$B$2:$K$1621,10,0))</f>
        <v>@DIG</v>
      </c>
      <c r="P109" s="34" t="str">
        <f>IF(ISNA(VLOOKUP($A109&amp;P$2,'2004'!$B$2:$K$1621,10,0)),VLOOKUP($A109&amp;P$2,'2004'!$A$2:$K$1621,10,0),VLOOKUP($A109&amp;P$2,'2004'!$B$2:$K$1621,10,0))</f>
        <v>FFR</v>
      </c>
      <c r="Q109" s="38" t="e">
        <f>IF(ISNA(VLOOKUP($A109&amp;Q$2,'2004'!$B$2:$K$1621,10,0)),VLOOKUP($A109&amp;Q$2,'2004'!$A$2:$K$1621,10,0),VLOOKUP($A109&amp;Q$2,'2004'!$B$2:$K$1621,10,0))</f>
        <v>#N/A</v>
      </c>
      <c r="R109" s="38" t="e">
        <f>IF(ISNA(VLOOKUP($A109&amp;R$2,'2004'!$B$2:$K$1621,10,0)),VLOOKUP($A109&amp;R$2,'2004'!$A$2:$K$1621,10,0),VLOOKUP($A109&amp;R$2,'2004'!$B$2:$K$1621,10,0))</f>
        <v>#N/A</v>
      </c>
      <c r="S109" s="38" t="e">
        <f>IF(ISNA(VLOOKUP($A109&amp;S$2,'2004'!$B$2:$K$1621,10,0)),VLOOKUP($A109&amp;S$2,'2004'!$A$2:$K$1621,10,0),VLOOKUP($A109&amp;S$2,'2004'!$B$2:$K$1621,10,0))</f>
        <v>#N/A</v>
      </c>
      <c r="T109" s="38" t="str">
        <f>IF(ISNA(VLOOKUP($A109&amp;T$2,'2004'!$B$2:$K$1621,10,0)),VLOOKUP($A109&amp;T$2,'2004'!$A$2:$K$1621,10,0),VLOOKUP($A109&amp;T$2,'2004'!$B$2:$K$1621,10,0))</f>
        <v>@NNN</v>
      </c>
      <c r="U109" s="38" t="e">
        <f>IF(ISNA(VLOOKUP($A109&amp;U$2,'2004'!$B$2:$K$1621,10,0)),VLOOKUP($A109&amp;U$2,'2004'!$A$2:$K$1621,10,0),VLOOKUP($A109&amp;U$2,'2004'!$B$2:$K$1621,10,0))</f>
        <v>#N/A</v>
      </c>
    </row>
    <row r="110" spans="1:21" x14ac:dyDescent="0.25">
      <c r="A110" s="40">
        <f t="shared" si="1"/>
        <v>38187</v>
      </c>
      <c r="B110" s="36" t="str">
        <f>IF(ISNA(VLOOKUP($A110&amp;B$2,'2004'!$B$2:$K$1621,10,0)),VLOOKUP($A110&amp;B$2,'2004'!$A$2:$K$1621,10,0),VLOOKUP($A110&amp;B$2,'2004'!$B$2:$K$1621,10,0))</f>
        <v>@CTW</v>
      </c>
      <c r="C110" s="36" t="str">
        <f>IF(ISNA(VLOOKUP($A110&amp;C$2,'2004'!$B$2:$K$1621,10,0)),VLOOKUP($A110&amp;C$2,'2004'!$A$2:$K$1621,10,0),VLOOKUP($A110&amp;C$2,'2004'!$B$2:$K$1621,10,0))</f>
        <v>@CIN</v>
      </c>
      <c r="D110" s="36" t="str">
        <f>IF(ISNA(VLOOKUP($A110&amp;D$2,'2004'!$B$2:$K$1621,10,0)),VLOOKUP($A110&amp;D$2,'2004'!$A$2:$K$1621,10,0),VLOOKUP($A110&amp;D$2,'2004'!$B$2:$K$1621,10,0))</f>
        <v>BBG</v>
      </c>
      <c r="E110" s="36" t="str">
        <f>IF(ISNA(VLOOKUP($A110&amp;E$2,'2004'!$B$2:$K$1621,10,0)),VLOOKUP($A110&amp;E$2,'2004'!$A$2:$K$1621,10,0),VLOOKUP($A110&amp;E$2,'2004'!$B$2:$K$1621,10,0))</f>
        <v>BAR</v>
      </c>
      <c r="F110" s="36" t="str">
        <f>IF(ISNA(VLOOKUP($A110&amp;F$2,'2004'!$B$2:$K$1621,10,0)),VLOOKUP($A110&amp;F$2,'2004'!$A$2:$K$1621,10,0),VLOOKUP($A110&amp;F$2,'2004'!$B$2:$K$1621,10,0))</f>
        <v>REN</v>
      </c>
      <c r="G110" s="35" t="str">
        <f>IF(ISNA(VLOOKUP($A110&amp;G$2,'2004'!$B$2:$K$1621,10,0)),VLOOKUP($A110&amp;G$2,'2004'!$A$2:$K$1621,10,0),VLOOKUP($A110&amp;G$2,'2004'!$B$2:$K$1621,10,0))</f>
        <v>@FDH</v>
      </c>
      <c r="H110" s="35" t="str">
        <f>IF(ISNA(VLOOKUP($A110&amp;H$2,'2004'!$B$2:$K$1621,10,0)),VLOOKUP($A110&amp;H$2,'2004'!$A$2:$K$1621,10,0),VLOOKUP($A110&amp;H$2,'2004'!$B$2:$K$1621,10,0))</f>
        <v>CEN</v>
      </c>
      <c r="I110" s="35" t="str">
        <f>IF(ISNA(VLOOKUP($A110&amp;I$2,'2004'!$B$2:$K$1621,10,0)),VLOOKUP($A110&amp;I$2,'2004'!$A$2:$K$1621,10,0),VLOOKUP($A110&amp;I$2,'2004'!$B$2:$K$1621,10,0))</f>
        <v>TEW</v>
      </c>
      <c r="J110" s="35" t="str">
        <f>IF(ISNA(VLOOKUP($A110&amp;J$2,'2004'!$B$2:$K$1621,10,0)),VLOOKUP($A110&amp;J$2,'2004'!$A$2:$K$1621,10,0),VLOOKUP($A110&amp;J$2,'2004'!$B$2:$K$1621,10,0))</f>
        <v>@GAR</v>
      </c>
      <c r="K110" s="35" t="str">
        <f>IF(ISNA(VLOOKUP($A110&amp;K$2,'2004'!$B$2:$K$1621,10,0)),VLOOKUP($A110&amp;K$2,'2004'!$A$2:$K$1621,10,0),VLOOKUP($A110&amp;K$2,'2004'!$B$2:$K$1621,10,0))</f>
        <v>@NEP</v>
      </c>
      <c r="L110" s="34" t="str">
        <f>IF(ISNA(VLOOKUP($A110&amp;L$2,'2004'!$B$2:$K$1621,10,0)),VLOOKUP($A110&amp;L$2,'2004'!$A$2:$K$1621,10,0),VLOOKUP($A110&amp;L$2,'2004'!$B$2:$K$1621,10,0))</f>
        <v>OKO</v>
      </c>
      <c r="M110" s="34" t="str">
        <f>IF(ISNA(VLOOKUP($A110&amp;M$2,'2004'!$B$2:$K$1621,10,0)),VLOOKUP($A110&amp;M$2,'2004'!$A$2:$K$1621,10,0),VLOOKUP($A110&amp;M$2,'2004'!$B$2:$K$1621,10,0))</f>
        <v>@RMO</v>
      </c>
      <c r="N110" s="34" t="str">
        <f>IF(ISNA(VLOOKUP($A110&amp;N$2,'2004'!$B$2:$K$1621,10,0)),VLOOKUP($A110&amp;N$2,'2004'!$A$2:$K$1621,10,0),VLOOKUP($A110&amp;N$2,'2004'!$B$2:$K$1621,10,0))</f>
        <v>NYD</v>
      </c>
      <c r="O110" s="34" t="str">
        <f>IF(ISNA(VLOOKUP($A110&amp;O$2,'2004'!$B$2:$K$1621,10,0)),VLOOKUP($A110&amp;O$2,'2004'!$A$2:$K$1621,10,0),VLOOKUP($A110&amp;O$2,'2004'!$B$2:$K$1621,10,0))</f>
        <v>@DIG</v>
      </c>
      <c r="P110" s="34" t="str">
        <f>IF(ISNA(VLOOKUP($A110&amp;P$2,'2004'!$B$2:$K$1621,10,0)),VLOOKUP($A110&amp;P$2,'2004'!$A$2:$K$1621,10,0),VLOOKUP($A110&amp;P$2,'2004'!$B$2:$K$1621,10,0))</f>
        <v>FFR</v>
      </c>
      <c r="Q110" s="38" t="str">
        <f>IF(ISNA(VLOOKUP($A110&amp;Q$2,'2004'!$B$2:$K$1621,10,0)),VLOOKUP($A110&amp;Q$2,'2004'!$A$2:$K$1621,10,0),VLOOKUP($A110&amp;Q$2,'2004'!$B$2:$K$1621,10,0))</f>
        <v>CBB</v>
      </c>
      <c r="R110" s="38" t="str">
        <f>IF(ISNA(VLOOKUP($A110&amp;R$2,'2004'!$B$2:$K$1621,10,0)),VLOOKUP($A110&amp;R$2,'2004'!$A$2:$K$1621,10,0),VLOOKUP($A110&amp;R$2,'2004'!$B$2:$K$1621,10,0))</f>
        <v>@BRK</v>
      </c>
      <c r="S110" s="38" t="str">
        <f>IF(ISNA(VLOOKUP($A110&amp;S$2,'2004'!$B$2:$K$1621,10,0)),VLOOKUP($A110&amp;S$2,'2004'!$A$2:$K$1621,10,0),VLOOKUP($A110&amp;S$2,'2004'!$B$2:$K$1621,10,0))</f>
        <v>@PHI</v>
      </c>
      <c r="T110" s="38" t="str">
        <f>IF(ISNA(VLOOKUP($A110&amp;T$2,'2004'!$B$2:$K$1621,10,0)),VLOOKUP($A110&amp;T$2,'2004'!$A$2:$K$1621,10,0),VLOOKUP($A110&amp;T$2,'2004'!$B$2:$K$1621,10,0))</f>
        <v>@NNN</v>
      </c>
      <c r="U110" s="38" t="str">
        <f>IF(ISNA(VLOOKUP($A110&amp;U$2,'2004'!$B$2:$K$1621,10,0)),VLOOKUP($A110&amp;U$2,'2004'!$A$2:$K$1621,10,0),VLOOKUP($A110&amp;U$2,'2004'!$B$2:$K$1621,10,0))</f>
        <v>HAR</v>
      </c>
    </row>
    <row r="111" spans="1:21" x14ac:dyDescent="0.25">
      <c r="A111" s="40">
        <f t="shared" si="1"/>
        <v>38188</v>
      </c>
      <c r="B111" s="36" t="str">
        <f>IF(ISNA(VLOOKUP($A111&amp;B$2,'2004'!$B$2:$K$1621,10,0)),VLOOKUP($A111&amp;B$2,'2004'!$A$2:$K$1621,10,0),VLOOKUP($A111&amp;B$2,'2004'!$B$2:$K$1621,10,0))</f>
        <v>@CTW</v>
      </c>
      <c r="C111" s="36" t="str">
        <f>IF(ISNA(VLOOKUP($A111&amp;C$2,'2004'!$B$2:$K$1621,10,0)),VLOOKUP($A111&amp;C$2,'2004'!$A$2:$K$1621,10,0),VLOOKUP($A111&amp;C$2,'2004'!$B$2:$K$1621,10,0))</f>
        <v>@CIN</v>
      </c>
      <c r="D111" s="36" t="str">
        <f>IF(ISNA(VLOOKUP($A111&amp;D$2,'2004'!$B$2:$K$1621,10,0)),VLOOKUP($A111&amp;D$2,'2004'!$A$2:$K$1621,10,0),VLOOKUP($A111&amp;D$2,'2004'!$B$2:$K$1621,10,0))</f>
        <v>BBG</v>
      </c>
      <c r="E111" s="36" t="str">
        <f>IF(ISNA(VLOOKUP($A111&amp;E$2,'2004'!$B$2:$K$1621,10,0)),VLOOKUP($A111&amp;E$2,'2004'!$A$2:$K$1621,10,0),VLOOKUP($A111&amp;E$2,'2004'!$B$2:$K$1621,10,0))</f>
        <v>BAR</v>
      </c>
      <c r="F111" s="36" t="str">
        <f>IF(ISNA(VLOOKUP($A111&amp;F$2,'2004'!$B$2:$K$1621,10,0)),VLOOKUP($A111&amp;F$2,'2004'!$A$2:$K$1621,10,0),VLOOKUP($A111&amp;F$2,'2004'!$B$2:$K$1621,10,0))</f>
        <v>REN</v>
      </c>
      <c r="G111" s="35" t="str">
        <f>IF(ISNA(VLOOKUP($A111&amp;G$2,'2004'!$B$2:$K$1621,10,0)),VLOOKUP($A111&amp;G$2,'2004'!$A$2:$K$1621,10,0),VLOOKUP($A111&amp;G$2,'2004'!$B$2:$K$1621,10,0))</f>
        <v>@FDH</v>
      </c>
      <c r="H111" s="35" t="str">
        <f>IF(ISNA(VLOOKUP($A111&amp;H$2,'2004'!$B$2:$K$1621,10,0)),VLOOKUP($A111&amp;H$2,'2004'!$A$2:$K$1621,10,0),VLOOKUP($A111&amp;H$2,'2004'!$B$2:$K$1621,10,0))</f>
        <v>CEN</v>
      </c>
      <c r="I111" s="35" t="str">
        <f>IF(ISNA(VLOOKUP($A111&amp;I$2,'2004'!$B$2:$K$1621,10,0)),VLOOKUP($A111&amp;I$2,'2004'!$A$2:$K$1621,10,0),VLOOKUP($A111&amp;I$2,'2004'!$B$2:$K$1621,10,0))</f>
        <v>TEW</v>
      </c>
      <c r="J111" s="35" t="str">
        <f>IF(ISNA(VLOOKUP($A111&amp;J$2,'2004'!$B$2:$K$1621,10,0)),VLOOKUP($A111&amp;J$2,'2004'!$A$2:$K$1621,10,0),VLOOKUP($A111&amp;J$2,'2004'!$B$2:$K$1621,10,0))</f>
        <v>@GAR</v>
      </c>
      <c r="K111" s="35" t="str">
        <f>IF(ISNA(VLOOKUP($A111&amp;K$2,'2004'!$B$2:$K$1621,10,0)),VLOOKUP($A111&amp;K$2,'2004'!$A$2:$K$1621,10,0),VLOOKUP($A111&amp;K$2,'2004'!$B$2:$K$1621,10,0))</f>
        <v>@NEP</v>
      </c>
      <c r="L111" s="34" t="str">
        <f>IF(ISNA(VLOOKUP($A111&amp;L$2,'2004'!$B$2:$K$1621,10,0)),VLOOKUP($A111&amp;L$2,'2004'!$A$2:$K$1621,10,0),VLOOKUP($A111&amp;L$2,'2004'!$B$2:$K$1621,10,0))</f>
        <v>OKO</v>
      </c>
      <c r="M111" s="34" t="str">
        <f>IF(ISNA(VLOOKUP($A111&amp;M$2,'2004'!$B$2:$K$1621,10,0)),VLOOKUP($A111&amp;M$2,'2004'!$A$2:$K$1621,10,0),VLOOKUP($A111&amp;M$2,'2004'!$B$2:$K$1621,10,0))</f>
        <v>@RMO</v>
      </c>
      <c r="N111" s="34" t="str">
        <f>IF(ISNA(VLOOKUP($A111&amp;N$2,'2004'!$B$2:$K$1621,10,0)),VLOOKUP($A111&amp;N$2,'2004'!$A$2:$K$1621,10,0),VLOOKUP($A111&amp;N$2,'2004'!$B$2:$K$1621,10,0))</f>
        <v>NYD</v>
      </c>
      <c r="O111" s="34" t="str">
        <f>IF(ISNA(VLOOKUP($A111&amp;O$2,'2004'!$B$2:$K$1621,10,0)),VLOOKUP($A111&amp;O$2,'2004'!$A$2:$K$1621,10,0),VLOOKUP($A111&amp;O$2,'2004'!$B$2:$K$1621,10,0))</f>
        <v>@DIG</v>
      </c>
      <c r="P111" s="34" t="str">
        <f>IF(ISNA(VLOOKUP($A111&amp;P$2,'2004'!$B$2:$K$1621,10,0)),VLOOKUP($A111&amp;P$2,'2004'!$A$2:$K$1621,10,0),VLOOKUP($A111&amp;P$2,'2004'!$B$2:$K$1621,10,0))</f>
        <v>FFR</v>
      </c>
      <c r="Q111" s="38" t="str">
        <f>IF(ISNA(VLOOKUP($A111&amp;Q$2,'2004'!$B$2:$K$1621,10,0)),VLOOKUP($A111&amp;Q$2,'2004'!$A$2:$K$1621,10,0),VLOOKUP($A111&amp;Q$2,'2004'!$B$2:$K$1621,10,0))</f>
        <v>CBB</v>
      </c>
      <c r="R111" s="38" t="str">
        <f>IF(ISNA(VLOOKUP($A111&amp;R$2,'2004'!$B$2:$K$1621,10,0)),VLOOKUP($A111&amp;R$2,'2004'!$A$2:$K$1621,10,0),VLOOKUP($A111&amp;R$2,'2004'!$B$2:$K$1621,10,0))</f>
        <v>@BRK</v>
      </c>
      <c r="S111" s="38" t="str">
        <f>IF(ISNA(VLOOKUP($A111&amp;S$2,'2004'!$B$2:$K$1621,10,0)),VLOOKUP($A111&amp;S$2,'2004'!$A$2:$K$1621,10,0),VLOOKUP($A111&amp;S$2,'2004'!$B$2:$K$1621,10,0))</f>
        <v>@PHI</v>
      </c>
      <c r="T111" s="38" t="str">
        <f>IF(ISNA(VLOOKUP($A111&amp;T$2,'2004'!$B$2:$K$1621,10,0)),VLOOKUP($A111&amp;T$2,'2004'!$A$2:$K$1621,10,0),VLOOKUP($A111&amp;T$2,'2004'!$B$2:$K$1621,10,0))</f>
        <v>@NNN</v>
      </c>
      <c r="U111" s="38" t="str">
        <f>IF(ISNA(VLOOKUP($A111&amp;U$2,'2004'!$B$2:$K$1621,10,0)),VLOOKUP($A111&amp;U$2,'2004'!$A$2:$K$1621,10,0),VLOOKUP($A111&amp;U$2,'2004'!$B$2:$K$1621,10,0))</f>
        <v>HAR</v>
      </c>
    </row>
    <row r="112" spans="1:21" x14ac:dyDescent="0.25">
      <c r="A112" s="40">
        <f t="shared" si="1"/>
        <v>38189</v>
      </c>
      <c r="B112" s="36" t="str">
        <f>IF(ISNA(VLOOKUP($A112&amp;B$2,'2004'!$B$2:$K$1621,10,0)),VLOOKUP($A112&amp;B$2,'2004'!$A$2:$K$1621,10,0),VLOOKUP($A112&amp;B$2,'2004'!$B$2:$K$1621,10,0))</f>
        <v>@CTW</v>
      </c>
      <c r="C112" s="36" t="str">
        <f>IF(ISNA(VLOOKUP($A112&amp;C$2,'2004'!$B$2:$K$1621,10,0)),VLOOKUP($A112&amp;C$2,'2004'!$A$2:$K$1621,10,0),VLOOKUP($A112&amp;C$2,'2004'!$B$2:$K$1621,10,0))</f>
        <v>@CIN</v>
      </c>
      <c r="D112" s="36" t="str">
        <f>IF(ISNA(VLOOKUP($A112&amp;D$2,'2004'!$B$2:$K$1621,10,0)),VLOOKUP($A112&amp;D$2,'2004'!$A$2:$K$1621,10,0),VLOOKUP($A112&amp;D$2,'2004'!$B$2:$K$1621,10,0))</f>
        <v>BBG</v>
      </c>
      <c r="E112" s="36" t="str">
        <f>IF(ISNA(VLOOKUP($A112&amp;E$2,'2004'!$B$2:$K$1621,10,0)),VLOOKUP($A112&amp;E$2,'2004'!$A$2:$K$1621,10,0),VLOOKUP($A112&amp;E$2,'2004'!$B$2:$K$1621,10,0))</f>
        <v>BAR</v>
      </c>
      <c r="F112" s="36" t="str">
        <f>IF(ISNA(VLOOKUP($A112&amp;F$2,'2004'!$B$2:$K$1621,10,0)),VLOOKUP($A112&amp;F$2,'2004'!$A$2:$K$1621,10,0),VLOOKUP($A112&amp;F$2,'2004'!$B$2:$K$1621,10,0))</f>
        <v>REN</v>
      </c>
      <c r="G112" s="35" t="str">
        <f>IF(ISNA(VLOOKUP($A112&amp;G$2,'2004'!$B$2:$K$1621,10,0)),VLOOKUP($A112&amp;G$2,'2004'!$A$2:$K$1621,10,0),VLOOKUP($A112&amp;G$2,'2004'!$B$2:$K$1621,10,0))</f>
        <v>@FDH</v>
      </c>
      <c r="H112" s="35" t="str">
        <f>IF(ISNA(VLOOKUP($A112&amp;H$2,'2004'!$B$2:$K$1621,10,0)),VLOOKUP($A112&amp;H$2,'2004'!$A$2:$K$1621,10,0),VLOOKUP($A112&amp;H$2,'2004'!$B$2:$K$1621,10,0))</f>
        <v>CEN</v>
      </c>
      <c r="I112" s="35" t="str">
        <f>IF(ISNA(VLOOKUP($A112&amp;I$2,'2004'!$B$2:$K$1621,10,0)),VLOOKUP($A112&amp;I$2,'2004'!$A$2:$K$1621,10,0),VLOOKUP($A112&amp;I$2,'2004'!$B$2:$K$1621,10,0))</f>
        <v>TEW</v>
      </c>
      <c r="J112" s="35" t="str">
        <f>IF(ISNA(VLOOKUP($A112&amp;J$2,'2004'!$B$2:$K$1621,10,0)),VLOOKUP($A112&amp;J$2,'2004'!$A$2:$K$1621,10,0),VLOOKUP($A112&amp;J$2,'2004'!$B$2:$K$1621,10,0))</f>
        <v>@GAR</v>
      </c>
      <c r="K112" s="35" t="str">
        <f>IF(ISNA(VLOOKUP($A112&amp;K$2,'2004'!$B$2:$K$1621,10,0)),VLOOKUP($A112&amp;K$2,'2004'!$A$2:$K$1621,10,0),VLOOKUP($A112&amp;K$2,'2004'!$B$2:$K$1621,10,0))</f>
        <v>@NEP</v>
      </c>
      <c r="L112" s="34" t="str">
        <f>IF(ISNA(VLOOKUP($A112&amp;L$2,'2004'!$B$2:$K$1621,10,0)),VLOOKUP($A112&amp;L$2,'2004'!$A$2:$K$1621,10,0),VLOOKUP($A112&amp;L$2,'2004'!$B$2:$K$1621,10,0))</f>
        <v>OKO</v>
      </c>
      <c r="M112" s="34" t="str">
        <f>IF(ISNA(VLOOKUP($A112&amp;M$2,'2004'!$B$2:$K$1621,10,0)),VLOOKUP($A112&amp;M$2,'2004'!$A$2:$K$1621,10,0),VLOOKUP($A112&amp;M$2,'2004'!$B$2:$K$1621,10,0))</f>
        <v>@RMO</v>
      </c>
      <c r="N112" s="34" t="str">
        <f>IF(ISNA(VLOOKUP($A112&amp;N$2,'2004'!$B$2:$K$1621,10,0)),VLOOKUP($A112&amp;N$2,'2004'!$A$2:$K$1621,10,0),VLOOKUP($A112&amp;N$2,'2004'!$B$2:$K$1621,10,0))</f>
        <v>NYD</v>
      </c>
      <c r="O112" s="34" t="str">
        <f>IF(ISNA(VLOOKUP($A112&amp;O$2,'2004'!$B$2:$K$1621,10,0)),VLOOKUP($A112&amp;O$2,'2004'!$A$2:$K$1621,10,0),VLOOKUP($A112&amp;O$2,'2004'!$B$2:$K$1621,10,0))</f>
        <v>@DIG</v>
      </c>
      <c r="P112" s="34" t="str">
        <f>IF(ISNA(VLOOKUP($A112&amp;P$2,'2004'!$B$2:$K$1621,10,0)),VLOOKUP($A112&amp;P$2,'2004'!$A$2:$K$1621,10,0),VLOOKUP($A112&amp;P$2,'2004'!$B$2:$K$1621,10,0))</f>
        <v>FFR</v>
      </c>
      <c r="Q112" s="38" t="str">
        <f>IF(ISNA(VLOOKUP($A112&amp;Q$2,'2004'!$B$2:$K$1621,10,0)),VLOOKUP($A112&amp;Q$2,'2004'!$A$2:$K$1621,10,0),VLOOKUP($A112&amp;Q$2,'2004'!$B$2:$K$1621,10,0))</f>
        <v>CBB</v>
      </c>
      <c r="R112" s="38" t="str">
        <f>IF(ISNA(VLOOKUP($A112&amp;R$2,'2004'!$B$2:$K$1621,10,0)),VLOOKUP($A112&amp;R$2,'2004'!$A$2:$K$1621,10,0),VLOOKUP($A112&amp;R$2,'2004'!$B$2:$K$1621,10,0))</f>
        <v>@BRK</v>
      </c>
      <c r="S112" s="38" t="str">
        <f>IF(ISNA(VLOOKUP($A112&amp;S$2,'2004'!$B$2:$K$1621,10,0)),VLOOKUP($A112&amp;S$2,'2004'!$A$2:$K$1621,10,0),VLOOKUP($A112&amp;S$2,'2004'!$B$2:$K$1621,10,0))</f>
        <v>@PHI</v>
      </c>
      <c r="T112" s="38" t="str">
        <f>IF(ISNA(VLOOKUP($A112&amp;T$2,'2004'!$B$2:$K$1621,10,0)),VLOOKUP($A112&amp;T$2,'2004'!$A$2:$K$1621,10,0),VLOOKUP($A112&amp;T$2,'2004'!$B$2:$K$1621,10,0))</f>
        <v>@NNN</v>
      </c>
      <c r="U112" s="38" t="str">
        <f>IF(ISNA(VLOOKUP($A112&amp;U$2,'2004'!$B$2:$K$1621,10,0)),VLOOKUP($A112&amp;U$2,'2004'!$A$2:$K$1621,10,0),VLOOKUP($A112&amp;U$2,'2004'!$B$2:$K$1621,10,0))</f>
        <v>HAR</v>
      </c>
    </row>
    <row r="113" spans="1:21" x14ac:dyDescent="0.25">
      <c r="A113" s="40">
        <f t="shared" si="1"/>
        <v>38190</v>
      </c>
      <c r="B113" s="36" t="str">
        <f>IF(ISNA(VLOOKUP($A113&amp;B$2,'2004'!$B$2:$K$1621,10,0)),VLOOKUP($A113&amp;B$2,'2004'!$A$2:$K$1621,10,0),VLOOKUP($A113&amp;B$2,'2004'!$B$2:$K$1621,10,0))</f>
        <v>@CTW</v>
      </c>
      <c r="C113" s="36" t="str">
        <f>IF(ISNA(VLOOKUP($A113&amp;C$2,'2004'!$B$2:$K$1621,10,0)),VLOOKUP($A113&amp;C$2,'2004'!$A$2:$K$1621,10,0),VLOOKUP($A113&amp;C$2,'2004'!$B$2:$K$1621,10,0))</f>
        <v>@CIN</v>
      </c>
      <c r="D113" s="36" t="str">
        <f>IF(ISNA(VLOOKUP($A113&amp;D$2,'2004'!$B$2:$K$1621,10,0)),VLOOKUP($A113&amp;D$2,'2004'!$A$2:$K$1621,10,0),VLOOKUP($A113&amp;D$2,'2004'!$B$2:$K$1621,10,0))</f>
        <v>BBG</v>
      </c>
      <c r="E113" s="36" t="str">
        <f>IF(ISNA(VLOOKUP($A113&amp;E$2,'2004'!$B$2:$K$1621,10,0)),VLOOKUP($A113&amp;E$2,'2004'!$A$2:$K$1621,10,0),VLOOKUP($A113&amp;E$2,'2004'!$B$2:$K$1621,10,0))</f>
        <v>BAR</v>
      </c>
      <c r="F113" s="36" t="str">
        <f>IF(ISNA(VLOOKUP($A113&amp;F$2,'2004'!$B$2:$K$1621,10,0)),VLOOKUP($A113&amp;F$2,'2004'!$A$2:$K$1621,10,0),VLOOKUP($A113&amp;F$2,'2004'!$B$2:$K$1621,10,0))</f>
        <v>@NNN</v>
      </c>
      <c r="G113" s="35" t="str">
        <f>IF(ISNA(VLOOKUP($A113&amp;G$2,'2004'!$B$2:$K$1621,10,0)),VLOOKUP($A113&amp;G$2,'2004'!$A$2:$K$1621,10,0),VLOOKUP($A113&amp;G$2,'2004'!$B$2:$K$1621,10,0))</f>
        <v>@FDH</v>
      </c>
      <c r="H113" s="35" t="str">
        <f>IF(ISNA(VLOOKUP($A113&amp;H$2,'2004'!$B$2:$K$1621,10,0)),VLOOKUP($A113&amp;H$2,'2004'!$A$2:$K$1621,10,0),VLOOKUP($A113&amp;H$2,'2004'!$B$2:$K$1621,10,0))</f>
        <v>CEN</v>
      </c>
      <c r="I113" s="35" t="str">
        <f>IF(ISNA(VLOOKUP($A113&amp;I$2,'2004'!$B$2:$K$1621,10,0)),VLOOKUP($A113&amp;I$2,'2004'!$A$2:$K$1621,10,0),VLOOKUP($A113&amp;I$2,'2004'!$B$2:$K$1621,10,0))</f>
        <v>TEW</v>
      </c>
      <c r="J113" s="35" t="str">
        <f>IF(ISNA(VLOOKUP($A113&amp;J$2,'2004'!$B$2:$K$1621,10,0)),VLOOKUP($A113&amp;J$2,'2004'!$A$2:$K$1621,10,0),VLOOKUP($A113&amp;J$2,'2004'!$B$2:$K$1621,10,0))</f>
        <v>@NYD</v>
      </c>
      <c r="K113" s="35" t="str">
        <f>IF(ISNA(VLOOKUP($A113&amp;K$2,'2004'!$B$2:$K$1621,10,0)),VLOOKUP($A113&amp;K$2,'2004'!$A$2:$K$1621,10,0),VLOOKUP($A113&amp;K$2,'2004'!$B$2:$K$1621,10,0))</f>
        <v>@NEP</v>
      </c>
      <c r="L113" s="34" t="str">
        <f>IF(ISNA(VLOOKUP($A113&amp;L$2,'2004'!$B$2:$K$1621,10,0)),VLOOKUP($A113&amp;L$2,'2004'!$A$2:$K$1621,10,0),VLOOKUP($A113&amp;L$2,'2004'!$B$2:$K$1621,10,0))</f>
        <v>OKO</v>
      </c>
      <c r="M113" s="34" t="str">
        <f>IF(ISNA(VLOOKUP($A113&amp;M$2,'2004'!$B$2:$K$1621,10,0)),VLOOKUP($A113&amp;M$2,'2004'!$A$2:$K$1621,10,0),VLOOKUP($A113&amp;M$2,'2004'!$B$2:$K$1621,10,0))</f>
        <v>@RMO</v>
      </c>
      <c r="N113" s="34" t="str">
        <f>IF(ISNA(VLOOKUP($A113&amp;N$2,'2004'!$B$2:$K$1621,10,0)),VLOOKUP($A113&amp;N$2,'2004'!$A$2:$K$1621,10,0),VLOOKUP($A113&amp;N$2,'2004'!$B$2:$K$1621,10,0))</f>
        <v>GAR</v>
      </c>
      <c r="O113" s="34" t="str">
        <f>IF(ISNA(VLOOKUP($A113&amp;O$2,'2004'!$B$2:$K$1621,10,0)),VLOOKUP($A113&amp;O$2,'2004'!$A$2:$K$1621,10,0),VLOOKUP($A113&amp;O$2,'2004'!$B$2:$K$1621,10,0))</f>
        <v>@DIG</v>
      </c>
      <c r="P113" s="34" t="str">
        <f>IF(ISNA(VLOOKUP($A113&amp;P$2,'2004'!$B$2:$K$1621,10,0)),VLOOKUP($A113&amp;P$2,'2004'!$A$2:$K$1621,10,0),VLOOKUP($A113&amp;P$2,'2004'!$B$2:$K$1621,10,0))</f>
        <v>FFR</v>
      </c>
      <c r="Q113" s="38" t="str">
        <f>IF(ISNA(VLOOKUP($A113&amp;Q$2,'2004'!$B$2:$K$1621,10,0)),VLOOKUP($A113&amp;Q$2,'2004'!$A$2:$K$1621,10,0),VLOOKUP($A113&amp;Q$2,'2004'!$B$2:$K$1621,10,0))</f>
        <v>CBB</v>
      </c>
      <c r="R113" s="38" t="str">
        <f>IF(ISNA(VLOOKUP($A113&amp;R$2,'2004'!$B$2:$K$1621,10,0)),VLOOKUP($A113&amp;R$2,'2004'!$A$2:$K$1621,10,0),VLOOKUP($A113&amp;R$2,'2004'!$B$2:$K$1621,10,0))</f>
        <v>@BRK</v>
      </c>
      <c r="S113" s="38" t="str">
        <f>IF(ISNA(VLOOKUP($A113&amp;S$2,'2004'!$B$2:$K$1621,10,0)),VLOOKUP($A113&amp;S$2,'2004'!$A$2:$K$1621,10,0),VLOOKUP($A113&amp;S$2,'2004'!$B$2:$K$1621,10,0))</f>
        <v>@PHI</v>
      </c>
      <c r="T113" s="38" t="str">
        <f>IF(ISNA(VLOOKUP($A113&amp;T$2,'2004'!$B$2:$K$1621,10,0)),VLOOKUP($A113&amp;T$2,'2004'!$A$2:$K$1621,10,0),VLOOKUP($A113&amp;T$2,'2004'!$B$2:$K$1621,10,0))</f>
        <v>REN</v>
      </c>
      <c r="U113" s="38" t="str">
        <f>IF(ISNA(VLOOKUP($A113&amp;U$2,'2004'!$B$2:$K$1621,10,0)),VLOOKUP($A113&amp;U$2,'2004'!$A$2:$K$1621,10,0),VLOOKUP($A113&amp;U$2,'2004'!$B$2:$K$1621,10,0))</f>
        <v>HAR</v>
      </c>
    </row>
    <row r="114" spans="1:21" x14ac:dyDescent="0.25">
      <c r="A114" s="40">
        <f t="shared" si="1"/>
        <v>38191</v>
      </c>
      <c r="B114" s="36" t="e">
        <f>IF(ISNA(VLOOKUP($A114&amp;B$2,'2004'!$B$2:$K$1621,10,0)),VLOOKUP($A114&amp;B$2,'2004'!$A$2:$K$1621,10,0),VLOOKUP($A114&amp;B$2,'2004'!$B$2:$K$1621,10,0))</f>
        <v>#N/A</v>
      </c>
      <c r="C114" s="36" t="e">
        <f>IF(ISNA(VLOOKUP($A114&amp;C$2,'2004'!$B$2:$K$1621,10,0)),VLOOKUP($A114&amp;C$2,'2004'!$A$2:$K$1621,10,0),VLOOKUP($A114&amp;C$2,'2004'!$B$2:$K$1621,10,0))</f>
        <v>#N/A</v>
      </c>
      <c r="D114" s="36" t="e">
        <f>IF(ISNA(VLOOKUP($A114&amp;D$2,'2004'!$B$2:$K$1621,10,0)),VLOOKUP($A114&amp;D$2,'2004'!$A$2:$K$1621,10,0),VLOOKUP($A114&amp;D$2,'2004'!$B$2:$K$1621,10,0))</f>
        <v>#N/A</v>
      </c>
      <c r="E114" s="36" t="e">
        <f>IF(ISNA(VLOOKUP($A114&amp;E$2,'2004'!$B$2:$K$1621,10,0)),VLOOKUP($A114&amp;E$2,'2004'!$A$2:$K$1621,10,0),VLOOKUP($A114&amp;E$2,'2004'!$B$2:$K$1621,10,0))</f>
        <v>#N/A</v>
      </c>
      <c r="F114" s="36" t="str">
        <f>IF(ISNA(VLOOKUP($A114&amp;F$2,'2004'!$B$2:$K$1621,10,0)),VLOOKUP($A114&amp;F$2,'2004'!$A$2:$K$1621,10,0),VLOOKUP($A114&amp;F$2,'2004'!$B$2:$K$1621,10,0))</f>
        <v>@NNN</v>
      </c>
      <c r="G114" s="35" t="str">
        <f>IF(ISNA(VLOOKUP($A114&amp;G$2,'2004'!$B$2:$K$1621,10,0)),VLOOKUP($A114&amp;G$2,'2004'!$A$2:$K$1621,10,0),VLOOKUP($A114&amp;G$2,'2004'!$B$2:$K$1621,10,0))</f>
        <v>@FDH</v>
      </c>
      <c r="H114" s="35" t="str">
        <f>IF(ISNA(VLOOKUP($A114&amp;H$2,'2004'!$B$2:$K$1621,10,0)),VLOOKUP($A114&amp;H$2,'2004'!$A$2:$K$1621,10,0),VLOOKUP($A114&amp;H$2,'2004'!$B$2:$K$1621,10,0))</f>
        <v>CEN</v>
      </c>
      <c r="I114" s="35" t="str">
        <f>IF(ISNA(VLOOKUP($A114&amp;I$2,'2004'!$B$2:$K$1621,10,0)),VLOOKUP($A114&amp;I$2,'2004'!$A$2:$K$1621,10,0),VLOOKUP($A114&amp;I$2,'2004'!$B$2:$K$1621,10,0))</f>
        <v>TEW</v>
      </c>
      <c r="J114" s="35" t="str">
        <f>IF(ISNA(VLOOKUP($A114&amp;J$2,'2004'!$B$2:$K$1621,10,0)),VLOOKUP($A114&amp;J$2,'2004'!$A$2:$K$1621,10,0),VLOOKUP($A114&amp;J$2,'2004'!$B$2:$K$1621,10,0))</f>
        <v>@NYD</v>
      </c>
      <c r="K114" s="35" t="str">
        <f>IF(ISNA(VLOOKUP($A114&amp;K$2,'2004'!$B$2:$K$1621,10,0)),VLOOKUP($A114&amp;K$2,'2004'!$A$2:$K$1621,10,0),VLOOKUP($A114&amp;K$2,'2004'!$B$2:$K$1621,10,0))</f>
        <v>@NEP</v>
      </c>
      <c r="L114" s="34" t="str">
        <f>IF(ISNA(VLOOKUP($A114&amp;L$2,'2004'!$B$2:$K$1621,10,0)),VLOOKUP($A114&amp;L$2,'2004'!$A$2:$K$1621,10,0),VLOOKUP($A114&amp;L$2,'2004'!$B$2:$K$1621,10,0))</f>
        <v>OKO</v>
      </c>
      <c r="M114" s="34" t="str">
        <f>IF(ISNA(VLOOKUP($A114&amp;M$2,'2004'!$B$2:$K$1621,10,0)),VLOOKUP($A114&amp;M$2,'2004'!$A$2:$K$1621,10,0),VLOOKUP($A114&amp;M$2,'2004'!$B$2:$K$1621,10,0))</f>
        <v>@RMO</v>
      </c>
      <c r="N114" s="34" t="str">
        <f>IF(ISNA(VLOOKUP($A114&amp;N$2,'2004'!$B$2:$K$1621,10,0)),VLOOKUP($A114&amp;N$2,'2004'!$A$2:$K$1621,10,0),VLOOKUP($A114&amp;N$2,'2004'!$B$2:$K$1621,10,0))</f>
        <v>GAR</v>
      </c>
      <c r="O114" s="34" t="str">
        <f>IF(ISNA(VLOOKUP($A114&amp;O$2,'2004'!$B$2:$K$1621,10,0)),VLOOKUP($A114&amp;O$2,'2004'!$A$2:$K$1621,10,0),VLOOKUP($A114&amp;O$2,'2004'!$B$2:$K$1621,10,0))</f>
        <v>@DIG</v>
      </c>
      <c r="P114" s="34" t="str">
        <f>IF(ISNA(VLOOKUP($A114&amp;P$2,'2004'!$B$2:$K$1621,10,0)),VLOOKUP($A114&amp;P$2,'2004'!$A$2:$K$1621,10,0),VLOOKUP($A114&amp;P$2,'2004'!$B$2:$K$1621,10,0))</f>
        <v>FFR</v>
      </c>
      <c r="Q114" s="38" t="str">
        <f>IF(ISNA(VLOOKUP($A114&amp;Q$2,'2004'!$B$2:$K$1621,10,0)),VLOOKUP($A114&amp;Q$2,'2004'!$A$2:$K$1621,10,0),VLOOKUP($A114&amp;Q$2,'2004'!$B$2:$K$1621,10,0))</f>
        <v>CBB</v>
      </c>
      <c r="R114" s="38" t="str">
        <f>IF(ISNA(VLOOKUP($A114&amp;R$2,'2004'!$B$2:$K$1621,10,0)),VLOOKUP($A114&amp;R$2,'2004'!$A$2:$K$1621,10,0),VLOOKUP($A114&amp;R$2,'2004'!$B$2:$K$1621,10,0))</f>
        <v>@BRK</v>
      </c>
      <c r="S114" s="38" t="str">
        <f>IF(ISNA(VLOOKUP($A114&amp;S$2,'2004'!$B$2:$K$1621,10,0)),VLOOKUP($A114&amp;S$2,'2004'!$A$2:$K$1621,10,0),VLOOKUP($A114&amp;S$2,'2004'!$B$2:$K$1621,10,0))</f>
        <v>@PHI</v>
      </c>
      <c r="T114" s="38" t="str">
        <f>IF(ISNA(VLOOKUP($A114&amp;T$2,'2004'!$B$2:$K$1621,10,0)),VLOOKUP($A114&amp;T$2,'2004'!$A$2:$K$1621,10,0),VLOOKUP($A114&amp;T$2,'2004'!$B$2:$K$1621,10,0))</f>
        <v>REN</v>
      </c>
      <c r="U114" s="38" t="str">
        <f>IF(ISNA(VLOOKUP($A114&amp;U$2,'2004'!$B$2:$K$1621,10,0)),VLOOKUP($A114&amp;U$2,'2004'!$A$2:$K$1621,10,0),VLOOKUP($A114&amp;U$2,'2004'!$B$2:$K$1621,10,0))</f>
        <v>HAR</v>
      </c>
    </row>
    <row r="115" spans="1:21" x14ac:dyDescent="0.25">
      <c r="A115" s="40">
        <f t="shared" si="1"/>
        <v>38192</v>
      </c>
      <c r="B115" s="36" t="str">
        <f>IF(ISNA(VLOOKUP($A115&amp;B$2,'2004'!$B$2:$K$1621,10,0)),VLOOKUP($A115&amp;B$2,'2004'!$A$2:$K$1621,10,0),VLOOKUP($A115&amp;B$2,'2004'!$B$2:$K$1621,10,0))</f>
        <v>@BAR</v>
      </c>
      <c r="C115" s="36" t="str">
        <f>IF(ISNA(VLOOKUP($A115&amp;C$2,'2004'!$B$2:$K$1621,10,0)),VLOOKUP($A115&amp;C$2,'2004'!$A$2:$K$1621,10,0),VLOOKUP($A115&amp;C$2,'2004'!$B$2:$K$1621,10,0))</f>
        <v>BBG</v>
      </c>
      <c r="D115" s="36" t="str">
        <f>IF(ISNA(VLOOKUP($A115&amp;D$2,'2004'!$B$2:$K$1621,10,0)),VLOOKUP($A115&amp;D$2,'2004'!$A$2:$K$1621,10,0),VLOOKUP($A115&amp;D$2,'2004'!$B$2:$K$1621,10,0))</f>
        <v>@GAR</v>
      </c>
      <c r="E115" s="36" t="str">
        <f>IF(ISNA(VLOOKUP($A115&amp;E$2,'2004'!$B$2:$K$1621,10,0)),VLOOKUP($A115&amp;E$2,'2004'!$A$2:$K$1621,10,0),VLOOKUP($A115&amp;E$2,'2004'!$B$2:$K$1621,10,0))</f>
        <v>FDH</v>
      </c>
      <c r="F115" s="36" t="str">
        <f>IF(ISNA(VLOOKUP($A115&amp;F$2,'2004'!$B$2:$K$1621,10,0)),VLOOKUP($A115&amp;F$2,'2004'!$A$2:$K$1621,10,0),VLOOKUP($A115&amp;F$2,'2004'!$B$2:$K$1621,10,0))</f>
        <v>CTW</v>
      </c>
      <c r="G115" s="35" t="str">
        <f>IF(ISNA(VLOOKUP($A115&amp;G$2,'2004'!$B$2:$K$1621,10,0)),VLOOKUP($A115&amp;G$2,'2004'!$A$2:$K$1621,10,0),VLOOKUP($A115&amp;G$2,'2004'!$B$2:$K$1621,10,0))</f>
        <v>TEW</v>
      </c>
      <c r="H115" s="35" t="str">
        <f>IF(ISNA(VLOOKUP($A115&amp;H$2,'2004'!$B$2:$K$1621,10,0)),VLOOKUP($A115&amp;H$2,'2004'!$A$2:$K$1621,10,0),VLOOKUP($A115&amp;H$2,'2004'!$B$2:$K$1621,10,0))</f>
        <v>@CIN</v>
      </c>
      <c r="I115" s="35" t="str">
        <f>IF(ISNA(VLOOKUP($A115&amp;I$2,'2004'!$B$2:$K$1621,10,0)),VLOOKUP($A115&amp;I$2,'2004'!$A$2:$K$1621,10,0),VLOOKUP($A115&amp;I$2,'2004'!$B$2:$K$1621,10,0))</f>
        <v>@REN</v>
      </c>
      <c r="J115" s="35" t="str">
        <f>IF(ISNA(VLOOKUP($A115&amp;J$2,'2004'!$B$2:$K$1621,10,0)),VLOOKUP($A115&amp;J$2,'2004'!$A$2:$K$1621,10,0),VLOOKUP($A115&amp;J$2,'2004'!$B$2:$K$1621,10,0))</f>
        <v>NEP</v>
      </c>
      <c r="K115" s="35" t="str">
        <f>IF(ISNA(VLOOKUP($A115&amp;K$2,'2004'!$B$2:$K$1621,10,0)),VLOOKUP($A115&amp;K$2,'2004'!$A$2:$K$1621,10,0),VLOOKUP($A115&amp;K$2,'2004'!$B$2:$K$1621,10,0))</f>
        <v>@CEN</v>
      </c>
      <c r="L115" s="34" t="str">
        <f>IF(ISNA(VLOOKUP($A115&amp;L$2,'2004'!$B$2:$K$1621,10,0)),VLOOKUP($A115&amp;L$2,'2004'!$A$2:$K$1621,10,0),VLOOKUP($A115&amp;L$2,'2004'!$B$2:$K$1621,10,0))</f>
        <v>BRK</v>
      </c>
      <c r="M115" s="34" t="e">
        <f>IF(ISNA(VLOOKUP($A115&amp;M$2,'2004'!$B$2:$K$1621,10,0)),VLOOKUP($A115&amp;M$2,'2004'!$A$2:$K$1621,10,0),VLOOKUP($A115&amp;M$2,'2004'!$B$2:$K$1621,10,0))</f>
        <v>#N/A</v>
      </c>
      <c r="N115" s="34" t="str">
        <f>IF(ISNA(VLOOKUP($A115&amp;N$2,'2004'!$B$2:$K$1621,10,0)),VLOOKUP($A115&amp;N$2,'2004'!$A$2:$K$1621,10,0),VLOOKUP($A115&amp;N$2,'2004'!$B$2:$K$1621,10,0))</f>
        <v>RMO</v>
      </c>
      <c r="O115" s="34" t="e">
        <f>IF(ISNA(VLOOKUP($A115&amp;O$2,'2004'!$B$2:$K$1621,10,0)),VLOOKUP($A115&amp;O$2,'2004'!$A$2:$K$1621,10,0),VLOOKUP($A115&amp;O$2,'2004'!$B$2:$K$1621,10,0))</f>
        <v>#N/A</v>
      </c>
      <c r="P115" s="34" t="str">
        <f>IF(ISNA(VLOOKUP($A115&amp;P$2,'2004'!$B$2:$K$1621,10,0)),VLOOKUP($A115&amp;P$2,'2004'!$A$2:$K$1621,10,0),VLOOKUP($A115&amp;P$2,'2004'!$B$2:$K$1621,10,0))</f>
        <v>@NNN</v>
      </c>
      <c r="Q115" s="38" t="str">
        <f>IF(ISNA(VLOOKUP($A115&amp;Q$2,'2004'!$B$2:$K$1621,10,0)),VLOOKUP($A115&amp;Q$2,'2004'!$A$2:$K$1621,10,0),VLOOKUP($A115&amp;Q$2,'2004'!$B$2:$K$1621,10,0))</f>
        <v>@DIG</v>
      </c>
      <c r="R115" s="38" t="e">
        <f>IF(ISNA(VLOOKUP($A115&amp;R$2,'2004'!$B$2:$K$1621,10,0)),VLOOKUP($A115&amp;R$2,'2004'!$A$2:$K$1621,10,0),VLOOKUP($A115&amp;R$2,'2004'!$B$2:$K$1621,10,0))</f>
        <v>#N/A</v>
      </c>
      <c r="S115" s="38" t="e">
        <f>IF(ISNA(VLOOKUP($A115&amp;S$2,'2004'!$B$2:$K$1621,10,0)),VLOOKUP($A115&amp;S$2,'2004'!$A$2:$K$1621,10,0),VLOOKUP($A115&amp;S$2,'2004'!$B$2:$K$1621,10,0))</f>
        <v>#N/A</v>
      </c>
      <c r="T115" s="38" t="e">
        <f>IF(ISNA(VLOOKUP($A115&amp;T$2,'2004'!$B$2:$K$1621,10,0)),VLOOKUP($A115&amp;T$2,'2004'!$A$2:$K$1621,10,0),VLOOKUP($A115&amp;T$2,'2004'!$B$2:$K$1621,10,0))</f>
        <v>#N/A</v>
      </c>
      <c r="U115" s="38" t="e">
        <f>IF(ISNA(VLOOKUP($A115&amp;U$2,'2004'!$B$2:$K$1621,10,0)),VLOOKUP($A115&amp;U$2,'2004'!$A$2:$K$1621,10,0),VLOOKUP($A115&amp;U$2,'2004'!$B$2:$K$1621,10,0))</f>
        <v>#N/A</v>
      </c>
    </row>
    <row r="116" spans="1:21" x14ac:dyDescent="0.25">
      <c r="A116" s="40">
        <f t="shared" si="1"/>
        <v>38193</v>
      </c>
      <c r="B116" s="36" t="str">
        <f>IF(ISNA(VLOOKUP($A116&amp;B$2,'2004'!$B$2:$K$1621,10,0)),VLOOKUP($A116&amp;B$2,'2004'!$A$2:$K$1621,10,0),VLOOKUP($A116&amp;B$2,'2004'!$B$2:$K$1621,10,0))</f>
        <v>@BAR</v>
      </c>
      <c r="C116" s="36" t="str">
        <f>IF(ISNA(VLOOKUP($A116&amp;C$2,'2004'!$B$2:$K$1621,10,0)),VLOOKUP($A116&amp;C$2,'2004'!$A$2:$K$1621,10,0),VLOOKUP($A116&amp;C$2,'2004'!$B$2:$K$1621,10,0))</f>
        <v>BBG</v>
      </c>
      <c r="D116" s="36" t="str">
        <f>IF(ISNA(VLOOKUP($A116&amp;D$2,'2004'!$B$2:$K$1621,10,0)),VLOOKUP($A116&amp;D$2,'2004'!$A$2:$K$1621,10,0),VLOOKUP($A116&amp;D$2,'2004'!$B$2:$K$1621,10,0))</f>
        <v>@GAR</v>
      </c>
      <c r="E116" s="36" t="str">
        <f>IF(ISNA(VLOOKUP($A116&amp;E$2,'2004'!$B$2:$K$1621,10,0)),VLOOKUP($A116&amp;E$2,'2004'!$A$2:$K$1621,10,0),VLOOKUP($A116&amp;E$2,'2004'!$B$2:$K$1621,10,0))</f>
        <v>FDH</v>
      </c>
      <c r="F116" s="36" t="str">
        <f>IF(ISNA(VLOOKUP($A116&amp;F$2,'2004'!$B$2:$K$1621,10,0)),VLOOKUP($A116&amp;F$2,'2004'!$A$2:$K$1621,10,0),VLOOKUP($A116&amp;F$2,'2004'!$B$2:$K$1621,10,0))</f>
        <v>CTW</v>
      </c>
      <c r="G116" s="35" t="str">
        <f>IF(ISNA(VLOOKUP($A116&amp;G$2,'2004'!$B$2:$K$1621,10,0)),VLOOKUP($A116&amp;G$2,'2004'!$A$2:$K$1621,10,0),VLOOKUP($A116&amp;G$2,'2004'!$B$2:$K$1621,10,0))</f>
        <v>TEW</v>
      </c>
      <c r="H116" s="35" t="str">
        <f>IF(ISNA(VLOOKUP($A116&amp;H$2,'2004'!$B$2:$K$1621,10,0)),VLOOKUP($A116&amp;H$2,'2004'!$A$2:$K$1621,10,0),VLOOKUP($A116&amp;H$2,'2004'!$B$2:$K$1621,10,0))</f>
        <v>@CIN</v>
      </c>
      <c r="I116" s="35" t="str">
        <f>IF(ISNA(VLOOKUP($A116&amp;I$2,'2004'!$B$2:$K$1621,10,0)),VLOOKUP($A116&amp;I$2,'2004'!$A$2:$K$1621,10,0),VLOOKUP($A116&amp;I$2,'2004'!$B$2:$K$1621,10,0))</f>
        <v>@REN</v>
      </c>
      <c r="J116" s="35" t="str">
        <f>IF(ISNA(VLOOKUP($A116&amp;J$2,'2004'!$B$2:$K$1621,10,0)),VLOOKUP($A116&amp;J$2,'2004'!$A$2:$K$1621,10,0),VLOOKUP($A116&amp;J$2,'2004'!$B$2:$K$1621,10,0))</f>
        <v>NEP</v>
      </c>
      <c r="K116" s="35" t="str">
        <f>IF(ISNA(VLOOKUP($A116&amp;K$2,'2004'!$B$2:$K$1621,10,0)),VLOOKUP($A116&amp;K$2,'2004'!$A$2:$K$1621,10,0),VLOOKUP($A116&amp;K$2,'2004'!$B$2:$K$1621,10,0))</f>
        <v>@CEN</v>
      </c>
      <c r="L116" s="34" t="str">
        <f>IF(ISNA(VLOOKUP($A116&amp;L$2,'2004'!$B$2:$K$1621,10,0)),VLOOKUP($A116&amp;L$2,'2004'!$A$2:$K$1621,10,0),VLOOKUP($A116&amp;L$2,'2004'!$B$2:$K$1621,10,0))</f>
        <v>BRK</v>
      </c>
      <c r="M116" s="34" t="str">
        <f>IF(ISNA(VLOOKUP($A116&amp;M$2,'2004'!$B$2:$K$1621,10,0)),VLOOKUP($A116&amp;M$2,'2004'!$A$2:$K$1621,10,0),VLOOKUP($A116&amp;M$2,'2004'!$B$2:$K$1621,10,0))</f>
        <v>@OKO</v>
      </c>
      <c r="N116" s="34" t="str">
        <f>IF(ISNA(VLOOKUP($A116&amp;N$2,'2004'!$B$2:$K$1621,10,0)),VLOOKUP($A116&amp;N$2,'2004'!$A$2:$K$1621,10,0),VLOOKUP($A116&amp;N$2,'2004'!$B$2:$K$1621,10,0))</f>
        <v>RMO</v>
      </c>
      <c r="O116" s="34" t="str">
        <f>IF(ISNA(VLOOKUP($A116&amp;O$2,'2004'!$B$2:$K$1621,10,0)),VLOOKUP($A116&amp;O$2,'2004'!$A$2:$K$1621,10,0),VLOOKUP($A116&amp;O$2,'2004'!$B$2:$K$1621,10,0))</f>
        <v>FFR</v>
      </c>
      <c r="P116" s="34" t="str">
        <f>IF(ISNA(VLOOKUP($A116&amp;P$2,'2004'!$B$2:$K$1621,10,0)),VLOOKUP($A116&amp;P$2,'2004'!$A$2:$K$1621,10,0),VLOOKUP($A116&amp;P$2,'2004'!$B$2:$K$1621,10,0))</f>
        <v>@NNN</v>
      </c>
      <c r="Q116" s="38" t="str">
        <f>IF(ISNA(VLOOKUP($A116&amp;Q$2,'2004'!$B$2:$K$1621,10,0)),VLOOKUP($A116&amp;Q$2,'2004'!$A$2:$K$1621,10,0),VLOOKUP($A116&amp;Q$2,'2004'!$B$2:$K$1621,10,0))</f>
        <v>@DIG</v>
      </c>
      <c r="R116" s="38" t="str">
        <f>IF(ISNA(VLOOKUP($A116&amp;R$2,'2004'!$B$2:$K$1621,10,0)),VLOOKUP($A116&amp;R$2,'2004'!$A$2:$K$1621,10,0),VLOOKUP($A116&amp;R$2,'2004'!$B$2:$K$1621,10,0))</f>
        <v>HAR</v>
      </c>
      <c r="S116" s="38" t="str">
        <f>IF(ISNA(VLOOKUP($A116&amp;S$2,'2004'!$B$2:$K$1621,10,0)),VLOOKUP($A116&amp;S$2,'2004'!$A$2:$K$1621,10,0),VLOOKUP($A116&amp;S$2,'2004'!$B$2:$K$1621,10,0))</f>
        <v>@CBB</v>
      </c>
      <c r="T116" s="38" t="str">
        <f>IF(ISNA(VLOOKUP($A116&amp;T$2,'2004'!$B$2:$K$1621,10,0)),VLOOKUP($A116&amp;T$2,'2004'!$A$2:$K$1621,10,0),VLOOKUP($A116&amp;T$2,'2004'!$B$2:$K$1621,10,0))</f>
        <v>PHI</v>
      </c>
      <c r="U116" s="38" t="str">
        <f>IF(ISNA(VLOOKUP($A116&amp;U$2,'2004'!$B$2:$K$1621,10,0)),VLOOKUP($A116&amp;U$2,'2004'!$A$2:$K$1621,10,0),VLOOKUP($A116&amp;U$2,'2004'!$B$2:$K$1621,10,0))</f>
        <v>@NYD</v>
      </c>
    </row>
    <row r="117" spans="1:21" x14ac:dyDescent="0.25">
      <c r="A117" s="40">
        <f t="shared" si="1"/>
        <v>38194</v>
      </c>
      <c r="B117" s="36" t="str">
        <f>IF(ISNA(VLOOKUP($A117&amp;B$2,'2004'!$B$2:$K$1621,10,0)),VLOOKUP($A117&amp;B$2,'2004'!$A$2:$K$1621,10,0),VLOOKUP($A117&amp;B$2,'2004'!$B$2:$K$1621,10,0))</f>
        <v>@BAR</v>
      </c>
      <c r="C117" s="36" t="str">
        <f>IF(ISNA(VLOOKUP($A117&amp;C$2,'2004'!$B$2:$K$1621,10,0)),VLOOKUP($A117&amp;C$2,'2004'!$A$2:$K$1621,10,0),VLOOKUP($A117&amp;C$2,'2004'!$B$2:$K$1621,10,0))</f>
        <v>BBG</v>
      </c>
      <c r="D117" s="36" t="str">
        <f>IF(ISNA(VLOOKUP($A117&amp;D$2,'2004'!$B$2:$K$1621,10,0)),VLOOKUP($A117&amp;D$2,'2004'!$A$2:$K$1621,10,0),VLOOKUP($A117&amp;D$2,'2004'!$B$2:$K$1621,10,0))</f>
        <v>@GAR</v>
      </c>
      <c r="E117" s="36" t="str">
        <f>IF(ISNA(VLOOKUP($A117&amp;E$2,'2004'!$B$2:$K$1621,10,0)),VLOOKUP($A117&amp;E$2,'2004'!$A$2:$K$1621,10,0),VLOOKUP($A117&amp;E$2,'2004'!$B$2:$K$1621,10,0))</f>
        <v>FDH</v>
      </c>
      <c r="F117" s="36" t="str">
        <f>IF(ISNA(VLOOKUP($A117&amp;F$2,'2004'!$B$2:$K$1621,10,0)),VLOOKUP($A117&amp;F$2,'2004'!$A$2:$K$1621,10,0),VLOOKUP($A117&amp;F$2,'2004'!$B$2:$K$1621,10,0))</f>
        <v>CTW</v>
      </c>
      <c r="G117" s="35" t="str">
        <f>IF(ISNA(VLOOKUP($A117&amp;G$2,'2004'!$B$2:$K$1621,10,0)),VLOOKUP($A117&amp;G$2,'2004'!$A$2:$K$1621,10,0),VLOOKUP($A117&amp;G$2,'2004'!$B$2:$K$1621,10,0))</f>
        <v>TEW</v>
      </c>
      <c r="H117" s="35" t="str">
        <f>IF(ISNA(VLOOKUP($A117&amp;H$2,'2004'!$B$2:$K$1621,10,0)),VLOOKUP($A117&amp;H$2,'2004'!$A$2:$K$1621,10,0),VLOOKUP($A117&amp;H$2,'2004'!$B$2:$K$1621,10,0))</f>
        <v>@CIN</v>
      </c>
      <c r="I117" s="35" t="str">
        <f>IF(ISNA(VLOOKUP($A117&amp;I$2,'2004'!$B$2:$K$1621,10,0)),VLOOKUP($A117&amp;I$2,'2004'!$A$2:$K$1621,10,0),VLOOKUP($A117&amp;I$2,'2004'!$B$2:$K$1621,10,0))</f>
        <v>@REN</v>
      </c>
      <c r="J117" s="35" t="str">
        <f>IF(ISNA(VLOOKUP($A117&amp;J$2,'2004'!$B$2:$K$1621,10,0)),VLOOKUP($A117&amp;J$2,'2004'!$A$2:$K$1621,10,0),VLOOKUP($A117&amp;J$2,'2004'!$B$2:$K$1621,10,0))</f>
        <v>NEP</v>
      </c>
      <c r="K117" s="35" t="str">
        <f>IF(ISNA(VLOOKUP($A117&amp;K$2,'2004'!$B$2:$K$1621,10,0)),VLOOKUP($A117&amp;K$2,'2004'!$A$2:$K$1621,10,0),VLOOKUP($A117&amp;K$2,'2004'!$B$2:$K$1621,10,0))</f>
        <v>@CEN</v>
      </c>
      <c r="L117" s="34" t="str">
        <f>IF(ISNA(VLOOKUP($A117&amp;L$2,'2004'!$B$2:$K$1621,10,0)),VLOOKUP($A117&amp;L$2,'2004'!$A$2:$K$1621,10,0),VLOOKUP($A117&amp;L$2,'2004'!$B$2:$K$1621,10,0))</f>
        <v>BRK</v>
      </c>
      <c r="M117" s="34" t="str">
        <f>IF(ISNA(VLOOKUP($A117&amp;M$2,'2004'!$B$2:$K$1621,10,0)),VLOOKUP($A117&amp;M$2,'2004'!$A$2:$K$1621,10,0),VLOOKUP($A117&amp;M$2,'2004'!$B$2:$K$1621,10,0))</f>
        <v>@OKO</v>
      </c>
      <c r="N117" s="34" t="str">
        <f>IF(ISNA(VLOOKUP($A117&amp;N$2,'2004'!$B$2:$K$1621,10,0)),VLOOKUP($A117&amp;N$2,'2004'!$A$2:$K$1621,10,0),VLOOKUP($A117&amp;N$2,'2004'!$B$2:$K$1621,10,0))</f>
        <v>RMO</v>
      </c>
      <c r="O117" s="34" t="str">
        <f>IF(ISNA(VLOOKUP($A117&amp;O$2,'2004'!$B$2:$K$1621,10,0)),VLOOKUP($A117&amp;O$2,'2004'!$A$2:$K$1621,10,0),VLOOKUP($A117&amp;O$2,'2004'!$B$2:$K$1621,10,0))</f>
        <v>FFR</v>
      </c>
      <c r="P117" s="34" t="str">
        <f>IF(ISNA(VLOOKUP($A117&amp;P$2,'2004'!$B$2:$K$1621,10,0)),VLOOKUP($A117&amp;P$2,'2004'!$A$2:$K$1621,10,0),VLOOKUP($A117&amp;P$2,'2004'!$B$2:$K$1621,10,0))</f>
        <v>@NNN</v>
      </c>
      <c r="Q117" s="38" t="str">
        <f>IF(ISNA(VLOOKUP($A117&amp;Q$2,'2004'!$B$2:$K$1621,10,0)),VLOOKUP($A117&amp;Q$2,'2004'!$A$2:$K$1621,10,0),VLOOKUP($A117&amp;Q$2,'2004'!$B$2:$K$1621,10,0))</f>
        <v>@DIG</v>
      </c>
      <c r="R117" s="38" t="str">
        <f>IF(ISNA(VLOOKUP($A117&amp;R$2,'2004'!$B$2:$K$1621,10,0)),VLOOKUP($A117&amp;R$2,'2004'!$A$2:$K$1621,10,0),VLOOKUP($A117&amp;R$2,'2004'!$B$2:$K$1621,10,0))</f>
        <v>HAR</v>
      </c>
      <c r="S117" s="38" t="str">
        <f>IF(ISNA(VLOOKUP($A117&amp;S$2,'2004'!$B$2:$K$1621,10,0)),VLOOKUP($A117&amp;S$2,'2004'!$A$2:$K$1621,10,0),VLOOKUP($A117&amp;S$2,'2004'!$B$2:$K$1621,10,0))</f>
        <v>@CBB</v>
      </c>
      <c r="T117" s="38" t="str">
        <f>IF(ISNA(VLOOKUP($A117&amp;T$2,'2004'!$B$2:$K$1621,10,0)),VLOOKUP($A117&amp;T$2,'2004'!$A$2:$K$1621,10,0),VLOOKUP($A117&amp;T$2,'2004'!$B$2:$K$1621,10,0))</f>
        <v>PHI</v>
      </c>
      <c r="U117" s="38" t="str">
        <f>IF(ISNA(VLOOKUP($A117&amp;U$2,'2004'!$B$2:$K$1621,10,0)),VLOOKUP($A117&amp;U$2,'2004'!$A$2:$K$1621,10,0),VLOOKUP($A117&amp;U$2,'2004'!$B$2:$K$1621,10,0))</f>
        <v>@NYD</v>
      </c>
    </row>
    <row r="118" spans="1:21" x14ac:dyDescent="0.25">
      <c r="A118" s="40">
        <f t="shared" si="1"/>
        <v>38195</v>
      </c>
      <c r="B118" s="36" t="str">
        <f>IF(ISNA(VLOOKUP($A118&amp;B$2,'2004'!$B$2:$K$1621,10,0)),VLOOKUP($A118&amp;B$2,'2004'!$A$2:$K$1621,10,0),VLOOKUP($A118&amp;B$2,'2004'!$B$2:$K$1621,10,0))</f>
        <v>@BAR</v>
      </c>
      <c r="C118" s="36" t="str">
        <f>IF(ISNA(VLOOKUP($A118&amp;C$2,'2004'!$B$2:$K$1621,10,0)),VLOOKUP($A118&amp;C$2,'2004'!$A$2:$K$1621,10,0),VLOOKUP($A118&amp;C$2,'2004'!$B$2:$K$1621,10,0))</f>
        <v>BBG</v>
      </c>
      <c r="D118" s="36" t="str">
        <f>IF(ISNA(VLOOKUP($A118&amp;D$2,'2004'!$B$2:$K$1621,10,0)),VLOOKUP($A118&amp;D$2,'2004'!$A$2:$K$1621,10,0),VLOOKUP($A118&amp;D$2,'2004'!$B$2:$K$1621,10,0))</f>
        <v>@GAR</v>
      </c>
      <c r="E118" s="36" t="str">
        <f>IF(ISNA(VLOOKUP($A118&amp;E$2,'2004'!$B$2:$K$1621,10,0)),VLOOKUP($A118&amp;E$2,'2004'!$A$2:$K$1621,10,0),VLOOKUP($A118&amp;E$2,'2004'!$B$2:$K$1621,10,0))</f>
        <v>FDH</v>
      </c>
      <c r="F118" s="36" t="str">
        <f>IF(ISNA(VLOOKUP($A118&amp;F$2,'2004'!$B$2:$K$1621,10,0)),VLOOKUP($A118&amp;F$2,'2004'!$A$2:$K$1621,10,0),VLOOKUP($A118&amp;F$2,'2004'!$B$2:$K$1621,10,0))</f>
        <v>CTW</v>
      </c>
      <c r="G118" s="35" t="str">
        <f>IF(ISNA(VLOOKUP($A118&amp;G$2,'2004'!$B$2:$K$1621,10,0)),VLOOKUP($A118&amp;G$2,'2004'!$A$2:$K$1621,10,0),VLOOKUP($A118&amp;G$2,'2004'!$B$2:$K$1621,10,0))</f>
        <v>TEW</v>
      </c>
      <c r="H118" s="35" t="str">
        <f>IF(ISNA(VLOOKUP($A118&amp;H$2,'2004'!$B$2:$K$1621,10,0)),VLOOKUP($A118&amp;H$2,'2004'!$A$2:$K$1621,10,0),VLOOKUP($A118&amp;H$2,'2004'!$B$2:$K$1621,10,0))</f>
        <v>@CIN</v>
      </c>
      <c r="I118" s="35" t="str">
        <f>IF(ISNA(VLOOKUP($A118&amp;I$2,'2004'!$B$2:$K$1621,10,0)),VLOOKUP($A118&amp;I$2,'2004'!$A$2:$K$1621,10,0),VLOOKUP($A118&amp;I$2,'2004'!$B$2:$K$1621,10,0))</f>
        <v>@REN</v>
      </c>
      <c r="J118" s="35" t="str">
        <f>IF(ISNA(VLOOKUP($A118&amp;J$2,'2004'!$B$2:$K$1621,10,0)),VLOOKUP($A118&amp;J$2,'2004'!$A$2:$K$1621,10,0),VLOOKUP($A118&amp;J$2,'2004'!$B$2:$K$1621,10,0))</f>
        <v>NEP</v>
      </c>
      <c r="K118" s="35" t="str">
        <f>IF(ISNA(VLOOKUP($A118&amp;K$2,'2004'!$B$2:$K$1621,10,0)),VLOOKUP($A118&amp;K$2,'2004'!$A$2:$K$1621,10,0),VLOOKUP($A118&amp;K$2,'2004'!$B$2:$K$1621,10,0))</f>
        <v>@CEN</v>
      </c>
      <c r="L118" s="34" t="str">
        <f>IF(ISNA(VLOOKUP($A118&amp;L$2,'2004'!$B$2:$K$1621,10,0)),VLOOKUP($A118&amp;L$2,'2004'!$A$2:$K$1621,10,0),VLOOKUP($A118&amp;L$2,'2004'!$B$2:$K$1621,10,0))</f>
        <v>BRK</v>
      </c>
      <c r="M118" s="34" t="str">
        <f>IF(ISNA(VLOOKUP($A118&amp;M$2,'2004'!$B$2:$K$1621,10,0)),VLOOKUP($A118&amp;M$2,'2004'!$A$2:$K$1621,10,0),VLOOKUP($A118&amp;M$2,'2004'!$B$2:$K$1621,10,0))</f>
        <v>@OKO</v>
      </c>
      <c r="N118" s="34" t="str">
        <f>IF(ISNA(VLOOKUP($A118&amp;N$2,'2004'!$B$2:$K$1621,10,0)),VLOOKUP($A118&amp;N$2,'2004'!$A$2:$K$1621,10,0),VLOOKUP($A118&amp;N$2,'2004'!$B$2:$K$1621,10,0))</f>
        <v>RMO</v>
      </c>
      <c r="O118" s="34" t="str">
        <f>IF(ISNA(VLOOKUP($A118&amp;O$2,'2004'!$B$2:$K$1621,10,0)),VLOOKUP($A118&amp;O$2,'2004'!$A$2:$K$1621,10,0),VLOOKUP($A118&amp;O$2,'2004'!$B$2:$K$1621,10,0))</f>
        <v>FFR</v>
      </c>
      <c r="P118" s="34" t="str">
        <f>IF(ISNA(VLOOKUP($A118&amp;P$2,'2004'!$B$2:$K$1621,10,0)),VLOOKUP($A118&amp;P$2,'2004'!$A$2:$K$1621,10,0),VLOOKUP($A118&amp;P$2,'2004'!$B$2:$K$1621,10,0))</f>
        <v>@NNN</v>
      </c>
      <c r="Q118" s="38" t="str">
        <f>IF(ISNA(VLOOKUP($A118&amp;Q$2,'2004'!$B$2:$K$1621,10,0)),VLOOKUP($A118&amp;Q$2,'2004'!$A$2:$K$1621,10,0),VLOOKUP($A118&amp;Q$2,'2004'!$B$2:$K$1621,10,0))</f>
        <v>@DIG</v>
      </c>
      <c r="R118" s="38" t="str">
        <f>IF(ISNA(VLOOKUP($A118&amp;R$2,'2004'!$B$2:$K$1621,10,0)),VLOOKUP($A118&amp;R$2,'2004'!$A$2:$K$1621,10,0),VLOOKUP($A118&amp;R$2,'2004'!$B$2:$K$1621,10,0))</f>
        <v>HAR</v>
      </c>
      <c r="S118" s="38" t="str">
        <f>IF(ISNA(VLOOKUP($A118&amp;S$2,'2004'!$B$2:$K$1621,10,0)),VLOOKUP($A118&amp;S$2,'2004'!$A$2:$K$1621,10,0),VLOOKUP($A118&amp;S$2,'2004'!$B$2:$K$1621,10,0))</f>
        <v>@CBB</v>
      </c>
      <c r="T118" s="38" t="str">
        <f>IF(ISNA(VLOOKUP($A118&amp;T$2,'2004'!$B$2:$K$1621,10,0)),VLOOKUP($A118&amp;T$2,'2004'!$A$2:$K$1621,10,0),VLOOKUP($A118&amp;T$2,'2004'!$B$2:$K$1621,10,0))</f>
        <v>PHI</v>
      </c>
      <c r="U118" s="38" t="str">
        <f>IF(ISNA(VLOOKUP($A118&amp;U$2,'2004'!$B$2:$K$1621,10,0)),VLOOKUP($A118&amp;U$2,'2004'!$A$2:$K$1621,10,0),VLOOKUP($A118&amp;U$2,'2004'!$B$2:$K$1621,10,0))</f>
        <v>@NYD</v>
      </c>
    </row>
    <row r="119" spans="1:21" x14ac:dyDescent="0.25">
      <c r="A119" s="40">
        <f t="shared" si="1"/>
        <v>38196</v>
      </c>
      <c r="B119" s="36" t="str">
        <f>IF(ISNA(VLOOKUP($A119&amp;B$2,'2004'!$B$2:$K$1621,10,0)),VLOOKUP($A119&amp;B$2,'2004'!$A$2:$K$1621,10,0),VLOOKUP($A119&amp;B$2,'2004'!$B$2:$K$1621,10,0))</f>
        <v>@BAR</v>
      </c>
      <c r="C119" s="36" t="str">
        <f>IF(ISNA(VLOOKUP($A119&amp;C$2,'2004'!$B$2:$K$1621,10,0)),VLOOKUP($A119&amp;C$2,'2004'!$A$2:$K$1621,10,0),VLOOKUP($A119&amp;C$2,'2004'!$B$2:$K$1621,10,0))</f>
        <v>BBG</v>
      </c>
      <c r="D119" s="36" t="str">
        <f>IF(ISNA(VLOOKUP($A119&amp;D$2,'2004'!$B$2:$K$1621,10,0)),VLOOKUP($A119&amp;D$2,'2004'!$A$2:$K$1621,10,0),VLOOKUP($A119&amp;D$2,'2004'!$B$2:$K$1621,10,0))</f>
        <v>@GAR</v>
      </c>
      <c r="E119" s="36" t="str">
        <f>IF(ISNA(VLOOKUP($A119&amp;E$2,'2004'!$B$2:$K$1621,10,0)),VLOOKUP($A119&amp;E$2,'2004'!$A$2:$K$1621,10,0),VLOOKUP($A119&amp;E$2,'2004'!$B$2:$K$1621,10,0))</f>
        <v>@DIG</v>
      </c>
      <c r="F119" s="36" t="str">
        <f>IF(ISNA(VLOOKUP($A119&amp;F$2,'2004'!$B$2:$K$1621,10,0)),VLOOKUP($A119&amp;F$2,'2004'!$A$2:$K$1621,10,0),VLOOKUP($A119&amp;F$2,'2004'!$B$2:$K$1621,10,0))</f>
        <v>CTW</v>
      </c>
      <c r="G119" s="35" t="str">
        <f>IF(ISNA(VLOOKUP($A119&amp;G$2,'2004'!$B$2:$K$1621,10,0)),VLOOKUP($A119&amp;G$2,'2004'!$A$2:$K$1621,10,0),VLOOKUP($A119&amp;G$2,'2004'!$B$2:$K$1621,10,0))</f>
        <v>TEW</v>
      </c>
      <c r="H119" s="35" t="str">
        <f>IF(ISNA(VLOOKUP($A119&amp;H$2,'2004'!$B$2:$K$1621,10,0)),VLOOKUP($A119&amp;H$2,'2004'!$A$2:$K$1621,10,0),VLOOKUP($A119&amp;H$2,'2004'!$B$2:$K$1621,10,0))</f>
        <v>@BRK</v>
      </c>
      <c r="I119" s="35" t="str">
        <f>IF(ISNA(VLOOKUP($A119&amp;I$2,'2004'!$B$2:$K$1621,10,0)),VLOOKUP($A119&amp;I$2,'2004'!$A$2:$K$1621,10,0),VLOOKUP($A119&amp;I$2,'2004'!$B$2:$K$1621,10,0))</f>
        <v>@REN</v>
      </c>
      <c r="J119" s="35" t="str">
        <f>IF(ISNA(VLOOKUP($A119&amp;J$2,'2004'!$B$2:$K$1621,10,0)),VLOOKUP($A119&amp;J$2,'2004'!$A$2:$K$1621,10,0),VLOOKUP($A119&amp;J$2,'2004'!$B$2:$K$1621,10,0))</f>
        <v>NEP</v>
      </c>
      <c r="K119" s="35" t="str">
        <f>IF(ISNA(VLOOKUP($A119&amp;K$2,'2004'!$B$2:$K$1621,10,0)),VLOOKUP($A119&amp;K$2,'2004'!$A$2:$K$1621,10,0),VLOOKUP($A119&amp;K$2,'2004'!$B$2:$K$1621,10,0))</f>
        <v>@CEN</v>
      </c>
      <c r="L119" s="34" t="str">
        <f>IF(ISNA(VLOOKUP($A119&amp;L$2,'2004'!$B$2:$K$1621,10,0)),VLOOKUP($A119&amp;L$2,'2004'!$A$2:$K$1621,10,0),VLOOKUP($A119&amp;L$2,'2004'!$B$2:$K$1621,10,0))</f>
        <v>CIN</v>
      </c>
      <c r="M119" s="34" t="str">
        <f>IF(ISNA(VLOOKUP($A119&amp;M$2,'2004'!$B$2:$K$1621,10,0)),VLOOKUP($A119&amp;M$2,'2004'!$A$2:$K$1621,10,0),VLOOKUP($A119&amp;M$2,'2004'!$B$2:$K$1621,10,0))</f>
        <v>@OKO</v>
      </c>
      <c r="N119" s="34" t="str">
        <f>IF(ISNA(VLOOKUP($A119&amp;N$2,'2004'!$B$2:$K$1621,10,0)),VLOOKUP($A119&amp;N$2,'2004'!$A$2:$K$1621,10,0),VLOOKUP($A119&amp;N$2,'2004'!$B$2:$K$1621,10,0))</f>
        <v>RMO</v>
      </c>
      <c r="O119" s="34" t="str">
        <f>IF(ISNA(VLOOKUP($A119&amp;O$2,'2004'!$B$2:$K$1621,10,0)),VLOOKUP($A119&amp;O$2,'2004'!$A$2:$K$1621,10,0),VLOOKUP($A119&amp;O$2,'2004'!$B$2:$K$1621,10,0))</f>
        <v>FFR</v>
      </c>
      <c r="P119" s="34" t="str">
        <f>IF(ISNA(VLOOKUP($A119&amp;P$2,'2004'!$B$2:$K$1621,10,0)),VLOOKUP($A119&amp;P$2,'2004'!$A$2:$K$1621,10,0),VLOOKUP($A119&amp;P$2,'2004'!$B$2:$K$1621,10,0))</f>
        <v>@NNN</v>
      </c>
      <c r="Q119" s="38" t="str">
        <f>IF(ISNA(VLOOKUP($A119&amp;Q$2,'2004'!$B$2:$K$1621,10,0)),VLOOKUP($A119&amp;Q$2,'2004'!$A$2:$K$1621,10,0),VLOOKUP($A119&amp;Q$2,'2004'!$B$2:$K$1621,10,0))</f>
        <v>FDH</v>
      </c>
      <c r="R119" s="38" t="str">
        <f>IF(ISNA(VLOOKUP($A119&amp;R$2,'2004'!$B$2:$K$1621,10,0)),VLOOKUP($A119&amp;R$2,'2004'!$A$2:$K$1621,10,0),VLOOKUP($A119&amp;R$2,'2004'!$B$2:$K$1621,10,0))</f>
        <v>HAR</v>
      </c>
      <c r="S119" s="38" t="str">
        <f>IF(ISNA(VLOOKUP($A119&amp;S$2,'2004'!$B$2:$K$1621,10,0)),VLOOKUP($A119&amp;S$2,'2004'!$A$2:$K$1621,10,0),VLOOKUP($A119&amp;S$2,'2004'!$B$2:$K$1621,10,0))</f>
        <v>@CBB</v>
      </c>
      <c r="T119" s="38" t="str">
        <f>IF(ISNA(VLOOKUP($A119&amp;T$2,'2004'!$B$2:$K$1621,10,0)),VLOOKUP($A119&amp;T$2,'2004'!$A$2:$K$1621,10,0),VLOOKUP($A119&amp;T$2,'2004'!$B$2:$K$1621,10,0))</f>
        <v>PHI</v>
      </c>
      <c r="U119" s="38" t="str">
        <f>IF(ISNA(VLOOKUP($A119&amp;U$2,'2004'!$B$2:$K$1621,10,0)),VLOOKUP($A119&amp;U$2,'2004'!$A$2:$K$1621,10,0),VLOOKUP($A119&amp;U$2,'2004'!$B$2:$K$1621,10,0))</f>
        <v>@NYD</v>
      </c>
    </row>
    <row r="120" spans="1:21" x14ac:dyDescent="0.25">
      <c r="A120" s="40">
        <f t="shared" si="1"/>
        <v>38197</v>
      </c>
      <c r="B120" s="36" t="str">
        <f>IF(ISNA(VLOOKUP($A120&amp;B$2,'2004'!$B$2:$K$1621,10,0)),VLOOKUP($A120&amp;B$2,'2004'!$A$2:$K$1621,10,0),VLOOKUP($A120&amp;B$2,'2004'!$B$2:$K$1621,10,0))</f>
        <v>@BAR</v>
      </c>
      <c r="C120" s="36" t="str">
        <f>IF(ISNA(VLOOKUP($A120&amp;C$2,'2004'!$B$2:$K$1621,10,0)),VLOOKUP($A120&amp;C$2,'2004'!$A$2:$K$1621,10,0),VLOOKUP($A120&amp;C$2,'2004'!$B$2:$K$1621,10,0))</f>
        <v>BBG</v>
      </c>
      <c r="D120" s="36" t="e">
        <f>IF(ISNA(VLOOKUP($A120&amp;D$2,'2004'!$B$2:$K$1621,10,0)),VLOOKUP($A120&amp;D$2,'2004'!$A$2:$K$1621,10,0),VLOOKUP($A120&amp;D$2,'2004'!$B$2:$K$1621,10,0))</f>
        <v>#N/A</v>
      </c>
      <c r="E120" s="36" t="str">
        <f>IF(ISNA(VLOOKUP($A120&amp;E$2,'2004'!$B$2:$K$1621,10,0)),VLOOKUP($A120&amp;E$2,'2004'!$A$2:$K$1621,10,0),VLOOKUP($A120&amp;E$2,'2004'!$B$2:$K$1621,10,0))</f>
        <v>@DIG</v>
      </c>
      <c r="F120" s="36" t="e">
        <f>IF(ISNA(VLOOKUP($A120&amp;F$2,'2004'!$B$2:$K$1621,10,0)),VLOOKUP($A120&amp;F$2,'2004'!$A$2:$K$1621,10,0),VLOOKUP($A120&amp;F$2,'2004'!$B$2:$K$1621,10,0))</f>
        <v>#N/A</v>
      </c>
      <c r="G120" s="35" t="e">
        <f>IF(ISNA(VLOOKUP($A120&amp;G$2,'2004'!$B$2:$K$1621,10,0)),VLOOKUP($A120&amp;G$2,'2004'!$A$2:$K$1621,10,0),VLOOKUP($A120&amp;G$2,'2004'!$B$2:$K$1621,10,0))</f>
        <v>#N/A</v>
      </c>
      <c r="H120" s="35" t="str">
        <f>IF(ISNA(VLOOKUP($A120&amp;H$2,'2004'!$B$2:$K$1621,10,0)),VLOOKUP($A120&amp;H$2,'2004'!$A$2:$K$1621,10,0),VLOOKUP($A120&amp;H$2,'2004'!$B$2:$K$1621,10,0))</f>
        <v>@BRK</v>
      </c>
      <c r="I120" s="35" t="str">
        <f>IF(ISNA(VLOOKUP($A120&amp;I$2,'2004'!$B$2:$K$1621,10,0)),VLOOKUP($A120&amp;I$2,'2004'!$A$2:$K$1621,10,0),VLOOKUP($A120&amp;I$2,'2004'!$B$2:$K$1621,10,0))</f>
        <v>@REN</v>
      </c>
      <c r="J120" s="35" t="str">
        <f>IF(ISNA(VLOOKUP($A120&amp;J$2,'2004'!$B$2:$K$1621,10,0)),VLOOKUP($A120&amp;J$2,'2004'!$A$2:$K$1621,10,0),VLOOKUP($A120&amp;J$2,'2004'!$B$2:$K$1621,10,0))</f>
        <v>NEP</v>
      </c>
      <c r="K120" s="35" t="e">
        <f>IF(ISNA(VLOOKUP($A120&amp;K$2,'2004'!$B$2:$K$1621,10,0)),VLOOKUP($A120&amp;K$2,'2004'!$A$2:$K$1621,10,0),VLOOKUP($A120&amp;K$2,'2004'!$B$2:$K$1621,10,0))</f>
        <v>#N/A</v>
      </c>
      <c r="L120" s="34" t="str">
        <f>IF(ISNA(VLOOKUP($A120&amp;L$2,'2004'!$B$2:$K$1621,10,0)),VLOOKUP($A120&amp;L$2,'2004'!$A$2:$K$1621,10,0),VLOOKUP($A120&amp;L$2,'2004'!$B$2:$K$1621,10,0))</f>
        <v>CIN</v>
      </c>
      <c r="M120" s="34" t="str">
        <f>IF(ISNA(VLOOKUP($A120&amp;M$2,'2004'!$B$2:$K$1621,10,0)),VLOOKUP($A120&amp;M$2,'2004'!$A$2:$K$1621,10,0),VLOOKUP($A120&amp;M$2,'2004'!$B$2:$K$1621,10,0))</f>
        <v>@OKO</v>
      </c>
      <c r="N120" s="34" t="str">
        <f>IF(ISNA(VLOOKUP($A120&amp;N$2,'2004'!$B$2:$K$1621,10,0)),VLOOKUP($A120&amp;N$2,'2004'!$A$2:$K$1621,10,0),VLOOKUP($A120&amp;N$2,'2004'!$B$2:$K$1621,10,0))</f>
        <v>RMO</v>
      </c>
      <c r="O120" s="34" t="str">
        <f>IF(ISNA(VLOOKUP($A120&amp;O$2,'2004'!$B$2:$K$1621,10,0)),VLOOKUP($A120&amp;O$2,'2004'!$A$2:$K$1621,10,0),VLOOKUP($A120&amp;O$2,'2004'!$B$2:$K$1621,10,0))</f>
        <v>FFR</v>
      </c>
      <c r="P120" s="34" t="str">
        <f>IF(ISNA(VLOOKUP($A120&amp;P$2,'2004'!$B$2:$K$1621,10,0)),VLOOKUP($A120&amp;P$2,'2004'!$A$2:$K$1621,10,0),VLOOKUP($A120&amp;P$2,'2004'!$B$2:$K$1621,10,0))</f>
        <v>@NNN</v>
      </c>
      <c r="Q120" s="38" t="str">
        <f>IF(ISNA(VLOOKUP($A120&amp;Q$2,'2004'!$B$2:$K$1621,10,0)),VLOOKUP($A120&amp;Q$2,'2004'!$A$2:$K$1621,10,0),VLOOKUP($A120&amp;Q$2,'2004'!$B$2:$K$1621,10,0))</f>
        <v>FDH</v>
      </c>
      <c r="R120" s="38" t="str">
        <f>IF(ISNA(VLOOKUP($A120&amp;R$2,'2004'!$B$2:$K$1621,10,0)),VLOOKUP($A120&amp;R$2,'2004'!$A$2:$K$1621,10,0),VLOOKUP($A120&amp;R$2,'2004'!$B$2:$K$1621,10,0))</f>
        <v>HAR</v>
      </c>
      <c r="S120" s="38" t="str">
        <f>IF(ISNA(VLOOKUP($A120&amp;S$2,'2004'!$B$2:$K$1621,10,0)),VLOOKUP($A120&amp;S$2,'2004'!$A$2:$K$1621,10,0),VLOOKUP($A120&amp;S$2,'2004'!$B$2:$K$1621,10,0))</f>
        <v>@CBB</v>
      </c>
      <c r="T120" s="38" t="str">
        <f>IF(ISNA(VLOOKUP($A120&amp;T$2,'2004'!$B$2:$K$1621,10,0)),VLOOKUP($A120&amp;T$2,'2004'!$A$2:$K$1621,10,0),VLOOKUP($A120&amp;T$2,'2004'!$B$2:$K$1621,10,0))</f>
        <v>PHI</v>
      </c>
      <c r="U120" s="38" t="str">
        <f>IF(ISNA(VLOOKUP($A120&amp;U$2,'2004'!$B$2:$K$1621,10,0)),VLOOKUP($A120&amp;U$2,'2004'!$A$2:$K$1621,10,0),VLOOKUP($A120&amp;U$2,'2004'!$B$2:$K$1621,10,0))</f>
        <v>@NYD</v>
      </c>
    </row>
    <row r="121" spans="1:21" x14ac:dyDescent="0.25">
      <c r="A121" s="40">
        <f t="shared" si="1"/>
        <v>38198</v>
      </c>
      <c r="B121" s="36" t="str">
        <f>IF(ISNA(VLOOKUP($A121&amp;B$2,'2004'!$B$2:$K$1621,10,0)),VLOOKUP($A121&amp;B$2,'2004'!$A$2:$K$1621,10,0),VLOOKUP($A121&amp;B$2,'2004'!$B$2:$K$1621,10,0))</f>
        <v>@REN</v>
      </c>
      <c r="C121" s="36" t="str">
        <f>IF(ISNA(VLOOKUP($A121&amp;C$2,'2004'!$B$2:$K$1621,10,0)),VLOOKUP($A121&amp;C$2,'2004'!$A$2:$K$1621,10,0),VLOOKUP($A121&amp;C$2,'2004'!$B$2:$K$1621,10,0))</f>
        <v>@FDH</v>
      </c>
      <c r="D121" s="36" t="str">
        <f>IF(ISNA(VLOOKUP($A121&amp;D$2,'2004'!$B$2:$K$1621,10,0)),VLOOKUP($A121&amp;D$2,'2004'!$A$2:$K$1621,10,0),VLOOKUP($A121&amp;D$2,'2004'!$B$2:$K$1621,10,0))</f>
        <v>@TEW</v>
      </c>
      <c r="E121" s="36" t="str">
        <f>IF(ISNA(VLOOKUP($A121&amp;E$2,'2004'!$B$2:$K$1621,10,0)),VLOOKUP($A121&amp;E$2,'2004'!$A$2:$K$1621,10,0),VLOOKUP($A121&amp;E$2,'2004'!$B$2:$K$1621,10,0))</f>
        <v>@NEP</v>
      </c>
      <c r="F121" s="36" t="str">
        <f>IF(ISNA(VLOOKUP($A121&amp;F$2,'2004'!$B$2:$K$1621,10,0)),VLOOKUP($A121&amp;F$2,'2004'!$A$2:$K$1621,10,0),VLOOKUP($A121&amp;F$2,'2004'!$B$2:$K$1621,10,0))</f>
        <v>@CEN</v>
      </c>
      <c r="G121" s="35" t="str">
        <f>IF(ISNA(VLOOKUP($A121&amp;G$2,'2004'!$B$2:$K$1621,10,0)),VLOOKUP($A121&amp;G$2,'2004'!$A$2:$K$1621,10,0),VLOOKUP($A121&amp;G$2,'2004'!$B$2:$K$1621,10,0))</f>
        <v>GAR</v>
      </c>
      <c r="H121" s="35" t="str">
        <f>IF(ISNA(VLOOKUP($A121&amp;H$2,'2004'!$B$2:$K$1621,10,0)),VLOOKUP($A121&amp;H$2,'2004'!$A$2:$K$1621,10,0),VLOOKUP($A121&amp;H$2,'2004'!$B$2:$K$1621,10,0))</f>
        <v>BAR</v>
      </c>
      <c r="I121" s="35" t="str">
        <f>IF(ISNA(VLOOKUP($A121&amp;I$2,'2004'!$B$2:$K$1621,10,0)),VLOOKUP($A121&amp;I$2,'2004'!$A$2:$K$1621,10,0),VLOOKUP($A121&amp;I$2,'2004'!$B$2:$K$1621,10,0))</f>
        <v>CIN</v>
      </c>
      <c r="J121" s="35" t="str">
        <f>IF(ISNA(VLOOKUP($A121&amp;J$2,'2004'!$B$2:$K$1621,10,0)),VLOOKUP($A121&amp;J$2,'2004'!$A$2:$K$1621,10,0),VLOOKUP($A121&amp;J$2,'2004'!$B$2:$K$1621,10,0))</f>
        <v>BBG</v>
      </c>
      <c r="K121" s="35" t="str">
        <f>IF(ISNA(VLOOKUP($A121&amp;K$2,'2004'!$B$2:$K$1621,10,0)),VLOOKUP($A121&amp;K$2,'2004'!$A$2:$K$1621,10,0),VLOOKUP($A121&amp;K$2,'2004'!$B$2:$K$1621,10,0))</f>
        <v>CTW</v>
      </c>
      <c r="L121" s="34" t="str">
        <f>IF(ISNA(VLOOKUP($A121&amp;L$2,'2004'!$B$2:$K$1621,10,0)),VLOOKUP($A121&amp;L$2,'2004'!$A$2:$K$1621,10,0),VLOOKUP($A121&amp;L$2,'2004'!$B$2:$K$1621,10,0))</f>
        <v>@PHI</v>
      </c>
      <c r="M121" s="34" t="str">
        <f>IF(ISNA(VLOOKUP($A121&amp;M$2,'2004'!$B$2:$K$1621,10,0)),VLOOKUP($A121&amp;M$2,'2004'!$A$2:$K$1621,10,0),VLOOKUP($A121&amp;M$2,'2004'!$B$2:$K$1621,10,0))</f>
        <v>@NYD</v>
      </c>
      <c r="N121" s="34" t="str">
        <f>IF(ISNA(VLOOKUP($A121&amp;N$2,'2004'!$B$2:$K$1621,10,0)),VLOOKUP($A121&amp;N$2,'2004'!$A$2:$K$1621,10,0),VLOOKUP($A121&amp;N$2,'2004'!$B$2:$K$1621,10,0))</f>
        <v>@CBB</v>
      </c>
      <c r="O121" s="34" t="str">
        <f>IF(ISNA(VLOOKUP($A121&amp;O$2,'2004'!$B$2:$K$1621,10,0)),VLOOKUP($A121&amp;O$2,'2004'!$A$2:$K$1621,10,0),VLOOKUP($A121&amp;O$2,'2004'!$B$2:$K$1621,10,0))</f>
        <v>@BRK</v>
      </c>
      <c r="P121" s="34" t="str">
        <f>IF(ISNA(VLOOKUP($A121&amp;P$2,'2004'!$B$2:$K$1621,10,0)),VLOOKUP($A121&amp;P$2,'2004'!$A$2:$K$1621,10,0),VLOOKUP($A121&amp;P$2,'2004'!$B$2:$K$1621,10,0))</f>
        <v>@HAR</v>
      </c>
      <c r="Q121" s="38" t="str">
        <f>IF(ISNA(VLOOKUP($A121&amp;Q$2,'2004'!$B$2:$K$1621,10,0)),VLOOKUP($A121&amp;Q$2,'2004'!$A$2:$K$1621,10,0),VLOOKUP($A121&amp;Q$2,'2004'!$B$2:$K$1621,10,0))</f>
        <v>OKO</v>
      </c>
      <c r="R121" s="38" t="str">
        <f>IF(ISNA(VLOOKUP($A121&amp;R$2,'2004'!$B$2:$K$1621,10,0)),VLOOKUP($A121&amp;R$2,'2004'!$A$2:$K$1621,10,0),VLOOKUP($A121&amp;R$2,'2004'!$B$2:$K$1621,10,0))</f>
        <v>NNN</v>
      </c>
      <c r="S121" s="38" t="str">
        <f>IF(ISNA(VLOOKUP($A121&amp;S$2,'2004'!$B$2:$K$1621,10,0)),VLOOKUP($A121&amp;S$2,'2004'!$A$2:$K$1621,10,0),VLOOKUP($A121&amp;S$2,'2004'!$B$2:$K$1621,10,0))</f>
        <v>RMO</v>
      </c>
      <c r="T121" s="38" t="str">
        <f>IF(ISNA(VLOOKUP($A121&amp;T$2,'2004'!$B$2:$K$1621,10,0)),VLOOKUP($A121&amp;T$2,'2004'!$A$2:$K$1621,10,0),VLOOKUP($A121&amp;T$2,'2004'!$B$2:$K$1621,10,0))</f>
        <v>FFR</v>
      </c>
      <c r="U121" s="38" t="str">
        <f>IF(ISNA(VLOOKUP($A121&amp;U$2,'2004'!$B$2:$K$1621,10,0)),VLOOKUP($A121&amp;U$2,'2004'!$A$2:$K$1621,10,0),VLOOKUP($A121&amp;U$2,'2004'!$B$2:$K$1621,10,0))</f>
        <v>DIG</v>
      </c>
    </row>
    <row r="122" spans="1:21" x14ac:dyDescent="0.25">
      <c r="A122" s="40">
        <f t="shared" si="1"/>
        <v>38199</v>
      </c>
      <c r="B122" s="36" t="str">
        <f>IF(ISNA(VLOOKUP($A122&amp;B$2,'2004'!$B$2:$K$1621,10,0)),VLOOKUP($A122&amp;B$2,'2004'!$A$2:$K$1621,10,0),VLOOKUP($A122&amp;B$2,'2004'!$B$2:$K$1621,10,0))</f>
        <v>@REN</v>
      </c>
      <c r="C122" s="36" t="str">
        <f>IF(ISNA(VLOOKUP($A122&amp;C$2,'2004'!$B$2:$K$1621,10,0)),VLOOKUP($A122&amp;C$2,'2004'!$A$2:$K$1621,10,0),VLOOKUP($A122&amp;C$2,'2004'!$B$2:$K$1621,10,0))</f>
        <v>@FDH</v>
      </c>
      <c r="D122" s="36" t="str">
        <f>IF(ISNA(VLOOKUP($A122&amp;D$2,'2004'!$B$2:$K$1621,10,0)),VLOOKUP($A122&amp;D$2,'2004'!$A$2:$K$1621,10,0),VLOOKUP($A122&amp;D$2,'2004'!$B$2:$K$1621,10,0))</f>
        <v>@TEW</v>
      </c>
      <c r="E122" s="36" t="str">
        <f>IF(ISNA(VLOOKUP($A122&amp;E$2,'2004'!$B$2:$K$1621,10,0)),VLOOKUP($A122&amp;E$2,'2004'!$A$2:$K$1621,10,0),VLOOKUP($A122&amp;E$2,'2004'!$B$2:$K$1621,10,0))</f>
        <v>@NEP</v>
      </c>
      <c r="F122" s="36" t="str">
        <f>IF(ISNA(VLOOKUP($A122&amp;F$2,'2004'!$B$2:$K$1621,10,0)),VLOOKUP($A122&amp;F$2,'2004'!$A$2:$K$1621,10,0),VLOOKUP($A122&amp;F$2,'2004'!$B$2:$K$1621,10,0))</f>
        <v>@CEN</v>
      </c>
      <c r="G122" s="35" t="str">
        <f>IF(ISNA(VLOOKUP($A122&amp;G$2,'2004'!$B$2:$K$1621,10,0)),VLOOKUP($A122&amp;G$2,'2004'!$A$2:$K$1621,10,0),VLOOKUP($A122&amp;G$2,'2004'!$B$2:$K$1621,10,0))</f>
        <v>GAR</v>
      </c>
      <c r="H122" s="35" t="str">
        <f>IF(ISNA(VLOOKUP($A122&amp;H$2,'2004'!$B$2:$K$1621,10,0)),VLOOKUP($A122&amp;H$2,'2004'!$A$2:$K$1621,10,0),VLOOKUP($A122&amp;H$2,'2004'!$B$2:$K$1621,10,0))</f>
        <v>BAR</v>
      </c>
      <c r="I122" s="35" t="str">
        <f>IF(ISNA(VLOOKUP($A122&amp;I$2,'2004'!$B$2:$K$1621,10,0)),VLOOKUP($A122&amp;I$2,'2004'!$A$2:$K$1621,10,0),VLOOKUP($A122&amp;I$2,'2004'!$B$2:$K$1621,10,0))</f>
        <v>CIN</v>
      </c>
      <c r="J122" s="35" t="str">
        <f>IF(ISNA(VLOOKUP($A122&amp;J$2,'2004'!$B$2:$K$1621,10,0)),VLOOKUP($A122&amp;J$2,'2004'!$A$2:$K$1621,10,0),VLOOKUP($A122&amp;J$2,'2004'!$B$2:$K$1621,10,0))</f>
        <v>BBG</v>
      </c>
      <c r="K122" s="35" t="str">
        <f>IF(ISNA(VLOOKUP($A122&amp;K$2,'2004'!$B$2:$K$1621,10,0)),VLOOKUP($A122&amp;K$2,'2004'!$A$2:$K$1621,10,0),VLOOKUP($A122&amp;K$2,'2004'!$B$2:$K$1621,10,0))</f>
        <v>CTW</v>
      </c>
      <c r="L122" s="34" t="str">
        <f>IF(ISNA(VLOOKUP($A122&amp;L$2,'2004'!$B$2:$K$1621,10,0)),VLOOKUP($A122&amp;L$2,'2004'!$A$2:$K$1621,10,0),VLOOKUP($A122&amp;L$2,'2004'!$B$2:$K$1621,10,0))</f>
        <v>@PHI</v>
      </c>
      <c r="M122" s="34" t="str">
        <f>IF(ISNA(VLOOKUP($A122&amp;M$2,'2004'!$B$2:$K$1621,10,0)),VLOOKUP($A122&amp;M$2,'2004'!$A$2:$K$1621,10,0),VLOOKUP($A122&amp;M$2,'2004'!$B$2:$K$1621,10,0))</f>
        <v>@NYD</v>
      </c>
      <c r="N122" s="34" t="str">
        <f>IF(ISNA(VLOOKUP($A122&amp;N$2,'2004'!$B$2:$K$1621,10,0)),VLOOKUP($A122&amp;N$2,'2004'!$A$2:$K$1621,10,0),VLOOKUP($A122&amp;N$2,'2004'!$B$2:$K$1621,10,0))</f>
        <v>@CBB</v>
      </c>
      <c r="O122" s="34" t="str">
        <f>IF(ISNA(VLOOKUP($A122&amp;O$2,'2004'!$B$2:$K$1621,10,0)),VLOOKUP($A122&amp;O$2,'2004'!$A$2:$K$1621,10,0),VLOOKUP($A122&amp;O$2,'2004'!$B$2:$K$1621,10,0))</f>
        <v>@BRK</v>
      </c>
      <c r="P122" s="34" t="str">
        <f>IF(ISNA(VLOOKUP($A122&amp;P$2,'2004'!$B$2:$K$1621,10,0)),VLOOKUP($A122&amp;P$2,'2004'!$A$2:$K$1621,10,0),VLOOKUP($A122&amp;P$2,'2004'!$B$2:$K$1621,10,0))</f>
        <v>@HAR</v>
      </c>
      <c r="Q122" s="38" t="str">
        <f>IF(ISNA(VLOOKUP($A122&amp;Q$2,'2004'!$B$2:$K$1621,10,0)),VLOOKUP($A122&amp;Q$2,'2004'!$A$2:$K$1621,10,0),VLOOKUP($A122&amp;Q$2,'2004'!$B$2:$K$1621,10,0))</f>
        <v>OKO</v>
      </c>
      <c r="R122" s="38" t="str">
        <f>IF(ISNA(VLOOKUP($A122&amp;R$2,'2004'!$B$2:$K$1621,10,0)),VLOOKUP($A122&amp;R$2,'2004'!$A$2:$K$1621,10,0),VLOOKUP($A122&amp;R$2,'2004'!$B$2:$K$1621,10,0))</f>
        <v>NNN</v>
      </c>
      <c r="S122" s="38" t="str">
        <f>IF(ISNA(VLOOKUP($A122&amp;S$2,'2004'!$B$2:$K$1621,10,0)),VLOOKUP($A122&amp;S$2,'2004'!$A$2:$K$1621,10,0),VLOOKUP($A122&amp;S$2,'2004'!$B$2:$K$1621,10,0))</f>
        <v>RMO</v>
      </c>
      <c r="T122" s="38" t="str">
        <f>IF(ISNA(VLOOKUP($A122&amp;T$2,'2004'!$B$2:$K$1621,10,0)),VLOOKUP($A122&amp;T$2,'2004'!$A$2:$K$1621,10,0),VLOOKUP($A122&amp;T$2,'2004'!$B$2:$K$1621,10,0))</f>
        <v>FFR</v>
      </c>
      <c r="U122" s="38" t="str">
        <f>IF(ISNA(VLOOKUP($A122&amp;U$2,'2004'!$B$2:$K$1621,10,0)),VLOOKUP($A122&amp;U$2,'2004'!$A$2:$K$1621,10,0),VLOOKUP($A122&amp;U$2,'2004'!$B$2:$K$1621,10,0))</f>
        <v>DIG</v>
      </c>
    </row>
    <row r="123" spans="1:21" x14ac:dyDescent="0.25">
      <c r="A123" s="40">
        <f t="shared" si="1"/>
        <v>38200</v>
      </c>
      <c r="B123" s="36" t="str">
        <f>IF(ISNA(VLOOKUP($A123&amp;B$2,'2004'!$B$2:$K$1621,10,0)),VLOOKUP($A123&amp;B$2,'2004'!$A$2:$K$1621,10,0),VLOOKUP($A123&amp;B$2,'2004'!$B$2:$K$1621,10,0))</f>
        <v>@REN</v>
      </c>
      <c r="C123" s="36" t="str">
        <f>IF(ISNA(VLOOKUP($A123&amp;C$2,'2004'!$B$2:$K$1621,10,0)),VLOOKUP($A123&amp;C$2,'2004'!$A$2:$K$1621,10,0),VLOOKUP($A123&amp;C$2,'2004'!$B$2:$K$1621,10,0))</f>
        <v>@FDH</v>
      </c>
      <c r="D123" s="36" t="str">
        <f>IF(ISNA(VLOOKUP($A123&amp;D$2,'2004'!$B$2:$K$1621,10,0)),VLOOKUP($A123&amp;D$2,'2004'!$A$2:$K$1621,10,0),VLOOKUP($A123&amp;D$2,'2004'!$B$2:$K$1621,10,0))</f>
        <v>@TEW</v>
      </c>
      <c r="E123" s="36" t="str">
        <f>IF(ISNA(VLOOKUP($A123&amp;E$2,'2004'!$B$2:$K$1621,10,0)),VLOOKUP($A123&amp;E$2,'2004'!$A$2:$K$1621,10,0),VLOOKUP($A123&amp;E$2,'2004'!$B$2:$K$1621,10,0))</f>
        <v>@NEP</v>
      </c>
      <c r="F123" s="36" t="str">
        <f>IF(ISNA(VLOOKUP($A123&amp;F$2,'2004'!$B$2:$K$1621,10,0)),VLOOKUP($A123&amp;F$2,'2004'!$A$2:$K$1621,10,0),VLOOKUP($A123&amp;F$2,'2004'!$B$2:$K$1621,10,0))</f>
        <v>@CEN</v>
      </c>
      <c r="G123" s="35" t="str">
        <f>IF(ISNA(VLOOKUP($A123&amp;G$2,'2004'!$B$2:$K$1621,10,0)),VLOOKUP($A123&amp;G$2,'2004'!$A$2:$K$1621,10,0),VLOOKUP($A123&amp;G$2,'2004'!$B$2:$K$1621,10,0))</f>
        <v>GAR</v>
      </c>
      <c r="H123" s="35" t="str">
        <f>IF(ISNA(VLOOKUP($A123&amp;H$2,'2004'!$B$2:$K$1621,10,0)),VLOOKUP($A123&amp;H$2,'2004'!$A$2:$K$1621,10,0),VLOOKUP($A123&amp;H$2,'2004'!$B$2:$K$1621,10,0))</f>
        <v>BAR</v>
      </c>
      <c r="I123" s="35" t="str">
        <f>IF(ISNA(VLOOKUP($A123&amp;I$2,'2004'!$B$2:$K$1621,10,0)),VLOOKUP($A123&amp;I$2,'2004'!$A$2:$K$1621,10,0),VLOOKUP($A123&amp;I$2,'2004'!$B$2:$K$1621,10,0))</f>
        <v>CIN</v>
      </c>
      <c r="J123" s="35" t="str">
        <f>IF(ISNA(VLOOKUP($A123&amp;J$2,'2004'!$B$2:$K$1621,10,0)),VLOOKUP($A123&amp;J$2,'2004'!$A$2:$K$1621,10,0),VLOOKUP($A123&amp;J$2,'2004'!$B$2:$K$1621,10,0))</f>
        <v>BBG</v>
      </c>
      <c r="K123" s="35" t="str">
        <f>IF(ISNA(VLOOKUP($A123&amp;K$2,'2004'!$B$2:$K$1621,10,0)),VLOOKUP($A123&amp;K$2,'2004'!$A$2:$K$1621,10,0),VLOOKUP($A123&amp;K$2,'2004'!$B$2:$K$1621,10,0))</f>
        <v>CTW</v>
      </c>
      <c r="L123" s="34" t="str">
        <f>IF(ISNA(VLOOKUP($A123&amp;L$2,'2004'!$B$2:$K$1621,10,0)),VLOOKUP($A123&amp;L$2,'2004'!$A$2:$K$1621,10,0),VLOOKUP($A123&amp;L$2,'2004'!$B$2:$K$1621,10,0))</f>
        <v>@PHI</v>
      </c>
      <c r="M123" s="34" t="str">
        <f>IF(ISNA(VLOOKUP($A123&amp;M$2,'2004'!$B$2:$K$1621,10,0)),VLOOKUP($A123&amp;M$2,'2004'!$A$2:$K$1621,10,0),VLOOKUP($A123&amp;M$2,'2004'!$B$2:$K$1621,10,0))</f>
        <v>@NYD</v>
      </c>
      <c r="N123" s="34" t="str">
        <f>IF(ISNA(VLOOKUP($A123&amp;N$2,'2004'!$B$2:$K$1621,10,0)),VLOOKUP($A123&amp;N$2,'2004'!$A$2:$K$1621,10,0),VLOOKUP($A123&amp;N$2,'2004'!$B$2:$K$1621,10,0))</f>
        <v>@CBB</v>
      </c>
      <c r="O123" s="34" t="str">
        <f>IF(ISNA(VLOOKUP($A123&amp;O$2,'2004'!$B$2:$K$1621,10,0)),VLOOKUP($A123&amp;O$2,'2004'!$A$2:$K$1621,10,0),VLOOKUP($A123&amp;O$2,'2004'!$B$2:$K$1621,10,0))</f>
        <v>@BRK</v>
      </c>
      <c r="P123" s="34" t="str">
        <f>IF(ISNA(VLOOKUP($A123&amp;P$2,'2004'!$B$2:$K$1621,10,0)),VLOOKUP($A123&amp;P$2,'2004'!$A$2:$K$1621,10,0),VLOOKUP($A123&amp;P$2,'2004'!$B$2:$K$1621,10,0))</f>
        <v>@HAR</v>
      </c>
      <c r="Q123" s="38" t="str">
        <f>IF(ISNA(VLOOKUP($A123&amp;Q$2,'2004'!$B$2:$K$1621,10,0)),VLOOKUP($A123&amp;Q$2,'2004'!$A$2:$K$1621,10,0),VLOOKUP($A123&amp;Q$2,'2004'!$B$2:$K$1621,10,0))</f>
        <v>OKO</v>
      </c>
      <c r="R123" s="38" t="str">
        <f>IF(ISNA(VLOOKUP($A123&amp;R$2,'2004'!$B$2:$K$1621,10,0)),VLOOKUP($A123&amp;R$2,'2004'!$A$2:$K$1621,10,0),VLOOKUP($A123&amp;R$2,'2004'!$B$2:$K$1621,10,0))</f>
        <v>NNN</v>
      </c>
      <c r="S123" s="38" t="str">
        <f>IF(ISNA(VLOOKUP($A123&amp;S$2,'2004'!$B$2:$K$1621,10,0)),VLOOKUP($A123&amp;S$2,'2004'!$A$2:$K$1621,10,0),VLOOKUP($A123&amp;S$2,'2004'!$B$2:$K$1621,10,0))</f>
        <v>RMO</v>
      </c>
      <c r="T123" s="38" t="str">
        <f>IF(ISNA(VLOOKUP($A123&amp;T$2,'2004'!$B$2:$K$1621,10,0)),VLOOKUP($A123&amp;T$2,'2004'!$A$2:$K$1621,10,0),VLOOKUP($A123&amp;T$2,'2004'!$B$2:$K$1621,10,0))</f>
        <v>FFR</v>
      </c>
      <c r="U123" s="38" t="str">
        <f>IF(ISNA(VLOOKUP($A123&amp;U$2,'2004'!$B$2:$K$1621,10,0)),VLOOKUP($A123&amp;U$2,'2004'!$A$2:$K$1621,10,0),VLOOKUP($A123&amp;U$2,'2004'!$B$2:$K$1621,10,0))</f>
        <v>DIG</v>
      </c>
    </row>
    <row r="124" spans="1:21" x14ac:dyDescent="0.25">
      <c r="A124" s="40">
        <f t="shared" si="1"/>
        <v>38201</v>
      </c>
      <c r="B124" s="36" t="str">
        <f>IF(ISNA(VLOOKUP($A124&amp;B$2,'2004'!$B$2:$K$1621,10,0)),VLOOKUP($A124&amp;B$2,'2004'!$A$2:$K$1621,10,0),VLOOKUP($A124&amp;B$2,'2004'!$B$2:$K$1621,10,0))</f>
        <v>@REN</v>
      </c>
      <c r="C124" s="36" t="str">
        <f>IF(ISNA(VLOOKUP($A124&amp;C$2,'2004'!$B$2:$K$1621,10,0)),VLOOKUP($A124&amp;C$2,'2004'!$A$2:$K$1621,10,0),VLOOKUP($A124&amp;C$2,'2004'!$B$2:$K$1621,10,0))</f>
        <v>@FDH</v>
      </c>
      <c r="D124" s="36" t="str">
        <f>IF(ISNA(VLOOKUP($A124&amp;D$2,'2004'!$B$2:$K$1621,10,0)),VLOOKUP($A124&amp;D$2,'2004'!$A$2:$K$1621,10,0),VLOOKUP($A124&amp;D$2,'2004'!$B$2:$K$1621,10,0))</f>
        <v>@TEW</v>
      </c>
      <c r="E124" s="36" t="str">
        <f>IF(ISNA(VLOOKUP($A124&amp;E$2,'2004'!$B$2:$K$1621,10,0)),VLOOKUP($A124&amp;E$2,'2004'!$A$2:$K$1621,10,0),VLOOKUP($A124&amp;E$2,'2004'!$B$2:$K$1621,10,0))</f>
        <v>@NEP</v>
      </c>
      <c r="F124" s="36" t="str">
        <f>IF(ISNA(VLOOKUP($A124&amp;F$2,'2004'!$B$2:$K$1621,10,0)),VLOOKUP($A124&amp;F$2,'2004'!$A$2:$K$1621,10,0),VLOOKUP($A124&amp;F$2,'2004'!$B$2:$K$1621,10,0))</f>
        <v>@CEN</v>
      </c>
      <c r="G124" s="35" t="str">
        <f>IF(ISNA(VLOOKUP($A124&amp;G$2,'2004'!$B$2:$K$1621,10,0)),VLOOKUP($A124&amp;G$2,'2004'!$A$2:$K$1621,10,0),VLOOKUP($A124&amp;G$2,'2004'!$B$2:$K$1621,10,0))</f>
        <v>GAR</v>
      </c>
      <c r="H124" s="35" t="str">
        <f>IF(ISNA(VLOOKUP($A124&amp;H$2,'2004'!$B$2:$K$1621,10,0)),VLOOKUP($A124&amp;H$2,'2004'!$A$2:$K$1621,10,0),VLOOKUP($A124&amp;H$2,'2004'!$B$2:$K$1621,10,0))</f>
        <v>BAR</v>
      </c>
      <c r="I124" s="35" t="str">
        <f>IF(ISNA(VLOOKUP($A124&amp;I$2,'2004'!$B$2:$K$1621,10,0)),VLOOKUP($A124&amp;I$2,'2004'!$A$2:$K$1621,10,0),VLOOKUP($A124&amp;I$2,'2004'!$B$2:$K$1621,10,0))</f>
        <v>CIN</v>
      </c>
      <c r="J124" s="35" t="str">
        <f>IF(ISNA(VLOOKUP($A124&amp;J$2,'2004'!$B$2:$K$1621,10,0)),VLOOKUP($A124&amp;J$2,'2004'!$A$2:$K$1621,10,0),VLOOKUP($A124&amp;J$2,'2004'!$B$2:$K$1621,10,0))</f>
        <v>BBG</v>
      </c>
      <c r="K124" s="35" t="str">
        <f>IF(ISNA(VLOOKUP($A124&amp;K$2,'2004'!$B$2:$K$1621,10,0)),VLOOKUP($A124&amp;K$2,'2004'!$A$2:$K$1621,10,0),VLOOKUP($A124&amp;K$2,'2004'!$B$2:$K$1621,10,0))</f>
        <v>CTW</v>
      </c>
      <c r="L124" s="34" t="str">
        <f>IF(ISNA(VLOOKUP($A124&amp;L$2,'2004'!$B$2:$K$1621,10,0)),VLOOKUP($A124&amp;L$2,'2004'!$A$2:$K$1621,10,0),VLOOKUP($A124&amp;L$2,'2004'!$B$2:$K$1621,10,0))</f>
        <v>@PHI</v>
      </c>
      <c r="M124" s="34" t="str">
        <f>IF(ISNA(VLOOKUP($A124&amp;M$2,'2004'!$B$2:$K$1621,10,0)),VLOOKUP($A124&amp;M$2,'2004'!$A$2:$K$1621,10,0),VLOOKUP($A124&amp;M$2,'2004'!$B$2:$K$1621,10,0))</f>
        <v>@NYD</v>
      </c>
      <c r="N124" s="34" t="str">
        <f>IF(ISNA(VLOOKUP($A124&amp;N$2,'2004'!$B$2:$K$1621,10,0)),VLOOKUP($A124&amp;N$2,'2004'!$A$2:$K$1621,10,0),VLOOKUP($A124&amp;N$2,'2004'!$B$2:$K$1621,10,0))</f>
        <v>@CBB</v>
      </c>
      <c r="O124" s="34" t="str">
        <f>IF(ISNA(VLOOKUP($A124&amp;O$2,'2004'!$B$2:$K$1621,10,0)),VLOOKUP($A124&amp;O$2,'2004'!$A$2:$K$1621,10,0),VLOOKUP($A124&amp;O$2,'2004'!$B$2:$K$1621,10,0))</f>
        <v>@BRK</v>
      </c>
      <c r="P124" s="34" t="str">
        <f>IF(ISNA(VLOOKUP($A124&amp;P$2,'2004'!$B$2:$K$1621,10,0)),VLOOKUP($A124&amp;P$2,'2004'!$A$2:$K$1621,10,0),VLOOKUP($A124&amp;P$2,'2004'!$B$2:$K$1621,10,0))</f>
        <v>@HAR</v>
      </c>
      <c r="Q124" s="38" t="str">
        <f>IF(ISNA(VLOOKUP($A124&amp;Q$2,'2004'!$B$2:$K$1621,10,0)),VLOOKUP($A124&amp;Q$2,'2004'!$A$2:$K$1621,10,0),VLOOKUP($A124&amp;Q$2,'2004'!$B$2:$K$1621,10,0))</f>
        <v>OKO</v>
      </c>
      <c r="R124" s="38" t="str">
        <f>IF(ISNA(VLOOKUP($A124&amp;R$2,'2004'!$B$2:$K$1621,10,0)),VLOOKUP($A124&amp;R$2,'2004'!$A$2:$K$1621,10,0),VLOOKUP($A124&amp;R$2,'2004'!$B$2:$K$1621,10,0))</f>
        <v>NNN</v>
      </c>
      <c r="S124" s="38" t="str">
        <f>IF(ISNA(VLOOKUP($A124&amp;S$2,'2004'!$B$2:$K$1621,10,0)),VLOOKUP($A124&amp;S$2,'2004'!$A$2:$K$1621,10,0),VLOOKUP($A124&amp;S$2,'2004'!$B$2:$K$1621,10,0))</f>
        <v>RMO</v>
      </c>
      <c r="T124" s="38" t="str">
        <f>IF(ISNA(VLOOKUP($A124&amp;T$2,'2004'!$B$2:$K$1621,10,0)),VLOOKUP($A124&amp;T$2,'2004'!$A$2:$K$1621,10,0),VLOOKUP($A124&amp;T$2,'2004'!$B$2:$K$1621,10,0))</f>
        <v>FFR</v>
      </c>
      <c r="U124" s="38" t="str">
        <f>IF(ISNA(VLOOKUP($A124&amp;U$2,'2004'!$B$2:$K$1621,10,0)),VLOOKUP($A124&amp;U$2,'2004'!$A$2:$K$1621,10,0),VLOOKUP($A124&amp;U$2,'2004'!$B$2:$K$1621,10,0))</f>
        <v>DIG</v>
      </c>
    </row>
    <row r="125" spans="1:21" x14ac:dyDescent="0.25">
      <c r="A125" s="40">
        <f t="shared" si="1"/>
        <v>38202</v>
      </c>
      <c r="B125" s="36" t="e">
        <f>IF(ISNA(VLOOKUP($A125&amp;B$2,'2004'!$B$2:$K$1621,10,0)),VLOOKUP($A125&amp;B$2,'2004'!$A$2:$K$1621,10,0),VLOOKUP($A125&amp;B$2,'2004'!$B$2:$K$1621,10,0))</f>
        <v>#N/A</v>
      </c>
      <c r="C125" s="36" t="str">
        <f>IF(ISNA(VLOOKUP($A125&amp;C$2,'2004'!$B$2:$K$1621,10,0)),VLOOKUP($A125&amp;C$2,'2004'!$A$2:$K$1621,10,0),VLOOKUP($A125&amp;C$2,'2004'!$B$2:$K$1621,10,0))</f>
        <v>@CTW</v>
      </c>
      <c r="D125" s="36" t="str">
        <f>IF(ISNA(VLOOKUP($A125&amp;D$2,'2004'!$B$2:$K$1621,10,0)),VLOOKUP($A125&amp;D$2,'2004'!$A$2:$K$1621,10,0),VLOOKUP($A125&amp;D$2,'2004'!$B$2:$K$1621,10,0))</f>
        <v>BAR</v>
      </c>
      <c r="E125" s="36" t="str">
        <f>IF(ISNA(VLOOKUP($A125&amp;E$2,'2004'!$B$2:$K$1621,10,0)),VLOOKUP($A125&amp;E$2,'2004'!$A$2:$K$1621,10,0),VLOOKUP($A125&amp;E$2,'2004'!$B$2:$K$1621,10,0))</f>
        <v>@GAR</v>
      </c>
      <c r="F125" s="36" t="str">
        <f>IF(ISNA(VLOOKUP($A125&amp;F$2,'2004'!$B$2:$K$1621,10,0)),VLOOKUP($A125&amp;F$2,'2004'!$A$2:$K$1621,10,0),VLOOKUP($A125&amp;F$2,'2004'!$B$2:$K$1621,10,0))</f>
        <v>CIN</v>
      </c>
      <c r="G125" s="35" t="e">
        <f>IF(ISNA(VLOOKUP($A125&amp;G$2,'2004'!$B$2:$K$1621,10,0)),VLOOKUP($A125&amp;G$2,'2004'!$A$2:$K$1621,10,0),VLOOKUP($A125&amp;G$2,'2004'!$B$2:$K$1621,10,0))</f>
        <v>#N/A</v>
      </c>
      <c r="H125" s="35" t="e">
        <f>IF(ISNA(VLOOKUP($A125&amp;H$2,'2004'!$B$2:$K$1621,10,0)),VLOOKUP($A125&amp;H$2,'2004'!$A$2:$K$1621,10,0),VLOOKUP($A125&amp;H$2,'2004'!$B$2:$K$1621,10,0))</f>
        <v>#N/A</v>
      </c>
      <c r="I125" s="35" t="e">
        <f>IF(ISNA(VLOOKUP($A125&amp;I$2,'2004'!$B$2:$K$1621,10,0)),VLOOKUP($A125&amp;I$2,'2004'!$A$2:$K$1621,10,0),VLOOKUP($A125&amp;I$2,'2004'!$B$2:$K$1621,10,0))</f>
        <v>#N/A</v>
      </c>
      <c r="J125" s="35" t="e">
        <f>IF(ISNA(VLOOKUP($A125&amp;J$2,'2004'!$B$2:$K$1621,10,0)),VLOOKUP($A125&amp;J$2,'2004'!$A$2:$K$1621,10,0),VLOOKUP($A125&amp;J$2,'2004'!$B$2:$K$1621,10,0))</f>
        <v>#N/A</v>
      </c>
      <c r="K125" s="35" t="e">
        <f>IF(ISNA(VLOOKUP($A125&amp;K$2,'2004'!$B$2:$K$1621,10,0)),VLOOKUP($A125&amp;K$2,'2004'!$A$2:$K$1621,10,0),VLOOKUP($A125&amp;K$2,'2004'!$B$2:$K$1621,10,0))</f>
        <v>#N/A</v>
      </c>
      <c r="L125" s="34" t="e">
        <f>IF(ISNA(VLOOKUP($A125&amp;L$2,'2004'!$B$2:$K$1621,10,0)),VLOOKUP($A125&amp;L$2,'2004'!$A$2:$K$1621,10,0),VLOOKUP($A125&amp;L$2,'2004'!$B$2:$K$1621,10,0))</f>
        <v>#N/A</v>
      </c>
      <c r="M125" s="34" t="e">
        <f>IF(ISNA(VLOOKUP($A125&amp;M$2,'2004'!$B$2:$K$1621,10,0)),VLOOKUP($A125&amp;M$2,'2004'!$A$2:$K$1621,10,0),VLOOKUP($A125&amp;M$2,'2004'!$B$2:$K$1621,10,0))</f>
        <v>#N/A</v>
      </c>
      <c r="N125" s="34" t="e">
        <f>IF(ISNA(VLOOKUP($A125&amp;N$2,'2004'!$B$2:$K$1621,10,0)),VLOOKUP($A125&amp;N$2,'2004'!$A$2:$K$1621,10,0),VLOOKUP($A125&amp;N$2,'2004'!$B$2:$K$1621,10,0))</f>
        <v>#N/A</v>
      </c>
      <c r="O125" s="34" t="e">
        <f>IF(ISNA(VLOOKUP($A125&amp;O$2,'2004'!$B$2:$K$1621,10,0)),VLOOKUP($A125&amp;O$2,'2004'!$A$2:$K$1621,10,0),VLOOKUP($A125&amp;O$2,'2004'!$B$2:$K$1621,10,0))</f>
        <v>#N/A</v>
      </c>
      <c r="P125" s="34" t="e">
        <f>IF(ISNA(VLOOKUP($A125&amp;P$2,'2004'!$B$2:$K$1621,10,0)),VLOOKUP($A125&amp;P$2,'2004'!$A$2:$K$1621,10,0),VLOOKUP($A125&amp;P$2,'2004'!$B$2:$K$1621,10,0))</f>
        <v>#N/A</v>
      </c>
      <c r="Q125" s="38" t="str">
        <f>IF(ISNA(VLOOKUP($A125&amp;Q$2,'2004'!$B$2:$K$1621,10,0)),VLOOKUP($A125&amp;Q$2,'2004'!$A$2:$K$1621,10,0),VLOOKUP($A125&amp;Q$2,'2004'!$B$2:$K$1621,10,0))</f>
        <v>@NYD</v>
      </c>
      <c r="R125" s="38" t="str">
        <f>IF(ISNA(VLOOKUP($A125&amp;R$2,'2004'!$B$2:$K$1621,10,0)),VLOOKUP($A125&amp;R$2,'2004'!$A$2:$K$1621,10,0),VLOOKUP($A125&amp;R$2,'2004'!$B$2:$K$1621,10,0))</f>
        <v>@PHI</v>
      </c>
      <c r="S125" s="38" t="e">
        <f>IF(ISNA(VLOOKUP($A125&amp;S$2,'2004'!$B$2:$K$1621,10,0)),VLOOKUP($A125&amp;S$2,'2004'!$A$2:$K$1621,10,0),VLOOKUP($A125&amp;S$2,'2004'!$B$2:$K$1621,10,0))</f>
        <v>#N/A</v>
      </c>
      <c r="T125" s="38" t="str">
        <f>IF(ISNA(VLOOKUP($A125&amp;T$2,'2004'!$B$2:$K$1621,10,0)),VLOOKUP($A125&amp;T$2,'2004'!$A$2:$K$1621,10,0),VLOOKUP($A125&amp;T$2,'2004'!$B$2:$K$1621,10,0))</f>
        <v>BRK</v>
      </c>
      <c r="U125" s="38" t="str">
        <f>IF(ISNA(VLOOKUP($A125&amp;U$2,'2004'!$B$2:$K$1621,10,0)),VLOOKUP($A125&amp;U$2,'2004'!$A$2:$K$1621,10,0),VLOOKUP($A125&amp;U$2,'2004'!$B$2:$K$1621,10,0))</f>
        <v>CBB</v>
      </c>
    </row>
    <row r="126" spans="1:21" x14ac:dyDescent="0.25">
      <c r="A126" s="40">
        <f t="shared" si="1"/>
        <v>38203</v>
      </c>
      <c r="B126" s="36" t="str">
        <f>IF(ISNA(VLOOKUP($A126&amp;B$2,'2004'!$B$2:$K$1621,10,0)),VLOOKUP($A126&amp;B$2,'2004'!$A$2:$K$1621,10,0),VLOOKUP($A126&amp;B$2,'2004'!$B$2:$K$1621,10,0))</f>
        <v>TEW</v>
      </c>
      <c r="C126" s="36" t="str">
        <f>IF(ISNA(VLOOKUP($A126&amp;C$2,'2004'!$B$2:$K$1621,10,0)),VLOOKUP($A126&amp;C$2,'2004'!$A$2:$K$1621,10,0),VLOOKUP($A126&amp;C$2,'2004'!$B$2:$K$1621,10,0))</f>
        <v>@CTW</v>
      </c>
      <c r="D126" s="36" t="str">
        <f>IF(ISNA(VLOOKUP($A126&amp;D$2,'2004'!$B$2:$K$1621,10,0)),VLOOKUP($A126&amp;D$2,'2004'!$A$2:$K$1621,10,0),VLOOKUP($A126&amp;D$2,'2004'!$B$2:$K$1621,10,0))</f>
        <v>BAR</v>
      </c>
      <c r="E126" s="36" t="str">
        <f>IF(ISNA(VLOOKUP($A126&amp;E$2,'2004'!$B$2:$K$1621,10,0)),VLOOKUP($A126&amp;E$2,'2004'!$A$2:$K$1621,10,0),VLOOKUP($A126&amp;E$2,'2004'!$B$2:$K$1621,10,0))</f>
        <v>@GAR</v>
      </c>
      <c r="F126" s="36" t="str">
        <f>IF(ISNA(VLOOKUP($A126&amp;F$2,'2004'!$B$2:$K$1621,10,0)),VLOOKUP($A126&amp;F$2,'2004'!$A$2:$K$1621,10,0),VLOOKUP($A126&amp;F$2,'2004'!$B$2:$K$1621,10,0))</f>
        <v>CIN</v>
      </c>
      <c r="G126" s="35" t="str">
        <f>IF(ISNA(VLOOKUP($A126&amp;G$2,'2004'!$B$2:$K$1621,10,0)),VLOOKUP($A126&amp;G$2,'2004'!$A$2:$K$1621,10,0),VLOOKUP($A126&amp;G$2,'2004'!$B$2:$K$1621,10,0))</f>
        <v>@NEP</v>
      </c>
      <c r="H126" s="35" t="str">
        <f>IF(ISNA(VLOOKUP($A126&amp;H$2,'2004'!$B$2:$K$1621,10,0)),VLOOKUP($A126&amp;H$2,'2004'!$A$2:$K$1621,10,0),VLOOKUP($A126&amp;H$2,'2004'!$B$2:$K$1621,10,0))</f>
        <v>@REN</v>
      </c>
      <c r="I126" s="35" t="str">
        <f>IF(ISNA(VLOOKUP($A126&amp;I$2,'2004'!$B$2:$K$1621,10,0)),VLOOKUP($A126&amp;I$2,'2004'!$A$2:$K$1621,10,0),VLOOKUP($A126&amp;I$2,'2004'!$B$2:$K$1621,10,0))</f>
        <v>CEN</v>
      </c>
      <c r="J126" s="35" t="str">
        <f>IF(ISNA(VLOOKUP($A126&amp;J$2,'2004'!$B$2:$K$1621,10,0)),VLOOKUP($A126&amp;J$2,'2004'!$A$2:$K$1621,10,0),VLOOKUP($A126&amp;J$2,'2004'!$B$2:$K$1621,10,0))</f>
        <v>FDH</v>
      </c>
      <c r="K126" s="35" t="str">
        <f>IF(ISNA(VLOOKUP($A126&amp;K$2,'2004'!$B$2:$K$1621,10,0)),VLOOKUP($A126&amp;K$2,'2004'!$A$2:$K$1621,10,0),VLOOKUP($A126&amp;K$2,'2004'!$B$2:$K$1621,10,0))</f>
        <v>@BBG</v>
      </c>
      <c r="L126" s="34" t="str">
        <f>IF(ISNA(VLOOKUP($A126&amp;L$2,'2004'!$B$2:$K$1621,10,0)),VLOOKUP($A126&amp;L$2,'2004'!$A$2:$K$1621,10,0),VLOOKUP($A126&amp;L$2,'2004'!$B$2:$K$1621,10,0))</f>
        <v>@NNN</v>
      </c>
      <c r="M126" s="34" t="str">
        <f>IF(ISNA(VLOOKUP($A126&amp;M$2,'2004'!$B$2:$K$1621,10,0)),VLOOKUP($A126&amp;M$2,'2004'!$A$2:$K$1621,10,0),VLOOKUP($A126&amp;M$2,'2004'!$B$2:$K$1621,10,0))</f>
        <v>HAR</v>
      </c>
      <c r="N126" s="34" t="str">
        <f>IF(ISNA(VLOOKUP($A126&amp;N$2,'2004'!$B$2:$K$1621,10,0)),VLOOKUP($A126&amp;N$2,'2004'!$A$2:$K$1621,10,0),VLOOKUP($A126&amp;N$2,'2004'!$B$2:$K$1621,10,0))</f>
        <v>DIG</v>
      </c>
      <c r="O126" s="34" t="str">
        <f>IF(ISNA(VLOOKUP($A126&amp;O$2,'2004'!$B$2:$K$1621,10,0)),VLOOKUP($A126&amp;O$2,'2004'!$A$2:$K$1621,10,0),VLOOKUP($A126&amp;O$2,'2004'!$B$2:$K$1621,10,0))</f>
        <v>@RMO</v>
      </c>
      <c r="P126" s="34" t="str">
        <f>IF(ISNA(VLOOKUP($A126&amp;P$2,'2004'!$B$2:$K$1621,10,0)),VLOOKUP($A126&amp;P$2,'2004'!$A$2:$K$1621,10,0),VLOOKUP($A126&amp;P$2,'2004'!$B$2:$K$1621,10,0))</f>
        <v>OKO</v>
      </c>
      <c r="Q126" s="38" t="str">
        <f>IF(ISNA(VLOOKUP($A126&amp;Q$2,'2004'!$B$2:$K$1621,10,0)),VLOOKUP($A126&amp;Q$2,'2004'!$A$2:$K$1621,10,0),VLOOKUP($A126&amp;Q$2,'2004'!$B$2:$K$1621,10,0))</f>
        <v>@NYD</v>
      </c>
      <c r="R126" s="38" t="str">
        <f>IF(ISNA(VLOOKUP($A126&amp;R$2,'2004'!$B$2:$K$1621,10,0)),VLOOKUP($A126&amp;R$2,'2004'!$A$2:$K$1621,10,0),VLOOKUP($A126&amp;R$2,'2004'!$B$2:$K$1621,10,0))</f>
        <v>@PHI</v>
      </c>
      <c r="S126" s="38" t="str">
        <f>IF(ISNA(VLOOKUP($A126&amp;S$2,'2004'!$B$2:$K$1621,10,0)),VLOOKUP($A126&amp;S$2,'2004'!$A$2:$K$1621,10,0),VLOOKUP($A126&amp;S$2,'2004'!$B$2:$K$1621,10,0))</f>
        <v>@FFR</v>
      </c>
      <c r="T126" s="38" t="str">
        <f>IF(ISNA(VLOOKUP($A126&amp;T$2,'2004'!$B$2:$K$1621,10,0)),VLOOKUP($A126&amp;T$2,'2004'!$A$2:$K$1621,10,0),VLOOKUP($A126&amp;T$2,'2004'!$B$2:$K$1621,10,0))</f>
        <v>BRK</v>
      </c>
      <c r="U126" s="38" t="str">
        <f>IF(ISNA(VLOOKUP($A126&amp;U$2,'2004'!$B$2:$K$1621,10,0)),VLOOKUP($A126&amp;U$2,'2004'!$A$2:$K$1621,10,0),VLOOKUP($A126&amp;U$2,'2004'!$B$2:$K$1621,10,0))</f>
        <v>CBB</v>
      </c>
    </row>
    <row r="127" spans="1:21" x14ac:dyDescent="0.25">
      <c r="A127" s="40">
        <f t="shared" si="1"/>
        <v>38204</v>
      </c>
      <c r="B127" s="36" t="str">
        <f>IF(ISNA(VLOOKUP($A127&amp;B$2,'2004'!$B$2:$K$1621,10,0)),VLOOKUP($A127&amp;B$2,'2004'!$A$2:$K$1621,10,0),VLOOKUP($A127&amp;B$2,'2004'!$B$2:$K$1621,10,0))</f>
        <v>TEW</v>
      </c>
      <c r="C127" s="36" t="str">
        <f>IF(ISNA(VLOOKUP($A127&amp;C$2,'2004'!$B$2:$K$1621,10,0)),VLOOKUP($A127&amp;C$2,'2004'!$A$2:$K$1621,10,0),VLOOKUP($A127&amp;C$2,'2004'!$B$2:$K$1621,10,0))</f>
        <v>@CTW</v>
      </c>
      <c r="D127" s="36" t="str">
        <f>IF(ISNA(VLOOKUP($A127&amp;D$2,'2004'!$B$2:$K$1621,10,0)),VLOOKUP($A127&amp;D$2,'2004'!$A$2:$K$1621,10,0),VLOOKUP($A127&amp;D$2,'2004'!$B$2:$K$1621,10,0))</f>
        <v>BAR</v>
      </c>
      <c r="E127" s="36" t="str">
        <f>IF(ISNA(VLOOKUP($A127&amp;E$2,'2004'!$B$2:$K$1621,10,0)),VLOOKUP($A127&amp;E$2,'2004'!$A$2:$K$1621,10,0),VLOOKUP($A127&amp;E$2,'2004'!$B$2:$K$1621,10,0))</f>
        <v>@GAR</v>
      </c>
      <c r="F127" s="36" t="str">
        <f>IF(ISNA(VLOOKUP($A127&amp;F$2,'2004'!$B$2:$K$1621,10,0)),VLOOKUP($A127&amp;F$2,'2004'!$A$2:$K$1621,10,0),VLOOKUP($A127&amp;F$2,'2004'!$B$2:$K$1621,10,0))</f>
        <v>CIN</v>
      </c>
      <c r="G127" s="35" t="str">
        <f>IF(ISNA(VLOOKUP($A127&amp;G$2,'2004'!$B$2:$K$1621,10,0)),VLOOKUP($A127&amp;G$2,'2004'!$A$2:$K$1621,10,0),VLOOKUP($A127&amp;G$2,'2004'!$B$2:$K$1621,10,0))</f>
        <v>@NEP</v>
      </c>
      <c r="H127" s="35" t="str">
        <f>IF(ISNA(VLOOKUP($A127&amp;H$2,'2004'!$B$2:$K$1621,10,0)),VLOOKUP($A127&amp;H$2,'2004'!$A$2:$K$1621,10,0),VLOOKUP($A127&amp;H$2,'2004'!$B$2:$K$1621,10,0))</f>
        <v>@REN</v>
      </c>
      <c r="I127" s="35" t="str">
        <f>IF(ISNA(VLOOKUP($A127&amp;I$2,'2004'!$B$2:$K$1621,10,0)),VLOOKUP($A127&amp;I$2,'2004'!$A$2:$K$1621,10,0),VLOOKUP($A127&amp;I$2,'2004'!$B$2:$K$1621,10,0))</f>
        <v>CEN</v>
      </c>
      <c r="J127" s="35" t="str">
        <f>IF(ISNA(VLOOKUP($A127&amp;J$2,'2004'!$B$2:$K$1621,10,0)),VLOOKUP($A127&amp;J$2,'2004'!$A$2:$K$1621,10,0),VLOOKUP($A127&amp;J$2,'2004'!$B$2:$K$1621,10,0))</f>
        <v>FDH</v>
      </c>
      <c r="K127" s="35" t="str">
        <f>IF(ISNA(VLOOKUP($A127&amp;K$2,'2004'!$B$2:$K$1621,10,0)),VLOOKUP($A127&amp;K$2,'2004'!$A$2:$K$1621,10,0),VLOOKUP($A127&amp;K$2,'2004'!$B$2:$K$1621,10,0))</f>
        <v>@BBG</v>
      </c>
      <c r="L127" s="34" t="str">
        <f>IF(ISNA(VLOOKUP($A127&amp;L$2,'2004'!$B$2:$K$1621,10,0)),VLOOKUP($A127&amp;L$2,'2004'!$A$2:$K$1621,10,0),VLOOKUP($A127&amp;L$2,'2004'!$B$2:$K$1621,10,0))</f>
        <v>@NNN</v>
      </c>
      <c r="M127" s="34" t="str">
        <f>IF(ISNA(VLOOKUP($A127&amp;M$2,'2004'!$B$2:$K$1621,10,0)),VLOOKUP($A127&amp;M$2,'2004'!$A$2:$K$1621,10,0),VLOOKUP($A127&amp;M$2,'2004'!$B$2:$K$1621,10,0))</f>
        <v>HAR</v>
      </c>
      <c r="N127" s="34" t="str">
        <f>IF(ISNA(VLOOKUP($A127&amp;N$2,'2004'!$B$2:$K$1621,10,0)),VLOOKUP($A127&amp;N$2,'2004'!$A$2:$K$1621,10,0),VLOOKUP($A127&amp;N$2,'2004'!$B$2:$K$1621,10,0))</f>
        <v>DIG</v>
      </c>
      <c r="O127" s="34" t="str">
        <f>IF(ISNA(VLOOKUP($A127&amp;O$2,'2004'!$B$2:$K$1621,10,0)),VLOOKUP($A127&amp;O$2,'2004'!$A$2:$K$1621,10,0),VLOOKUP($A127&amp;O$2,'2004'!$B$2:$K$1621,10,0))</f>
        <v>@RMO</v>
      </c>
      <c r="P127" s="34" t="str">
        <f>IF(ISNA(VLOOKUP($A127&amp;P$2,'2004'!$B$2:$K$1621,10,0)),VLOOKUP($A127&amp;P$2,'2004'!$A$2:$K$1621,10,0),VLOOKUP($A127&amp;P$2,'2004'!$B$2:$K$1621,10,0))</f>
        <v>OKO</v>
      </c>
      <c r="Q127" s="38" t="str">
        <f>IF(ISNA(VLOOKUP($A127&amp;Q$2,'2004'!$B$2:$K$1621,10,0)),VLOOKUP($A127&amp;Q$2,'2004'!$A$2:$K$1621,10,0),VLOOKUP($A127&amp;Q$2,'2004'!$B$2:$K$1621,10,0))</f>
        <v>@NYD</v>
      </c>
      <c r="R127" s="38" t="str">
        <f>IF(ISNA(VLOOKUP($A127&amp;R$2,'2004'!$B$2:$K$1621,10,0)),VLOOKUP($A127&amp;R$2,'2004'!$A$2:$K$1621,10,0),VLOOKUP($A127&amp;R$2,'2004'!$B$2:$K$1621,10,0))</f>
        <v>@PHI</v>
      </c>
      <c r="S127" s="38" t="str">
        <f>IF(ISNA(VLOOKUP($A127&amp;S$2,'2004'!$B$2:$K$1621,10,0)),VLOOKUP($A127&amp;S$2,'2004'!$A$2:$K$1621,10,0),VLOOKUP($A127&amp;S$2,'2004'!$B$2:$K$1621,10,0))</f>
        <v>@FFR</v>
      </c>
      <c r="T127" s="38" t="str">
        <f>IF(ISNA(VLOOKUP($A127&amp;T$2,'2004'!$B$2:$K$1621,10,0)),VLOOKUP($A127&amp;T$2,'2004'!$A$2:$K$1621,10,0),VLOOKUP($A127&amp;T$2,'2004'!$B$2:$K$1621,10,0))</f>
        <v>BRK</v>
      </c>
      <c r="U127" s="38" t="str">
        <f>IF(ISNA(VLOOKUP($A127&amp;U$2,'2004'!$B$2:$K$1621,10,0)),VLOOKUP($A127&amp;U$2,'2004'!$A$2:$K$1621,10,0),VLOOKUP($A127&amp;U$2,'2004'!$B$2:$K$1621,10,0))</f>
        <v>CBB</v>
      </c>
    </row>
    <row r="128" spans="1:21" x14ac:dyDescent="0.25">
      <c r="A128" s="40">
        <f t="shared" ref="A128:A186" si="2">A127+1</f>
        <v>38205</v>
      </c>
      <c r="B128" s="36" t="str">
        <f>IF(ISNA(VLOOKUP($A128&amp;B$2,'2004'!$B$2:$K$1621,10,0)),VLOOKUP($A128&amp;B$2,'2004'!$A$2:$K$1621,10,0),VLOOKUP($A128&amp;B$2,'2004'!$B$2:$K$1621,10,0))</f>
        <v>@FFR</v>
      </c>
      <c r="C128" s="36" t="str">
        <f>IF(ISNA(VLOOKUP($A128&amp;C$2,'2004'!$B$2:$K$1621,10,0)),VLOOKUP($A128&amp;C$2,'2004'!$A$2:$K$1621,10,0),VLOOKUP($A128&amp;C$2,'2004'!$B$2:$K$1621,10,0))</f>
        <v>@CTW</v>
      </c>
      <c r="D128" s="36" t="str">
        <f>IF(ISNA(VLOOKUP($A128&amp;D$2,'2004'!$B$2:$K$1621,10,0)),VLOOKUP($A128&amp;D$2,'2004'!$A$2:$K$1621,10,0),VLOOKUP($A128&amp;D$2,'2004'!$B$2:$K$1621,10,0))</f>
        <v>BAR</v>
      </c>
      <c r="E128" s="36" t="str">
        <f>IF(ISNA(VLOOKUP($A128&amp;E$2,'2004'!$B$2:$K$1621,10,0)),VLOOKUP($A128&amp;E$2,'2004'!$A$2:$K$1621,10,0),VLOOKUP($A128&amp;E$2,'2004'!$B$2:$K$1621,10,0))</f>
        <v>@GAR</v>
      </c>
      <c r="F128" s="36" t="str">
        <f>IF(ISNA(VLOOKUP($A128&amp;F$2,'2004'!$B$2:$K$1621,10,0)),VLOOKUP($A128&amp;F$2,'2004'!$A$2:$K$1621,10,0),VLOOKUP($A128&amp;F$2,'2004'!$B$2:$K$1621,10,0))</f>
        <v>CIN</v>
      </c>
      <c r="G128" s="35" t="str">
        <f>IF(ISNA(VLOOKUP($A128&amp;G$2,'2004'!$B$2:$K$1621,10,0)),VLOOKUP($A128&amp;G$2,'2004'!$A$2:$K$1621,10,0),VLOOKUP($A128&amp;G$2,'2004'!$B$2:$K$1621,10,0))</f>
        <v>@NEP</v>
      </c>
      <c r="H128" s="35" t="str">
        <f>IF(ISNA(VLOOKUP($A128&amp;H$2,'2004'!$B$2:$K$1621,10,0)),VLOOKUP($A128&amp;H$2,'2004'!$A$2:$K$1621,10,0),VLOOKUP($A128&amp;H$2,'2004'!$B$2:$K$1621,10,0))</f>
        <v>@REN</v>
      </c>
      <c r="I128" s="35" t="str">
        <f>IF(ISNA(VLOOKUP($A128&amp;I$2,'2004'!$B$2:$K$1621,10,0)),VLOOKUP($A128&amp;I$2,'2004'!$A$2:$K$1621,10,0),VLOOKUP($A128&amp;I$2,'2004'!$B$2:$K$1621,10,0))</f>
        <v>CEN</v>
      </c>
      <c r="J128" s="35" t="str">
        <f>IF(ISNA(VLOOKUP($A128&amp;J$2,'2004'!$B$2:$K$1621,10,0)),VLOOKUP($A128&amp;J$2,'2004'!$A$2:$K$1621,10,0),VLOOKUP($A128&amp;J$2,'2004'!$B$2:$K$1621,10,0))</f>
        <v>FDH</v>
      </c>
      <c r="K128" s="35" t="str">
        <f>IF(ISNA(VLOOKUP($A128&amp;K$2,'2004'!$B$2:$K$1621,10,0)),VLOOKUP($A128&amp;K$2,'2004'!$A$2:$K$1621,10,0),VLOOKUP($A128&amp;K$2,'2004'!$B$2:$K$1621,10,0))</f>
        <v>@HAR</v>
      </c>
      <c r="L128" s="34" t="str">
        <f>IF(ISNA(VLOOKUP($A128&amp;L$2,'2004'!$B$2:$K$1621,10,0)),VLOOKUP($A128&amp;L$2,'2004'!$A$2:$K$1621,10,0),VLOOKUP($A128&amp;L$2,'2004'!$B$2:$K$1621,10,0))</f>
        <v>@NNN</v>
      </c>
      <c r="M128" s="34" t="str">
        <f>IF(ISNA(VLOOKUP($A128&amp;M$2,'2004'!$B$2:$K$1621,10,0)),VLOOKUP($A128&amp;M$2,'2004'!$A$2:$K$1621,10,0),VLOOKUP($A128&amp;M$2,'2004'!$B$2:$K$1621,10,0))</f>
        <v>BBG</v>
      </c>
      <c r="N128" s="34" t="str">
        <f>IF(ISNA(VLOOKUP($A128&amp;N$2,'2004'!$B$2:$K$1621,10,0)),VLOOKUP($A128&amp;N$2,'2004'!$A$2:$K$1621,10,0),VLOOKUP($A128&amp;N$2,'2004'!$B$2:$K$1621,10,0))</f>
        <v>DIG</v>
      </c>
      <c r="O128" s="34" t="str">
        <f>IF(ISNA(VLOOKUP($A128&amp;O$2,'2004'!$B$2:$K$1621,10,0)),VLOOKUP($A128&amp;O$2,'2004'!$A$2:$K$1621,10,0),VLOOKUP($A128&amp;O$2,'2004'!$B$2:$K$1621,10,0))</f>
        <v>@RMO</v>
      </c>
      <c r="P128" s="34" t="str">
        <f>IF(ISNA(VLOOKUP($A128&amp;P$2,'2004'!$B$2:$K$1621,10,0)),VLOOKUP($A128&amp;P$2,'2004'!$A$2:$K$1621,10,0),VLOOKUP($A128&amp;P$2,'2004'!$B$2:$K$1621,10,0))</f>
        <v>OKO</v>
      </c>
      <c r="Q128" s="38" t="str">
        <f>IF(ISNA(VLOOKUP($A128&amp;Q$2,'2004'!$B$2:$K$1621,10,0)),VLOOKUP($A128&amp;Q$2,'2004'!$A$2:$K$1621,10,0),VLOOKUP($A128&amp;Q$2,'2004'!$B$2:$K$1621,10,0))</f>
        <v>@NYD</v>
      </c>
      <c r="R128" s="38" t="str">
        <f>IF(ISNA(VLOOKUP($A128&amp;R$2,'2004'!$B$2:$K$1621,10,0)),VLOOKUP($A128&amp;R$2,'2004'!$A$2:$K$1621,10,0),VLOOKUP($A128&amp;R$2,'2004'!$B$2:$K$1621,10,0))</f>
        <v>@PHI</v>
      </c>
      <c r="S128" s="38" t="str">
        <f>IF(ISNA(VLOOKUP($A128&amp;S$2,'2004'!$B$2:$K$1621,10,0)),VLOOKUP($A128&amp;S$2,'2004'!$A$2:$K$1621,10,0),VLOOKUP($A128&amp;S$2,'2004'!$B$2:$K$1621,10,0))</f>
        <v>TEW</v>
      </c>
      <c r="T128" s="38" t="str">
        <f>IF(ISNA(VLOOKUP($A128&amp;T$2,'2004'!$B$2:$K$1621,10,0)),VLOOKUP($A128&amp;T$2,'2004'!$A$2:$K$1621,10,0),VLOOKUP($A128&amp;T$2,'2004'!$B$2:$K$1621,10,0))</f>
        <v>BRK</v>
      </c>
      <c r="U128" s="38" t="str">
        <f>IF(ISNA(VLOOKUP($A128&amp;U$2,'2004'!$B$2:$K$1621,10,0)),VLOOKUP($A128&amp;U$2,'2004'!$A$2:$K$1621,10,0),VLOOKUP($A128&amp;U$2,'2004'!$B$2:$K$1621,10,0))</f>
        <v>CBB</v>
      </c>
    </row>
    <row r="129" spans="1:21" x14ac:dyDescent="0.25">
      <c r="A129" s="40">
        <f t="shared" si="2"/>
        <v>38206</v>
      </c>
      <c r="B129" s="36" t="str">
        <f>IF(ISNA(VLOOKUP($A129&amp;B$2,'2004'!$B$2:$K$1621,10,0)),VLOOKUP($A129&amp;B$2,'2004'!$A$2:$K$1621,10,0),VLOOKUP($A129&amp;B$2,'2004'!$B$2:$K$1621,10,0))</f>
        <v>@FFR</v>
      </c>
      <c r="C129" s="36" t="str">
        <f>IF(ISNA(VLOOKUP($A129&amp;C$2,'2004'!$B$2:$K$1621,10,0)),VLOOKUP($A129&amp;C$2,'2004'!$A$2:$K$1621,10,0),VLOOKUP($A129&amp;C$2,'2004'!$B$2:$K$1621,10,0))</f>
        <v>@CTW</v>
      </c>
      <c r="D129" s="36" t="str">
        <f>IF(ISNA(VLOOKUP($A129&amp;D$2,'2004'!$B$2:$K$1621,10,0)),VLOOKUP($A129&amp;D$2,'2004'!$A$2:$K$1621,10,0),VLOOKUP($A129&amp;D$2,'2004'!$B$2:$K$1621,10,0))</f>
        <v>BAR</v>
      </c>
      <c r="E129" s="36" t="str">
        <f>IF(ISNA(VLOOKUP($A129&amp;E$2,'2004'!$B$2:$K$1621,10,0)),VLOOKUP($A129&amp;E$2,'2004'!$A$2:$K$1621,10,0),VLOOKUP($A129&amp;E$2,'2004'!$B$2:$K$1621,10,0))</f>
        <v>@GAR</v>
      </c>
      <c r="F129" s="36" t="str">
        <f>IF(ISNA(VLOOKUP($A129&amp;F$2,'2004'!$B$2:$K$1621,10,0)),VLOOKUP($A129&amp;F$2,'2004'!$A$2:$K$1621,10,0),VLOOKUP($A129&amp;F$2,'2004'!$B$2:$K$1621,10,0))</f>
        <v>CIN</v>
      </c>
      <c r="G129" s="35" t="str">
        <f>IF(ISNA(VLOOKUP($A129&amp;G$2,'2004'!$B$2:$K$1621,10,0)),VLOOKUP($A129&amp;G$2,'2004'!$A$2:$K$1621,10,0),VLOOKUP($A129&amp;G$2,'2004'!$B$2:$K$1621,10,0))</f>
        <v>@NEP</v>
      </c>
      <c r="H129" s="35" t="str">
        <f>IF(ISNA(VLOOKUP($A129&amp;H$2,'2004'!$B$2:$K$1621,10,0)),VLOOKUP($A129&amp;H$2,'2004'!$A$2:$K$1621,10,0),VLOOKUP($A129&amp;H$2,'2004'!$B$2:$K$1621,10,0))</f>
        <v>@REN</v>
      </c>
      <c r="I129" s="35" t="str">
        <f>IF(ISNA(VLOOKUP($A129&amp;I$2,'2004'!$B$2:$K$1621,10,0)),VLOOKUP($A129&amp;I$2,'2004'!$A$2:$K$1621,10,0),VLOOKUP($A129&amp;I$2,'2004'!$B$2:$K$1621,10,0))</f>
        <v>CEN</v>
      </c>
      <c r="J129" s="35" t="str">
        <f>IF(ISNA(VLOOKUP($A129&amp;J$2,'2004'!$B$2:$K$1621,10,0)),VLOOKUP($A129&amp;J$2,'2004'!$A$2:$K$1621,10,0),VLOOKUP($A129&amp;J$2,'2004'!$B$2:$K$1621,10,0))</f>
        <v>FDH</v>
      </c>
      <c r="K129" s="35" t="str">
        <f>IF(ISNA(VLOOKUP($A129&amp;K$2,'2004'!$B$2:$K$1621,10,0)),VLOOKUP($A129&amp;K$2,'2004'!$A$2:$K$1621,10,0),VLOOKUP($A129&amp;K$2,'2004'!$B$2:$K$1621,10,0))</f>
        <v>@HAR</v>
      </c>
      <c r="L129" s="34" t="str">
        <f>IF(ISNA(VLOOKUP($A129&amp;L$2,'2004'!$B$2:$K$1621,10,0)),VLOOKUP($A129&amp;L$2,'2004'!$A$2:$K$1621,10,0),VLOOKUP($A129&amp;L$2,'2004'!$B$2:$K$1621,10,0))</f>
        <v>@NNN</v>
      </c>
      <c r="M129" s="34" t="str">
        <f>IF(ISNA(VLOOKUP($A129&amp;M$2,'2004'!$B$2:$K$1621,10,0)),VLOOKUP($A129&amp;M$2,'2004'!$A$2:$K$1621,10,0),VLOOKUP($A129&amp;M$2,'2004'!$B$2:$K$1621,10,0))</f>
        <v>BBG</v>
      </c>
      <c r="N129" s="34" t="str">
        <f>IF(ISNA(VLOOKUP($A129&amp;N$2,'2004'!$B$2:$K$1621,10,0)),VLOOKUP($A129&amp;N$2,'2004'!$A$2:$K$1621,10,0),VLOOKUP($A129&amp;N$2,'2004'!$B$2:$K$1621,10,0))</f>
        <v>DIG</v>
      </c>
      <c r="O129" s="34" t="str">
        <f>IF(ISNA(VLOOKUP($A129&amp;O$2,'2004'!$B$2:$K$1621,10,0)),VLOOKUP($A129&amp;O$2,'2004'!$A$2:$K$1621,10,0),VLOOKUP($A129&amp;O$2,'2004'!$B$2:$K$1621,10,0))</f>
        <v>@RMO</v>
      </c>
      <c r="P129" s="34" t="str">
        <f>IF(ISNA(VLOOKUP($A129&amp;P$2,'2004'!$B$2:$K$1621,10,0)),VLOOKUP($A129&amp;P$2,'2004'!$A$2:$K$1621,10,0),VLOOKUP($A129&amp;P$2,'2004'!$B$2:$K$1621,10,0))</f>
        <v>OKO</v>
      </c>
      <c r="Q129" s="38" t="str">
        <f>IF(ISNA(VLOOKUP($A129&amp;Q$2,'2004'!$B$2:$K$1621,10,0)),VLOOKUP($A129&amp;Q$2,'2004'!$A$2:$K$1621,10,0),VLOOKUP($A129&amp;Q$2,'2004'!$B$2:$K$1621,10,0))</f>
        <v>@NYD</v>
      </c>
      <c r="R129" s="38" t="str">
        <f>IF(ISNA(VLOOKUP($A129&amp;R$2,'2004'!$B$2:$K$1621,10,0)),VLOOKUP($A129&amp;R$2,'2004'!$A$2:$K$1621,10,0),VLOOKUP($A129&amp;R$2,'2004'!$B$2:$K$1621,10,0))</f>
        <v>@PHI</v>
      </c>
      <c r="S129" s="38" t="str">
        <f>IF(ISNA(VLOOKUP($A129&amp;S$2,'2004'!$B$2:$K$1621,10,0)),VLOOKUP($A129&amp;S$2,'2004'!$A$2:$K$1621,10,0),VLOOKUP($A129&amp;S$2,'2004'!$B$2:$K$1621,10,0))</f>
        <v>TEW</v>
      </c>
      <c r="T129" s="38" t="str">
        <f>IF(ISNA(VLOOKUP($A129&amp;T$2,'2004'!$B$2:$K$1621,10,0)),VLOOKUP($A129&amp;T$2,'2004'!$A$2:$K$1621,10,0),VLOOKUP($A129&amp;T$2,'2004'!$B$2:$K$1621,10,0))</f>
        <v>BRK</v>
      </c>
      <c r="U129" s="38" t="str">
        <f>IF(ISNA(VLOOKUP($A129&amp;U$2,'2004'!$B$2:$K$1621,10,0)),VLOOKUP($A129&amp;U$2,'2004'!$A$2:$K$1621,10,0),VLOOKUP($A129&amp;U$2,'2004'!$B$2:$K$1621,10,0))</f>
        <v>CBB</v>
      </c>
    </row>
    <row r="130" spans="1:21" x14ac:dyDescent="0.25">
      <c r="A130" s="40">
        <f t="shared" si="2"/>
        <v>38207</v>
      </c>
      <c r="B130" s="36" t="e">
        <f>IF(ISNA(VLOOKUP($A130&amp;B$2,'2004'!$B$2:$K$1621,10,0)),VLOOKUP($A130&amp;B$2,'2004'!$A$2:$K$1621,10,0),VLOOKUP($A130&amp;B$2,'2004'!$B$2:$K$1621,10,0))</f>
        <v>#N/A</v>
      </c>
      <c r="C130" s="36" t="str">
        <f>IF(ISNA(VLOOKUP($A130&amp;C$2,'2004'!$B$2:$K$1621,10,0)),VLOOKUP($A130&amp;C$2,'2004'!$A$2:$K$1621,10,0),VLOOKUP($A130&amp;C$2,'2004'!$B$2:$K$1621,10,0))</f>
        <v>@CTW</v>
      </c>
      <c r="D130" s="36" t="str">
        <f>IF(ISNA(VLOOKUP($A130&amp;D$2,'2004'!$B$2:$K$1621,10,0)),VLOOKUP($A130&amp;D$2,'2004'!$A$2:$K$1621,10,0),VLOOKUP($A130&amp;D$2,'2004'!$B$2:$K$1621,10,0))</f>
        <v>BAR</v>
      </c>
      <c r="E130" s="36" t="str">
        <f>IF(ISNA(VLOOKUP($A130&amp;E$2,'2004'!$B$2:$K$1621,10,0)),VLOOKUP($A130&amp;E$2,'2004'!$A$2:$K$1621,10,0),VLOOKUP($A130&amp;E$2,'2004'!$B$2:$K$1621,10,0))</f>
        <v>@GAR</v>
      </c>
      <c r="F130" s="36" t="str">
        <f>IF(ISNA(VLOOKUP($A130&amp;F$2,'2004'!$B$2:$K$1621,10,0)),VLOOKUP($A130&amp;F$2,'2004'!$A$2:$K$1621,10,0),VLOOKUP($A130&amp;F$2,'2004'!$B$2:$K$1621,10,0))</f>
        <v>CIN</v>
      </c>
      <c r="G130" s="35" t="str">
        <f>IF(ISNA(VLOOKUP($A130&amp;G$2,'2004'!$B$2:$K$1621,10,0)),VLOOKUP($A130&amp;G$2,'2004'!$A$2:$K$1621,10,0),VLOOKUP($A130&amp;G$2,'2004'!$B$2:$K$1621,10,0))</f>
        <v>@NEP</v>
      </c>
      <c r="H130" s="35" t="str">
        <f>IF(ISNA(VLOOKUP($A130&amp;H$2,'2004'!$B$2:$K$1621,10,0)),VLOOKUP($A130&amp;H$2,'2004'!$A$2:$K$1621,10,0),VLOOKUP($A130&amp;H$2,'2004'!$B$2:$K$1621,10,0))</f>
        <v>@REN</v>
      </c>
      <c r="I130" s="35" t="str">
        <f>IF(ISNA(VLOOKUP($A130&amp;I$2,'2004'!$B$2:$K$1621,10,0)),VLOOKUP($A130&amp;I$2,'2004'!$A$2:$K$1621,10,0),VLOOKUP($A130&amp;I$2,'2004'!$B$2:$K$1621,10,0))</f>
        <v>CEN</v>
      </c>
      <c r="J130" s="35" t="str">
        <f>IF(ISNA(VLOOKUP($A130&amp;J$2,'2004'!$B$2:$K$1621,10,0)),VLOOKUP($A130&amp;J$2,'2004'!$A$2:$K$1621,10,0),VLOOKUP($A130&amp;J$2,'2004'!$B$2:$K$1621,10,0))</f>
        <v>FDH</v>
      </c>
      <c r="K130" s="35" t="e">
        <f>IF(ISNA(VLOOKUP($A130&amp;K$2,'2004'!$B$2:$K$1621,10,0)),VLOOKUP($A130&amp;K$2,'2004'!$A$2:$K$1621,10,0),VLOOKUP($A130&amp;K$2,'2004'!$B$2:$K$1621,10,0))</f>
        <v>#N/A</v>
      </c>
      <c r="L130" s="34" t="str">
        <f>IF(ISNA(VLOOKUP($A130&amp;L$2,'2004'!$B$2:$K$1621,10,0)),VLOOKUP($A130&amp;L$2,'2004'!$A$2:$K$1621,10,0),VLOOKUP($A130&amp;L$2,'2004'!$B$2:$K$1621,10,0))</f>
        <v>@NNN</v>
      </c>
      <c r="M130" s="34" t="e">
        <f>IF(ISNA(VLOOKUP($A130&amp;M$2,'2004'!$B$2:$K$1621,10,0)),VLOOKUP($A130&amp;M$2,'2004'!$A$2:$K$1621,10,0),VLOOKUP($A130&amp;M$2,'2004'!$B$2:$K$1621,10,0))</f>
        <v>#N/A</v>
      </c>
      <c r="N130" s="34" t="str">
        <f>IF(ISNA(VLOOKUP($A130&amp;N$2,'2004'!$B$2:$K$1621,10,0)),VLOOKUP($A130&amp;N$2,'2004'!$A$2:$K$1621,10,0),VLOOKUP($A130&amp;N$2,'2004'!$B$2:$K$1621,10,0))</f>
        <v>DIG</v>
      </c>
      <c r="O130" s="34" t="str">
        <f>IF(ISNA(VLOOKUP($A130&amp;O$2,'2004'!$B$2:$K$1621,10,0)),VLOOKUP($A130&amp;O$2,'2004'!$A$2:$K$1621,10,0),VLOOKUP($A130&amp;O$2,'2004'!$B$2:$K$1621,10,0))</f>
        <v>@RMO</v>
      </c>
      <c r="P130" s="34" t="str">
        <f>IF(ISNA(VLOOKUP($A130&amp;P$2,'2004'!$B$2:$K$1621,10,0)),VLOOKUP($A130&amp;P$2,'2004'!$A$2:$K$1621,10,0),VLOOKUP($A130&amp;P$2,'2004'!$B$2:$K$1621,10,0))</f>
        <v>OKO</v>
      </c>
      <c r="Q130" s="38" t="e">
        <f>IF(ISNA(VLOOKUP($A130&amp;Q$2,'2004'!$B$2:$K$1621,10,0)),VLOOKUP($A130&amp;Q$2,'2004'!$A$2:$K$1621,10,0),VLOOKUP($A130&amp;Q$2,'2004'!$B$2:$K$1621,10,0))</f>
        <v>#N/A</v>
      </c>
      <c r="R130" s="38" t="str">
        <f>IF(ISNA(VLOOKUP($A130&amp;R$2,'2004'!$B$2:$K$1621,10,0)),VLOOKUP($A130&amp;R$2,'2004'!$A$2:$K$1621,10,0),VLOOKUP($A130&amp;R$2,'2004'!$B$2:$K$1621,10,0))</f>
        <v>@PHI</v>
      </c>
      <c r="S130" s="38" t="e">
        <f>IF(ISNA(VLOOKUP($A130&amp;S$2,'2004'!$B$2:$K$1621,10,0)),VLOOKUP($A130&amp;S$2,'2004'!$A$2:$K$1621,10,0),VLOOKUP($A130&amp;S$2,'2004'!$B$2:$K$1621,10,0))</f>
        <v>#N/A</v>
      </c>
      <c r="T130" s="38" t="e">
        <f>IF(ISNA(VLOOKUP($A130&amp;T$2,'2004'!$B$2:$K$1621,10,0)),VLOOKUP($A130&amp;T$2,'2004'!$A$2:$K$1621,10,0),VLOOKUP($A130&amp;T$2,'2004'!$B$2:$K$1621,10,0))</f>
        <v>#N/A</v>
      </c>
      <c r="U130" s="38" t="str">
        <f>IF(ISNA(VLOOKUP($A130&amp;U$2,'2004'!$B$2:$K$1621,10,0)),VLOOKUP($A130&amp;U$2,'2004'!$A$2:$K$1621,10,0),VLOOKUP($A130&amp;U$2,'2004'!$B$2:$K$1621,10,0))</f>
        <v>CBB</v>
      </c>
    </row>
    <row r="131" spans="1:21" x14ac:dyDescent="0.25">
      <c r="A131" s="40">
        <f t="shared" si="2"/>
        <v>38208</v>
      </c>
      <c r="B131" s="36" t="str">
        <f>IF(ISNA(VLOOKUP($A131&amp;B$2,'2004'!$B$2:$K$1621,10,0)),VLOOKUP($A131&amp;B$2,'2004'!$A$2:$K$1621,10,0),VLOOKUP($A131&amp;B$2,'2004'!$B$2:$K$1621,10,0))</f>
        <v>@CIN</v>
      </c>
      <c r="C131" s="36" t="str">
        <f>IF(ISNA(VLOOKUP($A131&amp;C$2,'2004'!$B$2:$K$1621,10,0)),VLOOKUP($A131&amp;C$2,'2004'!$A$2:$K$1621,10,0),VLOOKUP($A131&amp;C$2,'2004'!$B$2:$K$1621,10,0))</f>
        <v>@GAR</v>
      </c>
      <c r="D131" s="36" t="str">
        <f>IF(ISNA(VLOOKUP($A131&amp;D$2,'2004'!$B$2:$K$1621,10,0)),VLOOKUP($A131&amp;D$2,'2004'!$A$2:$K$1621,10,0),VLOOKUP($A131&amp;D$2,'2004'!$B$2:$K$1621,10,0))</f>
        <v>@NEP</v>
      </c>
      <c r="E131" s="36" t="str">
        <f>IF(ISNA(VLOOKUP($A131&amp;E$2,'2004'!$B$2:$K$1621,10,0)),VLOOKUP($A131&amp;E$2,'2004'!$A$2:$K$1621,10,0),VLOOKUP($A131&amp;E$2,'2004'!$B$2:$K$1621,10,0))</f>
        <v>BBG</v>
      </c>
      <c r="F131" s="36" t="str">
        <f>IF(ISNA(VLOOKUP($A131&amp;F$2,'2004'!$B$2:$K$1621,10,0)),VLOOKUP($A131&amp;F$2,'2004'!$A$2:$K$1621,10,0),VLOOKUP($A131&amp;F$2,'2004'!$B$2:$K$1621,10,0))</f>
        <v>BAR</v>
      </c>
      <c r="G131" s="35" t="str">
        <f>IF(ISNA(VLOOKUP($A131&amp;G$2,'2004'!$B$2:$K$1621,10,0)),VLOOKUP($A131&amp;G$2,'2004'!$A$2:$K$1621,10,0),VLOOKUP($A131&amp;G$2,'2004'!$B$2:$K$1621,10,0))</f>
        <v>@REN</v>
      </c>
      <c r="H131" s="35" t="str">
        <f>IF(ISNA(VLOOKUP($A131&amp;H$2,'2004'!$B$2:$K$1621,10,0)),VLOOKUP($A131&amp;H$2,'2004'!$A$2:$K$1621,10,0),VLOOKUP($A131&amp;H$2,'2004'!$B$2:$K$1621,10,0))</f>
        <v>TEW</v>
      </c>
      <c r="I131" s="35" t="str">
        <f>IF(ISNA(VLOOKUP($A131&amp;I$2,'2004'!$B$2:$K$1621,10,0)),VLOOKUP($A131&amp;I$2,'2004'!$A$2:$K$1621,10,0),VLOOKUP($A131&amp;I$2,'2004'!$B$2:$K$1621,10,0))</f>
        <v>CTW</v>
      </c>
      <c r="J131" s="35" t="str">
        <f>IF(ISNA(VLOOKUP($A131&amp;J$2,'2004'!$B$2:$K$1621,10,0)),VLOOKUP($A131&amp;J$2,'2004'!$A$2:$K$1621,10,0),VLOOKUP($A131&amp;J$2,'2004'!$B$2:$K$1621,10,0))</f>
        <v>CEN</v>
      </c>
      <c r="K131" s="35" t="str">
        <f>IF(ISNA(VLOOKUP($A131&amp;K$2,'2004'!$B$2:$K$1621,10,0)),VLOOKUP($A131&amp;K$2,'2004'!$A$2:$K$1621,10,0),VLOOKUP($A131&amp;K$2,'2004'!$B$2:$K$1621,10,0))</f>
        <v>@FDH</v>
      </c>
      <c r="L131" s="34" t="str">
        <f>IF(ISNA(VLOOKUP($A131&amp;L$2,'2004'!$B$2:$K$1621,10,0)),VLOOKUP($A131&amp;L$2,'2004'!$A$2:$K$1621,10,0),VLOOKUP($A131&amp;L$2,'2004'!$B$2:$K$1621,10,0))</f>
        <v>FFR</v>
      </c>
      <c r="M131" s="34" t="str">
        <f>IF(ISNA(VLOOKUP($A131&amp;M$2,'2004'!$B$2:$K$1621,10,0)),VLOOKUP($A131&amp;M$2,'2004'!$A$2:$K$1621,10,0),VLOOKUP($A131&amp;M$2,'2004'!$B$2:$K$1621,10,0))</f>
        <v>@DIG</v>
      </c>
      <c r="N131" s="34" t="str">
        <f>IF(ISNA(VLOOKUP($A131&amp;N$2,'2004'!$B$2:$K$1621,10,0)),VLOOKUP($A131&amp;N$2,'2004'!$A$2:$K$1621,10,0),VLOOKUP($A131&amp;N$2,'2004'!$B$2:$K$1621,10,0))</f>
        <v>OKO</v>
      </c>
      <c r="O131" s="34" t="str">
        <f>IF(ISNA(VLOOKUP($A131&amp;O$2,'2004'!$B$2:$K$1621,10,0)),VLOOKUP($A131&amp;O$2,'2004'!$A$2:$K$1621,10,0),VLOOKUP($A131&amp;O$2,'2004'!$B$2:$K$1621,10,0))</f>
        <v>@NNN</v>
      </c>
      <c r="P131" s="34" t="str">
        <f>IF(ISNA(VLOOKUP($A131&amp;P$2,'2004'!$B$2:$K$1621,10,0)),VLOOKUP($A131&amp;P$2,'2004'!$A$2:$K$1621,10,0),VLOOKUP($A131&amp;P$2,'2004'!$B$2:$K$1621,10,0))</f>
        <v>@PHI</v>
      </c>
      <c r="Q131" s="38" t="str">
        <f>IF(ISNA(VLOOKUP($A131&amp;Q$2,'2004'!$B$2:$K$1621,10,0)),VLOOKUP($A131&amp;Q$2,'2004'!$A$2:$K$1621,10,0),VLOOKUP($A131&amp;Q$2,'2004'!$B$2:$K$1621,10,0))</f>
        <v>HAR</v>
      </c>
      <c r="R131" s="38" t="str">
        <f>IF(ISNA(VLOOKUP($A131&amp;R$2,'2004'!$B$2:$K$1621,10,0)),VLOOKUP($A131&amp;R$2,'2004'!$A$2:$K$1621,10,0),VLOOKUP($A131&amp;R$2,'2004'!$B$2:$K$1621,10,0))</f>
        <v>@NYD</v>
      </c>
      <c r="S131" s="38" t="str">
        <f>IF(ISNA(VLOOKUP($A131&amp;S$2,'2004'!$B$2:$K$1621,10,0)),VLOOKUP($A131&amp;S$2,'2004'!$A$2:$K$1621,10,0),VLOOKUP($A131&amp;S$2,'2004'!$B$2:$K$1621,10,0))</f>
        <v>@BRK</v>
      </c>
      <c r="T131" s="38" t="str">
        <f>IF(ISNA(VLOOKUP($A131&amp;T$2,'2004'!$B$2:$K$1621,10,0)),VLOOKUP($A131&amp;T$2,'2004'!$A$2:$K$1621,10,0),VLOOKUP($A131&amp;T$2,'2004'!$B$2:$K$1621,10,0))</f>
        <v>CBB</v>
      </c>
      <c r="U131" s="38" t="str">
        <f>IF(ISNA(VLOOKUP($A131&amp;U$2,'2004'!$B$2:$K$1621,10,0)),VLOOKUP($A131&amp;U$2,'2004'!$A$2:$K$1621,10,0),VLOOKUP($A131&amp;U$2,'2004'!$B$2:$K$1621,10,0))</f>
        <v>RMO</v>
      </c>
    </row>
    <row r="132" spans="1:21" x14ac:dyDescent="0.25">
      <c r="A132" s="40">
        <f t="shared" si="2"/>
        <v>38209</v>
      </c>
      <c r="B132" s="36" t="str">
        <f>IF(ISNA(VLOOKUP($A132&amp;B$2,'2004'!$B$2:$K$1621,10,0)),VLOOKUP($A132&amp;B$2,'2004'!$A$2:$K$1621,10,0),VLOOKUP($A132&amp;B$2,'2004'!$B$2:$K$1621,10,0))</f>
        <v>@CIN</v>
      </c>
      <c r="C132" s="36" t="str">
        <f>IF(ISNA(VLOOKUP($A132&amp;C$2,'2004'!$B$2:$K$1621,10,0)),VLOOKUP($A132&amp;C$2,'2004'!$A$2:$K$1621,10,0),VLOOKUP($A132&amp;C$2,'2004'!$B$2:$K$1621,10,0))</f>
        <v>@GAR</v>
      </c>
      <c r="D132" s="36" t="str">
        <f>IF(ISNA(VLOOKUP($A132&amp;D$2,'2004'!$B$2:$K$1621,10,0)),VLOOKUP($A132&amp;D$2,'2004'!$A$2:$K$1621,10,0),VLOOKUP($A132&amp;D$2,'2004'!$B$2:$K$1621,10,0))</f>
        <v>@NEP</v>
      </c>
      <c r="E132" s="36" t="str">
        <f>IF(ISNA(VLOOKUP($A132&amp;E$2,'2004'!$B$2:$K$1621,10,0)),VLOOKUP($A132&amp;E$2,'2004'!$A$2:$K$1621,10,0),VLOOKUP($A132&amp;E$2,'2004'!$B$2:$K$1621,10,0))</f>
        <v>BBG</v>
      </c>
      <c r="F132" s="36" t="str">
        <f>IF(ISNA(VLOOKUP($A132&amp;F$2,'2004'!$B$2:$K$1621,10,0)),VLOOKUP($A132&amp;F$2,'2004'!$A$2:$K$1621,10,0),VLOOKUP($A132&amp;F$2,'2004'!$B$2:$K$1621,10,0))</f>
        <v>BAR</v>
      </c>
      <c r="G132" s="35" t="str">
        <f>IF(ISNA(VLOOKUP($A132&amp;G$2,'2004'!$B$2:$K$1621,10,0)),VLOOKUP($A132&amp;G$2,'2004'!$A$2:$K$1621,10,0),VLOOKUP($A132&amp;G$2,'2004'!$B$2:$K$1621,10,0))</f>
        <v>@REN</v>
      </c>
      <c r="H132" s="35" t="str">
        <f>IF(ISNA(VLOOKUP($A132&amp;H$2,'2004'!$B$2:$K$1621,10,0)),VLOOKUP($A132&amp;H$2,'2004'!$A$2:$K$1621,10,0),VLOOKUP($A132&amp;H$2,'2004'!$B$2:$K$1621,10,0))</f>
        <v>TEW</v>
      </c>
      <c r="I132" s="35" t="str">
        <f>IF(ISNA(VLOOKUP($A132&amp;I$2,'2004'!$B$2:$K$1621,10,0)),VLOOKUP($A132&amp;I$2,'2004'!$A$2:$K$1621,10,0),VLOOKUP($A132&amp;I$2,'2004'!$B$2:$K$1621,10,0))</f>
        <v>CTW</v>
      </c>
      <c r="J132" s="35" t="str">
        <f>IF(ISNA(VLOOKUP($A132&amp;J$2,'2004'!$B$2:$K$1621,10,0)),VLOOKUP($A132&amp;J$2,'2004'!$A$2:$K$1621,10,0),VLOOKUP($A132&amp;J$2,'2004'!$B$2:$K$1621,10,0))</f>
        <v>CEN</v>
      </c>
      <c r="K132" s="35" t="str">
        <f>IF(ISNA(VLOOKUP($A132&amp;K$2,'2004'!$B$2:$K$1621,10,0)),VLOOKUP($A132&amp;K$2,'2004'!$A$2:$K$1621,10,0),VLOOKUP($A132&amp;K$2,'2004'!$B$2:$K$1621,10,0))</f>
        <v>@FDH</v>
      </c>
      <c r="L132" s="34" t="str">
        <f>IF(ISNA(VLOOKUP($A132&amp;L$2,'2004'!$B$2:$K$1621,10,0)),VLOOKUP($A132&amp;L$2,'2004'!$A$2:$K$1621,10,0),VLOOKUP($A132&amp;L$2,'2004'!$B$2:$K$1621,10,0))</f>
        <v>FFR</v>
      </c>
      <c r="M132" s="34" t="str">
        <f>IF(ISNA(VLOOKUP($A132&amp;M$2,'2004'!$B$2:$K$1621,10,0)),VLOOKUP($A132&amp;M$2,'2004'!$A$2:$K$1621,10,0),VLOOKUP($A132&amp;M$2,'2004'!$B$2:$K$1621,10,0))</f>
        <v>@DIG</v>
      </c>
      <c r="N132" s="34" t="str">
        <f>IF(ISNA(VLOOKUP($A132&amp;N$2,'2004'!$B$2:$K$1621,10,0)),VLOOKUP($A132&amp;N$2,'2004'!$A$2:$K$1621,10,0),VLOOKUP($A132&amp;N$2,'2004'!$B$2:$K$1621,10,0))</f>
        <v>OKO</v>
      </c>
      <c r="O132" s="34" t="str">
        <f>IF(ISNA(VLOOKUP($A132&amp;O$2,'2004'!$B$2:$K$1621,10,0)),VLOOKUP($A132&amp;O$2,'2004'!$A$2:$K$1621,10,0),VLOOKUP($A132&amp;O$2,'2004'!$B$2:$K$1621,10,0))</f>
        <v>@NNN</v>
      </c>
      <c r="P132" s="34" t="str">
        <f>IF(ISNA(VLOOKUP($A132&amp;P$2,'2004'!$B$2:$K$1621,10,0)),VLOOKUP($A132&amp;P$2,'2004'!$A$2:$K$1621,10,0),VLOOKUP($A132&amp;P$2,'2004'!$B$2:$K$1621,10,0))</f>
        <v>@PHI</v>
      </c>
      <c r="Q132" s="38" t="str">
        <f>IF(ISNA(VLOOKUP($A132&amp;Q$2,'2004'!$B$2:$K$1621,10,0)),VLOOKUP($A132&amp;Q$2,'2004'!$A$2:$K$1621,10,0),VLOOKUP($A132&amp;Q$2,'2004'!$B$2:$K$1621,10,0))</f>
        <v>HAR</v>
      </c>
      <c r="R132" s="38" t="str">
        <f>IF(ISNA(VLOOKUP($A132&amp;R$2,'2004'!$B$2:$K$1621,10,0)),VLOOKUP($A132&amp;R$2,'2004'!$A$2:$K$1621,10,0),VLOOKUP($A132&amp;R$2,'2004'!$B$2:$K$1621,10,0))</f>
        <v>@NYD</v>
      </c>
      <c r="S132" s="38" t="str">
        <f>IF(ISNA(VLOOKUP($A132&amp;S$2,'2004'!$B$2:$K$1621,10,0)),VLOOKUP($A132&amp;S$2,'2004'!$A$2:$K$1621,10,0),VLOOKUP($A132&amp;S$2,'2004'!$B$2:$K$1621,10,0))</f>
        <v>@BRK</v>
      </c>
      <c r="T132" s="38" t="str">
        <f>IF(ISNA(VLOOKUP($A132&amp;T$2,'2004'!$B$2:$K$1621,10,0)),VLOOKUP($A132&amp;T$2,'2004'!$A$2:$K$1621,10,0),VLOOKUP($A132&amp;T$2,'2004'!$B$2:$K$1621,10,0))</f>
        <v>CBB</v>
      </c>
      <c r="U132" s="38" t="str">
        <f>IF(ISNA(VLOOKUP($A132&amp;U$2,'2004'!$B$2:$K$1621,10,0)),VLOOKUP($A132&amp;U$2,'2004'!$A$2:$K$1621,10,0),VLOOKUP($A132&amp;U$2,'2004'!$B$2:$K$1621,10,0))</f>
        <v>RMO</v>
      </c>
    </row>
    <row r="133" spans="1:21" x14ac:dyDescent="0.25">
      <c r="A133" s="40">
        <f t="shared" si="2"/>
        <v>38210</v>
      </c>
      <c r="B133" s="36" t="str">
        <f>IF(ISNA(VLOOKUP($A133&amp;B$2,'2004'!$B$2:$K$1621,10,0)),VLOOKUP($A133&amp;B$2,'2004'!$A$2:$K$1621,10,0),VLOOKUP($A133&amp;B$2,'2004'!$B$2:$K$1621,10,0))</f>
        <v>@CIN</v>
      </c>
      <c r="C133" s="36" t="str">
        <f>IF(ISNA(VLOOKUP($A133&amp;C$2,'2004'!$B$2:$K$1621,10,0)),VLOOKUP($A133&amp;C$2,'2004'!$A$2:$K$1621,10,0),VLOOKUP($A133&amp;C$2,'2004'!$B$2:$K$1621,10,0))</f>
        <v>@GAR</v>
      </c>
      <c r="D133" s="36" t="str">
        <f>IF(ISNA(VLOOKUP($A133&amp;D$2,'2004'!$B$2:$K$1621,10,0)),VLOOKUP($A133&amp;D$2,'2004'!$A$2:$K$1621,10,0),VLOOKUP($A133&amp;D$2,'2004'!$B$2:$K$1621,10,0))</f>
        <v>@NEP</v>
      </c>
      <c r="E133" s="36" t="str">
        <f>IF(ISNA(VLOOKUP($A133&amp;E$2,'2004'!$B$2:$K$1621,10,0)),VLOOKUP($A133&amp;E$2,'2004'!$A$2:$K$1621,10,0),VLOOKUP($A133&amp;E$2,'2004'!$B$2:$K$1621,10,0))</f>
        <v>BBG</v>
      </c>
      <c r="F133" s="36" t="str">
        <f>IF(ISNA(VLOOKUP($A133&amp;F$2,'2004'!$B$2:$K$1621,10,0)),VLOOKUP($A133&amp;F$2,'2004'!$A$2:$K$1621,10,0),VLOOKUP($A133&amp;F$2,'2004'!$B$2:$K$1621,10,0))</f>
        <v>BAR</v>
      </c>
      <c r="G133" s="35" t="str">
        <f>IF(ISNA(VLOOKUP($A133&amp;G$2,'2004'!$B$2:$K$1621,10,0)),VLOOKUP($A133&amp;G$2,'2004'!$A$2:$K$1621,10,0),VLOOKUP($A133&amp;G$2,'2004'!$B$2:$K$1621,10,0))</f>
        <v>@REN</v>
      </c>
      <c r="H133" s="35" t="str">
        <f>IF(ISNA(VLOOKUP($A133&amp;H$2,'2004'!$B$2:$K$1621,10,0)),VLOOKUP($A133&amp;H$2,'2004'!$A$2:$K$1621,10,0),VLOOKUP($A133&amp;H$2,'2004'!$B$2:$K$1621,10,0))</f>
        <v>TEW</v>
      </c>
      <c r="I133" s="35" t="str">
        <f>IF(ISNA(VLOOKUP($A133&amp;I$2,'2004'!$B$2:$K$1621,10,0)),VLOOKUP($A133&amp;I$2,'2004'!$A$2:$K$1621,10,0),VLOOKUP($A133&amp;I$2,'2004'!$B$2:$K$1621,10,0))</f>
        <v>CTW</v>
      </c>
      <c r="J133" s="35" t="str">
        <f>IF(ISNA(VLOOKUP($A133&amp;J$2,'2004'!$B$2:$K$1621,10,0)),VLOOKUP($A133&amp;J$2,'2004'!$A$2:$K$1621,10,0),VLOOKUP($A133&amp;J$2,'2004'!$B$2:$K$1621,10,0))</f>
        <v>CEN</v>
      </c>
      <c r="K133" s="35" t="str">
        <f>IF(ISNA(VLOOKUP($A133&amp;K$2,'2004'!$B$2:$K$1621,10,0)),VLOOKUP($A133&amp;K$2,'2004'!$A$2:$K$1621,10,0),VLOOKUP($A133&amp;K$2,'2004'!$B$2:$K$1621,10,0))</f>
        <v>@FDH</v>
      </c>
      <c r="L133" s="34" t="str">
        <f>IF(ISNA(VLOOKUP($A133&amp;L$2,'2004'!$B$2:$K$1621,10,0)),VLOOKUP($A133&amp;L$2,'2004'!$A$2:$K$1621,10,0),VLOOKUP($A133&amp;L$2,'2004'!$B$2:$K$1621,10,0))</f>
        <v>FFR</v>
      </c>
      <c r="M133" s="34" t="str">
        <f>IF(ISNA(VLOOKUP($A133&amp;M$2,'2004'!$B$2:$K$1621,10,0)),VLOOKUP($A133&amp;M$2,'2004'!$A$2:$K$1621,10,0),VLOOKUP($A133&amp;M$2,'2004'!$B$2:$K$1621,10,0))</f>
        <v>@DIG</v>
      </c>
      <c r="N133" s="34" t="str">
        <f>IF(ISNA(VLOOKUP($A133&amp;N$2,'2004'!$B$2:$K$1621,10,0)),VLOOKUP($A133&amp;N$2,'2004'!$A$2:$K$1621,10,0),VLOOKUP($A133&amp;N$2,'2004'!$B$2:$K$1621,10,0))</f>
        <v>OKO</v>
      </c>
      <c r="O133" s="34" t="str">
        <f>IF(ISNA(VLOOKUP($A133&amp;O$2,'2004'!$B$2:$K$1621,10,0)),VLOOKUP($A133&amp;O$2,'2004'!$A$2:$K$1621,10,0),VLOOKUP($A133&amp;O$2,'2004'!$B$2:$K$1621,10,0))</f>
        <v>@NNN</v>
      </c>
      <c r="P133" s="34" t="str">
        <f>IF(ISNA(VLOOKUP($A133&amp;P$2,'2004'!$B$2:$K$1621,10,0)),VLOOKUP($A133&amp;P$2,'2004'!$A$2:$K$1621,10,0),VLOOKUP($A133&amp;P$2,'2004'!$B$2:$K$1621,10,0))</f>
        <v>@PHI</v>
      </c>
      <c r="Q133" s="38" t="str">
        <f>IF(ISNA(VLOOKUP($A133&amp;Q$2,'2004'!$B$2:$K$1621,10,0)),VLOOKUP($A133&amp;Q$2,'2004'!$A$2:$K$1621,10,0),VLOOKUP($A133&amp;Q$2,'2004'!$B$2:$K$1621,10,0))</f>
        <v>HAR</v>
      </c>
      <c r="R133" s="38" t="str">
        <f>IF(ISNA(VLOOKUP($A133&amp;R$2,'2004'!$B$2:$K$1621,10,0)),VLOOKUP($A133&amp;R$2,'2004'!$A$2:$K$1621,10,0),VLOOKUP($A133&amp;R$2,'2004'!$B$2:$K$1621,10,0))</f>
        <v>@NYD</v>
      </c>
      <c r="S133" s="38" t="str">
        <f>IF(ISNA(VLOOKUP($A133&amp;S$2,'2004'!$B$2:$K$1621,10,0)),VLOOKUP($A133&amp;S$2,'2004'!$A$2:$K$1621,10,0),VLOOKUP($A133&amp;S$2,'2004'!$B$2:$K$1621,10,0))</f>
        <v>@BRK</v>
      </c>
      <c r="T133" s="38" t="str">
        <f>IF(ISNA(VLOOKUP($A133&amp;T$2,'2004'!$B$2:$K$1621,10,0)),VLOOKUP($A133&amp;T$2,'2004'!$A$2:$K$1621,10,0),VLOOKUP($A133&amp;T$2,'2004'!$B$2:$K$1621,10,0))</f>
        <v>CBB</v>
      </c>
      <c r="U133" s="38" t="str">
        <f>IF(ISNA(VLOOKUP($A133&amp;U$2,'2004'!$B$2:$K$1621,10,0)),VLOOKUP($A133&amp;U$2,'2004'!$A$2:$K$1621,10,0),VLOOKUP($A133&amp;U$2,'2004'!$B$2:$K$1621,10,0))</f>
        <v>RMO</v>
      </c>
    </row>
    <row r="134" spans="1:21" x14ac:dyDescent="0.25">
      <c r="A134" s="40">
        <f t="shared" si="2"/>
        <v>38211</v>
      </c>
      <c r="B134" s="36" t="e">
        <f>IF(ISNA(VLOOKUP($A134&amp;B$2,'2004'!$B$2:$K$1621,10,0)),VLOOKUP($A134&amp;B$2,'2004'!$A$2:$K$1621,10,0),VLOOKUP($A134&amp;B$2,'2004'!$B$2:$K$1621,10,0))</f>
        <v>#N/A</v>
      </c>
      <c r="C134" s="36" t="e">
        <f>IF(ISNA(VLOOKUP($A134&amp;C$2,'2004'!$B$2:$K$1621,10,0)),VLOOKUP($A134&amp;C$2,'2004'!$A$2:$K$1621,10,0),VLOOKUP($A134&amp;C$2,'2004'!$B$2:$K$1621,10,0))</f>
        <v>#N/A</v>
      </c>
      <c r="D134" s="36" t="str">
        <f>IF(ISNA(VLOOKUP($A134&amp;D$2,'2004'!$B$2:$K$1621,10,0)),VLOOKUP($A134&amp;D$2,'2004'!$A$2:$K$1621,10,0),VLOOKUP($A134&amp;D$2,'2004'!$B$2:$K$1621,10,0))</f>
        <v>@NEP</v>
      </c>
      <c r="E134" s="36" t="e">
        <f>IF(ISNA(VLOOKUP($A134&amp;E$2,'2004'!$B$2:$K$1621,10,0)),VLOOKUP($A134&amp;E$2,'2004'!$A$2:$K$1621,10,0),VLOOKUP($A134&amp;E$2,'2004'!$B$2:$K$1621,10,0))</f>
        <v>#N/A</v>
      </c>
      <c r="F134" s="36" t="e">
        <f>IF(ISNA(VLOOKUP($A134&amp;F$2,'2004'!$B$2:$K$1621,10,0)),VLOOKUP($A134&amp;F$2,'2004'!$A$2:$K$1621,10,0),VLOOKUP($A134&amp;F$2,'2004'!$B$2:$K$1621,10,0))</f>
        <v>#N/A</v>
      </c>
      <c r="G134" s="35" t="e">
        <f>IF(ISNA(VLOOKUP($A134&amp;G$2,'2004'!$B$2:$K$1621,10,0)),VLOOKUP($A134&amp;G$2,'2004'!$A$2:$K$1621,10,0),VLOOKUP($A134&amp;G$2,'2004'!$B$2:$K$1621,10,0))</f>
        <v>#N/A</v>
      </c>
      <c r="H134" s="35" t="e">
        <f>IF(ISNA(VLOOKUP($A134&amp;H$2,'2004'!$B$2:$K$1621,10,0)),VLOOKUP($A134&amp;H$2,'2004'!$A$2:$K$1621,10,0),VLOOKUP($A134&amp;H$2,'2004'!$B$2:$K$1621,10,0))</f>
        <v>#N/A</v>
      </c>
      <c r="I134" s="35" t="str">
        <f>IF(ISNA(VLOOKUP($A134&amp;I$2,'2004'!$B$2:$K$1621,10,0)),VLOOKUP($A134&amp;I$2,'2004'!$A$2:$K$1621,10,0),VLOOKUP($A134&amp;I$2,'2004'!$B$2:$K$1621,10,0))</f>
        <v>CTW</v>
      </c>
      <c r="J134" s="35" t="e">
        <f>IF(ISNA(VLOOKUP($A134&amp;J$2,'2004'!$B$2:$K$1621,10,0)),VLOOKUP($A134&amp;J$2,'2004'!$A$2:$K$1621,10,0),VLOOKUP($A134&amp;J$2,'2004'!$B$2:$K$1621,10,0))</f>
        <v>#N/A</v>
      </c>
      <c r="K134" s="35" t="e">
        <f>IF(ISNA(VLOOKUP($A134&amp;K$2,'2004'!$B$2:$K$1621,10,0)),VLOOKUP($A134&amp;K$2,'2004'!$A$2:$K$1621,10,0),VLOOKUP($A134&amp;K$2,'2004'!$B$2:$K$1621,10,0))</f>
        <v>#N/A</v>
      </c>
      <c r="L134" s="34" t="e">
        <f>IF(ISNA(VLOOKUP($A134&amp;L$2,'2004'!$B$2:$K$1621,10,0)),VLOOKUP($A134&amp;L$2,'2004'!$A$2:$K$1621,10,0),VLOOKUP($A134&amp;L$2,'2004'!$B$2:$K$1621,10,0))</f>
        <v>#N/A</v>
      </c>
      <c r="M134" s="34" t="e">
        <f>IF(ISNA(VLOOKUP($A134&amp;M$2,'2004'!$B$2:$K$1621,10,0)),VLOOKUP($A134&amp;M$2,'2004'!$A$2:$K$1621,10,0),VLOOKUP($A134&amp;M$2,'2004'!$B$2:$K$1621,10,0))</f>
        <v>#N/A</v>
      </c>
      <c r="N134" s="34" t="e">
        <f>IF(ISNA(VLOOKUP($A134&amp;N$2,'2004'!$B$2:$K$1621,10,0)),VLOOKUP($A134&amp;N$2,'2004'!$A$2:$K$1621,10,0),VLOOKUP($A134&amp;N$2,'2004'!$B$2:$K$1621,10,0))</f>
        <v>#N/A</v>
      </c>
      <c r="O134" s="34" t="e">
        <f>IF(ISNA(VLOOKUP($A134&amp;O$2,'2004'!$B$2:$K$1621,10,0)),VLOOKUP($A134&amp;O$2,'2004'!$A$2:$K$1621,10,0),VLOOKUP($A134&amp;O$2,'2004'!$B$2:$K$1621,10,0))</f>
        <v>#N/A</v>
      </c>
      <c r="P134" s="34" t="str">
        <f>IF(ISNA(VLOOKUP($A134&amp;P$2,'2004'!$B$2:$K$1621,10,0)),VLOOKUP($A134&amp;P$2,'2004'!$A$2:$K$1621,10,0),VLOOKUP($A134&amp;P$2,'2004'!$B$2:$K$1621,10,0))</f>
        <v>@PHI</v>
      </c>
      <c r="Q134" s="38" t="e">
        <f>IF(ISNA(VLOOKUP($A134&amp;Q$2,'2004'!$B$2:$K$1621,10,0)),VLOOKUP($A134&amp;Q$2,'2004'!$A$2:$K$1621,10,0),VLOOKUP($A134&amp;Q$2,'2004'!$B$2:$K$1621,10,0))</f>
        <v>#N/A</v>
      </c>
      <c r="R134" s="38" t="e">
        <f>IF(ISNA(VLOOKUP($A134&amp;R$2,'2004'!$B$2:$K$1621,10,0)),VLOOKUP($A134&amp;R$2,'2004'!$A$2:$K$1621,10,0),VLOOKUP($A134&amp;R$2,'2004'!$B$2:$K$1621,10,0))</f>
        <v>#N/A</v>
      </c>
      <c r="S134" s="38" t="e">
        <f>IF(ISNA(VLOOKUP($A134&amp;S$2,'2004'!$B$2:$K$1621,10,0)),VLOOKUP($A134&amp;S$2,'2004'!$A$2:$K$1621,10,0),VLOOKUP($A134&amp;S$2,'2004'!$B$2:$K$1621,10,0))</f>
        <v>#N/A</v>
      </c>
      <c r="T134" s="38" t="e">
        <f>IF(ISNA(VLOOKUP($A134&amp;T$2,'2004'!$B$2:$K$1621,10,0)),VLOOKUP($A134&amp;T$2,'2004'!$A$2:$K$1621,10,0),VLOOKUP($A134&amp;T$2,'2004'!$B$2:$K$1621,10,0))</f>
        <v>#N/A</v>
      </c>
      <c r="U134" s="38" t="str">
        <f>IF(ISNA(VLOOKUP($A134&amp;U$2,'2004'!$B$2:$K$1621,10,0)),VLOOKUP($A134&amp;U$2,'2004'!$A$2:$K$1621,10,0),VLOOKUP($A134&amp;U$2,'2004'!$B$2:$K$1621,10,0))</f>
        <v>RMO</v>
      </c>
    </row>
    <row r="135" spans="1:21" x14ac:dyDescent="0.25">
      <c r="A135" s="40">
        <f t="shared" si="2"/>
        <v>38212</v>
      </c>
      <c r="B135" s="36" t="e">
        <f>IF(ISNA(VLOOKUP($A135&amp;B$2,'2004'!$B$2:$K$1621,10,0)),VLOOKUP($A135&amp;B$2,'2004'!$A$2:$K$1621,10,0),VLOOKUP($A135&amp;B$2,'2004'!$B$2:$K$1621,10,0))</f>
        <v>#N/A</v>
      </c>
      <c r="C135" s="36" t="e">
        <f>IF(ISNA(VLOOKUP($A135&amp;C$2,'2004'!$B$2:$K$1621,10,0)),VLOOKUP($A135&amp;C$2,'2004'!$A$2:$K$1621,10,0),VLOOKUP($A135&amp;C$2,'2004'!$B$2:$K$1621,10,0))</f>
        <v>#N/A</v>
      </c>
      <c r="D135" s="36" t="e">
        <f>IF(ISNA(VLOOKUP($A135&amp;D$2,'2004'!$B$2:$K$1621,10,0)),VLOOKUP($A135&amp;D$2,'2004'!$A$2:$K$1621,10,0),VLOOKUP($A135&amp;D$2,'2004'!$B$2:$K$1621,10,0))</f>
        <v>#N/A</v>
      </c>
      <c r="E135" s="36" t="e">
        <f>IF(ISNA(VLOOKUP($A135&amp;E$2,'2004'!$B$2:$K$1621,10,0)),VLOOKUP($A135&amp;E$2,'2004'!$A$2:$K$1621,10,0),VLOOKUP($A135&amp;E$2,'2004'!$B$2:$K$1621,10,0))</f>
        <v>#N/A</v>
      </c>
      <c r="F135" s="36" t="e">
        <f>IF(ISNA(VLOOKUP($A135&amp;F$2,'2004'!$B$2:$K$1621,10,0)),VLOOKUP($A135&amp;F$2,'2004'!$A$2:$K$1621,10,0),VLOOKUP($A135&amp;F$2,'2004'!$B$2:$K$1621,10,0))</f>
        <v>#N/A</v>
      </c>
      <c r="G135" s="35" t="e">
        <f>IF(ISNA(VLOOKUP($A135&amp;G$2,'2004'!$B$2:$K$1621,10,0)),VLOOKUP($A135&amp;G$2,'2004'!$A$2:$K$1621,10,0),VLOOKUP($A135&amp;G$2,'2004'!$B$2:$K$1621,10,0))</f>
        <v>#N/A</v>
      </c>
      <c r="H135" s="35" t="e">
        <f>IF(ISNA(VLOOKUP($A135&amp;H$2,'2004'!$B$2:$K$1621,10,0)),VLOOKUP($A135&amp;H$2,'2004'!$A$2:$K$1621,10,0),VLOOKUP($A135&amp;H$2,'2004'!$B$2:$K$1621,10,0))</f>
        <v>#N/A</v>
      </c>
      <c r="I135" s="35" t="e">
        <f>IF(ISNA(VLOOKUP($A135&amp;I$2,'2004'!$B$2:$K$1621,10,0)),VLOOKUP($A135&amp;I$2,'2004'!$A$2:$K$1621,10,0),VLOOKUP($A135&amp;I$2,'2004'!$B$2:$K$1621,10,0))</f>
        <v>#N/A</v>
      </c>
      <c r="J135" s="35" t="e">
        <f>IF(ISNA(VLOOKUP($A135&amp;J$2,'2004'!$B$2:$K$1621,10,0)),VLOOKUP($A135&amp;J$2,'2004'!$A$2:$K$1621,10,0),VLOOKUP($A135&amp;J$2,'2004'!$B$2:$K$1621,10,0))</f>
        <v>#N/A</v>
      </c>
      <c r="K135" s="35" t="e">
        <f>IF(ISNA(VLOOKUP($A135&amp;K$2,'2004'!$B$2:$K$1621,10,0)),VLOOKUP($A135&amp;K$2,'2004'!$A$2:$K$1621,10,0),VLOOKUP($A135&amp;K$2,'2004'!$B$2:$K$1621,10,0))</f>
        <v>#N/A</v>
      </c>
      <c r="L135" s="34" t="e">
        <f>IF(ISNA(VLOOKUP($A135&amp;L$2,'2004'!$B$2:$K$1621,10,0)),VLOOKUP($A135&amp;L$2,'2004'!$A$2:$K$1621,10,0),VLOOKUP($A135&amp;L$2,'2004'!$B$2:$K$1621,10,0))</f>
        <v>#N/A</v>
      </c>
      <c r="M135" s="34" t="e">
        <f>IF(ISNA(VLOOKUP($A135&amp;M$2,'2004'!$B$2:$K$1621,10,0)),VLOOKUP($A135&amp;M$2,'2004'!$A$2:$K$1621,10,0),VLOOKUP($A135&amp;M$2,'2004'!$B$2:$K$1621,10,0))</f>
        <v>#N/A</v>
      </c>
      <c r="N135" s="34" t="e">
        <f>IF(ISNA(VLOOKUP($A135&amp;N$2,'2004'!$B$2:$K$1621,10,0)),VLOOKUP($A135&amp;N$2,'2004'!$A$2:$K$1621,10,0),VLOOKUP($A135&amp;N$2,'2004'!$B$2:$K$1621,10,0))</f>
        <v>#N/A</v>
      </c>
      <c r="O135" s="34" t="e">
        <f>IF(ISNA(VLOOKUP($A135&amp;O$2,'2004'!$B$2:$K$1621,10,0)),VLOOKUP($A135&amp;O$2,'2004'!$A$2:$K$1621,10,0),VLOOKUP($A135&amp;O$2,'2004'!$B$2:$K$1621,10,0))</f>
        <v>#N/A</v>
      </c>
      <c r="P135" s="34" t="e">
        <f>IF(ISNA(VLOOKUP($A135&amp;P$2,'2004'!$B$2:$K$1621,10,0)),VLOOKUP($A135&amp;P$2,'2004'!$A$2:$K$1621,10,0),VLOOKUP($A135&amp;P$2,'2004'!$B$2:$K$1621,10,0))</f>
        <v>#N/A</v>
      </c>
      <c r="Q135" s="38" t="e">
        <f>IF(ISNA(VLOOKUP($A135&amp;Q$2,'2004'!$B$2:$K$1621,10,0)),VLOOKUP($A135&amp;Q$2,'2004'!$A$2:$K$1621,10,0),VLOOKUP($A135&amp;Q$2,'2004'!$B$2:$K$1621,10,0))</f>
        <v>#N/A</v>
      </c>
      <c r="R135" s="38" t="e">
        <f>IF(ISNA(VLOOKUP($A135&amp;R$2,'2004'!$B$2:$K$1621,10,0)),VLOOKUP($A135&amp;R$2,'2004'!$A$2:$K$1621,10,0),VLOOKUP($A135&amp;R$2,'2004'!$B$2:$K$1621,10,0))</f>
        <v>#N/A</v>
      </c>
      <c r="S135" s="38" t="e">
        <f>IF(ISNA(VLOOKUP($A135&amp;S$2,'2004'!$B$2:$K$1621,10,0)),VLOOKUP($A135&amp;S$2,'2004'!$A$2:$K$1621,10,0),VLOOKUP($A135&amp;S$2,'2004'!$B$2:$K$1621,10,0))</f>
        <v>#N/A</v>
      </c>
      <c r="T135" s="38" t="e">
        <f>IF(ISNA(VLOOKUP($A135&amp;T$2,'2004'!$B$2:$K$1621,10,0)),VLOOKUP($A135&amp;T$2,'2004'!$A$2:$K$1621,10,0),VLOOKUP($A135&amp;T$2,'2004'!$B$2:$K$1621,10,0))</f>
        <v>#N/A</v>
      </c>
      <c r="U135" s="38" t="e">
        <f>IF(ISNA(VLOOKUP($A135&amp;U$2,'2004'!$B$2:$K$1621,10,0)),VLOOKUP($A135&amp;U$2,'2004'!$A$2:$K$1621,10,0),VLOOKUP($A135&amp;U$2,'2004'!$B$2:$K$1621,10,0))</f>
        <v>#N/A</v>
      </c>
    </row>
    <row r="136" spans="1:21" x14ac:dyDescent="0.25">
      <c r="A136" s="40">
        <f t="shared" si="2"/>
        <v>38213</v>
      </c>
      <c r="B136" s="36" t="str">
        <f>IF(ISNA(VLOOKUP($A136&amp;B$2,'2004'!$B$2:$K$1621,10,0)),VLOOKUP($A136&amp;B$2,'2004'!$A$2:$K$1621,10,0),VLOOKUP($A136&amp;B$2,'2004'!$B$2:$K$1621,10,0))</f>
        <v>@CIN</v>
      </c>
      <c r="C136" s="36" t="str">
        <f>IF(ISNA(VLOOKUP($A136&amp;C$2,'2004'!$B$2:$K$1621,10,0)),VLOOKUP($A136&amp;C$2,'2004'!$A$2:$K$1621,10,0),VLOOKUP($A136&amp;C$2,'2004'!$B$2:$K$1621,10,0))</f>
        <v>@GAR</v>
      </c>
      <c r="D136" s="36" t="str">
        <f>IF(ISNA(VLOOKUP($A136&amp;D$2,'2004'!$B$2:$K$1621,10,0)),VLOOKUP($A136&amp;D$2,'2004'!$A$2:$K$1621,10,0),VLOOKUP($A136&amp;D$2,'2004'!$B$2:$K$1621,10,0))</f>
        <v>NEP</v>
      </c>
      <c r="E136" s="36" t="str">
        <f>IF(ISNA(VLOOKUP($A136&amp;E$2,'2004'!$B$2:$K$1621,10,0)),VLOOKUP($A136&amp;E$2,'2004'!$A$2:$K$1621,10,0),VLOOKUP($A136&amp;E$2,'2004'!$B$2:$K$1621,10,0))</f>
        <v>BBG</v>
      </c>
      <c r="F136" s="36" t="str">
        <f>IF(ISNA(VLOOKUP($A136&amp;F$2,'2004'!$B$2:$K$1621,10,0)),VLOOKUP($A136&amp;F$2,'2004'!$A$2:$K$1621,10,0),VLOOKUP($A136&amp;F$2,'2004'!$B$2:$K$1621,10,0))</f>
        <v>BAR</v>
      </c>
      <c r="G136" s="35" t="str">
        <f>IF(ISNA(VLOOKUP($A136&amp;G$2,'2004'!$B$2:$K$1621,10,0)),VLOOKUP($A136&amp;G$2,'2004'!$A$2:$K$1621,10,0),VLOOKUP($A136&amp;G$2,'2004'!$B$2:$K$1621,10,0))</f>
        <v>@REN</v>
      </c>
      <c r="H136" s="35" t="str">
        <f>IF(ISNA(VLOOKUP($A136&amp;H$2,'2004'!$B$2:$K$1621,10,0)),VLOOKUP($A136&amp;H$2,'2004'!$A$2:$K$1621,10,0),VLOOKUP($A136&amp;H$2,'2004'!$B$2:$K$1621,10,0))</f>
        <v>TEW</v>
      </c>
      <c r="I136" s="35" t="str">
        <f>IF(ISNA(VLOOKUP($A136&amp;I$2,'2004'!$B$2:$K$1621,10,0)),VLOOKUP($A136&amp;I$2,'2004'!$A$2:$K$1621,10,0),VLOOKUP($A136&amp;I$2,'2004'!$B$2:$K$1621,10,0))</f>
        <v>@CTW</v>
      </c>
      <c r="J136" s="35" t="str">
        <f>IF(ISNA(VLOOKUP($A136&amp;J$2,'2004'!$B$2:$K$1621,10,0)),VLOOKUP($A136&amp;J$2,'2004'!$A$2:$K$1621,10,0),VLOOKUP($A136&amp;J$2,'2004'!$B$2:$K$1621,10,0))</f>
        <v>CEN</v>
      </c>
      <c r="K136" s="35" t="str">
        <f>IF(ISNA(VLOOKUP($A136&amp;K$2,'2004'!$B$2:$K$1621,10,0)),VLOOKUP($A136&amp;K$2,'2004'!$A$2:$K$1621,10,0),VLOOKUP($A136&amp;K$2,'2004'!$B$2:$K$1621,10,0))</f>
        <v>@FDH</v>
      </c>
      <c r="L136" s="34" t="str">
        <f>IF(ISNA(VLOOKUP($A136&amp;L$2,'2004'!$B$2:$K$1621,10,0)),VLOOKUP($A136&amp;L$2,'2004'!$A$2:$K$1621,10,0),VLOOKUP($A136&amp;L$2,'2004'!$B$2:$K$1621,10,0))</f>
        <v>FFR</v>
      </c>
      <c r="M136" s="34" t="str">
        <f>IF(ISNA(VLOOKUP($A136&amp;M$2,'2004'!$B$2:$K$1621,10,0)),VLOOKUP($A136&amp;M$2,'2004'!$A$2:$K$1621,10,0),VLOOKUP($A136&amp;M$2,'2004'!$B$2:$K$1621,10,0))</f>
        <v>@DIG</v>
      </c>
      <c r="N136" s="34" t="str">
        <f>IF(ISNA(VLOOKUP($A136&amp;N$2,'2004'!$B$2:$K$1621,10,0)),VLOOKUP($A136&amp;N$2,'2004'!$A$2:$K$1621,10,0),VLOOKUP($A136&amp;N$2,'2004'!$B$2:$K$1621,10,0))</f>
        <v>OKO</v>
      </c>
      <c r="O136" s="34" t="str">
        <f>IF(ISNA(VLOOKUP($A136&amp;O$2,'2004'!$B$2:$K$1621,10,0)),VLOOKUP($A136&amp;O$2,'2004'!$A$2:$K$1621,10,0),VLOOKUP($A136&amp;O$2,'2004'!$B$2:$K$1621,10,0))</f>
        <v>@NNN</v>
      </c>
      <c r="P136" s="34" t="str">
        <f>IF(ISNA(VLOOKUP($A136&amp;P$2,'2004'!$B$2:$K$1621,10,0)),VLOOKUP($A136&amp;P$2,'2004'!$A$2:$K$1621,10,0),VLOOKUP($A136&amp;P$2,'2004'!$B$2:$K$1621,10,0))</f>
        <v>PHI</v>
      </c>
      <c r="Q136" s="38" t="str">
        <f>IF(ISNA(VLOOKUP($A136&amp;Q$2,'2004'!$B$2:$K$1621,10,0)),VLOOKUP($A136&amp;Q$2,'2004'!$A$2:$K$1621,10,0),VLOOKUP($A136&amp;Q$2,'2004'!$B$2:$K$1621,10,0))</f>
        <v>HAR</v>
      </c>
      <c r="R136" s="38" t="str">
        <f>IF(ISNA(VLOOKUP($A136&amp;R$2,'2004'!$B$2:$K$1621,10,0)),VLOOKUP($A136&amp;R$2,'2004'!$A$2:$K$1621,10,0),VLOOKUP($A136&amp;R$2,'2004'!$B$2:$K$1621,10,0))</f>
        <v>@NYD</v>
      </c>
      <c r="S136" s="38" t="str">
        <f>IF(ISNA(VLOOKUP($A136&amp;S$2,'2004'!$B$2:$K$1621,10,0)),VLOOKUP($A136&amp;S$2,'2004'!$A$2:$K$1621,10,0),VLOOKUP($A136&amp;S$2,'2004'!$B$2:$K$1621,10,0))</f>
        <v>@BRK</v>
      </c>
      <c r="T136" s="38" t="str">
        <f>IF(ISNA(VLOOKUP($A136&amp;T$2,'2004'!$B$2:$K$1621,10,0)),VLOOKUP($A136&amp;T$2,'2004'!$A$2:$K$1621,10,0),VLOOKUP($A136&amp;T$2,'2004'!$B$2:$K$1621,10,0))</f>
        <v>CBB</v>
      </c>
      <c r="U136" s="38" t="str">
        <f>IF(ISNA(VLOOKUP($A136&amp;U$2,'2004'!$B$2:$K$1621,10,0)),VLOOKUP($A136&amp;U$2,'2004'!$A$2:$K$1621,10,0),VLOOKUP($A136&amp;U$2,'2004'!$B$2:$K$1621,10,0))</f>
        <v>@RMO</v>
      </c>
    </row>
    <row r="137" spans="1:21" x14ac:dyDescent="0.25">
      <c r="A137" s="40">
        <f t="shared" si="2"/>
        <v>38214</v>
      </c>
      <c r="B137" s="36" t="str">
        <f>IF(ISNA(VLOOKUP($A137&amp;B$2,'2004'!$B$2:$K$1621,10,0)),VLOOKUP($A137&amp;B$2,'2004'!$A$2:$K$1621,10,0),VLOOKUP($A137&amp;B$2,'2004'!$B$2:$K$1621,10,0))</f>
        <v>@CIN</v>
      </c>
      <c r="C137" s="36" t="str">
        <f>IF(ISNA(VLOOKUP($A137&amp;C$2,'2004'!$B$2:$K$1621,10,0)),VLOOKUP($A137&amp;C$2,'2004'!$A$2:$K$1621,10,0),VLOOKUP($A137&amp;C$2,'2004'!$B$2:$K$1621,10,0))</f>
        <v>@GAR</v>
      </c>
      <c r="D137" s="36" t="str">
        <f>IF(ISNA(VLOOKUP($A137&amp;D$2,'2004'!$B$2:$K$1621,10,0)),VLOOKUP($A137&amp;D$2,'2004'!$A$2:$K$1621,10,0),VLOOKUP($A137&amp;D$2,'2004'!$B$2:$K$1621,10,0))</f>
        <v>NEP</v>
      </c>
      <c r="E137" s="36" t="str">
        <f>IF(ISNA(VLOOKUP($A137&amp;E$2,'2004'!$B$2:$K$1621,10,0)),VLOOKUP($A137&amp;E$2,'2004'!$A$2:$K$1621,10,0),VLOOKUP($A137&amp;E$2,'2004'!$B$2:$K$1621,10,0))</f>
        <v>BBG</v>
      </c>
      <c r="F137" s="36" t="str">
        <f>IF(ISNA(VLOOKUP($A137&amp;F$2,'2004'!$B$2:$K$1621,10,0)),VLOOKUP($A137&amp;F$2,'2004'!$A$2:$K$1621,10,0),VLOOKUP($A137&amp;F$2,'2004'!$B$2:$K$1621,10,0))</f>
        <v>BAR</v>
      </c>
      <c r="G137" s="35" t="str">
        <f>IF(ISNA(VLOOKUP($A137&amp;G$2,'2004'!$B$2:$K$1621,10,0)),VLOOKUP($A137&amp;G$2,'2004'!$A$2:$K$1621,10,0),VLOOKUP($A137&amp;G$2,'2004'!$B$2:$K$1621,10,0))</f>
        <v>@REN</v>
      </c>
      <c r="H137" s="35" t="str">
        <f>IF(ISNA(VLOOKUP($A137&amp;H$2,'2004'!$B$2:$K$1621,10,0)),VLOOKUP($A137&amp;H$2,'2004'!$A$2:$K$1621,10,0),VLOOKUP($A137&amp;H$2,'2004'!$B$2:$K$1621,10,0))</f>
        <v>TEW</v>
      </c>
      <c r="I137" s="35" t="str">
        <f>IF(ISNA(VLOOKUP($A137&amp;I$2,'2004'!$B$2:$K$1621,10,0)),VLOOKUP($A137&amp;I$2,'2004'!$A$2:$K$1621,10,0),VLOOKUP($A137&amp;I$2,'2004'!$B$2:$K$1621,10,0))</f>
        <v>@CTW</v>
      </c>
      <c r="J137" s="35" t="str">
        <f>IF(ISNA(VLOOKUP($A137&amp;J$2,'2004'!$B$2:$K$1621,10,0)),VLOOKUP($A137&amp;J$2,'2004'!$A$2:$K$1621,10,0),VLOOKUP($A137&amp;J$2,'2004'!$B$2:$K$1621,10,0))</f>
        <v>CEN</v>
      </c>
      <c r="K137" s="35" t="str">
        <f>IF(ISNA(VLOOKUP($A137&amp;K$2,'2004'!$B$2:$K$1621,10,0)),VLOOKUP($A137&amp;K$2,'2004'!$A$2:$K$1621,10,0),VLOOKUP($A137&amp;K$2,'2004'!$B$2:$K$1621,10,0))</f>
        <v>@FDH</v>
      </c>
      <c r="L137" s="34" t="str">
        <f>IF(ISNA(VLOOKUP($A137&amp;L$2,'2004'!$B$2:$K$1621,10,0)),VLOOKUP($A137&amp;L$2,'2004'!$A$2:$K$1621,10,0),VLOOKUP($A137&amp;L$2,'2004'!$B$2:$K$1621,10,0))</f>
        <v>FFR</v>
      </c>
      <c r="M137" s="34" t="str">
        <f>IF(ISNA(VLOOKUP($A137&amp;M$2,'2004'!$B$2:$K$1621,10,0)),VLOOKUP($A137&amp;M$2,'2004'!$A$2:$K$1621,10,0),VLOOKUP($A137&amp;M$2,'2004'!$B$2:$K$1621,10,0))</f>
        <v>@DIG</v>
      </c>
      <c r="N137" s="34" t="str">
        <f>IF(ISNA(VLOOKUP($A137&amp;N$2,'2004'!$B$2:$K$1621,10,0)),VLOOKUP($A137&amp;N$2,'2004'!$A$2:$K$1621,10,0),VLOOKUP($A137&amp;N$2,'2004'!$B$2:$K$1621,10,0))</f>
        <v>OKO</v>
      </c>
      <c r="O137" s="34" t="str">
        <f>IF(ISNA(VLOOKUP($A137&amp;O$2,'2004'!$B$2:$K$1621,10,0)),VLOOKUP($A137&amp;O$2,'2004'!$A$2:$K$1621,10,0),VLOOKUP($A137&amp;O$2,'2004'!$B$2:$K$1621,10,0))</f>
        <v>@NNN</v>
      </c>
      <c r="P137" s="34" t="str">
        <f>IF(ISNA(VLOOKUP($A137&amp;P$2,'2004'!$B$2:$K$1621,10,0)),VLOOKUP($A137&amp;P$2,'2004'!$A$2:$K$1621,10,0),VLOOKUP($A137&amp;P$2,'2004'!$B$2:$K$1621,10,0))</f>
        <v>PHI</v>
      </c>
      <c r="Q137" s="38" t="str">
        <f>IF(ISNA(VLOOKUP($A137&amp;Q$2,'2004'!$B$2:$K$1621,10,0)),VLOOKUP($A137&amp;Q$2,'2004'!$A$2:$K$1621,10,0),VLOOKUP($A137&amp;Q$2,'2004'!$B$2:$K$1621,10,0))</f>
        <v>HAR</v>
      </c>
      <c r="R137" s="38" t="str">
        <f>IF(ISNA(VLOOKUP($A137&amp;R$2,'2004'!$B$2:$K$1621,10,0)),VLOOKUP($A137&amp;R$2,'2004'!$A$2:$K$1621,10,0),VLOOKUP($A137&amp;R$2,'2004'!$B$2:$K$1621,10,0))</f>
        <v>@NYD</v>
      </c>
      <c r="S137" s="38" t="str">
        <f>IF(ISNA(VLOOKUP($A137&amp;S$2,'2004'!$B$2:$K$1621,10,0)),VLOOKUP($A137&amp;S$2,'2004'!$A$2:$K$1621,10,0),VLOOKUP($A137&amp;S$2,'2004'!$B$2:$K$1621,10,0))</f>
        <v>@BRK</v>
      </c>
      <c r="T137" s="38" t="str">
        <f>IF(ISNA(VLOOKUP($A137&amp;T$2,'2004'!$B$2:$K$1621,10,0)),VLOOKUP($A137&amp;T$2,'2004'!$A$2:$K$1621,10,0),VLOOKUP($A137&amp;T$2,'2004'!$B$2:$K$1621,10,0))</f>
        <v>CBB</v>
      </c>
      <c r="U137" s="38" t="str">
        <f>IF(ISNA(VLOOKUP($A137&amp;U$2,'2004'!$B$2:$K$1621,10,0)),VLOOKUP($A137&amp;U$2,'2004'!$A$2:$K$1621,10,0),VLOOKUP($A137&amp;U$2,'2004'!$B$2:$K$1621,10,0))</f>
        <v>@RMO</v>
      </c>
    </row>
    <row r="138" spans="1:21" x14ac:dyDescent="0.25">
      <c r="A138" s="40">
        <f t="shared" si="2"/>
        <v>38215</v>
      </c>
      <c r="B138" s="36" t="str">
        <f>IF(ISNA(VLOOKUP($A138&amp;B$2,'2004'!$B$2:$K$1621,10,0)),VLOOKUP($A138&amp;B$2,'2004'!$A$2:$K$1621,10,0),VLOOKUP($A138&amp;B$2,'2004'!$B$2:$K$1621,10,0))</f>
        <v>NYD</v>
      </c>
      <c r="C138" s="36" t="str">
        <f>IF(ISNA(VLOOKUP($A138&amp;C$2,'2004'!$B$2:$K$1621,10,0)),VLOOKUP($A138&amp;C$2,'2004'!$A$2:$K$1621,10,0),VLOOKUP($A138&amp;C$2,'2004'!$B$2:$K$1621,10,0))</f>
        <v>BRK</v>
      </c>
      <c r="D138" s="36" t="str">
        <f>IF(ISNA(VLOOKUP($A138&amp;D$2,'2004'!$B$2:$K$1621,10,0)),VLOOKUP($A138&amp;D$2,'2004'!$A$2:$K$1621,10,0),VLOOKUP($A138&amp;D$2,'2004'!$B$2:$K$1621,10,0))</f>
        <v>HAR</v>
      </c>
      <c r="E138" s="36" t="str">
        <f>IF(ISNA(VLOOKUP($A138&amp;E$2,'2004'!$B$2:$K$1621,10,0)),VLOOKUP($A138&amp;E$2,'2004'!$A$2:$K$1621,10,0),VLOOKUP($A138&amp;E$2,'2004'!$B$2:$K$1621,10,0))</f>
        <v>PHI</v>
      </c>
      <c r="F138" s="36" t="str">
        <f>IF(ISNA(VLOOKUP($A138&amp;F$2,'2004'!$B$2:$K$1621,10,0)),VLOOKUP($A138&amp;F$2,'2004'!$A$2:$K$1621,10,0),VLOOKUP($A138&amp;F$2,'2004'!$B$2:$K$1621,10,0))</f>
        <v>CBB</v>
      </c>
      <c r="G138" s="35" t="str">
        <f>IF(ISNA(VLOOKUP($A138&amp;G$2,'2004'!$B$2:$K$1621,10,0)),VLOOKUP($A138&amp;G$2,'2004'!$A$2:$K$1621,10,0),VLOOKUP($A138&amp;G$2,'2004'!$B$2:$K$1621,10,0))</f>
        <v>DIG</v>
      </c>
      <c r="H138" s="35" t="str">
        <f>IF(ISNA(VLOOKUP($A138&amp;H$2,'2004'!$B$2:$K$1621,10,0)),VLOOKUP($A138&amp;H$2,'2004'!$A$2:$K$1621,10,0),VLOOKUP($A138&amp;H$2,'2004'!$B$2:$K$1621,10,0))</f>
        <v>RMO</v>
      </c>
      <c r="I138" s="35" t="str">
        <f>IF(ISNA(VLOOKUP($A138&amp;I$2,'2004'!$B$2:$K$1621,10,0)),VLOOKUP($A138&amp;I$2,'2004'!$A$2:$K$1621,10,0),VLOOKUP($A138&amp;I$2,'2004'!$B$2:$K$1621,10,0))</f>
        <v>FFR</v>
      </c>
      <c r="J138" s="35" t="str">
        <f>IF(ISNA(VLOOKUP($A138&amp;J$2,'2004'!$B$2:$K$1621,10,0)),VLOOKUP($A138&amp;J$2,'2004'!$A$2:$K$1621,10,0),VLOOKUP($A138&amp;J$2,'2004'!$B$2:$K$1621,10,0))</f>
        <v>OKO</v>
      </c>
      <c r="K138" s="35" t="str">
        <f>IF(ISNA(VLOOKUP($A138&amp;K$2,'2004'!$B$2:$K$1621,10,0)),VLOOKUP($A138&amp;K$2,'2004'!$A$2:$K$1621,10,0),VLOOKUP($A138&amp;K$2,'2004'!$B$2:$K$1621,10,0))</f>
        <v>NNN</v>
      </c>
      <c r="L138" s="34" t="str">
        <f>IF(ISNA(VLOOKUP($A138&amp;L$2,'2004'!$B$2:$K$1621,10,0)),VLOOKUP($A138&amp;L$2,'2004'!$A$2:$K$1621,10,0),VLOOKUP($A138&amp;L$2,'2004'!$B$2:$K$1621,10,0))</f>
        <v>@CEN</v>
      </c>
      <c r="M138" s="34" t="str">
        <f>IF(ISNA(VLOOKUP($A138&amp;M$2,'2004'!$B$2:$K$1621,10,0)),VLOOKUP($A138&amp;M$2,'2004'!$A$2:$K$1621,10,0),VLOOKUP($A138&amp;M$2,'2004'!$B$2:$K$1621,10,0))</f>
        <v>@NEP</v>
      </c>
      <c r="N138" s="34" t="str">
        <f>IF(ISNA(VLOOKUP($A138&amp;N$2,'2004'!$B$2:$K$1621,10,0)),VLOOKUP($A138&amp;N$2,'2004'!$A$2:$K$1621,10,0),VLOOKUP($A138&amp;N$2,'2004'!$B$2:$K$1621,10,0))</f>
        <v>@TEW</v>
      </c>
      <c r="O138" s="34" t="str">
        <f>IF(ISNA(VLOOKUP($A138&amp;O$2,'2004'!$B$2:$K$1621,10,0)),VLOOKUP($A138&amp;O$2,'2004'!$A$2:$K$1621,10,0),VLOOKUP($A138&amp;O$2,'2004'!$B$2:$K$1621,10,0))</f>
        <v>@REN</v>
      </c>
      <c r="P138" s="34" t="str">
        <f>IF(ISNA(VLOOKUP($A138&amp;P$2,'2004'!$B$2:$K$1621,10,0)),VLOOKUP($A138&amp;P$2,'2004'!$A$2:$K$1621,10,0),VLOOKUP($A138&amp;P$2,'2004'!$B$2:$K$1621,10,0))</f>
        <v>@FDH</v>
      </c>
      <c r="Q138" s="38" t="str">
        <f>IF(ISNA(VLOOKUP($A138&amp;Q$2,'2004'!$B$2:$K$1621,10,0)),VLOOKUP($A138&amp;Q$2,'2004'!$A$2:$K$1621,10,0),VLOOKUP($A138&amp;Q$2,'2004'!$B$2:$K$1621,10,0))</f>
        <v>@BAR</v>
      </c>
      <c r="R138" s="38" t="str">
        <f>IF(ISNA(VLOOKUP($A138&amp;R$2,'2004'!$B$2:$K$1621,10,0)),VLOOKUP($A138&amp;R$2,'2004'!$A$2:$K$1621,10,0),VLOOKUP($A138&amp;R$2,'2004'!$B$2:$K$1621,10,0))</f>
        <v>@GAR</v>
      </c>
      <c r="S138" s="38" t="str">
        <f>IF(ISNA(VLOOKUP($A138&amp;S$2,'2004'!$B$2:$K$1621,10,0)),VLOOKUP($A138&amp;S$2,'2004'!$A$2:$K$1621,10,0),VLOOKUP($A138&amp;S$2,'2004'!$B$2:$K$1621,10,0))</f>
        <v>@CTW</v>
      </c>
      <c r="T138" s="38" t="str">
        <f>IF(ISNA(VLOOKUP($A138&amp;T$2,'2004'!$B$2:$K$1621,10,0)),VLOOKUP($A138&amp;T$2,'2004'!$A$2:$K$1621,10,0),VLOOKUP($A138&amp;T$2,'2004'!$B$2:$K$1621,10,0))</f>
        <v>@BBG</v>
      </c>
      <c r="U138" s="38" t="str">
        <f>IF(ISNA(VLOOKUP($A138&amp;U$2,'2004'!$B$2:$K$1621,10,0)),VLOOKUP($A138&amp;U$2,'2004'!$A$2:$K$1621,10,0),VLOOKUP($A138&amp;U$2,'2004'!$B$2:$K$1621,10,0))</f>
        <v>@CIN</v>
      </c>
    </row>
    <row r="139" spans="1:21" x14ac:dyDescent="0.25">
      <c r="A139" s="40">
        <f t="shared" si="2"/>
        <v>38216</v>
      </c>
      <c r="B139" s="36" t="str">
        <f>IF(ISNA(VLOOKUP($A139&amp;B$2,'2004'!$B$2:$K$1621,10,0)),VLOOKUP($A139&amp;B$2,'2004'!$A$2:$K$1621,10,0),VLOOKUP($A139&amp;B$2,'2004'!$B$2:$K$1621,10,0))</f>
        <v>NYD</v>
      </c>
      <c r="C139" s="36" t="str">
        <f>IF(ISNA(VLOOKUP($A139&amp;C$2,'2004'!$B$2:$K$1621,10,0)),VLOOKUP($A139&amp;C$2,'2004'!$A$2:$K$1621,10,0),VLOOKUP($A139&amp;C$2,'2004'!$B$2:$K$1621,10,0))</f>
        <v>BRK</v>
      </c>
      <c r="D139" s="36" t="str">
        <f>IF(ISNA(VLOOKUP($A139&amp;D$2,'2004'!$B$2:$K$1621,10,0)),VLOOKUP($A139&amp;D$2,'2004'!$A$2:$K$1621,10,0),VLOOKUP($A139&amp;D$2,'2004'!$B$2:$K$1621,10,0))</f>
        <v>HAR</v>
      </c>
      <c r="E139" s="36" t="str">
        <f>IF(ISNA(VLOOKUP($A139&amp;E$2,'2004'!$B$2:$K$1621,10,0)),VLOOKUP($A139&amp;E$2,'2004'!$A$2:$K$1621,10,0),VLOOKUP($A139&amp;E$2,'2004'!$B$2:$K$1621,10,0))</f>
        <v>PHI</v>
      </c>
      <c r="F139" s="36" t="str">
        <f>IF(ISNA(VLOOKUP($A139&amp;F$2,'2004'!$B$2:$K$1621,10,0)),VLOOKUP($A139&amp;F$2,'2004'!$A$2:$K$1621,10,0),VLOOKUP($A139&amp;F$2,'2004'!$B$2:$K$1621,10,0))</f>
        <v>CBB</v>
      </c>
      <c r="G139" s="35" t="str">
        <f>IF(ISNA(VLOOKUP($A139&amp;G$2,'2004'!$B$2:$K$1621,10,0)),VLOOKUP($A139&amp;G$2,'2004'!$A$2:$K$1621,10,0),VLOOKUP($A139&amp;G$2,'2004'!$B$2:$K$1621,10,0))</f>
        <v>DIG</v>
      </c>
      <c r="H139" s="35" t="str">
        <f>IF(ISNA(VLOOKUP($A139&amp;H$2,'2004'!$B$2:$K$1621,10,0)),VLOOKUP($A139&amp;H$2,'2004'!$A$2:$K$1621,10,0),VLOOKUP($A139&amp;H$2,'2004'!$B$2:$K$1621,10,0))</f>
        <v>RMO</v>
      </c>
      <c r="I139" s="35" t="str">
        <f>IF(ISNA(VLOOKUP($A139&amp;I$2,'2004'!$B$2:$K$1621,10,0)),VLOOKUP($A139&amp;I$2,'2004'!$A$2:$K$1621,10,0),VLOOKUP($A139&amp;I$2,'2004'!$B$2:$K$1621,10,0))</f>
        <v>FFR</v>
      </c>
      <c r="J139" s="35" t="str">
        <f>IF(ISNA(VLOOKUP($A139&amp;J$2,'2004'!$B$2:$K$1621,10,0)),VLOOKUP($A139&amp;J$2,'2004'!$A$2:$K$1621,10,0),VLOOKUP($A139&amp;J$2,'2004'!$B$2:$K$1621,10,0))</f>
        <v>OKO</v>
      </c>
      <c r="K139" s="35" t="str">
        <f>IF(ISNA(VLOOKUP($A139&amp;K$2,'2004'!$B$2:$K$1621,10,0)),VLOOKUP($A139&amp;K$2,'2004'!$A$2:$K$1621,10,0),VLOOKUP($A139&amp;K$2,'2004'!$B$2:$K$1621,10,0))</f>
        <v>NNN</v>
      </c>
      <c r="L139" s="34" t="str">
        <f>IF(ISNA(VLOOKUP($A139&amp;L$2,'2004'!$B$2:$K$1621,10,0)),VLOOKUP($A139&amp;L$2,'2004'!$A$2:$K$1621,10,0),VLOOKUP($A139&amp;L$2,'2004'!$B$2:$K$1621,10,0))</f>
        <v>@CEN</v>
      </c>
      <c r="M139" s="34" t="str">
        <f>IF(ISNA(VLOOKUP($A139&amp;M$2,'2004'!$B$2:$K$1621,10,0)),VLOOKUP($A139&amp;M$2,'2004'!$A$2:$K$1621,10,0),VLOOKUP($A139&amp;M$2,'2004'!$B$2:$K$1621,10,0))</f>
        <v>@NEP</v>
      </c>
      <c r="N139" s="34" t="str">
        <f>IF(ISNA(VLOOKUP($A139&amp;N$2,'2004'!$B$2:$K$1621,10,0)),VLOOKUP($A139&amp;N$2,'2004'!$A$2:$K$1621,10,0),VLOOKUP($A139&amp;N$2,'2004'!$B$2:$K$1621,10,0))</f>
        <v>@TEW</v>
      </c>
      <c r="O139" s="34" t="str">
        <f>IF(ISNA(VLOOKUP($A139&amp;O$2,'2004'!$B$2:$K$1621,10,0)),VLOOKUP($A139&amp;O$2,'2004'!$A$2:$K$1621,10,0),VLOOKUP($A139&amp;O$2,'2004'!$B$2:$K$1621,10,0))</f>
        <v>@REN</v>
      </c>
      <c r="P139" s="34" t="str">
        <f>IF(ISNA(VLOOKUP($A139&amp;P$2,'2004'!$B$2:$K$1621,10,0)),VLOOKUP($A139&amp;P$2,'2004'!$A$2:$K$1621,10,0),VLOOKUP($A139&amp;P$2,'2004'!$B$2:$K$1621,10,0))</f>
        <v>@FDH</v>
      </c>
      <c r="Q139" s="38" t="str">
        <f>IF(ISNA(VLOOKUP($A139&amp;Q$2,'2004'!$B$2:$K$1621,10,0)),VLOOKUP($A139&amp;Q$2,'2004'!$A$2:$K$1621,10,0),VLOOKUP($A139&amp;Q$2,'2004'!$B$2:$K$1621,10,0))</f>
        <v>@BAR</v>
      </c>
      <c r="R139" s="38" t="str">
        <f>IF(ISNA(VLOOKUP($A139&amp;R$2,'2004'!$B$2:$K$1621,10,0)),VLOOKUP($A139&amp;R$2,'2004'!$A$2:$K$1621,10,0),VLOOKUP($A139&amp;R$2,'2004'!$B$2:$K$1621,10,0))</f>
        <v>@GAR</v>
      </c>
      <c r="S139" s="38" t="str">
        <f>IF(ISNA(VLOOKUP($A139&amp;S$2,'2004'!$B$2:$K$1621,10,0)),VLOOKUP($A139&amp;S$2,'2004'!$A$2:$K$1621,10,0),VLOOKUP($A139&amp;S$2,'2004'!$B$2:$K$1621,10,0))</f>
        <v>@CTW</v>
      </c>
      <c r="T139" s="38" t="str">
        <f>IF(ISNA(VLOOKUP($A139&amp;T$2,'2004'!$B$2:$K$1621,10,0)),VLOOKUP($A139&amp;T$2,'2004'!$A$2:$K$1621,10,0),VLOOKUP($A139&amp;T$2,'2004'!$B$2:$K$1621,10,0))</f>
        <v>@BBG</v>
      </c>
      <c r="U139" s="38" t="str">
        <f>IF(ISNA(VLOOKUP($A139&amp;U$2,'2004'!$B$2:$K$1621,10,0)),VLOOKUP($A139&amp;U$2,'2004'!$A$2:$K$1621,10,0),VLOOKUP($A139&amp;U$2,'2004'!$B$2:$K$1621,10,0))</f>
        <v>@CIN</v>
      </c>
    </row>
    <row r="140" spans="1:21" x14ac:dyDescent="0.25">
      <c r="A140" s="40">
        <f t="shared" si="2"/>
        <v>38217</v>
      </c>
      <c r="B140" s="36" t="str">
        <f>IF(ISNA(VLOOKUP($A140&amp;B$2,'2004'!$B$2:$K$1621,10,0)),VLOOKUP($A140&amp;B$2,'2004'!$A$2:$K$1621,10,0),VLOOKUP($A140&amp;B$2,'2004'!$B$2:$K$1621,10,0))</f>
        <v>NYD</v>
      </c>
      <c r="C140" s="36" t="str">
        <f>IF(ISNA(VLOOKUP($A140&amp;C$2,'2004'!$B$2:$K$1621,10,0)),VLOOKUP($A140&amp;C$2,'2004'!$A$2:$K$1621,10,0),VLOOKUP($A140&amp;C$2,'2004'!$B$2:$K$1621,10,0))</f>
        <v>BRK</v>
      </c>
      <c r="D140" s="36" t="str">
        <f>IF(ISNA(VLOOKUP($A140&amp;D$2,'2004'!$B$2:$K$1621,10,0)),VLOOKUP($A140&amp;D$2,'2004'!$A$2:$K$1621,10,0),VLOOKUP($A140&amp;D$2,'2004'!$B$2:$K$1621,10,0))</f>
        <v>HAR</v>
      </c>
      <c r="E140" s="36" t="str">
        <f>IF(ISNA(VLOOKUP($A140&amp;E$2,'2004'!$B$2:$K$1621,10,0)),VLOOKUP($A140&amp;E$2,'2004'!$A$2:$K$1621,10,0),VLOOKUP($A140&amp;E$2,'2004'!$B$2:$K$1621,10,0))</f>
        <v>PHI</v>
      </c>
      <c r="F140" s="36" t="str">
        <f>IF(ISNA(VLOOKUP($A140&amp;F$2,'2004'!$B$2:$K$1621,10,0)),VLOOKUP($A140&amp;F$2,'2004'!$A$2:$K$1621,10,0),VLOOKUP($A140&amp;F$2,'2004'!$B$2:$K$1621,10,0))</f>
        <v>CBB</v>
      </c>
      <c r="G140" s="35" t="str">
        <f>IF(ISNA(VLOOKUP($A140&amp;G$2,'2004'!$B$2:$K$1621,10,0)),VLOOKUP($A140&amp;G$2,'2004'!$A$2:$K$1621,10,0),VLOOKUP($A140&amp;G$2,'2004'!$B$2:$K$1621,10,0))</f>
        <v>DIG</v>
      </c>
      <c r="H140" s="35" t="str">
        <f>IF(ISNA(VLOOKUP($A140&amp;H$2,'2004'!$B$2:$K$1621,10,0)),VLOOKUP($A140&amp;H$2,'2004'!$A$2:$K$1621,10,0),VLOOKUP($A140&amp;H$2,'2004'!$B$2:$K$1621,10,0))</f>
        <v>RMO</v>
      </c>
      <c r="I140" s="35" t="str">
        <f>IF(ISNA(VLOOKUP($A140&amp;I$2,'2004'!$B$2:$K$1621,10,0)),VLOOKUP($A140&amp;I$2,'2004'!$A$2:$K$1621,10,0),VLOOKUP($A140&amp;I$2,'2004'!$B$2:$K$1621,10,0))</f>
        <v>FFR</v>
      </c>
      <c r="J140" s="35" t="str">
        <f>IF(ISNA(VLOOKUP($A140&amp;J$2,'2004'!$B$2:$K$1621,10,0)),VLOOKUP($A140&amp;J$2,'2004'!$A$2:$K$1621,10,0),VLOOKUP($A140&amp;J$2,'2004'!$B$2:$K$1621,10,0))</f>
        <v>OKO</v>
      </c>
      <c r="K140" s="35" t="str">
        <f>IF(ISNA(VLOOKUP($A140&amp;K$2,'2004'!$B$2:$K$1621,10,0)),VLOOKUP($A140&amp;K$2,'2004'!$A$2:$K$1621,10,0),VLOOKUP($A140&amp;K$2,'2004'!$B$2:$K$1621,10,0))</f>
        <v>NNN</v>
      </c>
      <c r="L140" s="34" t="str">
        <f>IF(ISNA(VLOOKUP($A140&amp;L$2,'2004'!$B$2:$K$1621,10,0)),VLOOKUP($A140&amp;L$2,'2004'!$A$2:$K$1621,10,0),VLOOKUP($A140&amp;L$2,'2004'!$B$2:$K$1621,10,0))</f>
        <v>@CEN</v>
      </c>
      <c r="M140" s="34" t="str">
        <f>IF(ISNA(VLOOKUP($A140&amp;M$2,'2004'!$B$2:$K$1621,10,0)),VLOOKUP($A140&amp;M$2,'2004'!$A$2:$K$1621,10,0),VLOOKUP($A140&amp;M$2,'2004'!$B$2:$K$1621,10,0))</f>
        <v>@NEP</v>
      </c>
      <c r="N140" s="34" t="str">
        <f>IF(ISNA(VLOOKUP($A140&amp;N$2,'2004'!$B$2:$K$1621,10,0)),VLOOKUP($A140&amp;N$2,'2004'!$A$2:$K$1621,10,0),VLOOKUP($A140&amp;N$2,'2004'!$B$2:$K$1621,10,0))</f>
        <v>@TEW</v>
      </c>
      <c r="O140" s="34" t="str">
        <f>IF(ISNA(VLOOKUP($A140&amp;O$2,'2004'!$B$2:$K$1621,10,0)),VLOOKUP($A140&amp;O$2,'2004'!$A$2:$K$1621,10,0),VLOOKUP($A140&amp;O$2,'2004'!$B$2:$K$1621,10,0))</f>
        <v>@REN</v>
      </c>
      <c r="P140" s="34" t="str">
        <f>IF(ISNA(VLOOKUP($A140&amp;P$2,'2004'!$B$2:$K$1621,10,0)),VLOOKUP($A140&amp;P$2,'2004'!$A$2:$K$1621,10,0),VLOOKUP($A140&amp;P$2,'2004'!$B$2:$K$1621,10,0))</f>
        <v>@FDH</v>
      </c>
      <c r="Q140" s="38" t="str">
        <f>IF(ISNA(VLOOKUP($A140&amp;Q$2,'2004'!$B$2:$K$1621,10,0)),VLOOKUP($A140&amp;Q$2,'2004'!$A$2:$K$1621,10,0),VLOOKUP($A140&amp;Q$2,'2004'!$B$2:$K$1621,10,0))</f>
        <v>@BAR</v>
      </c>
      <c r="R140" s="38" t="str">
        <f>IF(ISNA(VLOOKUP($A140&amp;R$2,'2004'!$B$2:$K$1621,10,0)),VLOOKUP($A140&amp;R$2,'2004'!$A$2:$K$1621,10,0),VLOOKUP($A140&amp;R$2,'2004'!$B$2:$K$1621,10,0))</f>
        <v>@GAR</v>
      </c>
      <c r="S140" s="38" t="str">
        <f>IF(ISNA(VLOOKUP($A140&amp;S$2,'2004'!$B$2:$K$1621,10,0)),VLOOKUP($A140&amp;S$2,'2004'!$A$2:$K$1621,10,0),VLOOKUP($A140&amp;S$2,'2004'!$B$2:$K$1621,10,0))</f>
        <v>@CTW</v>
      </c>
      <c r="T140" s="38" t="str">
        <f>IF(ISNA(VLOOKUP($A140&amp;T$2,'2004'!$B$2:$K$1621,10,0)),VLOOKUP($A140&amp;T$2,'2004'!$A$2:$K$1621,10,0),VLOOKUP($A140&amp;T$2,'2004'!$B$2:$K$1621,10,0))</f>
        <v>@BBG</v>
      </c>
      <c r="U140" s="38" t="str">
        <f>IF(ISNA(VLOOKUP($A140&amp;U$2,'2004'!$B$2:$K$1621,10,0)),VLOOKUP($A140&amp;U$2,'2004'!$A$2:$K$1621,10,0),VLOOKUP($A140&amp;U$2,'2004'!$B$2:$K$1621,10,0))</f>
        <v>@CIN</v>
      </c>
    </row>
    <row r="141" spans="1:21" x14ac:dyDescent="0.25">
      <c r="A141" s="40">
        <f t="shared" si="2"/>
        <v>38218</v>
      </c>
      <c r="B141" s="36" t="str">
        <f>IF(ISNA(VLOOKUP($A141&amp;B$2,'2004'!$B$2:$K$1621,10,0)),VLOOKUP($A141&amp;B$2,'2004'!$A$2:$K$1621,10,0),VLOOKUP($A141&amp;B$2,'2004'!$B$2:$K$1621,10,0))</f>
        <v>NYD</v>
      </c>
      <c r="C141" s="36" t="str">
        <f>IF(ISNA(VLOOKUP($A141&amp;C$2,'2004'!$B$2:$K$1621,10,0)),VLOOKUP($A141&amp;C$2,'2004'!$A$2:$K$1621,10,0),VLOOKUP($A141&amp;C$2,'2004'!$B$2:$K$1621,10,0))</f>
        <v>BRK</v>
      </c>
      <c r="D141" s="36" t="str">
        <f>IF(ISNA(VLOOKUP($A141&amp;D$2,'2004'!$B$2:$K$1621,10,0)),VLOOKUP($A141&amp;D$2,'2004'!$A$2:$K$1621,10,0),VLOOKUP($A141&amp;D$2,'2004'!$B$2:$K$1621,10,0))</f>
        <v>HAR</v>
      </c>
      <c r="E141" s="36" t="str">
        <f>IF(ISNA(VLOOKUP($A141&amp;E$2,'2004'!$B$2:$K$1621,10,0)),VLOOKUP($A141&amp;E$2,'2004'!$A$2:$K$1621,10,0),VLOOKUP($A141&amp;E$2,'2004'!$B$2:$K$1621,10,0))</f>
        <v>PHI</v>
      </c>
      <c r="F141" s="36" t="str">
        <f>IF(ISNA(VLOOKUP($A141&amp;F$2,'2004'!$B$2:$K$1621,10,0)),VLOOKUP($A141&amp;F$2,'2004'!$A$2:$K$1621,10,0),VLOOKUP($A141&amp;F$2,'2004'!$B$2:$K$1621,10,0))</f>
        <v>CBB</v>
      </c>
      <c r="G141" s="35" t="str">
        <f>IF(ISNA(VLOOKUP($A141&amp;G$2,'2004'!$B$2:$K$1621,10,0)),VLOOKUP($A141&amp;G$2,'2004'!$A$2:$K$1621,10,0),VLOOKUP($A141&amp;G$2,'2004'!$B$2:$K$1621,10,0))</f>
        <v>DIG</v>
      </c>
      <c r="H141" s="35" t="str">
        <f>IF(ISNA(VLOOKUP($A141&amp;H$2,'2004'!$B$2:$K$1621,10,0)),VLOOKUP($A141&amp;H$2,'2004'!$A$2:$K$1621,10,0),VLOOKUP($A141&amp;H$2,'2004'!$B$2:$K$1621,10,0))</f>
        <v>RMO</v>
      </c>
      <c r="I141" s="35" t="str">
        <f>IF(ISNA(VLOOKUP($A141&amp;I$2,'2004'!$B$2:$K$1621,10,0)),VLOOKUP($A141&amp;I$2,'2004'!$A$2:$K$1621,10,0),VLOOKUP($A141&amp;I$2,'2004'!$B$2:$K$1621,10,0))</f>
        <v>FFR</v>
      </c>
      <c r="J141" s="35" t="str">
        <f>IF(ISNA(VLOOKUP($A141&amp;J$2,'2004'!$B$2:$K$1621,10,0)),VLOOKUP($A141&amp;J$2,'2004'!$A$2:$K$1621,10,0),VLOOKUP($A141&amp;J$2,'2004'!$B$2:$K$1621,10,0))</f>
        <v>OKO</v>
      </c>
      <c r="K141" s="35" t="str">
        <f>IF(ISNA(VLOOKUP($A141&amp;K$2,'2004'!$B$2:$K$1621,10,0)),VLOOKUP($A141&amp;K$2,'2004'!$A$2:$K$1621,10,0),VLOOKUP($A141&amp;K$2,'2004'!$B$2:$K$1621,10,0))</f>
        <v>NNN</v>
      </c>
      <c r="L141" s="34" t="str">
        <f>IF(ISNA(VLOOKUP($A141&amp;L$2,'2004'!$B$2:$K$1621,10,0)),VLOOKUP($A141&amp;L$2,'2004'!$A$2:$K$1621,10,0),VLOOKUP($A141&amp;L$2,'2004'!$B$2:$K$1621,10,0))</f>
        <v>@CEN</v>
      </c>
      <c r="M141" s="34" t="str">
        <f>IF(ISNA(VLOOKUP($A141&amp;M$2,'2004'!$B$2:$K$1621,10,0)),VLOOKUP($A141&amp;M$2,'2004'!$A$2:$K$1621,10,0),VLOOKUP($A141&amp;M$2,'2004'!$B$2:$K$1621,10,0))</f>
        <v>@NEP</v>
      </c>
      <c r="N141" s="34" t="str">
        <f>IF(ISNA(VLOOKUP($A141&amp;N$2,'2004'!$B$2:$K$1621,10,0)),VLOOKUP($A141&amp;N$2,'2004'!$A$2:$K$1621,10,0),VLOOKUP($A141&amp;N$2,'2004'!$B$2:$K$1621,10,0))</f>
        <v>@TEW</v>
      </c>
      <c r="O141" s="34" t="str">
        <f>IF(ISNA(VLOOKUP($A141&amp;O$2,'2004'!$B$2:$K$1621,10,0)),VLOOKUP($A141&amp;O$2,'2004'!$A$2:$K$1621,10,0),VLOOKUP($A141&amp;O$2,'2004'!$B$2:$K$1621,10,0))</f>
        <v>@REN</v>
      </c>
      <c r="P141" s="34" t="str">
        <f>IF(ISNA(VLOOKUP($A141&amp;P$2,'2004'!$B$2:$K$1621,10,0)),VLOOKUP($A141&amp;P$2,'2004'!$A$2:$K$1621,10,0),VLOOKUP($A141&amp;P$2,'2004'!$B$2:$K$1621,10,0))</f>
        <v>@FDH</v>
      </c>
      <c r="Q141" s="38" t="str">
        <f>IF(ISNA(VLOOKUP($A141&amp;Q$2,'2004'!$B$2:$K$1621,10,0)),VLOOKUP($A141&amp;Q$2,'2004'!$A$2:$K$1621,10,0),VLOOKUP($A141&amp;Q$2,'2004'!$B$2:$K$1621,10,0))</f>
        <v>@BAR</v>
      </c>
      <c r="R141" s="38" t="str">
        <f>IF(ISNA(VLOOKUP($A141&amp;R$2,'2004'!$B$2:$K$1621,10,0)),VLOOKUP($A141&amp;R$2,'2004'!$A$2:$K$1621,10,0),VLOOKUP($A141&amp;R$2,'2004'!$B$2:$K$1621,10,0))</f>
        <v>@GAR</v>
      </c>
      <c r="S141" s="38" t="str">
        <f>IF(ISNA(VLOOKUP($A141&amp;S$2,'2004'!$B$2:$K$1621,10,0)),VLOOKUP($A141&amp;S$2,'2004'!$A$2:$K$1621,10,0),VLOOKUP($A141&amp;S$2,'2004'!$B$2:$K$1621,10,0))</f>
        <v>@CTW</v>
      </c>
      <c r="T141" s="38" t="str">
        <f>IF(ISNA(VLOOKUP($A141&amp;T$2,'2004'!$B$2:$K$1621,10,0)),VLOOKUP($A141&amp;T$2,'2004'!$A$2:$K$1621,10,0),VLOOKUP($A141&amp;T$2,'2004'!$B$2:$K$1621,10,0))</f>
        <v>@BBG</v>
      </c>
      <c r="U141" s="38" t="str">
        <f>IF(ISNA(VLOOKUP($A141&amp;U$2,'2004'!$B$2:$K$1621,10,0)),VLOOKUP($A141&amp;U$2,'2004'!$A$2:$K$1621,10,0),VLOOKUP($A141&amp;U$2,'2004'!$B$2:$K$1621,10,0))</f>
        <v>@CIN</v>
      </c>
    </row>
    <row r="142" spans="1:21" x14ac:dyDescent="0.25">
      <c r="A142" s="40">
        <f t="shared" si="2"/>
        <v>38219</v>
      </c>
      <c r="B142" s="36" t="e">
        <f>IF(ISNA(VLOOKUP($A142&amp;B$2,'2004'!$B$2:$K$1621,10,0)),VLOOKUP($A142&amp;B$2,'2004'!$A$2:$K$1621,10,0),VLOOKUP($A142&amp;B$2,'2004'!$B$2:$K$1621,10,0))</f>
        <v>#N/A</v>
      </c>
      <c r="C142" s="36" t="e">
        <f>IF(ISNA(VLOOKUP($A142&amp;C$2,'2004'!$B$2:$K$1621,10,0)),VLOOKUP($A142&amp;C$2,'2004'!$A$2:$K$1621,10,0),VLOOKUP($A142&amp;C$2,'2004'!$B$2:$K$1621,10,0))</f>
        <v>#N/A</v>
      </c>
      <c r="D142" s="36" t="e">
        <f>IF(ISNA(VLOOKUP($A142&amp;D$2,'2004'!$B$2:$K$1621,10,0)),VLOOKUP($A142&amp;D$2,'2004'!$A$2:$K$1621,10,0),VLOOKUP($A142&amp;D$2,'2004'!$B$2:$K$1621,10,0))</f>
        <v>#N/A</v>
      </c>
      <c r="E142" s="36" t="e">
        <f>IF(ISNA(VLOOKUP($A142&amp;E$2,'2004'!$B$2:$K$1621,10,0)),VLOOKUP($A142&amp;E$2,'2004'!$A$2:$K$1621,10,0),VLOOKUP($A142&amp;E$2,'2004'!$B$2:$K$1621,10,0))</f>
        <v>#N/A</v>
      </c>
      <c r="F142" s="36" t="e">
        <f>IF(ISNA(VLOOKUP($A142&amp;F$2,'2004'!$B$2:$K$1621,10,0)),VLOOKUP($A142&amp;F$2,'2004'!$A$2:$K$1621,10,0),VLOOKUP($A142&amp;F$2,'2004'!$B$2:$K$1621,10,0))</f>
        <v>#N/A</v>
      </c>
      <c r="G142" s="35" t="e">
        <f>IF(ISNA(VLOOKUP($A142&amp;G$2,'2004'!$B$2:$K$1621,10,0)),VLOOKUP($A142&amp;G$2,'2004'!$A$2:$K$1621,10,0),VLOOKUP($A142&amp;G$2,'2004'!$B$2:$K$1621,10,0))</f>
        <v>#N/A</v>
      </c>
      <c r="H142" s="35" t="e">
        <f>IF(ISNA(VLOOKUP($A142&amp;H$2,'2004'!$B$2:$K$1621,10,0)),VLOOKUP($A142&amp;H$2,'2004'!$A$2:$K$1621,10,0),VLOOKUP($A142&amp;H$2,'2004'!$B$2:$K$1621,10,0))</f>
        <v>#N/A</v>
      </c>
      <c r="I142" s="35" t="e">
        <f>IF(ISNA(VLOOKUP($A142&amp;I$2,'2004'!$B$2:$K$1621,10,0)),VLOOKUP($A142&amp;I$2,'2004'!$A$2:$K$1621,10,0),VLOOKUP($A142&amp;I$2,'2004'!$B$2:$K$1621,10,0))</f>
        <v>#N/A</v>
      </c>
      <c r="J142" s="35" t="e">
        <f>IF(ISNA(VLOOKUP($A142&amp;J$2,'2004'!$B$2:$K$1621,10,0)),VLOOKUP($A142&amp;J$2,'2004'!$A$2:$K$1621,10,0),VLOOKUP($A142&amp;J$2,'2004'!$B$2:$K$1621,10,0))</f>
        <v>#N/A</v>
      </c>
      <c r="K142" s="35" t="e">
        <f>IF(ISNA(VLOOKUP($A142&amp;K$2,'2004'!$B$2:$K$1621,10,0)),VLOOKUP($A142&amp;K$2,'2004'!$A$2:$K$1621,10,0),VLOOKUP($A142&amp;K$2,'2004'!$B$2:$K$1621,10,0))</f>
        <v>#N/A</v>
      </c>
      <c r="L142" s="34" t="e">
        <f>IF(ISNA(VLOOKUP($A142&amp;L$2,'2004'!$B$2:$K$1621,10,0)),VLOOKUP($A142&amp;L$2,'2004'!$A$2:$K$1621,10,0),VLOOKUP($A142&amp;L$2,'2004'!$B$2:$K$1621,10,0))</f>
        <v>#N/A</v>
      </c>
      <c r="M142" s="34" t="e">
        <f>IF(ISNA(VLOOKUP($A142&amp;M$2,'2004'!$B$2:$K$1621,10,0)),VLOOKUP($A142&amp;M$2,'2004'!$A$2:$K$1621,10,0),VLOOKUP($A142&amp;M$2,'2004'!$B$2:$K$1621,10,0))</f>
        <v>#N/A</v>
      </c>
      <c r="N142" s="34" t="e">
        <f>IF(ISNA(VLOOKUP($A142&amp;N$2,'2004'!$B$2:$K$1621,10,0)),VLOOKUP($A142&amp;N$2,'2004'!$A$2:$K$1621,10,0),VLOOKUP($A142&amp;N$2,'2004'!$B$2:$K$1621,10,0))</f>
        <v>#N/A</v>
      </c>
      <c r="O142" s="34" t="e">
        <f>IF(ISNA(VLOOKUP($A142&amp;O$2,'2004'!$B$2:$K$1621,10,0)),VLOOKUP($A142&amp;O$2,'2004'!$A$2:$K$1621,10,0),VLOOKUP($A142&amp;O$2,'2004'!$B$2:$K$1621,10,0))</f>
        <v>#N/A</v>
      </c>
      <c r="P142" s="34" t="e">
        <f>IF(ISNA(VLOOKUP($A142&amp;P$2,'2004'!$B$2:$K$1621,10,0)),VLOOKUP($A142&amp;P$2,'2004'!$A$2:$K$1621,10,0),VLOOKUP($A142&amp;P$2,'2004'!$B$2:$K$1621,10,0))</f>
        <v>#N/A</v>
      </c>
      <c r="Q142" s="38" t="e">
        <f>IF(ISNA(VLOOKUP($A142&amp;Q$2,'2004'!$B$2:$K$1621,10,0)),VLOOKUP($A142&amp;Q$2,'2004'!$A$2:$K$1621,10,0),VLOOKUP($A142&amp;Q$2,'2004'!$B$2:$K$1621,10,0))</f>
        <v>#N/A</v>
      </c>
      <c r="R142" s="38" t="e">
        <f>IF(ISNA(VLOOKUP($A142&amp;R$2,'2004'!$B$2:$K$1621,10,0)),VLOOKUP($A142&amp;R$2,'2004'!$A$2:$K$1621,10,0),VLOOKUP($A142&amp;R$2,'2004'!$B$2:$K$1621,10,0))</f>
        <v>#N/A</v>
      </c>
      <c r="S142" s="38" t="e">
        <f>IF(ISNA(VLOOKUP($A142&amp;S$2,'2004'!$B$2:$K$1621,10,0)),VLOOKUP($A142&amp;S$2,'2004'!$A$2:$K$1621,10,0),VLOOKUP($A142&amp;S$2,'2004'!$B$2:$K$1621,10,0))</f>
        <v>#N/A</v>
      </c>
      <c r="T142" s="38" t="e">
        <f>IF(ISNA(VLOOKUP($A142&amp;T$2,'2004'!$B$2:$K$1621,10,0)),VLOOKUP($A142&amp;T$2,'2004'!$A$2:$K$1621,10,0),VLOOKUP($A142&amp;T$2,'2004'!$B$2:$K$1621,10,0))</f>
        <v>#N/A</v>
      </c>
      <c r="U142" s="38" t="e">
        <f>IF(ISNA(VLOOKUP($A142&amp;U$2,'2004'!$B$2:$K$1621,10,0)),VLOOKUP($A142&amp;U$2,'2004'!$A$2:$K$1621,10,0),VLOOKUP($A142&amp;U$2,'2004'!$B$2:$K$1621,10,0))</f>
        <v>#N/A</v>
      </c>
    </row>
    <row r="143" spans="1:21" x14ac:dyDescent="0.25">
      <c r="A143" s="40">
        <f t="shared" si="2"/>
        <v>38220</v>
      </c>
      <c r="B143" s="36" t="str">
        <f>IF(ISNA(VLOOKUP($A143&amp;B$2,'2004'!$B$2:$K$1621,10,0)),VLOOKUP($A143&amp;B$2,'2004'!$A$2:$K$1621,10,0),VLOOKUP($A143&amp;B$2,'2004'!$B$2:$K$1621,10,0))</f>
        <v>@BRK</v>
      </c>
      <c r="C143" s="36" t="str">
        <f>IF(ISNA(VLOOKUP($A143&amp;C$2,'2004'!$B$2:$K$1621,10,0)),VLOOKUP($A143&amp;C$2,'2004'!$A$2:$K$1621,10,0),VLOOKUP($A143&amp;C$2,'2004'!$B$2:$K$1621,10,0))</f>
        <v>@HAR</v>
      </c>
      <c r="D143" s="36" t="str">
        <f>IF(ISNA(VLOOKUP($A143&amp;D$2,'2004'!$B$2:$K$1621,10,0)),VLOOKUP($A143&amp;D$2,'2004'!$A$2:$K$1621,10,0),VLOOKUP($A143&amp;D$2,'2004'!$B$2:$K$1621,10,0))</f>
        <v>@CBB</v>
      </c>
      <c r="E143" s="36" t="str">
        <f>IF(ISNA(VLOOKUP($A143&amp;E$2,'2004'!$B$2:$K$1621,10,0)),VLOOKUP($A143&amp;E$2,'2004'!$A$2:$K$1621,10,0),VLOOKUP($A143&amp;E$2,'2004'!$B$2:$K$1621,10,0))</f>
        <v>@NYD</v>
      </c>
      <c r="F143" s="36" t="str">
        <f>IF(ISNA(VLOOKUP($A143&amp;F$2,'2004'!$B$2:$K$1621,10,0)),VLOOKUP($A143&amp;F$2,'2004'!$A$2:$K$1621,10,0),VLOOKUP($A143&amp;F$2,'2004'!$B$2:$K$1621,10,0))</f>
        <v>@PHI</v>
      </c>
      <c r="G143" s="35" t="str">
        <f>IF(ISNA(VLOOKUP($A143&amp;G$2,'2004'!$B$2:$K$1621,10,0)),VLOOKUP($A143&amp;G$2,'2004'!$A$2:$K$1621,10,0),VLOOKUP($A143&amp;G$2,'2004'!$B$2:$K$1621,10,0))</f>
        <v>@FFR</v>
      </c>
      <c r="H143" s="35" t="str">
        <f>IF(ISNA(VLOOKUP($A143&amp;H$2,'2004'!$B$2:$K$1621,10,0)),VLOOKUP($A143&amp;H$2,'2004'!$A$2:$K$1621,10,0),VLOOKUP($A143&amp;H$2,'2004'!$B$2:$K$1621,10,0))</f>
        <v>@NNN</v>
      </c>
      <c r="I143" s="35" t="str">
        <f>IF(ISNA(VLOOKUP($A143&amp;I$2,'2004'!$B$2:$K$1621,10,0)),VLOOKUP($A143&amp;I$2,'2004'!$A$2:$K$1621,10,0),VLOOKUP($A143&amp;I$2,'2004'!$B$2:$K$1621,10,0))</f>
        <v>@OKO</v>
      </c>
      <c r="J143" s="35" t="str">
        <f>IF(ISNA(VLOOKUP($A143&amp;J$2,'2004'!$B$2:$K$1621,10,0)),VLOOKUP($A143&amp;J$2,'2004'!$A$2:$K$1621,10,0),VLOOKUP($A143&amp;J$2,'2004'!$B$2:$K$1621,10,0))</f>
        <v>@RMO</v>
      </c>
      <c r="K143" s="35" t="str">
        <f>IF(ISNA(VLOOKUP($A143&amp;K$2,'2004'!$B$2:$K$1621,10,0)),VLOOKUP($A143&amp;K$2,'2004'!$A$2:$K$1621,10,0),VLOOKUP($A143&amp;K$2,'2004'!$B$2:$K$1621,10,0))</f>
        <v>@DIG</v>
      </c>
      <c r="L143" s="34" t="str">
        <f>IF(ISNA(VLOOKUP($A143&amp;L$2,'2004'!$B$2:$K$1621,10,0)),VLOOKUP($A143&amp;L$2,'2004'!$A$2:$K$1621,10,0),VLOOKUP($A143&amp;L$2,'2004'!$B$2:$K$1621,10,0))</f>
        <v>TEW</v>
      </c>
      <c r="M143" s="34" t="str">
        <f>IF(ISNA(VLOOKUP($A143&amp;M$2,'2004'!$B$2:$K$1621,10,0)),VLOOKUP($A143&amp;M$2,'2004'!$A$2:$K$1621,10,0),VLOOKUP($A143&amp;M$2,'2004'!$B$2:$K$1621,10,0))</f>
        <v>CEN</v>
      </c>
      <c r="N143" s="34" t="str">
        <f>IF(ISNA(VLOOKUP($A143&amp;N$2,'2004'!$B$2:$K$1621,10,0)),VLOOKUP($A143&amp;N$2,'2004'!$A$2:$K$1621,10,0),VLOOKUP($A143&amp;N$2,'2004'!$B$2:$K$1621,10,0))</f>
        <v>FDH</v>
      </c>
      <c r="O143" s="34" t="str">
        <f>IF(ISNA(VLOOKUP($A143&amp;O$2,'2004'!$B$2:$K$1621,10,0)),VLOOKUP($A143&amp;O$2,'2004'!$A$2:$K$1621,10,0),VLOOKUP($A143&amp;O$2,'2004'!$B$2:$K$1621,10,0))</f>
        <v>NEP</v>
      </c>
      <c r="P143" s="34" t="str">
        <f>IF(ISNA(VLOOKUP($A143&amp;P$2,'2004'!$B$2:$K$1621,10,0)),VLOOKUP($A143&amp;P$2,'2004'!$A$2:$K$1621,10,0),VLOOKUP($A143&amp;P$2,'2004'!$B$2:$K$1621,10,0))</f>
        <v>REN</v>
      </c>
      <c r="Q143" s="38" t="str">
        <f>IF(ISNA(VLOOKUP($A143&amp;Q$2,'2004'!$B$2:$K$1621,10,0)),VLOOKUP($A143&amp;Q$2,'2004'!$A$2:$K$1621,10,0),VLOOKUP($A143&amp;Q$2,'2004'!$B$2:$K$1621,10,0))</f>
        <v>BBG</v>
      </c>
      <c r="R143" s="38" t="str">
        <f>IF(ISNA(VLOOKUP($A143&amp;R$2,'2004'!$B$2:$K$1621,10,0)),VLOOKUP($A143&amp;R$2,'2004'!$A$2:$K$1621,10,0),VLOOKUP($A143&amp;R$2,'2004'!$B$2:$K$1621,10,0))</f>
        <v>CTW</v>
      </c>
      <c r="S143" s="38" t="str">
        <f>IF(ISNA(VLOOKUP($A143&amp;S$2,'2004'!$B$2:$K$1621,10,0)),VLOOKUP($A143&amp;S$2,'2004'!$A$2:$K$1621,10,0),VLOOKUP($A143&amp;S$2,'2004'!$B$2:$K$1621,10,0))</f>
        <v>BAR</v>
      </c>
      <c r="T143" s="38" t="str">
        <f>IF(ISNA(VLOOKUP($A143&amp;T$2,'2004'!$B$2:$K$1621,10,0)),VLOOKUP($A143&amp;T$2,'2004'!$A$2:$K$1621,10,0),VLOOKUP($A143&amp;T$2,'2004'!$B$2:$K$1621,10,0))</f>
        <v>CIN</v>
      </c>
      <c r="U143" s="38" t="str">
        <f>IF(ISNA(VLOOKUP($A143&amp;U$2,'2004'!$B$2:$K$1621,10,0)),VLOOKUP($A143&amp;U$2,'2004'!$A$2:$K$1621,10,0),VLOOKUP($A143&amp;U$2,'2004'!$B$2:$K$1621,10,0))</f>
        <v>GAR</v>
      </c>
    </row>
    <row r="144" spans="1:21" x14ac:dyDescent="0.25">
      <c r="A144" s="40">
        <f t="shared" si="2"/>
        <v>38221</v>
      </c>
      <c r="B144" s="36" t="str">
        <f>IF(ISNA(VLOOKUP($A144&amp;B$2,'2004'!$B$2:$K$1621,10,0)),VLOOKUP($A144&amp;B$2,'2004'!$A$2:$K$1621,10,0),VLOOKUP($A144&amp;B$2,'2004'!$B$2:$K$1621,10,0))</f>
        <v>@BRK</v>
      </c>
      <c r="C144" s="36" t="str">
        <f>IF(ISNA(VLOOKUP($A144&amp;C$2,'2004'!$B$2:$K$1621,10,0)),VLOOKUP($A144&amp;C$2,'2004'!$A$2:$K$1621,10,0),VLOOKUP($A144&amp;C$2,'2004'!$B$2:$K$1621,10,0))</f>
        <v>@HAR</v>
      </c>
      <c r="D144" s="36" t="str">
        <f>IF(ISNA(VLOOKUP($A144&amp;D$2,'2004'!$B$2:$K$1621,10,0)),VLOOKUP($A144&amp;D$2,'2004'!$A$2:$K$1621,10,0),VLOOKUP($A144&amp;D$2,'2004'!$B$2:$K$1621,10,0))</f>
        <v>@CBB</v>
      </c>
      <c r="E144" s="36" t="str">
        <f>IF(ISNA(VLOOKUP($A144&amp;E$2,'2004'!$B$2:$K$1621,10,0)),VLOOKUP($A144&amp;E$2,'2004'!$A$2:$K$1621,10,0),VLOOKUP($A144&amp;E$2,'2004'!$B$2:$K$1621,10,0))</f>
        <v>@NYD</v>
      </c>
      <c r="F144" s="36" t="str">
        <f>IF(ISNA(VLOOKUP($A144&amp;F$2,'2004'!$B$2:$K$1621,10,0)),VLOOKUP($A144&amp;F$2,'2004'!$A$2:$K$1621,10,0),VLOOKUP($A144&amp;F$2,'2004'!$B$2:$K$1621,10,0))</f>
        <v>@PHI</v>
      </c>
      <c r="G144" s="35" t="str">
        <f>IF(ISNA(VLOOKUP($A144&amp;G$2,'2004'!$B$2:$K$1621,10,0)),VLOOKUP($A144&amp;G$2,'2004'!$A$2:$K$1621,10,0),VLOOKUP($A144&amp;G$2,'2004'!$B$2:$K$1621,10,0))</f>
        <v>@FFR</v>
      </c>
      <c r="H144" s="35" t="str">
        <f>IF(ISNA(VLOOKUP($A144&amp;H$2,'2004'!$B$2:$K$1621,10,0)),VLOOKUP($A144&amp;H$2,'2004'!$A$2:$K$1621,10,0),VLOOKUP($A144&amp;H$2,'2004'!$B$2:$K$1621,10,0))</f>
        <v>@NNN</v>
      </c>
      <c r="I144" s="35" t="str">
        <f>IF(ISNA(VLOOKUP($A144&amp;I$2,'2004'!$B$2:$K$1621,10,0)),VLOOKUP($A144&amp;I$2,'2004'!$A$2:$K$1621,10,0),VLOOKUP($A144&amp;I$2,'2004'!$B$2:$K$1621,10,0))</f>
        <v>@OKO</v>
      </c>
      <c r="J144" s="35" t="str">
        <f>IF(ISNA(VLOOKUP($A144&amp;J$2,'2004'!$B$2:$K$1621,10,0)),VLOOKUP($A144&amp;J$2,'2004'!$A$2:$K$1621,10,0),VLOOKUP($A144&amp;J$2,'2004'!$B$2:$K$1621,10,0))</f>
        <v>@RMO</v>
      </c>
      <c r="K144" s="35" t="str">
        <f>IF(ISNA(VLOOKUP($A144&amp;K$2,'2004'!$B$2:$K$1621,10,0)),VLOOKUP($A144&amp;K$2,'2004'!$A$2:$K$1621,10,0),VLOOKUP($A144&amp;K$2,'2004'!$B$2:$K$1621,10,0))</f>
        <v>@DIG</v>
      </c>
      <c r="L144" s="34" t="str">
        <f>IF(ISNA(VLOOKUP($A144&amp;L$2,'2004'!$B$2:$K$1621,10,0)),VLOOKUP($A144&amp;L$2,'2004'!$A$2:$K$1621,10,0),VLOOKUP($A144&amp;L$2,'2004'!$B$2:$K$1621,10,0))</f>
        <v>TEW</v>
      </c>
      <c r="M144" s="34" t="str">
        <f>IF(ISNA(VLOOKUP($A144&amp;M$2,'2004'!$B$2:$K$1621,10,0)),VLOOKUP($A144&amp;M$2,'2004'!$A$2:$K$1621,10,0),VLOOKUP($A144&amp;M$2,'2004'!$B$2:$K$1621,10,0))</f>
        <v>CEN</v>
      </c>
      <c r="N144" s="34" t="str">
        <f>IF(ISNA(VLOOKUP($A144&amp;N$2,'2004'!$B$2:$K$1621,10,0)),VLOOKUP($A144&amp;N$2,'2004'!$A$2:$K$1621,10,0),VLOOKUP($A144&amp;N$2,'2004'!$B$2:$K$1621,10,0))</f>
        <v>FDH</v>
      </c>
      <c r="O144" s="34" t="str">
        <f>IF(ISNA(VLOOKUP($A144&amp;O$2,'2004'!$B$2:$K$1621,10,0)),VLOOKUP($A144&amp;O$2,'2004'!$A$2:$K$1621,10,0),VLOOKUP($A144&amp;O$2,'2004'!$B$2:$K$1621,10,0))</f>
        <v>NEP</v>
      </c>
      <c r="P144" s="34" t="str">
        <f>IF(ISNA(VLOOKUP($A144&amp;P$2,'2004'!$B$2:$K$1621,10,0)),VLOOKUP($A144&amp;P$2,'2004'!$A$2:$K$1621,10,0),VLOOKUP($A144&amp;P$2,'2004'!$B$2:$K$1621,10,0))</f>
        <v>REN</v>
      </c>
      <c r="Q144" s="38" t="str">
        <f>IF(ISNA(VLOOKUP($A144&amp;Q$2,'2004'!$B$2:$K$1621,10,0)),VLOOKUP($A144&amp;Q$2,'2004'!$A$2:$K$1621,10,0),VLOOKUP($A144&amp;Q$2,'2004'!$B$2:$K$1621,10,0))</f>
        <v>BBG</v>
      </c>
      <c r="R144" s="38" t="str">
        <f>IF(ISNA(VLOOKUP($A144&amp;R$2,'2004'!$B$2:$K$1621,10,0)),VLOOKUP($A144&amp;R$2,'2004'!$A$2:$K$1621,10,0),VLOOKUP($A144&amp;R$2,'2004'!$B$2:$K$1621,10,0))</f>
        <v>CTW</v>
      </c>
      <c r="S144" s="38" t="str">
        <f>IF(ISNA(VLOOKUP($A144&amp;S$2,'2004'!$B$2:$K$1621,10,0)),VLOOKUP($A144&amp;S$2,'2004'!$A$2:$K$1621,10,0),VLOOKUP($A144&amp;S$2,'2004'!$B$2:$K$1621,10,0))</f>
        <v>BAR</v>
      </c>
      <c r="T144" s="38" t="str">
        <f>IF(ISNA(VLOOKUP($A144&amp;T$2,'2004'!$B$2:$K$1621,10,0)),VLOOKUP($A144&amp;T$2,'2004'!$A$2:$K$1621,10,0),VLOOKUP($A144&amp;T$2,'2004'!$B$2:$K$1621,10,0))</f>
        <v>CIN</v>
      </c>
      <c r="U144" s="38" t="str">
        <f>IF(ISNA(VLOOKUP($A144&amp;U$2,'2004'!$B$2:$K$1621,10,0)),VLOOKUP($A144&amp;U$2,'2004'!$A$2:$K$1621,10,0),VLOOKUP($A144&amp;U$2,'2004'!$B$2:$K$1621,10,0))</f>
        <v>GAR</v>
      </c>
    </row>
    <row r="145" spans="1:21" x14ac:dyDescent="0.25">
      <c r="A145" s="40">
        <f t="shared" si="2"/>
        <v>38222</v>
      </c>
      <c r="B145" s="36" t="str">
        <f>IF(ISNA(VLOOKUP($A145&amp;B$2,'2004'!$B$2:$K$1621,10,0)),VLOOKUP($A145&amp;B$2,'2004'!$A$2:$K$1621,10,0),VLOOKUP($A145&amp;B$2,'2004'!$B$2:$K$1621,10,0))</f>
        <v>@BRK</v>
      </c>
      <c r="C145" s="36" t="str">
        <f>IF(ISNA(VLOOKUP($A145&amp;C$2,'2004'!$B$2:$K$1621,10,0)),VLOOKUP($A145&amp;C$2,'2004'!$A$2:$K$1621,10,0),VLOOKUP($A145&amp;C$2,'2004'!$B$2:$K$1621,10,0))</f>
        <v>@HAR</v>
      </c>
      <c r="D145" s="36" t="str">
        <f>IF(ISNA(VLOOKUP($A145&amp;D$2,'2004'!$B$2:$K$1621,10,0)),VLOOKUP($A145&amp;D$2,'2004'!$A$2:$K$1621,10,0),VLOOKUP($A145&amp;D$2,'2004'!$B$2:$K$1621,10,0))</f>
        <v>@CBB</v>
      </c>
      <c r="E145" s="36" t="str">
        <f>IF(ISNA(VLOOKUP($A145&amp;E$2,'2004'!$B$2:$K$1621,10,0)),VLOOKUP($A145&amp;E$2,'2004'!$A$2:$K$1621,10,0),VLOOKUP($A145&amp;E$2,'2004'!$B$2:$K$1621,10,0))</f>
        <v>@NYD</v>
      </c>
      <c r="F145" s="36" t="str">
        <f>IF(ISNA(VLOOKUP($A145&amp;F$2,'2004'!$B$2:$K$1621,10,0)),VLOOKUP($A145&amp;F$2,'2004'!$A$2:$K$1621,10,0),VLOOKUP($A145&amp;F$2,'2004'!$B$2:$K$1621,10,0))</f>
        <v>@PHI</v>
      </c>
      <c r="G145" s="35" t="str">
        <f>IF(ISNA(VLOOKUP($A145&amp;G$2,'2004'!$B$2:$K$1621,10,0)),VLOOKUP($A145&amp;G$2,'2004'!$A$2:$K$1621,10,0),VLOOKUP($A145&amp;G$2,'2004'!$B$2:$K$1621,10,0))</f>
        <v>@FFR</v>
      </c>
      <c r="H145" s="35" t="str">
        <f>IF(ISNA(VLOOKUP($A145&amp;H$2,'2004'!$B$2:$K$1621,10,0)),VLOOKUP($A145&amp;H$2,'2004'!$A$2:$K$1621,10,0),VLOOKUP($A145&amp;H$2,'2004'!$B$2:$K$1621,10,0))</f>
        <v>@NNN</v>
      </c>
      <c r="I145" s="35" t="str">
        <f>IF(ISNA(VLOOKUP($A145&amp;I$2,'2004'!$B$2:$K$1621,10,0)),VLOOKUP($A145&amp;I$2,'2004'!$A$2:$K$1621,10,0),VLOOKUP($A145&amp;I$2,'2004'!$B$2:$K$1621,10,0))</f>
        <v>@OKO</v>
      </c>
      <c r="J145" s="35" t="str">
        <f>IF(ISNA(VLOOKUP($A145&amp;J$2,'2004'!$B$2:$K$1621,10,0)),VLOOKUP($A145&amp;J$2,'2004'!$A$2:$K$1621,10,0),VLOOKUP($A145&amp;J$2,'2004'!$B$2:$K$1621,10,0))</f>
        <v>@RMO</v>
      </c>
      <c r="K145" s="35" t="str">
        <f>IF(ISNA(VLOOKUP($A145&amp;K$2,'2004'!$B$2:$K$1621,10,0)),VLOOKUP($A145&amp;K$2,'2004'!$A$2:$K$1621,10,0),VLOOKUP($A145&amp;K$2,'2004'!$B$2:$K$1621,10,0))</f>
        <v>@DIG</v>
      </c>
      <c r="L145" s="34" t="str">
        <f>IF(ISNA(VLOOKUP($A145&amp;L$2,'2004'!$B$2:$K$1621,10,0)),VLOOKUP($A145&amp;L$2,'2004'!$A$2:$K$1621,10,0),VLOOKUP($A145&amp;L$2,'2004'!$B$2:$K$1621,10,0))</f>
        <v>TEW</v>
      </c>
      <c r="M145" s="34" t="str">
        <f>IF(ISNA(VLOOKUP($A145&amp;M$2,'2004'!$B$2:$K$1621,10,0)),VLOOKUP($A145&amp;M$2,'2004'!$A$2:$K$1621,10,0),VLOOKUP($A145&amp;M$2,'2004'!$B$2:$K$1621,10,0))</f>
        <v>CEN</v>
      </c>
      <c r="N145" s="34" t="str">
        <f>IF(ISNA(VLOOKUP($A145&amp;N$2,'2004'!$B$2:$K$1621,10,0)),VLOOKUP($A145&amp;N$2,'2004'!$A$2:$K$1621,10,0),VLOOKUP($A145&amp;N$2,'2004'!$B$2:$K$1621,10,0))</f>
        <v>FDH</v>
      </c>
      <c r="O145" s="34" t="str">
        <f>IF(ISNA(VLOOKUP($A145&amp;O$2,'2004'!$B$2:$K$1621,10,0)),VLOOKUP($A145&amp;O$2,'2004'!$A$2:$K$1621,10,0),VLOOKUP($A145&amp;O$2,'2004'!$B$2:$K$1621,10,0))</f>
        <v>NEP</v>
      </c>
      <c r="P145" s="34" t="str">
        <f>IF(ISNA(VLOOKUP($A145&amp;P$2,'2004'!$B$2:$K$1621,10,0)),VLOOKUP($A145&amp;P$2,'2004'!$A$2:$K$1621,10,0),VLOOKUP($A145&amp;P$2,'2004'!$B$2:$K$1621,10,0))</f>
        <v>REN</v>
      </c>
      <c r="Q145" s="38" t="str">
        <f>IF(ISNA(VLOOKUP($A145&amp;Q$2,'2004'!$B$2:$K$1621,10,0)),VLOOKUP($A145&amp;Q$2,'2004'!$A$2:$K$1621,10,0),VLOOKUP($A145&amp;Q$2,'2004'!$B$2:$K$1621,10,0))</f>
        <v>BBG</v>
      </c>
      <c r="R145" s="38" t="str">
        <f>IF(ISNA(VLOOKUP($A145&amp;R$2,'2004'!$B$2:$K$1621,10,0)),VLOOKUP($A145&amp;R$2,'2004'!$A$2:$K$1621,10,0),VLOOKUP($A145&amp;R$2,'2004'!$B$2:$K$1621,10,0))</f>
        <v>CTW</v>
      </c>
      <c r="S145" s="38" t="str">
        <f>IF(ISNA(VLOOKUP($A145&amp;S$2,'2004'!$B$2:$K$1621,10,0)),VLOOKUP($A145&amp;S$2,'2004'!$A$2:$K$1621,10,0),VLOOKUP($A145&amp;S$2,'2004'!$B$2:$K$1621,10,0))</f>
        <v>BAR</v>
      </c>
      <c r="T145" s="38" t="str">
        <f>IF(ISNA(VLOOKUP($A145&amp;T$2,'2004'!$B$2:$K$1621,10,0)),VLOOKUP($A145&amp;T$2,'2004'!$A$2:$K$1621,10,0),VLOOKUP($A145&amp;T$2,'2004'!$B$2:$K$1621,10,0))</f>
        <v>CIN</v>
      </c>
      <c r="U145" s="38" t="str">
        <f>IF(ISNA(VLOOKUP($A145&amp;U$2,'2004'!$B$2:$K$1621,10,0)),VLOOKUP($A145&amp;U$2,'2004'!$A$2:$K$1621,10,0),VLOOKUP($A145&amp;U$2,'2004'!$B$2:$K$1621,10,0))</f>
        <v>GAR</v>
      </c>
    </row>
    <row r="146" spans="1:21" x14ac:dyDescent="0.25">
      <c r="A146" s="40">
        <f t="shared" si="2"/>
        <v>38223</v>
      </c>
      <c r="B146" s="36" t="str">
        <f>IF(ISNA(VLOOKUP($A146&amp;B$2,'2004'!$B$2:$K$1621,10,0)),VLOOKUP($A146&amp;B$2,'2004'!$A$2:$K$1621,10,0),VLOOKUP($A146&amp;B$2,'2004'!$B$2:$K$1621,10,0))</f>
        <v>@BRK</v>
      </c>
      <c r="C146" s="36" t="str">
        <f>IF(ISNA(VLOOKUP($A146&amp;C$2,'2004'!$B$2:$K$1621,10,0)),VLOOKUP($A146&amp;C$2,'2004'!$A$2:$K$1621,10,0),VLOOKUP($A146&amp;C$2,'2004'!$B$2:$K$1621,10,0))</f>
        <v>@HAR</v>
      </c>
      <c r="D146" s="36" t="str">
        <f>IF(ISNA(VLOOKUP($A146&amp;D$2,'2004'!$B$2:$K$1621,10,0)),VLOOKUP($A146&amp;D$2,'2004'!$A$2:$K$1621,10,0),VLOOKUP($A146&amp;D$2,'2004'!$B$2:$K$1621,10,0))</f>
        <v>@CBB</v>
      </c>
      <c r="E146" s="36" t="str">
        <f>IF(ISNA(VLOOKUP($A146&amp;E$2,'2004'!$B$2:$K$1621,10,0)),VLOOKUP($A146&amp;E$2,'2004'!$A$2:$K$1621,10,0),VLOOKUP($A146&amp;E$2,'2004'!$B$2:$K$1621,10,0))</f>
        <v>@NYD</v>
      </c>
      <c r="F146" s="36" t="str">
        <f>IF(ISNA(VLOOKUP($A146&amp;F$2,'2004'!$B$2:$K$1621,10,0)),VLOOKUP($A146&amp;F$2,'2004'!$A$2:$K$1621,10,0),VLOOKUP($A146&amp;F$2,'2004'!$B$2:$K$1621,10,0))</f>
        <v>@PHI</v>
      </c>
      <c r="G146" s="35" t="str">
        <f>IF(ISNA(VLOOKUP($A146&amp;G$2,'2004'!$B$2:$K$1621,10,0)),VLOOKUP($A146&amp;G$2,'2004'!$A$2:$K$1621,10,0),VLOOKUP($A146&amp;G$2,'2004'!$B$2:$K$1621,10,0))</f>
        <v>@FFR</v>
      </c>
      <c r="H146" s="35" t="str">
        <f>IF(ISNA(VLOOKUP($A146&amp;H$2,'2004'!$B$2:$K$1621,10,0)),VLOOKUP($A146&amp;H$2,'2004'!$A$2:$K$1621,10,0),VLOOKUP($A146&amp;H$2,'2004'!$B$2:$K$1621,10,0))</f>
        <v>@NNN</v>
      </c>
      <c r="I146" s="35" t="str">
        <f>IF(ISNA(VLOOKUP($A146&amp;I$2,'2004'!$B$2:$K$1621,10,0)),VLOOKUP($A146&amp;I$2,'2004'!$A$2:$K$1621,10,0),VLOOKUP($A146&amp;I$2,'2004'!$B$2:$K$1621,10,0))</f>
        <v>@OKO</v>
      </c>
      <c r="J146" s="35" t="str">
        <f>IF(ISNA(VLOOKUP($A146&amp;J$2,'2004'!$B$2:$K$1621,10,0)),VLOOKUP($A146&amp;J$2,'2004'!$A$2:$K$1621,10,0),VLOOKUP($A146&amp;J$2,'2004'!$B$2:$K$1621,10,0))</f>
        <v>@RMO</v>
      </c>
      <c r="K146" s="35" t="str">
        <f>IF(ISNA(VLOOKUP($A146&amp;K$2,'2004'!$B$2:$K$1621,10,0)),VLOOKUP($A146&amp;K$2,'2004'!$A$2:$K$1621,10,0),VLOOKUP($A146&amp;K$2,'2004'!$B$2:$K$1621,10,0))</f>
        <v>@DIG</v>
      </c>
      <c r="L146" s="34" t="str">
        <f>IF(ISNA(VLOOKUP($A146&amp;L$2,'2004'!$B$2:$K$1621,10,0)),VLOOKUP($A146&amp;L$2,'2004'!$A$2:$K$1621,10,0),VLOOKUP($A146&amp;L$2,'2004'!$B$2:$K$1621,10,0))</f>
        <v>TEW</v>
      </c>
      <c r="M146" s="34" t="str">
        <f>IF(ISNA(VLOOKUP($A146&amp;M$2,'2004'!$B$2:$K$1621,10,0)),VLOOKUP($A146&amp;M$2,'2004'!$A$2:$K$1621,10,0),VLOOKUP($A146&amp;M$2,'2004'!$B$2:$K$1621,10,0))</f>
        <v>CEN</v>
      </c>
      <c r="N146" s="34" t="str">
        <f>IF(ISNA(VLOOKUP($A146&amp;N$2,'2004'!$B$2:$K$1621,10,0)),VLOOKUP($A146&amp;N$2,'2004'!$A$2:$K$1621,10,0),VLOOKUP($A146&amp;N$2,'2004'!$B$2:$K$1621,10,0))</f>
        <v>FDH</v>
      </c>
      <c r="O146" s="34" t="str">
        <f>IF(ISNA(VLOOKUP($A146&amp;O$2,'2004'!$B$2:$K$1621,10,0)),VLOOKUP($A146&amp;O$2,'2004'!$A$2:$K$1621,10,0),VLOOKUP($A146&amp;O$2,'2004'!$B$2:$K$1621,10,0))</f>
        <v>NEP</v>
      </c>
      <c r="P146" s="34" t="str">
        <f>IF(ISNA(VLOOKUP($A146&amp;P$2,'2004'!$B$2:$K$1621,10,0)),VLOOKUP($A146&amp;P$2,'2004'!$A$2:$K$1621,10,0),VLOOKUP($A146&amp;P$2,'2004'!$B$2:$K$1621,10,0))</f>
        <v>REN</v>
      </c>
      <c r="Q146" s="38" t="str">
        <f>IF(ISNA(VLOOKUP($A146&amp;Q$2,'2004'!$B$2:$K$1621,10,0)),VLOOKUP($A146&amp;Q$2,'2004'!$A$2:$K$1621,10,0),VLOOKUP($A146&amp;Q$2,'2004'!$B$2:$K$1621,10,0))</f>
        <v>BBG</v>
      </c>
      <c r="R146" s="38" t="str">
        <f>IF(ISNA(VLOOKUP($A146&amp;R$2,'2004'!$B$2:$K$1621,10,0)),VLOOKUP($A146&amp;R$2,'2004'!$A$2:$K$1621,10,0),VLOOKUP($A146&amp;R$2,'2004'!$B$2:$K$1621,10,0))</f>
        <v>CTW</v>
      </c>
      <c r="S146" s="38" t="str">
        <f>IF(ISNA(VLOOKUP($A146&amp;S$2,'2004'!$B$2:$K$1621,10,0)),VLOOKUP($A146&amp;S$2,'2004'!$A$2:$K$1621,10,0),VLOOKUP($A146&amp;S$2,'2004'!$B$2:$K$1621,10,0))</f>
        <v>BAR</v>
      </c>
      <c r="T146" s="38" t="str">
        <f>IF(ISNA(VLOOKUP($A146&amp;T$2,'2004'!$B$2:$K$1621,10,0)),VLOOKUP($A146&amp;T$2,'2004'!$A$2:$K$1621,10,0),VLOOKUP($A146&amp;T$2,'2004'!$B$2:$K$1621,10,0))</f>
        <v>CIN</v>
      </c>
      <c r="U146" s="38" t="str">
        <f>IF(ISNA(VLOOKUP($A146&amp;U$2,'2004'!$B$2:$K$1621,10,0)),VLOOKUP($A146&amp;U$2,'2004'!$A$2:$K$1621,10,0),VLOOKUP($A146&amp;U$2,'2004'!$B$2:$K$1621,10,0))</f>
        <v>GAR</v>
      </c>
    </row>
    <row r="147" spans="1:21" x14ac:dyDescent="0.25">
      <c r="A147" s="40">
        <f t="shared" si="2"/>
        <v>38224</v>
      </c>
      <c r="B147" s="36" t="str">
        <f>IF(ISNA(VLOOKUP($A147&amp;B$2,'2004'!$B$2:$K$1621,10,0)),VLOOKUP($A147&amp;B$2,'2004'!$A$2:$K$1621,10,0),VLOOKUP($A147&amp;B$2,'2004'!$B$2:$K$1621,10,0))</f>
        <v>@NNN</v>
      </c>
      <c r="C147" s="36" t="str">
        <f>IF(ISNA(VLOOKUP($A147&amp;C$2,'2004'!$B$2:$K$1621,10,0)),VLOOKUP($A147&amp;C$2,'2004'!$A$2:$K$1621,10,0),VLOOKUP($A147&amp;C$2,'2004'!$B$2:$K$1621,10,0))</f>
        <v>@DIG</v>
      </c>
      <c r="D147" s="36" t="str">
        <f>IF(ISNA(VLOOKUP($A147&amp;D$2,'2004'!$B$2:$K$1621,10,0)),VLOOKUP($A147&amp;D$2,'2004'!$A$2:$K$1621,10,0),VLOOKUP($A147&amp;D$2,'2004'!$B$2:$K$1621,10,0))</f>
        <v>@FFR</v>
      </c>
      <c r="E147" s="36" t="str">
        <f>IF(ISNA(VLOOKUP($A147&amp;E$2,'2004'!$B$2:$K$1621,10,0)),VLOOKUP($A147&amp;E$2,'2004'!$A$2:$K$1621,10,0),VLOOKUP($A147&amp;E$2,'2004'!$B$2:$K$1621,10,0))</f>
        <v>@RMO</v>
      </c>
      <c r="F147" s="36" t="str">
        <f>IF(ISNA(VLOOKUP($A147&amp;F$2,'2004'!$B$2:$K$1621,10,0)),VLOOKUP($A147&amp;F$2,'2004'!$A$2:$K$1621,10,0),VLOOKUP($A147&amp;F$2,'2004'!$B$2:$K$1621,10,0))</f>
        <v>@OKO</v>
      </c>
      <c r="G147" s="35" t="str">
        <f>IF(ISNA(VLOOKUP($A147&amp;G$2,'2004'!$B$2:$K$1621,10,0)),VLOOKUP($A147&amp;G$2,'2004'!$A$2:$K$1621,10,0),VLOOKUP($A147&amp;G$2,'2004'!$B$2:$K$1621,10,0))</f>
        <v>@BRK</v>
      </c>
      <c r="H147" s="35" t="str">
        <f>IF(ISNA(VLOOKUP($A147&amp;H$2,'2004'!$B$2:$K$1621,10,0)),VLOOKUP($A147&amp;H$2,'2004'!$A$2:$K$1621,10,0),VLOOKUP($A147&amp;H$2,'2004'!$B$2:$K$1621,10,0))</f>
        <v>@PHI</v>
      </c>
      <c r="I147" s="35" t="str">
        <f>IF(ISNA(VLOOKUP($A147&amp;I$2,'2004'!$B$2:$K$1621,10,0)),VLOOKUP($A147&amp;I$2,'2004'!$A$2:$K$1621,10,0),VLOOKUP($A147&amp;I$2,'2004'!$B$2:$K$1621,10,0))</f>
        <v>@HAR</v>
      </c>
      <c r="J147" s="35" t="str">
        <f>IF(ISNA(VLOOKUP($A147&amp;J$2,'2004'!$B$2:$K$1621,10,0)),VLOOKUP($A147&amp;J$2,'2004'!$A$2:$K$1621,10,0),VLOOKUP($A147&amp;J$2,'2004'!$B$2:$K$1621,10,0))</f>
        <v>@CBB</v>
      </c>
      <c r="K147" s="35" t="str">
        <f>IF(ISNA(VLOOKUP($A147&amp;K$2,'2004'!$B$2:$K$1621,10,0)),VLOOKUP($A147&amp;K$2,'2004'!$A$2:$K$1621,10,0),VLOOKUP($A147&amp;K$2,'2004'!$B$2:$K$1621,10,0))</f>
        <v>@NYD</v>
      </c>
      <c r="L147" s="34" t="str">
        <f>IF(ISNA(VLOOKUP($A147&amp;L$2,'2004'!$B$2:$K$1621,10,0)),VLOOKUP($A147&amp;L$2,'2004'!$A$2:$K$1621,10,0),VLOOKUP($A147&amp;L$2,'2004'!$B$2:$K$1621,10,0))</f>
        <v>BAR</v>
      </c>
      <c r="M147" s="34" t="str">
        <f>IF(ISNA(VLOOKUP($A147&amp;M$2,'2004'!$B$2:$K$1621,10,0)),VLOOKUP($A147&amp;M$2,'2004'!$A$2:$K$1621,10,0),VLOOKUP($A147&amp;M$2,'2004'!$B$2:$K$1621,10,0))</f>
        <v>CTW</v>
      </c>
      <c r="N147" s="34" t="str">
        <f>IF(ISNA(VLOOKUP($A147&amp;N$2,'2004'!$B$2:$K$1621,10,0)),VLOOKUP($A147&amp;N$2,'2004'!$A$2:$K$1621,10,0),VLOOKUP($A147&amp;N$2,'2004'!$B$2:$K$1621,10,0))</f>
        <v>BBG</v>
      </c>
      <c r="O147" s="34" t="str">
        <f>IF(ISNA(VLOOKUP($A147&amp;O$2,'2004'!$B$2:$K$1621,10,0)),VLOOKUP($A147&amp;O$2,'2004'!$A$2:$K$1621,10,0),VLOOKUP($A147&amp;O$2,'2004'!$B$2:$K$1621,10,0))</f>
        <v>GAR</v>
      </c>
      <c r="P147" s="34" t="str">
        <f>IF(ISNA(VLOOKUP($A147&amp;P$2,'2004'!$B$2:$K$1621,10,0)),VLOOKUP($A147&amp;P$2,'2004'!$A$2:$K$1621,10,0),VLOOKUP($A147&amp;P$2,'2004'!$B$2:$K$1621,10,0))</f>
        <v>CIN</v>
      </c>
      <c r="Q147" s="38" t="str">
        <f>IF(ISNA(VLOOKUP($A147&amp;Q$2,'2004'!$B$2:$K$1621,10,0)),VLOOKUP($A147&amp;Q$2,'2004'!$A$2:$K$1621,10,0),VLOOKUP($A147&amp;Q$2,'2004'!$B$2:$K$1621,10,0))</f>
        <v>CEN</v>
      </c>
      <c r="R147" s="38" t="str">
        <f>IF(ISNA(VLOOKUP($A147&amp;R$2,'2004'!$B$2:$K$1621,10,0)),VLOOKUP($A147&amp;R$2,'2004'!$A$2:$K$1621,10,0),VLOOKUP($A147&amp;R$2,'2004'!$B$2:$K$1621,10,0))</f>
        <v>REN</v>
      </c>
      <c r="S147" s="38" t="str">
        <f>IF(ISNA(VLOOKUP($A147&amp;S$2,'2004'!$B$2:$K$1621,10,0)),VLOOKUP($A147&amp;S$2,'2004'!$A$2:$K$1621,10,0),VLOOKUP($A147&amp;S$2,'2004'!$B$2:$K$1621,10,0))</f>
        <v>NEP</v>
      </c>
      <c r="T147" s="38" t="str">
        <f>IF(ISNA(VLOOKUP($A147&amp;T$2,'2004'!$B$2:$K$1621,10,0)),VLOOKUP($A147&amp;T$2,'2004'!$A$2:$K$1621,10,0),VLOOKUP($A147&amp;T$2,'2004'!$B$2:$K$1621,10,0))</f>
        <v>TEW</v>
      </c>
      <c r="U147" s="38" t="str">
        <f>IF(ISNA(VLOOKUP($A147&amp;U$2,'2004'!$B$2:$K$1621,10,0)),VLOOKUP($A147&amp;U$2,'2004'!$A$2:$K$1621,10,0),VLOOKUP($A147&amp;U$2,'2004'!$B$2:$K$1621,10,0))</f>
        <v>FDH</v>
      </c>
    </row>
    <row r="148" spans="1:21" x14ac:dyDescent="0.25">
      <c r="A148" s="40">
        <f t="shared" si="2"/>
        <v>38225</v>
      </c>
      <c r="B148" s="36" t="str">
        <f>IF(ISNA(VLOOKUP($A148&amp;B$2,'2004'!$B$2:$K$1621,10,0)),VLOOKUP($A148&amp;B$2,'2004'!$A$2:$K$1621,10,0),VLOOKUP($A148&amp;B$2,'2004'!$B$2:$K$1621,10,0))</f>
        <v>@NNN</v>
      </c>
      <c r="C148" s="36" t="str">
        <f>IF(ISNA(VLOOKUP($A148&amp;C$2,'2004'!$B$2:$K$1621,10,0)),VLOOKUP($A148&amp;C$2,'2004'!$A$2:$K$1621,10,0),VLOOKUP($A148&amp;C$2,'2004'!$B$2:$K$1621,10,0))</f>
        <v>@DIG</v>
      </c>
      <c r="D148" s="36" t="str">
        <f>IF(ISNA(VLOOKUP($A148&amp;D$2,'2004'!$B$2:$K$1621,10,0)),VLOOKUP($A148&amp;D$2,'2004'!$A$2:$K$1621,10,0),VLOOKUP($A148&amp;D$2,'2004'!$B$2:$K$1621,10,0))</f>
        <v>@FFR</v>
      </c>
      <c r="E148" s="36" t="str">
        <f>IF(ISNA(VLOOKUP($A148&amp;E$2,'2004'!$B$2:$K$1621,10,0)),VLOOKUP($A148&amp;E$2,'2004'!$A$2:$K$1621,10,0),VLOOKUP($A148&amp;E$2,'2004'!$B$2:$K$1621,10,0))</f>
        <v>@RMO</v>
      </c>
      <c r="F148" s="36" t="str">
        <f>IF(ISNA(VLOOKUP($A148&amp;F$2,'2004'!$B$2:$K$1621,10,0)),VLOOKUP($A148&amp;F$2,'2004'!$A$2:$K$1621,10,0),VLOOKUP($A148&amp;F$2,'2004'!$B$2:$K$1621,10,0))</f>
        <v>@OKO</v>
      </c>
      <c r="G148" s="35" t="str">
        <f>IF(ISNA(VLOOKUP($A148&amp;G$2,'2004'!$B$2:$K$1621,10,0)),VLOOKUP($A148&amp;G$2,'2004'!$A$2:$K$1621,10,0),VLOOKUP($A148&amp;G$2,'2004'!$B$2:$K$1621,10,0))</f>
        <v>@BRK</v>
      </c>
      <c r="H148" s="35" t="str">
        <f>IF(ISNA(VLOOKUP($A148&amp;H$2,'2004'!$B$2:$K$1621,10,0)),VLOOKUP($A148&amp;H$2,'2004'!$A$2:$K$1621,10,0),VLOOKUP($A148&amp;H$2,'2004'!$B$2:$K$1621,10,0))</f>
        <v>@PHI</v>
      </c>
      <c r="I148" s="35" t="str">
        <f>IF(ISNA(VLOOKUP($A148&amp;I$2,'2004'!$B$2:$K$1621,10,0)),VLOOKUP($A148&amp;I$2,'2004'!$A$2:$K$1621,10,0),VLOOKUP($A148&amp;I$2,'2004'!$B$2:$K$1621,10,0))</f>
        <v>@HAR</v>
      </c>
      <c r="J148" s="35" t="str">
        <f>IF(ISNA(VLOOKUP($A148&amp;J$2,'2004'!$B$2:$K$1621,10,0)),VLOOKUP($A148&amp;J$2,'2004'!$A$2:$K$1621,10,0),VLOOKUP($A148&amp;J$2,'2004'!$B$2:$K$1621,10,0))</f>
        <v>@CBB</v>
      </c>
      <c r="K148" s="35" t="str">
        <f>IF(ISNA(VLOOKUP($A148&amp;K$2,'2004'!$B$2:$K$1621,10,0)),VLOOKUP($A148&amp;K$2,'2004'!$A$2:$K$1621,10,0),VLOOKUP($A148&amp;K$2,'2004'!$B$2:$K$1621,10,0))</f>
        <v>@NYD</v>
      </c>
      <c r="L148" s="34" t="str">
        <f>IF(ISNA(VLOOKUP($A148&amp;L$2,'2004'!$B$2:$K$1621,10,0)),VLOOKUP($A148&amp;L$2,'2004'!$A$2:$K$1621,10,0),VLOOKUP($A148&amp;L$2,'2004'!$B$2:$K$1621,10,0))</f>
        <v>BAR</v>
      </c>
      <c r="M148" s="34" t="str">
        <f>IF(ISNA(VLOOKUP($A148&amp;M$2,'2004'!$B$2:$K$1621,10,0)),VLOOKUP($A148&amp;M$2,'2004'!$A$2:$K$1621,10,0),VLOOKUP($A148&amp;M$2,'2004'!$B$2:$K$1621,10,0))</f>
        <v>CTW</v>
      </c>
      <c r="N148" s="34" t="str">
        <f>IF(ISNA(VLOOKUP($A148&amp;N$2,'2004'!$B$2:$K$1621,10,0)),VLOOKUP($A148&amp;N$2,'2004'!$A$2:$K$1621,10,0),VLOOKUP($A148&amp;N$2,'2004'!$B$2:$K$1621,10,0))</f>
        <v>BBG</v>
      </c>
      <c r="O148" s="34" t="str">
        <f>IF(ISNA(VLOOKUP($A148&amp;O$2,'2004'!$B$2:$K$1621,10,0)),VLOOKUP($A148&amp;O$2,'2004'!$A$2:$K$1621,10,0),VLOOKUP($A148&amp;O$2,'2004'!$B$2:$K$1621,10,0))</f>
        <v>GAR</v>
      </c>
      <c r="P148" s="34" t="str">
        <f>IF(ISNA(VLOOKUP($A148&amp;P$2,'2004'!$B$2:$K$1621,10,0)),VLOOKUP($A148&amp;P$2,'2004'!$A$2:$K$1621,10,0),VLOOKUP($A148&amp;P$2,'2004'!$B$2:$K$1621,10,0))</f>
        <v>CIN</v>
      </c>
      <c r="Q148" s="38" t="str">
        <f>IF(ISNA(VLOOKUP($A148&amp;Q$2,'2004'!$B$2:$K$1621,10,0)),VLOOKUP($A148&amp;Q$2,'2004'!$A$2:$K$1621,10,0),VLOOKUP($A148&amp;Q$2,'2004'!$B$2:$K$1621,10,0))</f>
        <v>CEN</v>
      </c>
      <c r="R148" s="38" t="str">
        <f>IF(ISNA(VLOOKUP($A148&amp;R$2,'2004'!$B$2:$K$1621,10,0)),VLOOKUP($A148&amp;R$2,'2004'!$A$2:$K$1621,10,0),VLOOKUP($A148&amp;R$2,'2004'!$B$2:$K$1621,10,0))</f>
        <v>REN</v>
      </c>
      <c r="S148" s="38" t="str">
        <f>IF(ISNA(VLOOKUP($A148&amp;S$2,'2004'!$B$2:$K$1621,10,0)),VLOOKUP($A148&amp;S$2,'2004'!$A$2:$K$1621,10,0),VLOOKUP($A148&amp;S$2,'2004'!$B$2:$K$1621,10,0))</f>
        <v>NEP</v>
      </c>
      <c r="T148" s="38" t="str">
        <f>IF(ISNA(VLOOKUP($A148&amp;T$2,'2004'!$B$2:$K$1621,10,0)),VLOOKUP($A148&amp;T$2,'2004'!$A$2:$K$1621,10,0),VLOOKUP($A148&amp;T$2,'2004'!$B$2:$K$1621,10,0))</f>
        <v>TEW</v>
      </c>
      <c r="U148" s="38" t="str">
        <f>IF(ISNA(VLOOKUP($A148&amp;U$2,'2004'!$B$2:$K$1621,10,0)),VLOOKUP($A148&amp;U$2,'2004'!$A$2:$K$1621,10,0),VLOOKUP($A148&amp;U$2,'2004'!$B$2:$K$1621,10,0))</f>
        <v>FDH</v>
      </c>
    </row>
    <row r="149" spans="1:21" x14ac:dyDescent="0.25">
      <c r="A149" s="40">
        <f t="shared" si="2"/>
        <v>38226</v>
      </c>
      <c r="B149" s="36" t="str">
        <f>IF(ISNA(VLOOKUP($A149&amp;B$2,'2004'!$B$2:$K$1621,10,0)),VLOOKUP($A149&amp;B$2,'2004'!$A$2:$K$1621,10,0),VLOOKUP($A149&amp;B$2,'2004'!$B$2:$K$1621,10,0))</f>
        <v>@NNN</v>
      </c>
      <c r="C149" s="36" t="str">
        <f>IF(ISNA(VLOOKUP($A149&amp;C$2,'2004'!$B$2:$K$1621,10,0)),VLOOKUP($A149&amp;C$2,'2004'!$A$2:$K$1621,10,0),VLOOKUP($A149&amp;C$2,'2004'!$B$2:$K$1621,10,0))</f>
        <v>@DIG</v>
      </c>
      <c r="D149" s="36" t="str">
        <f>IF(ISNA(VLOOKUP($A149&amp;D$2,'2004'!$B$2:$K$1621,10,0)),VLOOKUP($A149&amp;D$2,'2004'!$A$2:$K$1621,10,0),VLOOKUP($A149&amp;D$2,'2004'!$B$2:$K$1621,10,0))</f>
        <v>@FFR</v>
      </c>
      <c r="E149" s="36" t="str">
        <f>IF(ISNA(VLOOKUP($A149&amp;E$2,'2004'!$B$2:$K$1621,10,0)),VLOOKUP($A149&amp;E$2,'2004'!$A$2:$K$1621,10,0),VLOOKUP($A149&amp;E$2,'2004'!$B$2:$K$1621,10,0))</f>
        <v>@RMO</v>
      </c>
      <c r="F149" s="36" t="str">
        <f>IF(ISNA(VLOOKUP($A149&amp;F$2,'2004'!$B$2:$K$1621,10,0)),VLOOKUP($A149&amp;F$2,'2004'!$A$2:$K$1621,10,0),VLOOKUP($A149&amp;F$2,'2004'!$B$2:$K$1621,10,0))</f>
        <v>@OKO</v>
      </c>
      <c r="G149" s="35" t="str">
        <f>IF(ISNA(VLOOKUP($A149&amp;G$2,'2004'!$B$2:$K$1621,10,0)),VLOOKUP($A149&amp;G$2,'2004'!$A$2:$K$1621,10,0),VLOOKUP($A149&amp;G$2,'2004'!$B$2:$K$1621,10,0))</f>
        <v>@BRK</v>
      </c>
      <c r="H149" s="35" t="str">
        <f>IF(ISNA(VLOOKUP($A149&amp;H$2,'2004'!$B$2:$K$1621,10,0)),VLOOKUP($A149&amp;H$2,'2004'!$A$2:$K$1621,10,0),VLOOKUP($A149&amp;H$2,'2004'!$B$2:$K$1621,10,0))</f>
        <v>@PHI</v>
      </c>
      <c r="I149" s="35" t="str">
        <f>IF(ISNA(VLOOKUP($A149&amp;I$2,'2004'!$B$2:$K$1621,10,0)),VLOOKUP($A149&amp;I$2,'2004'!$A$2:$K$1621,10,0),VLOOKUP($A149&amp;I$2,'2004'!$B$2:$K$1621,10,0))</f>
        <v>@HAR</v>
      </c>
      <c r="J149" s="35" t="str">
        <f>IF(ISNA(VLOOKUP($A149&amp;J$2,'2004'!$B$2:$K$1621,10,0)),VLOOKUP($A149&amp;J$2,'2004'!$A$2:$K$1621,10,0),VLOOKUP($A149&amp;J$2,'2004'!$B$2:$K$1621,10,0))</f>
        <v>@CBB</v>
      </c>
      <c r="K149" s="35" t="str">
        <f>IF(ISNA(VLOOKUP($A149&amp;K$2,'2004'!$B$2:$K$1621,10,0)),VLOOKUP($A149&amp;K$2,'2004'!$A$2:$K$1621,10,0),VLOOKUP($A149&amp;K$2,'2004'!$B$2:$K$1621,10,0))</f>
        <v>@NYD</v>
      </c>
      <c r="L149" s="34" t="str">
        <f>IF(ISNA(VLOOKUP($A149&amp;L$2,'2004'!$B$2:$K$1621,10,0)),VLOOKUP($A149&amp;L$2,'2004'!$A$2:$K$1621,10,0),VLOOKUP($A149&amp;L$2,'2004'!$B$2:$K$1621,10,0))</f>
        <v>BAR</v>
      </c>
      <c r="M149" s="34" t="str">
        <f>IF(ISNA(VLOOKUP($A149&amp;M$2,'2004'!$B$2:$K$1621,10,0)),VLOOKUP($A149&amp;M$2,'2004'!$A$2:$K$1621,10,0),VLOOKUP($A149&amp;M$2,'2004'!$B$2:$K$1621,10,0))</f>
        <v>CTW</v>
      </c>
      <c r="N149" s="34" t="str">
        <f>IF(ISNA(VLOOKUP($A149&amp;N$2,'2004'!$B$2:$K$1621,10,0)),VLOOKUP($A149&amp;N$2,'2004'!$A$2:$K$1621,10,0),VLOOKUP($A149&amp;N$2,'2004'!$B$2:$K$1621,10,0))</f>
        <v>BBG</v>
      </c>
      <c r="O149" s="34" t="str">
        <f>IF(ISNA(VLOOKUP($A149&amp;O$2,'2004'!$B$2:$K$1621,10,0)),VLOOKUP($A149&amp;O$2,'2004'!$A$2:$K$1621,10,0),VLOOKUP($A149&amp;O$2,'2004'!$B$2:$K$1621,10,0))</f>
        <v>GAR</v>
      </c>
      <c r="P149" s="34" t="str">
        <f>IF(ISNA(VLOOKUP($A149&amp;P$2,'2004'!$B$2:$K$1621,10,0)),VLOOKUP($A149&amp;P$2,'2004'!$A$2:$K$1621,10,0),VLOOKUP($A149&amp;P$2,'2004'!$B$2:$K$1621,10,0))</f>
        <v>CIN</v>
      </c>
      <c r="Q149" s="38" t="str">
        <f>IF(ISNA(VLOOKUP($A149&amp;Q$2,'2004'!$B$2:$K$1621,10,0)),VLOOKUP($A149&amp;Q$2,'2004'!$A$2:$K$1621,10,0),VLOOKUP($A149&amp;Q$2,'2004'!$B$2:$K$1621,10,0))</f>
        <v>CEN</v>
      </c>
      <c r="R149" s="38" t="str">
        <f>IF(ISNA(VLOOKUP($A149&amp;R$2,'2004'!$B$2:$K$1621,10,0)),VLOOKUP($A149&amp;R$2,'2004'!$A$2:$K$1621,10,0),VLOOKUP($A149&amp;R$2,'2004'!$B$2:$K$1621,10,0))</f>
        <v>REN</v>
      </c>
      <c r="S149" s="38" t="str">
        <f>IF(ISNA(VLOOKUP($A149&amp;S$2,'2004'!$B$2:$K$1621,10,0)),VLOOKUP($A149&amp;S$2,'2004'!$A$2:$K$1621,10,0),VLOOKUP($A149&amp;S$2,'2004'!$B$2:$K$1621,10,0))</f>
        <v>NEP</v>
      </c>
      <c r="T149" s="38" t="str">
        <f>IF(ISNA(VLOOKUP($A149&amp;T$2,'2004'!$B$2:$K$1621,10,0)),VLOOKUP($A149&amp;T$2,'2004'!$A$2:$K$1621,10,0),VLOOKUP($A149&amp;T$2,'2004'!$B$2:$K$1621,10,0))</f>
        <v>TEW</v>
      </c>
      <c r="U149" s="38" t="str">
        <f>IF(ISNA(VLOOKUP($A149&amp;U$2,'2004'!$B$2:$K$1621,10,0)),VLOOKUP($A149&amp;U$2,'2004'!$A$2:$K$1621,10,0),VLOOKUP($A149&amp;U$2,'2004'!$B$2:$K$1621,10,0))</f>
        <v>FDH</v>
      </c>
    </row>
    <row r="150" spans="1:21" x14ac:dyDescent="0.25">
      <c r="A150" s="40">
        <f t="shared" si="2"/>
        <v>38227</v>
      </c>
      <c r="B150" s="36" t="str">
        <f>IF(ISNA(VLOOKUP($A150&amp;B$2,'2004'!$B$2:$K$1621,10,0)),VLOOKUP($A150&amp;B$2,'2004'!$A$2:$K$1621,10,0),VLOOKUP($A150&amp;B$2,'2004'!$B$2:$K$1621,10,0))</f>
        <v>@NNN</v>
      </c>
      <c r="C150" s="36" t="str">
        <f>IF(ISNA(VLOOKUP($A150&amp;C$2,'2004'!$B$2:$K$1621,10,0)),VLOOKUP($A150&amp;C$2,'2004'!$A$2:$K$1621,10,0),VLOOKUP($A150&amp;C$2,'2004'!$B$2:$K$1621,10,0))</f>
        <v>@DIG</v>
      </c>
      <c r="D150" s="36" t="str">
        <f>IF(ISNA(VLOOKUP($A150&amp;D$2,'2004'!$B$2:$K$1621,10,0)),VLOOKUP($A150&amp;D$2,'2004'!$A$2:$K$1621,10,0),VLOOKUP($A150&amp;D$2,'2004'!$B$2:$K$1621,10,0))</f>
        <v>@FFR</v>
      </c>
      <c r="E150" s="36" t="str">
        <f>IF(ISNA(VLOOKUP($A150&amp;E$2,'2004'!$B$2:$K$1621,10,0)),VLOOKUP($A150&amp;E$2,'2004'!$A$2:$K$1621,10,0),VLOOKUP($A150&amp;E$2,'2004'!$B$2:$K$1621,10,0))</f>
        <v>@RMO</v>
      </c>
      <c r="F150" s="36" t="str">
        <f>IF(ISNA(VLOOKUP($A150&amp;F$2,'2004'!$B$2:$K$1621,10,0)),VLOOKUP($A150&amp;F$2,'2004'!$A$2:$K$1621,10,0),VLOOKUP($A150&amp;F$2,'2004'!$B$2:$K$1621,10,0))</f>
        <v>@OKO</v>
      </c>
      <c r="G150" s="35" t="str">
        <f>IF(ISNA(VLOOKUP($A150&amp;G$2,'2004'!$B$2:$K$1621,10,0)),VLOOKUP($A150&amp;G$2,'2004'!$A$2:$K$1621,10,0),VLOOKUP($A150&amp;G$2,'2004'!$B$2:$K$1621,10,0))</f>
        <v>@BRK</v>
      </c>
      <c r="H150" s="35" t="str">
        <f>IF(ISNA(VLOOKUP($A150&amp;H$2,'2004'!$B$2:$K$1621,10,0)),VLOOKUP($A150&amp;H$2,'2004'!$A$2:$K$1621,10,0),VLOOKUP($A150&amp;H$2,'2004'!$B$2:$K$1621,10,0))</f>
        <v>@PHI</v>
      </c>
      <c r="I150" s="35" t="str">
        <f>IF(ISNA(VLOOKUP($A150&amp;I$2,'2004'!$B$2:$K$1621,10,0)),VLOOKUP($A150&amp;I$2,'2004'!$A$2:$K$1621,10,0),VLOOKUP($A150&amp;I$2,'2004'!$B$2:$K$1621,10,0))</f>
        <v>@HAR</v>
      </c>
      <c r="J150" s="35" t="str">
        <f>IF(ISNA(VLOOKUP($A150&amp;J$2,'2004'!$B$2:$K$1621,10,0)),VLOOKUP($A150&amp;J$2,'2004'!$A$2:$K$1621,10,0),VLOOKUP($A150&amp;J$2,'2004'!$B$2:$K$1621,10,0))</f>
        <v>@CBB</v>
      </c>
      <c r="K150" s="35" t="str">
        <f>IF(ISNA(VLOOKUP($A150&amp;K$2,'2004'!$B$2:$K$1621,10,0)),VLOOKUP($A150&amp;K$2,'2004'!$A$2:$K$1621,10,0),VLOOKUP($A150&amp;K$2,'2004'!$B$2:$K$1621,10,0))</f>
        <v>@NYD</v>
      </c>
      <c r="L150" s="34" t="str">
        <f>IF(ISNA(VLOOKUP($A150&amp;L$2,'2004'!$B$2:$K$1621,10,0)),VLOOKUP($A150&amp;L$2,'2004'!$A$2:$K$1621,10,0),VLOOKUP($A150&amp;L$2,'2004'!$B$2:$K$1621,10,0))</f>
        <v>BAR</v>
      </c>
      <c r="M150" s="34" t="str">
        <f>IF(ISNA(VLOOKUP($A150&amp;M$2,'2004'!$B$2:$K$1621,10,0)),VLOOKUP($A150&amp;M$2,'2004'!$A$2:$K$1621,10,0),VLOOKUP($A150&amp;M$2,'2004'!$B$2:$K$1621,10,0))</f>
        <v>CTW</v>
      </c>
      <c r="N150" s="34" t="str">
        <f>IF(ISNA(VLOOKUP($A150&amp;N$2,'2004'!$B$2:$K$1621,10,0)),VLOOKUP($A150&amp;N$2,'2004'!$A$2:$K$1621,10,0),VLOOKUP($A150&amp;N$2,'2004'!$B$2:$K$1621,10,0))</f>
        <v>BBG</v>
      </c>
      <c r="O150" s="34" t="str">
        <f>IF(ISNA(VLOOKUP($A150&amp;O$2,'2004'!$B$2:$K$1621,10,0)),VLOOKUP($A150&amp;O$2,'2004'!$A$2:$K$1621,10,0),VLOOKUP($A150&amp;O$2,'2004'!$B$2:$K$1621,10,0))</f>
        <v>GAR</v>
      </c>
      <c r="P150" s="34" t="str">
        <f>IF(ISNA(VLOOKUP($A150&amp;P$2,'2004'!$B$2:$K$1621,10,0)),VLOOKUP($A150&amp;P$2,'2004'!$A$2:$K$1621,10,0),VLOOKUP($A150&amp;P$2,'2004'!$B$2:$K$1621,10,0))</f>
        <v>CIN</v>
      </c>
      <c r="Q150" s="38" t="str">
        <f>IF(ISNA(VLOOKUP($A150&amp;Q$2,'2004'!$B$2:$K$1621,10,0)),VLOOKUP($A150&amp;Q$2,'2004'!$A$2:$K$1621,10,0),VLOOKUP($A150&amp;Q$2,'2004'!$B$2:$K$1621,10,0))</f>
        <v>CEN</v>
      </c>
      <c r="R150" s="38" t="str">
        <f>IF(ISNA(VLOOKUP($A150&amp;R$2,'2004'!$B$2:$K$1621,10,0)),VLOOKUP($A150&amp;R$2,'2004'!$A$2:$K$1621,10,0),VLOOKUP($A150&amp;R$2,'2004'!$B$2:$K$1621,10,0))</f>
        <v>REN</v>
      </c>
      <c r="S150" s="38" t="str">
        <f>IF(ISNA(VLOOKUP($A150&amp;S$2,'2004'!$B$2:$K$1621,10,0)),VLOOKUP($A150&amp;S$2,'2004'!$A$2:$K$1621,10,0),VLOOKUP($A150&amp;S$2,'2004'!$B$2:$K$1621,10,0))</f>
        <v>NEP</v>
      </c>
      <c r="T150" s="38" t="str">
        <f>IF(ISNA(VLOOKUP($A150&amp;T$2,'2004'!$B$2:$K$1621,10,0)),VLOOKUP($A150&amp;T$2,'2004'!$A$2:$K$1621,10,0),VLOOKUP($A150&amp;T$2,'2004'!$B$2:$K$1621,10,0))</f>
        <v>TEW</v>
      </c>
      <c r="U150" s="38" t="str">
        <f>IF(ISNA(VLOOKUP($A150&amp;U$2,'2004'!$B$2:$K$1621,10,0)),VLOOKUP($A150&amp;U$2,'2004'!$A$2:$K$1621,10,0),VLOOKUP($A150&amp;U$2,'2004'!$B$2:$K$1621,10,0))</f>
        <v>FDH</v>
      </c>
    </row>
    <row r="151" spans="1:21" x14ac:dyDescent="0.25">
      <c r="A151" s="40">
        <f t="shared" si="2"/>
        <v>38228</v>
      </c>
      <c r="B151" s="36" t="e">
        <f>IF(ISNA(VLOOKUP($A151&amp;B$2,'2004'!$B$2:$K$1621,10,0)),VLOOKUP($A151&amp;B$2,'2004'!$A$2:$K$1621,10,0),VLOOKUP($A151&amp;B$2,'2004'!$B$2:$K$1621,10,0))</f>
        <v>#N/A</v>
      </c>
      <c r="C151" s="36" t="e">
        <f>IF(ISNA(VLOOKUP($A151&amp;C$2,'2004'!$B$2:$K$1621,10,0)),VLOOKUP($A151&amp;C$2,'2004'!$A$2:$K$1621,10,0),VLOOKUP($A151&amp;C$2,'2004'!$B$2:$K$1621,10,0))</f>
        <v>#N/A</v>
      </c>
      <c r="D151" s="36" t="e">
        <f>IF(ISNA(VLOOKUP($A151&amp;D$2,'2004'!$B$2:$K$1621,10,0)),VLOOKUP($A151&amp;D$2,'2004'!$A$2:$K$1621,10,0),VLOOKUP($A151&amp;D$2,'2004'!$B$2:$K$1621,10,0))</f>
        <v>#N/A</v>
      </c>
      <c r="E151" s="36" t="e">
        <f>IF(ISNA(VLOOKUP($A151&amp;E$2,'2004'!$B$2:$K$1621,10,0)),VLOOKUP($A151&amp;E$2,'2004'!$A$2:$K$1621,10,0),VLOOKUP($A151&amp;E$2,'2004'!$B$2:$K$1621,10,0))</f>
        <v>#N/A</v>
      </c>
      <c r="F151" s="36" t="e">
        <f>IF(ISNA(VLOOKUP($A151&amp;F$2,'2004'!$B$2:$K$1621,10,0)),VLOOKUP($A151&amp;F$2,'2004'!$A$2:$K$1621,10,0),VLOOKUP($A151&amp;F$2,'2004'!$B$2:$K$1621,10,0))</f>
        <v>#N/A</v>
      </c>
      <c r="G151" s="35" t="e">
        <f>IF(ISNA(VLOOKUP($A151&amp;G$2,'2004'!$B$2:$K$1621,10,0)),VLOOKUP($A151&amp;G$2,'2004'!$A$2:$K$1621,10,0),VLOOKUP($A151&amp;G$2,'2004'!$B$2:$K$1621,10,0))</f>
        <v>#N/A</v>
      </c>
      <c r="H151" s="35" t="e">
        <f>IF(ISNA(VLOOKUP($A151&amp;H$2,'2004'!$B$2:$K$1621,10,0)),VLOOKUP($A151&amp;H$2,'2004'!$A$2:$K$1621,10,0),VLOOKUP($A151&amp;H$2,'2004'!$B$2:$K$1621,10,0))</f>
        <v>#N/A</v>
      </c>
      <c r="I151" s="35" t="e">
        <f>IF(ISNA(VLOOKUP($A151&amp;I$2,'2004'!$B$2:$K$1621,10,0)),VLOOKUP($A151&amp;I$2,'2004'!$A$2:$K$1621,10,0),VLOOKUP($A151&amp;I$2,'2004'!$B$2:$K$1621,10,0))</f>
        <v>#N/A</v>
      </c>
      <c r="J151" s="35" t="e">
        <f>IF(ISNA(VLOOKUP($A151&amp;J$2,'2004'!$B$2:$K$1621,10,0)),VLOOKUP($A151&amp;J$2,'2004'!$A$2:$K$1621,10,0),VLOOKUP($A151&amp;J$2,'2004'!$B$2:$K$1621,10,0))</f>
        <v>#N/A</v>
      </c>
      <c r="K151" s="35" t="e">
        <f>IF(ISNA(VLOOKUP($A151&amp;K$2,'2004'!$B$2:$K$1621,10,0)),VLOOKUP($A151&amp;K$2,'2004'!$A$2:$K$1621,10,0),VLOOKUP($A151&amp;K$2,'2004'!$B$2:$K$1621,10,0))</f>
        <v>#N/A</v>
      </c>
      <c r="L151" s="34" t="e">
        <f>IF(ISNA(VLOOKUP($A151&amp;L$2,'2004'!$B$2:$K$1621,10,0)),VLOOKUP($A151&amp;L$2,'2004'!$A$2:$K$1621,10,0),VLOOKUP($A151&amp;L$2,'2004'!$B$2:$K$1621,10,0))</f>
        <v>#N/A</v>
      </c>
      <c r="M151" s="34" t="e">
        <f>IF(ISNA(VLOOKUP($A151&amp;M$2,'2004'!$B$2:$K$1621,10,0)),VLOOKUP($A151&amp;M$2,'2004'!$A$2:$K$1621,10,0),VLOOKUP($A151&amp;M$2,'2004'!$B$2:$K$1621,10,0))</f>
        <v>#N/A</v>
      </c>
      <c r="N151" s="34" t="e">
        <f>IF(ISNA(VLOOKUP($A151&amp;N$2,'2004'!$B$2:$K$1621,10,0)),VLOOKUP($A151&amp;N$2,'2004'!$A$2:$K$1621,10,0),VLOOKUP($A151&amp;N$2,'2004'!$B$2:$K$1621,10,0))</f>
        <v>#N/A</v>
      </c>
      <c r="O151" s="34" t="e">
        <f>IF(ISNA(VLOOKUP($A151&amp;O$2,'2004'!$B$2:$K$1621,10,0)),VLOOKUP($A151&amp;O$2,'2004'!$A$2:$K$1621,10,0),VLOOKUP($A151&amp;O$2,'2004'!$B$2:$K$1621,10,0))</f>
        <v>#N/A</v>
      </c>
      <c r="P151" s="34" t="e">
        <f>IF(ISNA(VLOOKUP($A151&amp;P$2,'2004'!$B$2:$K$1621,10,0)),VLOOKUP($A151&amp;P$2,'2004'!$A$2:$K$1621,10,0),VLOOKUP($A151&amp;P$2,'2004'!$B$2:$K$1621,10,0))</f>
        <v>#N/A</v>
      </c>
      <c r="Q151" s="38" t="e">
        <f>IF(ISNA(VLOOKUP($A151&amp;Q$2,'2004'!$B$2:$K$1621,10,0)),VLOOKUP($A151&amp;Q$2,'2004'!$A$2:$K$1621,10,0),VLOOKUP($A151&amp;Q$2,'2004'!$B$2:$K$1621,10,0))</f>
        <v>#N/A</v>
      </c>
      <c r="R151" s="38" t="e">
        <f>IF(ISNA(VLOOKUP($A151&amp;R$2,'2004'!$B$2:$K$1621,10,0)),VLOOKUP($A151&amp;R$2,'2004'!$A$2:$K$1621,10,0),VLOOKUP($A151&amp;R$2,'2004'!$B$2:$K$1621,10,0))</f>
        <v>#N/A</v>
      </c>
      <c r="S151" s="38" t="e">
        <f>IF(ISNA(VLOOKUP($A151&amp;S$2,'2004'!$B$2:$K$1621,10,0)),VLOOKUP($A151&amp;S$2,'2004'!$A$2:$K$1621,10,0),VLOOKUP($A151&amp;S$2,'2004'!$B$2:$K$1621,10,0))</f>
        <v>#N/A</v>
      </c>
      <c r="T151" s="38" t="e">
        <f>IF(ISNA(VLOOKUP($A151&amp;T$2,'2004'!$B$2:$K$1621,10,0)),VLOOKUP($A151&amp;T$2,'2004'!$A$2:$K$1621,10,0),VLOOKUP($A151&amp;T$2,'2004'!$B$2:$K$1621,10,0))</f>
        <v>#N/A</v>
      </c>
      <c r="U151" s="38" t="e">
        <f>IF(ISNA(VLOOKUP($A151&amp;U$2,'2004'!$B$2:$K$1621,10,0)),VLOOKUP($A151&amp;U$2,'2004'!$A$2:$K$1621,10,0),VLOOKUP($A151&amp;U$2,'2004'!$B$2:$K$1621,10,0))</f>
        <v>#N/A</v>
      </c>
    </row>
    <row r="152" spans="1:21" x14ac:dyDescent="0.25">
      <c r="A152" s="40">
        <f t="shared" si="2"/>
        <v>38229</v>
      </c>
      <c r="B152" s="36" t="str">
        <f>IF(ISNA(VLOOKUP($A152&amp;B$2,'2004'!$B$2:$K$1621,10,0)),VLOOKUP($A152&amp;B$2,'2004'!$A$2:$K$1621,10,0),VLOOKUP($A152&amp;B$2,'2004'!$B$2:$K$1621,10,0))</f>
        <v>@CBB</v>
      </c>
      <c r="C152" s="36" t="str">
        <f>IF(ISNA(VLOOKUP($A152&amp;C$2,'2004'!$B$2:$K$1621,10,0)),VLOOKUP($A152&amp;C$2,'2004'!$A$2:$K$1621,10,0),VLOOKUP($A152&amp;C$2,'2004'!$B$2:$K$1621,10,0))</f>
        <v>@PHI</v>
      </c>
      <c r="D152" s="36" t="str">
        <f>IF(ISNA(VLOOKUP($A152&amp;D$2,'2004'!$B$2:$K$1621,10,0)),VLOOKUP($A152&amp;D$2,'2004'!$A$2:$K$1621,10,0),VLOOKUP($A152&amp;D$2,'2004'!$B$2:$K$1621,10,0))</f>
        <v>@NYD</v>
      </c>
      <c r="E152" s="36" t="str">
        <f>IF(ISNA(VLOOKUP($A152&amp;E$2,'2004'!$B$2:$K$1621,10,0)),VLOOKUP($A152&amp;E$2,'2004'!$A$2:$K$1621,10,0),VLOOKUP($A152&amp;E$2,'2004'!$B$2:$K$1621,10,0))</f>
        <v>@HAR</v>
      </c>
      <c r="F152" s="36" t="str">
        <f>IF(ISNA(VLOOKUP($A152&amp;F$2,'2004'!$B$2:$K$1621,10,0)),VLOOKUP($A152&amp;F$2,'2004'!$A$2:$K$1621,10,0),VLOOKUP($A152&amp;F$2,'2004'!$B$2:$K$1621,10,0))</f>
        <v>@BRK</v>
      </c>
      <c r="G152" s="35" t="str">
        <f>IF(ISNA(VLOOKUP($A152&amp;G$2,'2004'!$B$2:$K$1621,10,0)),VLOOKUP($A152&amp;G$2,'2004'!$A$2:$K$1621,10,0),VLOOKUP($A152&amp;G$2,'2004'!$B$2:$K$1621,10,0))</f>
        <v>@RMO</v>
      </c>
      <c r="H152" s="35" t="str">
        <f>IF(ISNA(VLOOKUP($A152&amp;H$2,'2004'!$B$2:$K$1621,10,0)),VLOOKUP($A152&amp;H$2,'2004'!$A$2:$K$1621,10,0),VLOOKUP($A152&amp;H$2,'2004'!$B$2:$K$1621,10,0))</f>
        <v>@FFR</v>
      </c>
      <c r="I152" s="35" t="str">
        <f>IF(ISNA(VLOOKUP($A152&amp;I$2,'2004'!$B$2:$K$1621,10,0)),VLOOKUP($A152&amp;I$2,'2004'!$A$2:$K$1621,10,0),VLOOKUP($A152&amp;I$2,'2004'!$B$2:$K$1621,10,0))</f>
        <v>@NNN</v>
      </c>
      <c r="J152" s="35" t="str">
        <f>IF(ISNA(VLOOKUP($A152&amp;J$2,'2004'!$B$2:$K$1621,10,0)),VLOOKUP($A152&amp;J$2,'2004'!$A$2:$K$1621,10,0),VLOOKUP($A152&amp;J$2,'2004'!$B$2:$K$1621,10,0))</f>
        <v>@DIG</v>
      </c>
      <c r="K152" s="35" t="str">
        <f>IF(ISNA(VLOOKUP($A152&amp;K$2,'2004'!$B$2:$K$1621,10,0)),VLOOKUP($A152&amp;K$2,'2004'!$A$2:$K$1621,10,0),VLOOKUP($A152&amp;K$2,'2004'!$B$2:$K$1621,10,0))</f>
        <v>@OKO</v>
      </c>
      <c r="L152" s="34" t="str">
        <f>IF(ISNA(VLOOKUP($A152&amp;L$2,'2004'!$B$2:$K$1621,10,0)),VLOOKUP($A152&amp;L$2,'2004'!$A$2:$K$1621,10,0),VLOOKUP($A152&amp;L$2,'2004'!$B$2:$K$1621,10,0))</f>
        <v>REN</v>
      </c>
      <c r="M152" s="34" t="str">
        <f>IF(ISNA(VLOOKUP($A152&amp;M$2,'2004'!$B$2:$K$1621,10,0)),VLOOKUP($A152&amp;M$2,'2004'!$A$2:$K$1621,10,0),VLOOKUP($A152&amp;M$2,'2004'!$B$2:$K$1621,10,0))</f>
        <v>FDH</v>
      </c>
      <c r="N152" s="34" t="str">
        <f>IF(ISNA(VLOOKUP($A152&amp;N$2,'2004'!$B$2:$K$1621,10,0)),VLOOKUP($A152&amp;N$2,'2004'!$A$2:$K$1621,10,0),VLOOKUP($A152&amp;N$2,'2004'!$B$2:$K$1621,10,0))</f>
        <v>NEP</v>
      </c>
      <c r="O152" s="34" t="str">
        <f>IF(ISNA(VLOOKUP($A152&amp;O$2,'2004'!$B$2:$K$1621,10,0)),VLOOKUP($A152&amp;O$2,'2004'!$A$2:$K$1621,10,0),VLOOKUP($A152&amp;O$2,'2004'!$B$2:$K$1621,10,0))</f>
        <v>TEW</v>
      </c>
      <c r="P152" s="34" t="str">
        <f>IF(ISNA(VLOOKUP($A152&amp;P$2,'2004'!$B$2:$K$1621,10,0)),VLOOKUP($A152&amp;P$2,'2004'!$A$2:$K$1621,10,0),VLOOKUP($A152&amp;P$2,'2004'!$B$2:$K$1621,10,0))</f>
        <v>CEN</v>
      </c>
      <c r="Q152" s="38" t="str">
        <f>IF(ISNA(VLOOKUP($A152&amp;Q$2,'2004'!$B$2:$K$1621,10,0)),VLOOKUP($A152&amp;Q$2,'2004'!$A$2:$K$1621,10,0),VLOOKUP($A152&amp;Q$2,'2004'!$B$2:$K$1621,10,0))</f>
        <v>GAR</v>
      </c>
      <c r="R152" s="38" t="str">
        <f>IF(ISNA(VLOOKUP($A152&amp;R$2,'2004'!$B$2:$K$1621,10,0)),VLOOKUP($A152&amp;R$2,'2004'!$A$2:$K$1621,10,0),VLOOKUP($A152&amp;R$2,'2004'!$B$2:$K$1621,10,0))</f>
        <v>BBG</v>
      </c>
      <c r="S152" s="38" t="str">
        <f>IF(ISNA(VLOOKUP($A152&amp;S$2,'2004'!$B$2:$K$1621,10,0)),VLOOKUP($A152&amp;S$2,'2004'!$A$2:$K$1621,10,0),VLOOKUP($A152&amp;S$2,'2004'!$B$2:$K$1621,10,0))</f>
        <v>CIN</v>
      </c>
      <c r="T152" s="38" t="str">
        <f>IF(ISNA(VLOOKUP($A152&amp;T$2,'2004'!$B$2:$K$1621,10,0)),VLOOKUP($A152&amp;T$2,'2004'!$A$2:$K$1621,10,0),VLOOKUP($A152&amp;T$2,'2004'!$B$2:$K$1621,10,0))</f>
        <v>CTW</v>
      </c>
      <c r="U152" s="38" t="str">
        <f>IF(ISNA(VLOOKUP($A152&amp;U$2,'2004'!$B$2:$K$1621,10,0)),VLOOKUP($A152&amp;U$2,'2004'!$A$2:$K$1621,10,0),VLOOKUP($A152&amp;U$2,'2004'!$B$2:$K$1621,10,0))</f>
        <v>BAR</v>
      </c>
    </row>
    <row r="153" spans="1:21" x14ac:dyDescent="0.25">
      <c r="A153" s="40">
        <f t="shared" si="2"/>
        <v>38230</v>
      </c>
      <c r="B153" s="37" t="str">
        <f>IF(ISNA(VLOOKUP($A153&amp;B$2,'2004'!$B$2:$K$1621,10,0)),VLOOKUP($A153&amp;B$2,'2004'!$A$2:$K$1621,10,0),VLOOKUP($A153&amp;B$2,'2004'!$B$2:$K$1621,10,0))</f>
        <v>@CBB</v>
      </c>
      <c r="C153" s="36" t="str">
        <f>IF(ISNA(VLOOKUP($A153&amp;C$2,'2004'!$B$2:$K$1621,10,0)),VLOOKUP($A153&amp;C$2,'2004'!$A$2:$K$1621,10,0),VLOOKUP($A153&amp;C$2,'2004'!$B$2:$K$1621,10,0))</f>
        <v>@PHI</v>
      </c>
      <c r="D153" s="36" t="str">
        <f>IF(ISNA(VLOOKUP($A153&amp;D$2,'2004'!$B$2:$K$1621,10,0)),VLOOKUP($A153&amp;D$2,'2004'!$A$2:$K$1621,10,0),VLOOKUP($A153&amp;D$2,'2004'!$B$2:$K$1621,10,0))</f>
        <v>@NYD</v>
      </c>
      <c r="E153" s="36" t="str">
        <f>IF(ISNA(VLOOKUP($A153&amp;E$2,'2004'!$B$2:$K$1621,10,0)),VLOOKUP($A153&amp;E$2,'2004'!$A$2:$K$1621,10,0),VLOOKUP($A153&amp;E$2,'2004'!$B$2:$K$1621,10,0))</f>
        <v>@HAR</v>
      </c>
      <c r="F153" s="36" t="str">
        <f>IF(ISNA(VLOOKUP($A153&amp;F$2,'2004'!$B$2:$K$1621,10,0)),VLOOKUP($A153&amp;F$2,'2004'!$A$2:$K$1621,10,0),VLOOKUP($A153&amp;F$2,'2004'!$B$2:$K$1621,10,0))</f>
        <v>@BRK</v>
      </c>
      <c r="G153" s="35" t="str">
        <f>IF(ISNA(VLOOKUP($A153&amp;G$2,'2004'!$B$2:$K$1621,10,0)),VLOOKUP($A153&amp;G$2,'2004'!$A$2:$K$1621,10,0),VLOOKUP($A153&amp;G$2,'2004'!$B$2:$K$1621,10,0))</f>
        <v>@RMO</v>
      </c>
      <c r="H153" s="35" t="str">
        <f>IF(ISNA(VLOOKUP($A153&amp;H$2,'2004'!$B$2:$K$1621,10,0)),VLOOKUP($A153&amp;H$2,'2004'!$A$2:$K$1621,10,0),VLOOKUP($A153&amp;H$2,'2004'!$B$2:$K$1621,10,0))</f>
        <v>@FFR</v>
      </c>
      <c r="I153" s="35" t="str">
        <f>IF(ISNA(VLOOKUP($A153&amp;I$2,'2004'!$B$2:$K$1621,10,0)),VLOOKUP($A153&amp;I$2,'2004'!$A$2:$K$1621,10,0),VLOOKUP($A153&amp;I$2,'2004'!$B$2:$K$1621,10,0))</f>
        <v>@NNN</v>
      </c>
      <c r="J153" s="35" t="str">
        <f>IF(ISNA(VLOOKUP($A153&amp;J$2,'2004'!$B$2:$K$1621,10,0)),VLOOKUP($A153&amp;J$2,'2004'!$A$2:$K$1621,10,0),VLOOKUP($A153&amp;J$2,'2004'!$B$2:$K$1621,10,0))</f>
        <v>@DIG</v>
      </c>
      <c r="K153" s="35" t="str">
        <f>IF(ISNA(VLOOKUP($A153&amp;K$2,'2004'!$B$2:$K$1621,10,0)),VLOOKUP($A153&amp;K$2,'2004'!$A$2:$K$1621,10,0),VLOOKUP($A153&amp;K$2,'2004'!$B$2:$K$1621,10,0))</f>
        <v>@OKO</v>
      </c>
      <c r="L153" s="34" t="str">
        <f>IF(ISNA(VLOOKUP($A153&amp;L$2,'2004'!$B$2:$K$1621,10,0)),VLOOKUP($A153&amp;L$2,'2004'!$A$2:$K$1621,10,0),VLOOKUP($A153&amp;L$2,'2004'!$B$2:$K$1621,10,0))</f>
        <v>REN</v>
      </c>
      <c r="M153" s="34" t="str">
        <f>IF(ISNA(VLOOKUP($A153&amp;M$2,'2004'!$B$2:$K$1621,10,0)),VLOOKUP($A153&amp;M$2,'2004'!$A$2:$K$1621,10,0),VLOOKUP($A153&amp;M$2,'2004'!$B$2:$K$1621,10,0))</f>
        <v>FDH</v>
      </c>
      <c r="N153" s="34" t="str">
        <f>IF(ISNA(VLOOKUP($A153&amp;N$2,'2004'!$B$2:$K$1621,10,0)),VLOOKUP($A153&amp;N$2,'2004'!$A$2:$K$1621,10,0),VLOOKUP($A153&amp;N$2,'2004'!$B$2:$K$1621,10,0))</f>
        <v>NEP</v>
      </c>
      <c r="O153" s="34" t="str">
        <f>IF(ISNA(VLOOKUP($A153&amp;O$2,'2004'!$B$2:$K$1621,10,0)),VLOOKUP($A153&amp;O$2,'2004'!$A$2:$K$1621,10,0),VLOOKUP($A153&amp;O$2,'2004'!$B$2:$K$1621,10,0))</f>
        <v>TEW</v>
      </c>
      <c r="P153" s="34" t="str">
        <f>IF(ISNA(VLOOKUP($A153&amp;P$2,'2004'!$B$2:$K$1621,10,0)),VLOOKUP($A153&amp;P$2,'2004'!$A$2:$K$1621,10,0),VLOOKUP($A153&amp;P$2,'2004'!$B$2:$K$1621,10,0))</f>
        <v>CEN</v>
      </c>
      <c r="Q153" s="38" t="str">
        <f>IF(ISNA(VLOOKUP($A153&amp;Q$2,'2004'!$B$2:$K$1621,10,0)),VLOOKUP($A153&amp;Q$2,'2004'!$A$2:$K$1621,10,0),VLOOKUP($A153&amp;Q$2,'2004'!$B$2:$K$1621,10,0))</f>
        <v>GAR</v>
      </c>
      <c r="R153" s="38" t="str">
        <f>IF(ISNA(VLOOKUP($A153&amp;R$2,'2004'!$B$2:$K$1621,10,0)),VLOOKUP($A153&amp;R$2,'2004'!$A$2:$K$1621,10,0),VLOOKUP($A153&amp;R$2,'2004'!$B$2:$K$1621,10,0))</f>
        <v>BBG</v>
      </c>
      <c r="S153" s="38" t="str">
        <f>IF(ISNA(VLOOKUP($A153&amp;S$2,'2004'!$B$2:$K$1621,10,0)),VLOOKUP($A153&amp;S$2,'2004'!$A$2:$K$1621,10,0),VLOOKUP($A153&amp;S$2,'2004'!$B$2:$K$1621,10,0))</f>
        <v>CIN</v>
      </c>
      <c r="T153" s="38" t="str">
        <f>IF(ISNA(VLOOKUP($A153&amp;T$2,'2004'!$B$2:$K$1621,10,0)),VLOOKUP($A153&amp;T$2,'2004'!$A$2:$K$1621,10,0),VLOOKUP($A153&amp;T$2,'2004'!$B$2:$K$1621,10,0))</f>
        <v>CTW</v>
      </c>
      <c r="U153" s="38" t="str">
        <f>IF(ISNA(VLOOKUP($A153&amp;U$2,'2004'!$B$2:$K$1621,10,0)),VLOOKUP($A153&amp;U$2,'2004'!$A$2:$K$1621,10,0),VLOOKUP($A153&amp;U$2,'2004'!$B$2:$K$1621,10,0))</f>
        <v>BAR</v>
      </c>
    </row>
    <row r="154" spans="1:21" x14ac:dyDescent="0.25">
      <c r="A154" s="40">
        <f t="shared" si="2"/>
        <v>38231</v>
      </c>
      <c r="B154" s="36" t="str">
        <f>IF(ISNA(VLOOKUP($A154&amp;B$2,'2004'!$B$2:$K$1621,10,0)),VLOOKUP($A154&amp;B$2,'2004'!$A$2:$K$1621,10,0),VLOOKUP($A154&amp;B$2,'2004'!$B$2:$K$1621,10,0))</f>
        <v>@CBB</v>
      </c>
      <c r="C154" s="36" t="str">
        <f>IF(ISNA(VLOOKUP($A154&amp;C$2,'2004'!$B$2:$K$1621,10,0)),VLOOKUP($A154&amp;C$2,'2004'!$A$2:$K$1621,10,0),VLOOKUP($A154&amp;C$2,'2004'!$B$2:$K$1621,10,0))</f>
        <v>@PHI</v>
      </c>
      <c r="D154" s="36" t="str">
        <f>IF(ISNA(VLOOKUP($A154&amp;D$2,'2004'!$B$2:$K$1621,10,0)),VLOOKUP($A154&amp;D$2,'2004'!$A$2:$K$1621,10,0),VLOOKUP($A154&amp;D$2,'2004'!$B$2:$K$1621,10,0))</f>
        <v>@NYD</v>
      </c>
      <c r="E154" s="36" t="str">
        <f>IF(ISNA(VLOOKUP($A154&amp;E$2,'2004'!$B$2:$K$1621,10,0)),VLOOKUP($A154&amp;E$2,'2004'!$A$2:$K$1621,10,0),VLOOKUP($A154&amp;E$2,'2004'!$B$2:$K$1621,10,0))</f>
        <v>@HAR</v>
      </c>
      <c r="F154" s="36" t="str">
        <f>IF(ISNA(VLOOKUP($A154&amp;F$2,'2004'!$B$2:$K$1621,10,0)),VLOOKUP($A154&amp;F$2,'2004'!$A$2:$K$1621,10,0),VLOOKUP($A154&amp;F$2,'2004'!$B$2:$K$1621,10,0))</f>
        <v>@BRK</v>
      </c>
      <c r="G154" s="35" t="str">
        <f>IF(ISNA(VLOOKUP($A154&amp;G$2,'2004'!$B$2:$K$1621,10,0)),VLOOKUP($A154&amp;G$2,'2004'!$A$2:$K$1621,10,0),VLOOKUP($A154&amp;G$2,'2004'!$B$2:$K$1621,10,0))</f>
        <v>@RMO</v>
      </c>
      <c r="H154" s="35" t="str">
        <f>IF(ISNA(VLOOKUP($A154&amp;H$2,'2004'!$B$2:$K$1621,10,0)),VLOOKUP($A154&amp;H$2,'2004'!$A$2:$K$1621,10,0),VLOOKUP($A154&amp;H$2,'2004'!$B$2:$K$1621,10,0))</f>
        <v>@FFR</v>
      </c>
      <c r="I154" s="35" t="str">
        <f>IF(ISNA(VLOOKUP($A154&amp;I$2,'2004'!$B$2:$K$1621,10,0)),VLOOKUP($A154&amp;I$2,'2004'!$A$2:$K$1621,10,0),VLOOKUP($A154&amp;I$2,'2004'!$B$2:$K$1621,10,0))</f>
        <v>@NNN</v>
      </c>
      <c r="J154" s="35" t="str">
        <f>IF(ISNA(VLOOKUP($A154&amp;J$2,'2004'!$B$2:$K$1621,10,0)),VLOOKUP($A154&amp;J$2,'2004'!$A$2:$K$1621,10,0),VLOOKUP($A154&amp;J$2,'2004'!$B$2:$K$1621,10,0))</f>
        <v>@DIG</v>
      </c>
      <c r="K154" s="35" t="str">
        <f>IF(ISNA(VLOOKUP($A154&amp;K$2,'2004'!$B$2:$K$1621,10,0)),VLOOKUP($A154&amp;K$2,'2004'!$A$2:$K$1621,10,0),VLOOKUP($A154&amp;K$2,'2004'!$B$2:$K$1621,10,0))</f>
        <v>@OKO</v>
      </c>
      <c r="L154" s="34" t="str">
        <f>IF(ISNA(VLOOKUP($A154&amp;L$2,'2004'!$B$2:$K$1621,10,0)),VLOOKUP($A154&amp;L$2,'2004'!$A$2:$K$1621,10,0),VLOOKUP($A154&amp;L$2,'2004'!$B$2:$K$1621,10,0))</f>
        <v>REN</v>
      </c>
      <c r="M154" s="34" t="str">
        <f>IF(ISNA(VLOOKUP($A154&amp;M$2,'2004'!$B$2:$K$1621,10,0)),VLOOKUP($A154&amp;M$2,'2004'!$A$2:$K$1621,10,0),VLOOKUP($A154&amp;M$2,'2004'!$B$2:$K$1621,10,0))</f>
        <v>FDH</v>
      </c>
      <c r="N154" s="34" t="str">
        <f>IF(ISNA(VLOOKUP($A154&amp;N$2,'2004'!$B$2:$K$1621,10,0)),VLOOKUP($A154&amp;N$2,'2004'!$A$2:$K$1621,10,0),VLOOKUP($A154&amp;N$2,'2004'!$B$2:$K$1621,10,0))</f>
        <v>NEP</v>
      </c>
      <c r="O154" s="34" t="str">
        <f>IF(ISNA(VLOOKUP($A154&amp;O$2,'2004'!$B$2:$K$1621,10,0)),VLOOKUP($A154&amp;O$2,'2004'!$A$2:$K$1621,10,0),VLOOKUP($A154&amp;O$2,'2004'!$B$2:$K$1621,10,0))</f>
        <v>TEW</v>
      </c>
      <c r="P154" s="34" t="str">
        <f>IF(ISNA(VLOOKUP($A154&amp;P$2,'2004'!$B$2:$K$1621,10,0)),VLOOKUP($A154&amp;P$2,'2004'!$A$2:$K$1621,10,0),VLOOKUP($A154&amp;P$2,'2004'!$B$2:$K$1621,10,0))</f>
        <v>CEN</v>
      </c>
      <c r="Q154" s="38" t="str">
        <f>IF(ISNA(VLOOKUP($A154&amp;Q$2,'2004'!$B$2:$K$1621,10,0)),VLOOKUP($A154&amp;Q$2,'2004'!$A$2:$K$1621,10,0),VLOOKUP($A154&amp;Q$2,'2004'!$B$2:$K$1621,10,0))</f>
        <v>GAR</v>
      </c>
      <c r="R154" s="38" t="str">
        <f>IF(ISNA(VLOOKUP($A154&amp;R$2,'2004'!$B$2:$K$1621,10,0)),VLOOKUP($A154&amp;R$2,'2004'!$A$2:$K$1621,10,0),VLOOKUP($A154&amp;R$2,'2004'!$B$2:$K$1621,10,0))</f>
        <v>BBG</v>
      </c>
      <c r="S154" s="38" t="str">
        <f>IF(ISNA(VLOOKUP($A154&amp;S$2,'2004'!$B$2:$K$1621,10,0)),VLOOKUP($A154&amp;S$2,'2004'!$A$2:$K$1621,10,0),VLOOKUP($A154&amp;S$2,'2004'!$B$2:$K$1621,10,0))</f>
        <v>CIN</v>
      </c>
      <c r="T154" s="38" t="str">
        <f>IF(ISNA(VLOOKUP($A154&amp;T$2,'2004'!$B$2:$K$1621,10,0)),VLOOKUP($A154&amp;T$2,'2004'!$A$2:$K$1621,10,0),VLOOKUP($A154&amp;T$2,'2004'!$B$2:$K$1621,10,0))</f>
        <v>CTW</v>
      </c>
      <c r="U154" s="38" t="str">
        <f>IF(ISNA(VLOOKUP($A154&amp;U$2,'2004'!$B$2:$K$1621,10,0)),VLOOKUP($A154&amp;U$2,'2004'!$A$2:$K$1621,10,0),VLOOKUP($A154&amp;U$2,'2004'!$B$2:$K$1621,10,0))</f>
        <v>BAR</v>
      </c>
    </row>
    <row r="155" spans="1:21" x14ac:dyDescent="0.25">
      <c r="A155" s="40">
        <f t="shared" si="2"/>
        <v>38232</v>
      </c>
      <c r="B155" s="36" t="str">
        <f>IF(ISNA(VLOOKUP($A155&amp;B$2,'2004'!$B$2:$K$1621,10,0)),VLOOKUP($A155&amp;B$2,'2004'!$A$2:$K$1621,10,0),VLOOKUP($A155&amp;B$2,'2004'!$B$2:$K$1621,10,0))</f>
        <v>@CBB</v>
      </c>
      <c r="C155" s="36" t="str">
        <f>IF(ISNA(VLOOKUP($A155&amp;C$2,'2004'!$B$2:$K$1621,10,0)),VLOOKUP($A155&amp;C$2,'2004'!$A$2:$K$1621,10,0),VLOOKUP($A155&amp;C$2,'2004'!$B$2:$K$1621,10,0))</f>
        <v>@PHI</v>
      </c>
      <c r="D155" s="36" t="str">
        <f>IF(ISNA(VLOOKUP($A155&amp;D$2,'2004'!$B$2:$K$1621,10,0)),VLOOKUP($A155&amp;D$2,'2004'!$A$2:$K$1621,10,0),VLOOKUP($A155&amp;D$2,'2004'!$B$2:$K$1621,10,0))</f>
        <v>@NYD</v>
      </c>
      <c r="E155" s="36" t="str">
        <f>IF(ISNA(VLOOKUP($A155&amp;E$2,'2004'!$B$2:$K$1621,10,0)),VLOOKUP($A155&amp;E$2,'2004'!$A$2:$K$1621,10,0),VLOOKUP($A155&amp;E$2,'2004'!$B$2:$K$1621,10,0))</f>
        <v>@HAR</v>
      </c>
      <c r="F155" s="36" t="str">
        <f>IF(ISNA(VLOOKUP($A155&amp;F$2,'2004'!$B$2:$K$1621,10,0)),VLOOKUP($A155&amp;F$2,'2004'!$A$2:$K$1621,10,0),VLOOKUP($A155&amp;F$2,'2004'!$B$2:$K$1621,10,0))</f>
        <v>@BRK</v>
      </c>
      <c r="G155" s="35" t="str">
        <f>IF(ISNA(VLOOKUP($A155&amp;G$2,'2004'!$B$2:$K$1621,10,0)),VLOOKUP($A155&amp;G$2,'2004'!$A$2:$K$1621,10,0),VLOOKUP($A155&amp;G$2,'2004'!$B$2:$K$1621,10,0))</f>
        <v>@RMO</v>
      </c>
      <c r="H155" s="35" t="str">
        <f>IF(ISNA(VLOOKUP($A155&amp;H$2,'2004'!$B$2:$K$1621,10,0)),VLOOKUP($A155&amp;H$2,'2004'!$A$2:$K$1621,10,0),VLOOKUP($A155&amp;H$2,'2004'!$B$2:$K$1621,10,0))</f>
        <v>@FFR</v>
      </c>
      <c r="I155" s="35" t="str">
        <f>IF(ISNA(VLOOKUP($A155&amp;I$2,'2004'!$B$2:$K$1621,10,0)),VLOOKUP($A155&amp;I$2,'2004'!$A$2:$K$1621,10,0),VLOOKUP($A155&amp;I$2,'2004'!$B$2:$K$1621,10,0))</f>
        <v>@NNN</v>
      </c>
      <c r="J155" s="35" t="str">
        <f>IF(ISNA(VLOOKUP($A155&amp;J$2,'2004'!$B$2:$K$1621,10,0)),VLOOKUP($A155&amp;J$2,'2004'!$A$2:$K$1621,10,0),VLOOKUP($A155&amp;J$2,'2004'!$B$2:$K$1621,10,0))</f>
        <v>@DIG</v>
      </c>
      <c r="K155" s="35" t="str">
        <f>IF(ISNA(VLOOKUP($A155&amp;K$2,'2004'!$B$2:$K$1621,10,0)),VLOOKUP($A155&amp;K$2,'2004'!$A$2:$K$1621,10,0),VLOOKUP($A155&amp;K$2,'2004'!$B$2:$K$1621,10,0))</f>
        <v>@OKO</v>
      </c>
      <c r="L155" s="34" t="str">
        <f>IF(ISNA(VLOOKUP($A155&amp;L$2,'2004'!$B$2:$K$1621,10,0)),VLOOKUP($A155&amp;L$2,'2004'!$A$2:$K$1621,10,0),VLOOKUP($A155&amp;L$2,'2004'!$B$2:$K$1621,10,0))</f>
        <v>REN</v>
      </c>
      <c r="M155" s="34" t="str">
        <f>IF(ISNA(VLOOKUP($A155&amp;M$2,'2004'!$B$2:$K$1621,10,0)),VLOOKUP($A155&amp;M$2,'2004'!$A$2:$K$1621,10,0),VLOOKUP($A155&amp;M$2,'2004'!$B$2:$K$1621,10,0))</f>
        <v>FDH</v>
      </c>
      <c r="N155" s="34" t="str">
        <f>IF(ISNA(VLOOKUP($A155&amp;N$2,'2004'!$B$2:$K$1621,10,0)),VLOOKUP($A155&amp;N$2,'2004'!$A$2:$K$1621,10,0),VLOOKUP($A155&amp;N$2,'2004'!$B$2:$K$1621,10,0))</f>
        <v>NEP</v>
      </c>
      <c r="O155" s="34" t="str">
        <f>IF(ISNA(VLOOKUP($A155&amp;O$2,'2004'!$B$2:$K$1621,10,0)),VLOOKUP($A155&amp;O$2,'2004'!$A$2:$K$1621,10,0),VLOOKUP($A155&amp;O$2,'2004'!$B$2:$K$1621,10,0))</f>
        <v>TEW</v>
      </c>
      <c r="P155" s="34" t="str">
        <f>IF(ISNA(VLOOKUP($A155&amp;P$2,'2004'!$B$2:$K$1621,10,0)),VLOOKUP($A155&amp;P$2,'2004'!$A$2:$K$1621,10,0),VLOOKUP($A155&amp;P$2,'2004'!$B$2:$K$1621,10,0))</f>
        <v>CEN</v>
      </c>
      <c r="Q155" s="38" t="str">
        <f>IF(ISNA(VLOOKUP($A155&amp;Q$2,'2004'!$B$2:$K$1621,10,0)),VLOOKUP($A155&amp;Q$2,'2004'!$A$2:$K$1621,10,0),VLOOKUP($A155&amp;Q$2,'2004'!$B$2:$K$1621,10,0))</f>
        <v>GAR</v>
      </c>
      <c r="R155" s="38" t="str">
        <f>IF(ISNA(VLOOKUP($A155&amp;R$2,'2004'!$B$2:$K$1621,10,0)),VLOOKUP($A155&amp;R$2,'2004'!$A$2:$K$1621,10,0),VLOOKUP($A155&amp;R$2,'2004'!$B$2:$K$1621,10,0))</f>
        <v>BBG</v>
      </c>
      <c r="S155" s="38" t="str">
        <f>IF(ISNA(VLOOKUP($A155&amp;S$2,'2004'!$B$2:$K$1621,10,0)),VLOOKUP($A155&amp;S$2,'2004'!$A$2:$K$1621,10,0),VLOOKUP($A155&amp;S$2,'2004'!$B$2:$K$1621,10,0))</f>
        <v>CIN</v>
      </c>
      <c r="T155" s="38" t="str">
        <f>IF(ISNA(VLOOKUP($A155&amp;T$2,'2004'!$B$2:$K$1621,10,0)),VLOOKUP($A155&amp;T$2,'2004'!$A$2:$K$1621,10,0),VLOOKUP($A155&amp;T$2,'2004'!$B$2:$K$1621,10,0))</f>
        <v>CTW</v>
      </c>
      <c r="U155" s="38" t="str">
        <f>IF(ISNA(VLOOKUP($A155&amp;U$2,'2004'!$B$2:$K$1621,10,0)),VLOOKUP($A155&amp;U$2,'2004'!$A$2:$K$1621,10,0),VLOOKUP($A155&amp;U$2,'2004'!$B$2:$K$1621,10,0))</f>
        <v>BAR</v>
      </c>
    </row>
    <row r="156" spans="1:21" x14ac:dyDescent="0.25">
      <c r="A156" s="40">
        <f t="shared" si="2"/>
        <v>38233</v>
      </c>
      <c r="B156" s="36" t="str">
        <f>IF(ISNA(VLOOKUP($A156&amp;B$2,'2004'!$B$2:$K$1621,10,0)),VLOOKUP($A156&amp;B$2,'2004'!$A$2:$K$1621,10,0),VLOOKUP($A156&amp;B$2,'2004'!$B$2:$K$1621,10,0))</f>
        <v>BRK</v>
      </c>
      <c r="C156" s="36" t="str">
        <f>IF(ISNA(VLOOKUP($A156&amp;C$2,'2004'!$B$2:$K$1621,10,0)),VLOOKUP($A156&amp;C$2,'2004'!$A$2:$K$1621,10,0),VLOOKUP($A156&amp;C$2,'2004'!$B$2:$K$1621,10,0))</f>
        <v>HAR</v>
      </c>
      <c r="D156" s="36" t="str">
        <f>IF(ISNA(VLOOKUP($A156&amp;D$2,'2004'!$B$2:$K$1621,10,0)),VLOOKUP($A156&amp;D$2,'2004'!$A$2:$K$1621,10,0),VLOOKUP($A156&amp;D$2,'2004'!$B$2:$K$1621,10,0))</f>
        <v>CBB</v>
      </c>
      <c r="E156" s="36" t="str">
        <f>IF(ISNA(VLOOKUP($A156&amp;E$2,'2004'!$B$2:$K$1621,10,0)),VLOOKUP($A156&amp;E$2,'2004'!$A$2:$K$1621,10,0),VLOOKUP($A156&amp;E$2,'2004'!$B$2:$K$1621,10,0))</f>
        <v>NYD</v>
      </c>
      <c r="F156" s="36" t="str">
        <f>IF(ISNA(VLOOKUP($A156&amp;F$2,'2004'!$B$2:$K$1621,10,0)),VLOOKUP($A156&amp;F$2,'2004'!$A$2:$K$1621,10,0),VLOOKUP($A156&amp;F$2,'2004'!$B$2:$K$1621,10,0))</f>
        <v>PHI</v>
      </c>
      <c r="G156" s="35" t="str">
        <f>IF(ISNA(VLOOKUP($A156&amp;G$2,'2004'!$B$2:$K$1621,10,0)),VLOOKUP($A156&amp;G$2,'2004'!$A$2:$K$1621,10,0),VLOOKUP($A156&amp;G$2,'2004'!$B$2:$K$1621,10,0))</f>
        <v>FFR</v>
      </c>
      <c r="H156" s="35" t="str">
        <f>IF(ISNA(VLOOKUP($A156&amp;H$2,'2004'!$B$2:$K$1621,10,0)),VLOOKUP($A156&amp;H$2,'2004'!$A$2:$K$1621,10,0),VLOOKUP($A156&amp;H$2,'2004'!$B$2:$K$1621,10,0))</f>
        <v>NNN</v>
      </c>
      <c r="I156" s="35" t="str">
        <f>IF(ISNA(VLOOKUP($A156&amp;I$2,'2004'!$B$2:$K$1621,10,0)),VLOOKUP($A156&amp;I$2,'2004'!$A$2:$K$1621,10,0),VLOOKUP($A156&amp;I$2,'2004'!$B$2:$K$1621,10,0))</f>
        <v>OKO</v>
      </c>
      <c r="J156" s="35" t="str">
        <f>IF(ISNA(VLOOKUP($A156&amp;J$2,'2004'!$B$2:$K$1621,10,0)),VLOOKUP($A156&amp;J$2,'2004'!$A$2:$K$1621,10,0),VLOOKUP($A156&amp;J$2,'2004'!$B$2:$K$1621,10,0))</f>
        <v>RMO</v>
      </c>
      <c r="K156" s="35" t="str">
        <f>IF(ISNA(VLOOKUP($A156&amp;K$2,'2004'!$B$2:$K$1621,10,0)),VLOOKUP($A156&amp;K$2,'2004'!$A$2:$K$1621,10,0),VLOOKUP($A156&amp;K$2,'2004'!$B$2:$K$1621,10,0))</f>
        <v>DIG</v>
      </c>
      <c r="L156" s="34" t="str">
        <f>IF(ISNA(VLOOKUP($A156&amp;L$2,'2004'!$B$2:$K$1621,10,0)),VLOOKUP($A156&amp;L$2,'2004'!$A$2:$K$1621,10,0),VLOOKUP($A156&amp;L$2,'2004'!$B$2:$K$1621,10,0))</f>
        <v>@TEW</v>
      </c>
      <c r="M156" s="34" t="str">
        <f>IF(ISNA(VLOOKUP($A156&amp;M$2,'2004'!$B$2:$K$1621,10,0)),VLOOKUP($A156&amp;M$2,'2004'!$A$2:$K$1621,10,0),VLOOKUP($A156&amp;M$2,'2004'!$B$2:$K$1621,10,0))</f>
        <v>@CEN</v>
      </c>
      <c r="N156" s="34" t="str">
        <f>IF(ISNA(VLOOKUP($A156&amp;N$2,'2004'!$B$2:$K$1621,10,0)),VLOOKUP($A156&amp;N$2,'2004'!$A$2:$K$1621,10,0),VLOOKUP($A156&amp;N$2,'2004'!$B$2:$K$1621,10,0))</f>
        <v>@FDH</v>
      </c>
      <c r="O156" s="34" t="str">
        <f>IF(ISNA(VLOOKUP($A156&amp;O$2,'2004'!$B$2:$K$1621,10,0)),VLOOKUP($A156&amp;O$2,'2004'!$A$2:$K$1621,10,0),VLOOKUP($A156&amp;O$2,'2004'!$B$2:$K$1621,10,0))</f>
        <v>@NEP</v>
      </c>
      <c r="P156" s="34" t="str">
        <f>IF(ISNA(VLOOKUP($A156&amp;P$2,'2004'!$B$2:$K$1621,10,0)),VLOOKUP($A156&amp;P$2,'2004'!$A$2:$K$1621,10,0),VLOOKUP($A156&amp;P$2,'2004'!$B$2:$K$1621,10,0))</f>
        <v>@REN</v>
      </c>
      <c r="Q156" s="38" t="str">
        <f>IF(ISNA(VLOOKUP($A156&amp;Q$2,'2004'!$B$2:$K$1621,10,0)),VLOOKUP($A156&amp;Q$2,'2004'!$A$2:$K$1621,10,0),VLOOKUP($A156&amp;Q$2,'2004'!$B$2:$K$1621,10,0))</f>
        <v>@BBG</v>
      </c>
      <c r="R156" s="38" t="str">
        <f>IF(ISNA(VLOOKUP($A156&amp;R$2,'2004'!$B$2:$K$1621,10,0)),VLOOKUP($A156&amp;R$2,'2004'!$A$2:$K$1621,10,0),VLOOKUP($A156&amp;R$2,'2004'!$B$2:$K$1621,10,0))</f>
        <v>@CTW</v>
      </c>
      <c r="S156" s="38" t="str">
        <f>IF(ISNA(VLOOKUP($A156&amp;S$2,'2004'!$B$2:$K$1621,10,0)),VLOOKUP($A156&amp;S$2,'2004'!$A$2:$K$1621,10,0),VLOOKUP($A156&amp;S$2,'2004'!$B$2:$K$1621,10,0))</f>
        <v>@BAR</v>
      </c>
      <c r="T156" s="38" t="str">
        <f>IF(ISNA(VLOOKUP($A156&amp;T$2,'2004'!$B$2:$K$1621,10,0)),VLOOKUP($A156&amp;T$2,'2004'!$A$2:$K$1621,10,0),VLOOKUP($A156&amp;T$2,'2004'!$B$2:$K$1621,10,0))</f>
        <v>@CIN</v>
      </c>
      <c r="U156" s="38" t="str">
        <f>IF(ISNA(VLOOKUP($A156&amp;U$2,'2004'!$B$2:$K$1621,10,0)),VLOOKUP($A156&amp;U$2,'2004'!$A$2:$K$1621,10,0),VLOOKUP($A156&amp;U$2,'2004'!$B$2:$K$1621,10,0))</f>
        <v>@GAR</v>
      </c>
    </row>
    <row r="157" spans="1:21" x14ac:dyDescent="0.25">
      <c r="A157" s="40">
        <f t="shared" si="2"/>
        <v>38234</v>
      </c>
      <c r="B157" s="36" t="str">
        <f>IF(ISNA(VLOOKUP($A157&amp;B$2,'2004'!$B$2:$K$1621,10,0)),VLOOKUP($A157&amp;B$2,'2004'!$A$2:$K$1621,10,0),VLOOKUP($A157&amp;B$2,'2004'!$B$2:$K$1621,10,0))</f>
        <v>BRK</v>
      </c>
      <c r="C157" s="36" t="str">
        <f>IF(ISNA(VLOOKUP($A157&amp;C$2,'2004'!$B$2:$K$1621,10,0)),VLOOKUP($A157&amp;C$2,'2004'!$A$2:$K$1621,10,0),VLOOKUP($A157&amp;C$2,'2004'!$B$2:$K$1621,10,0))</f>
        <v>HAR</v>
      </c>
      <c r="D157" s="36" t="str">
        <f>IF(ISNA(VLOOKUP($A157&amp;D$2,'2004'!$B$2:$K$1621,10,0)),VLOOKUP($A157&amp;D$2,'2004'!$A$2:$K$1621,10,0),VLOOKUP($A157&amp;D$2,'2004'!$B$2:$K$1621,10,0))</f>
        <v>CBB</v>
      </c>
      <c r="E157" s="36" t="str">
        <f>IF(ISNA(VLOOKUP($A157&amp;E$2,'2004'!$B$2:$K$1621,10,0)),VLOOKUP($A157&amp;E$2,'2004'!$A$2:$K$1621,10,0),VLOOKUP($A157&amp;E$2,'2004'!$B$2:$K$1621,10,0))</f>
        <v>NYD</v>
      </c>
      <c r="F157" s="36" t="str">
        <f>IF(ISNA(VLOOKUP($A157&amp;F$2,'2004'!$B$2:$K$1621,10,0)),VLOOKUP($A157&amp;F$2,'2004'!$A$2:$K$1621,10,0),VLOOKUP($A157&amp;F$2,'2004'!$B$2:$K$1621,10,0))</f>
        <v>PHI</v>
      </c>
      <c r="G157" s="35" t="str">
        <f>IF(ISNA(VLOOKUP($A157&amp;G$2,'2004'!$B$2:$K$1621,10,0)),VLOOKUP($A157&amp;G$2,'2004'!$A$2:$K$1621,10,0),VLOOKUP($A157&amp;G$2,'2004'!$B$2:$K$1621,10,0))</f>
        <v>FFR</v>
      </c>
      <c r="H157" s="35" t="str">
        <f>IF(ISNA(VLOOKUP($A157&amp;H$2,'2004'!$B$2:$K$1621,10,0)),VLOOKUP($A157&amp;H$2,'2004'!$A$2:$K$1621,10,0),VLOOKUP($A157&amp;H$2,'2004'!$B$2:$K$1621,10,0))</f>
        <v>NNN</v>
      </c>
      <c r="I157" s="35" t="str">
        <f>IF(ISNA(VLOOKUP($A157&amp;I$2,'2004'!$B$2:$K$1621,10,0)),VLOOKUP($A157&amp;I$2,'2004'!$A$2:$K$1621,10,0),VLOOKUP($A157&amp;I$2,'2004'!$B$2:$K$1621,10,0))</f>
        <v>OKO</v>
      </c>
      <c r="J157" s="35" t="str">
        <f>IF(ISNA(VLOOKUP($A157&amp;J$2,'2004'!$B$2:$K$1621,10,0)),VLOOKUP($A157&amp;J$2,'2004'!$A$2:$K$1621,10,0),VLOOKUP($A157&amp;J$2,'2004'!$B$2:$K$1621,10,0))</f>
        <v>RMO</v>
      </c>
      <c r="K157" s="35" t="str">
        <f>IF(ISNA(VLOOKUP($A157&amp;K$2,'2004'!$B$2:$K$1621,10,0)),VLOOKUP($A157&amp;K$2,'2004'!$A$2:$K$1621,10,0),VLOOKUP($A157&amp;K$2,'2004'!$B$2:$K$1621,10,0))</f>
        <v>DIG</v>
      </c>
      <c r="L157" s="34" t="str">
        <f>IF(ISNA(VLOOKUP($A157&amp;L$2,'2004'!$B$2:$K$1621,10,0)),VLOOKUP($A157&amp;L$2,'2004'!$A$2:$K$1621,10,0),VLOOKUP($A157&amp;L$2,'2004'!$B$2:$K$1621,10,0))</f>
        <v>@TEW</v>
      </c>
      <c r="M157" s="34" t="str">
        <f>IF(ISNA(VLOOKUP($A157&amp;M$2,'2004'!$B$2:$K$1621,10,0)),VLOOKUP($A157&amp;M$2,'2004'!$A$2:$K$1621,10,0),VLOOKUP($A157&amp;M$2,'2004'!$B$2:$K$1621,10,0))</f>
        <v>@CEN</v>
      </c>
      <c r="N157" s="34" t="str">
        <f>IF(ISNA(VLOOKUP($A157&amp;N$2,'2004'!$B$2:$K$1621,10,0)),VLOOKUP($A157&amp;N$2,'2004'!$A$2:$K$1621,10,0),VLOOKUP($A157&amp;N$2,'2004'!$B$2:$K$1621,10,0))</f>
        <v>@FDH</v>
      </c>
      <c r="O157" s="34" t="str">
        <f>IF(ISNA(VLOOKUP($A157&amp;O$2,'2004'!$B$2:$K$1621,10,0)),VLOOKUP($A157&amp;O$2,'2004'!$A$2:$K$1621,10,0),VLOOKUP($A157&amp;O$2,'2004'!$B$2:$K$1621,10,0))</f>
        <v>@NEP</v>
      </c>
      <c r="P157" s="34" t="str">
        <f>IF(ISNA(VLOOKUP($A157&amp;P$2,'2004'!$B$2:$K$1621,10,0)),VLOOKUP($A157&amp;P$2,'2004'!$A$2:$K$1621,10,0),VLOOKUP($A157&amp;P$2,'2004'!$B$2:$K$1621,10,0))</f>
        <v>@REN</v>
      </c>
      <c r="Q157" s="38" t="str">
        <f>IF(ISNA(VLOOKUP($A157&amp;Q$2,'2004'!$B$2:$K$1621,10,0)),VLOOKUP($A157&amp;Q$2,'2004'!$A$2:$K$1621,10,0),VLOOKUP($A157&amp;Q$2,'2004'!$B$2:$K$1621,10,0))</f>
        <v>@BBG</v>
      </c>
      <c r="R157" s="38" t="str">
        <f>IF(ISNA(VLOOKUP($A157&amp;R$2,'2004'!$B$2:$K$1621,10,0)),VLOOKUP($A157&amp;R$2,'2004'!$A$2:$K$1621,10,0),VLOOKUP($A157&amp;R$2,'2004'!$B$2:$K$1621,10,0))</f>
        <v>@CTW</v>
      </c>
      <c r="S157" s="38" t="str">
        <f>IF(ISNA(VLOOKUP($A157&amp;S$2,'2004'!$B$2:$K$1621,10,0)),VLOOKUP($A157&amp;S$2,'2004'!$A$2:$K$1621,10,0),VLOOKUP($A157&amp;S$2,'2004'!$B$2:$K$1621,10,0))</f>
        <v>@BAR</v>
      </c>
      <c r="T157" s="38" t="str">
        <f>IF(ISNA(VLOOKUP($A157&amp;T$2,'2004'!$B$2:$K$1621,10,0)),VLOOKUP($A157&amp;T$2,'2004'!$A$2:$K$1621,10,0),VLOOKUP($A157&amp;T$2,'2004'!$B$2:$K$1621,10,0))</f>
        <v>@CIN</v>
      </c>
      <c r="U157" s="38" t="str">
        <f>IF(ISNA(VLOOKUP($A157&amp;U$2,'2004'!$B$2:$K$1621,10,0)),VLOOKUP($A157&amp;U$2,'2004'!$A$2:$K$1621,10,0),VLOOKUP($A157&amp;U$2,'2004'!$B$2:$K$1621,10,0))</f>
        <v>@GAR</v>
      </c>
    </row>
    <row r="158" spans="1:21" x14ac:dyDescent="0.25">
      <c r="A158" s="40">
        <f t="shared" si="2"/>
        <v>38235</v>
      </c>
      <c r="B158" s="36" t="str">
        <f>IF(ISNA(VLOOKUP($A158&amp;B$2,'2004'!$B$2:$K$1621,10,0)),VLOOKUP($A158&amp;B$2,'2004'!$A$2:$K$1621,10,0),VLOOKUP($A158&amp;B$2,'2004'!$B$2:$K$1621,10,0))</f>
        <v>BRK</v>
      </c>
      <c r="C158" s="36" t="str">
        <f>IF(ISNA(VLOOKUP($A158&amp;C$2,'2004'!$B$2:$K$1621,10,0)),VLOOKUP($A158&amp;C$2,'2004'!$A$2:$K$1621,10,0),VLOOKUP($A158&amp;C$2,'2004'!$B$2:$K$1621,10,0))</f>
        <v>HAR</v>
      </c>
      <c r="D158" s="36" t="str">
        <f>IF(ISNA(VLOOKUP($A158&amp;D$2,'2004'!$B$2:$K$1621,10,0)),VLOOKUP($A158&amp;D$2,'2004'!$A$2:$K$1621,10,0),VLOOKUP($A158&amp;D$2,'2004'!$B$2:$K$1621,10,0))</f>
        <v>CBB</v>
      </c>
      <c r="E158" s="36" t="str">
        <f>IF(ISNA(VLOOKUP($A158&amp;E$2,'2004'!$B$2:$K$1621,10,0)),VLOOKUP($A158&amp;E$2,'2004'!$A$2:$K$1621,10,0),VLOOKUP($A158&amp;E$2,'2004'!$B$2:$K$1621,10,0))</f>
        <v>NYD</v>
      </c>
      <c r="F158" s="36" t="str">
        <f>IF(ISNA(VLOOKUP($A158&amp;F$2,'2004'!$B$2:$K$1621,10,0)),VLOOKUP($A158&amp;F$2,'2004'!$A$2:$K$1621,10,0),VLOOKUP($A158&amp;F$2,'2004'!$B$2:$K$1621,10,0))</f>
        <v>PHI</v>
      </c>
      <c r="G158" s="35" t="str">
        <f>IF(ISNA(VLOOKUP($A158&amp;G$2,'2004'!$B$2:$K$1621,10,0)),VLOOKUP($A158&amp;G$2,'2004'!$A$2:$K$1621,10,0),VLOOKUP($A158&amp;G$2,'2004'!$B$2:$K$1621,10,0))</f>
        <v>FFR</v>
      </c>
      <c r="H158" s="35" t="str">
        <f>IF(ISNA(VLOOKUP($A158&amp;H$2,'2004'!$B$2:$K$1621,10,0)),VLOOKUP($A158&amp;H$2,'2004'!$A$2:$K$1621,10,0),VLOOKUP($A158&amp;H$2,'2004'!$B$2:$K$1621,10,0))</f>
        <v>NNN</v>
      </c>
      <c r="I158" s="35" t="str">
        <f>IF(ISNA(VLOOKUP($A158&amp;I$2,'2004'!$B$2:$K$1621,10,0)),VLOOKUP($A158&amp;I$2,'2004'!$A$2:$K$1621,10,0),VLOOKUP($A158&amp;I$2,'2004'!$B$2:$K$1621,10,0))</f>
        <v>OKO</v>
      </c>
      <c r="J158" s="35" t="str">
        <f>IF(ISNA(VLOOKUP($A158&amp;J$2,'2004'!$B$2:$K$1621,10,0)),VLOOKUP($A158&amp;J$2,'2004'!$A$2:$K$1621,10,0),VLOOKUP($A158&amp;J$2,'2004'!$B$2:$K$1621,10,0))</f>
        <v>RMO</v>
      </c>
      <c r="K158" s="35" t="str">
        <f>IF(ISNA(VLOOKUP($A158&amp;K$2,'2004'!$B$2:$K$1621,10,0)),VLOOKUP($A158&amp;K$2,'2004'!$A$2:$K$1621,10,0),VLOOKUP($A158&amp;K$2,'2004'!$B$2:$K$1621,10,0))</f>
        <v>DIG</v>
      </c>
      <c r="L158" s="34" t="str">
        <f>IF(ISNA(VLOOKUP($A158&amp;L$2,'2004'!$B$2:$K$1621,10,0)),VLOOKUP($A158&amp;L$2,'2004'!$A$2:$K$1621,10,0),VLOOKUP($A158&amp;L$2,'2004'!$B$2:$K$1621,10,0))</f>
        <v>@TEW</v>
      </c>
      <c r="M158" s="34" t="str">
        <f>IF(ISNA(VLOOKUP($A158&amp;M$2,'2004'!$B$2:$K$1621,10,0)),VLOOKUP($A158&amp;M$2,'2004'!$A$2:$K$1621,10,0),VLOOKUP($A158&amp;M$2,'2004'!$B$2:$K$1621,10,0))</f>
        <v>@CEN</v>
      </c>
      <c r="N158" s="34" t="str">
        <f>IF(ISNA(VLOOKUP($A158&amp;N$2,'2004'!$B$2:$K$1621,10,0)),VLOOKUP($A158&amp;N$2,'2004'!$A$2:$K$1621,10,0),VLOOKUP($A158&amp;N$2,'2004'!$B$2:$K$1621,10,0))</f>
        <v>@FDH</v>
      </c>
      <c r="O158" s="34" t="str">
        <f>IF(ISNA(VLOOKUP($A158&amp;O$2,'2004'!$B$2:$K$1621,10,0)),VLOOKUP($A158&amp;O$2,'2004'!$A$2:$K$1621,10,0),VLOOKUP($A158&amp;O$2,'2004'!$B$2:$K$1621,10,0))</f>
        <v>@NEP</v>
      </c>
      <c r="P158" s="34" t="str">
        <f>IF(ISNA(VLOOKUP($A158&amp;P$2,'2004'!$B$2:$K$1621,10,0)),VLOOKUP($A158&amp;P$2,'2004'!$A$2:$K$1621,10,0),VLOOKUP($A158&amp;P$2,'2004'!$B$2:$K$1621,10,0))</f>
        <v>@REN</v>
      </c>
      <c r="Q158" s="38" t="str">
        <f>IF(ISNA(VLOOKUP($A158&amp;Q$2,'2004'!$B$2:$K$1621,10,0)),VLOOKUP($A158&amp;Q$2,'2004'!$A$2:$K$1621,10,0),VLOOKUP($A158&amp;Q$2,'2004'!$B$2:$K$1621,10,0))</f>
        <v>@BBG</v>
      </c>
      <c r="R158" s="38" t="str">
        <f>IF(ISNA(VLOOKUP($A158&amp;R$2,'2004'!$B$2:$K$1621,10,0)),VLOOKUP($A158&amp;R$2,'2004'!$A$2:$K$1621,10,0),VLOOKUP($A158&amp;R$2,'2004'!$B$2:$K$1621,10,0))</f>
        <v>@CTW</v>
      </c>
      <c r="S158" s="38" t="str">
        <f>IF(ISNA(VLOOKUP($A158&amp;S$2,'2004'!$B$2:$K$1621,10,0)),VLOOKUP($A158&amp;S$2,'2004'!$A$2:$K$1621,10,0),VLOOKUP($A158&amp;S$2,'2004'!$B$2:$K$1621,10,0))</f>
        <v>@BAR</v>
      </c>
      <c r="T158" s="38" t="str">
        <f>IF(ISNA(VLOOKUP($A158&amp;T$2,'2004'!$B$2:$K$1621,10,0)),VLOOKUP($A158&amp;T$2,'2004'!$A$2:$K$1621,10,0),VLOOKUP($A158&amp;T$2,'2004'!$B$2:$K$1621,10,0))</f>
        <v>@CIN</v>
      </c>
      <c r="U158" s="38" t="str">
        <f>IF(ISNA(VLOOKUP($A158&amp;U$2,'2004'!$B$2:$K$1621,10,0)),VLOOKUP($A158&amp;U$2,'2004'!$A$2:$K$1621,10,0),VLOOKUP($A158&amp;U$2,'2004'!$B$2:$K$1621,10,0))</f>
        <v>@GAR</v>
      </c>
    </row>
    <row r="159" spans="1:21" x14ac:dyDescent="0.25">
      <c r="A159" s="40">
        <f t="shared" si="2"/>
        <v>38236</v>
      </c>
      <c r="B159" s="36" t="str">
        <f>IF(ISNA(VLOOKUP($A159&amp;B$2,'2004'!$B$2:$K$1621,10,0)),VLOOKUP($A159&amp;B$2,'2004'!$A$2:$K$1621,10,0),VLOOKUP($A159&amp;B$2,'2004'!$B$2:$K$1621,10,0))</f>
        <v>BRK</v>
      </c>
      <c r="C159" s="36" t="str">
        <f>IF(ISNA(VLOOKUP($A159&amp;C$2,'2004'!$B$2:$K$1621,10,0)),VLOOKUP($A159&amp;C$2,'2004'!$A$2:$K$1621,10,0),VLOOKUP($A159&amp;C$2,'2004'!$B$2:$K$1621,10,0))</f>
        <v>HAR</v>
      </c>
      <c r="D159" s="36" t="str">
        <f>IF(ISNA(VLOOKUP($A159&amp;D$2,'2004'!$B$2:$K$1621,10,0)),VLOOKUP($A159&amp;D$2,'2004'!$A$2:$K$1621,10,0),VLOOKUP($A159&amp;D$2,'2004'!$B$2:$K$1621,10,0))</f>
        <v>CBB</v>
      </c>
      <c r="E159" s="36" t="str">
        <f>IF(ISNA(VLOOKUP($A159&amp;E$2,'2004'!$B$2:$K$1621,10,0)),VLOOKUP($A159&amp;E$2,'2004'!$A$2:$K$1621,10,0),VLOOKUP($A159&amp;E$2,'2004'!$B$2:$K$1621,10,0))</f>
        <v>NYD</v>
      </c>
      <c r="F159" s="36" t="str">
        <f>IF(ISNA(VLOOKUP($A159&amp;F$2,'2004'!$B$2:$K$1621,10,0)),VLOOKUP($A159&amp;F$2,'2004'!$A$2:$K$1621,10,0),VLOOKUP($A159&amp;F$2,'2004'!$B$2:$K$1621,10,0))</f>
        <v>PHI</v>
      </c>
      <c r="G159" s="35" t="str">
        <f>IF(ISNA(VLOOKUP($A159&amp;G$2,'2004'!$B$2:$K$1621,10,0)),VLOOKUP($A159&amp;G$2,'2004'!$A$2:$K$1621,10,0),VLOOKUP($A159&amp;G$2,'2004'!$B$2:$K$1621,10,0))</f>
        <v>FFR</v>
      </c>
      <c r="H159" s="35" t="str">
        <f>IF(ISNA(VLOOKUP($A159&amp;H$2,'2004'!$B$2:$K$1621,10,0)),VLOOKUP($A159&amp;H$2,'2004'!$A$2:$K$1621,10,0),VLOOKUP($A159&amp;H$2,'2004'!$B$2:$K$1621,10,0))</f>
        <v>NNN</v>
      </c>
      <c r="I159" s="35" t="str">
        <f>IF(ISNA(VLOOKUP($A159&amp;I$2,'2004'!$B$2:$K$1621,10,0)),VLOOKUP($A159&amp;I$2,'2004'!$A$2:$K$1621,10,0),VLOOKUP($A159&amp;I$2,'2004'!$B$2:$K$1621,10,0))</f>
        <v>OKO</v>
      </c>
      <c r="J159" s="35" t="str">
        <f>IF(ISNA(VLOOKUP($A159&amp;J$2,'2004'!$B$2:$K$1621,10,0)),VLOOKUP($A159&amp;J$2,'2004'!$A$2:$K$1621,10,0),VLOOKUP($A159&amp;J$2,'2004'!$B$2:$K$1621,10,0))</f>
        <v>RMO</v>
      </c>
      <c r="K159" s="35" t="str">
        <f>IF(ISNA(VLOOKUP($A159&amp;K$2,'2004'!$B$2:$K$1621,10,0)),VLOOKUP($A159&amp;K$2,'2004'!$A$2:$K$1621,10,0),VLOOKUP($A159&amp;K$2,'2004'!$B$2:$K$1621,10,0))</f>
        <v>DIG</v>
      </c>
      <c r="L159" s="34" t="str">
        <f>IF(ISNA(VLOOKUP($A159&amp;L$2,'2004'!$B$2:$K$1621,10,0)),VLOOKUP($A159&amp;L$2,'2004'!$A$2:$K$1621,10,0),VLOOKUP($A159&amp;L$2,'2004'!$B$2:$K$1621,10,0))</f>
        <v>@TEW</v>
      </c>
      <c r="M159" s="34" t="str">
        <f>IF(ISNA(VLOOKUP($A159&amp;M$2,'2004'!$B$2:$K$1621,10,0)),VLOOKUP($A159&amp;M$2,'2004'!$A$2:$K$1621,10,0),VLOOKUP($A159&amp;M$2,'2004'!$B$2:$K$1621,10,0))</f>
        <v>@CEN</v>
      </c>
      <c r="N159" s="34" t="str">
        <f>IF(ISNA(VLOOKUP($A159&amp;N$2,'2004'!$B$2:$K$1621,10,0)),VLOOKUP($A159&amp;N$2,'2004'!$A$2:$K$1621,10,0),VLOOKUP($A159&amp;N$2,'2004'!$B$2:$K$1621,10,0))</f>
        <v>@FDH</v>
      </c>
      <c r="O159" s="34" t="str">
        <f>IF(ISNA(VLOOKUP($A159&amp;O$2,'2004'!$B$2:$K$1621,10,0)),VLOOKUP($A159&amp;O$2,'2004'!$A$2:$K$1621,10,0),VLOOKUP($A159&amp;O$2,'2004'!$B$2:$K$1621,10,0))</f>
        <v>@NEP</v>
      </c>
      <c r="P159" s="34" t="str">
        <f>IF(ISNA(VLOOKUP($A159&amp;P$2,'2004'!$B$2:$K$1621,10,0)),VLOOKUP($A159&amp;P$2,'2004'!$A$2:$K$1621,10,0),VLOOKUP($A159&amp;P$2,'2004'!$B$2:$K$1621,10,0))</f>
        <v>@REN</v>
      </c>
      <c r="Q159" s="38" t="str">
        <f>IF(ISNA(VLOOKUP($A159&amp;Q$2,'2004'!$B$2:$K$1621,10,0)),VLOOKUP($A159&amp;Q$2,'2004'!$A$2:$K$1621,10,0),VLOOKUP($A159&amp;Q$2,'2004'!$B$2:$K$1621,10,0))</f>
        <v>@BBG</v>
      </c>
      <c r="R159" s="38" t="str">
        <f>IF(ISNA(VLOOKUP($A159&amp;R$2,'2004'!$B$2:$K$1621,10,0)),VLOOKUP($A159&amp;R$2,'2004'!$A$2:$K$1621,10,0),VLOOKUP($A159&amp;R$2,'2004'!$B$2:$K$1621,10,0))</f>
        <v>@CTW</v>
      </c>
      <c r="S159" s="38" t="str">
        <f>IF(ISNA(VLOOKUP($A159&amp;S$2,'2004'!$B$2:$K$1621,10,0)),VLOOKUP($A159&amp;S$2,'2004'!$A$2:$K$1621,10,0),VLOOKUP($A159&amp;S$2,'2004'!$B$2:$K$1621,10,0))</f>
        <v>@BAR</v>
      </c>
      <c r="T159" s="38" t="str">
        <f>IF(ISNA(VLOOKUP($A159&amp;T$2,'2004'!$B$2:$K$1621,10,0)),VLOOKUP($A159&amp;T$2,'2004'!$A$2:$K$1621,10,0),VLOOKUP($A159&amp;T$2,'2004'!$B$2:$K$1621,10,0))</f>
        <v>@CIN</v>
      </c>
      <c r="U159" s="38" t="str">
        <f>IF(ISNA(VLOOKUP($A159&amp;U$2,'2004'!$B$2:$K$1621,10,0)),VLOOKUP($A159&amp;U$2,'2004'!$A$2:$K$1621,10,0),VLOOKUP($A159&amp;U$2,'2004'!$B$2:$K$1621,10,0))</f>
        <v>@GAR</v>
      </c>
    </row>
    <row r="160" spans="1:21" x14ac:dyDescent="0.25">
      <c r="A160" s="40">
        <f t="shared" si="2"/>
        <v>38237</v>
      </c>
      <c r="B160" s="36" t="str">
        <f>IF(ISNA(VLOOKUP($A160&amp;B$2,'2004'!$B$2:$K$1621,10,0)),VLOOKUP($A160&amp;B$2,'2004'!$A$2:$K$1621,10,0),VLOOKUP($A160&amp;B$2,'2004'!$B$2:$K$1621,10,0))</f>
        <v>NNN</v>
      </c>
      <c r="C160" s="36" t="str">
        <f>IF(ISNA(VLOOKUP($A160&amp;C$2,'2004'!$B$2:$K$1621,10,0)),VLOOKUP($A160&amp;C$2,'2004'!$A$2:$K$1621,10,0),VLOOKUP($A160&amp;C$2,'2004'!$B$2:$K$1621,10,0))</f>
        <v>DIG</v>
      </c>
      <c r="D160" s="36" t="str">
        <f>IF(ISNA(VLOOKUP($A160&amp;D$2,'2004'!$B$2:$K$1621,10,0)),VLOOKUP($A160&amp;D$2,'2004'!$A$2:$K$1621,10,0),VLOOKUP($A160&amp;D$2,'2004'!$B$2:$K$1621,10,0))</f>
        <v>FFR</v>
      </c>
      <c r="E160" s="36" t="str">
        <f>IF(ISNA(VLOOKUP($A160&amp;E$2,'2004'!$B$2:$K$1621,10,0)),VLOOKUP($A160&amp;E$2,'2004'!$A$2:$K$1621,10,0),VLOOKUP($A160&amp;E$2,'2004'!$B$2:$K$1621,10,0))</f>
        <v>RMO</v>
      </c>
      <c r="F160" s="36" t="str">
        <f>IF(ISNA(VLOOKUP($A160&amp;F$2,'2004'!$B$2:$K$1621,10,0)),VLOOKUP($A160&amp;F$2,'2004'!$A$2:$K$1621,10,0),VLOOKUP($A160&amp;F$2,'2004'!$B$2:$K$1621,10,0))</f>
        <v>OKO</v>
      </c>
      <c r="G160" s="35" t="str">
        <f>IF(ISNA(VLOOKUP($A160&amp;G$2,'2004'!$B$2:$K$1621,10,0)),VLOOKUP($A160&amp;G$2,'2004'!$A$2:$K$1621,10,0),VLOOKUP($A160&amp;G$2,'2004'!$B$2:$K$1621,10,0))</f>
        <v>BRK</v>
      </c>
      <c r="H160" s="35" t="str">
        <f>IF(ISNA(VLOOKUP($A160&amp;H$2,'2004'!$B$2:$K$1621,10,0)),VLOOKUP($A160&amp;H$2,'2004'!$A$2:$K$1621,10,0),VLOOKUP($A160&amp;H$2,'2004'!$B$2:$K$1621,10,0))</f>
        <v>PHI</v>
      </c>
      <c r="I160" s="35" t="str">
        <f>IF(ISNA(VLOOKUP($A160&amp;I$2,'2004'!$B$2:$K$1621,10,0)),VLOOKUP($A160&amp;I$2,'2004'!$A$2:$K$1621,10,0),VLOOKUP($A160&amp;I$2,'2004'!$B$2:$K$1621,10,0))</f>
        <v>HAR</v>
      </c>
      <c r="J160" s="35" t="str">
        <f>IF(ISNA(VLOOKUP($A160&amp;J$2,'2004'!$B$2:$K$1621,10,0)),VLOOKUP($A160&amp;J$2,'2004'!$A$2:$K$1621,10,0),VLOOKUP($A160&amp;J$2,'2004'!$B$2:$K$1621,10,0))</f>
        <v>CBB</v>
      </c>
      <c r="K160" s="35" t="str">
        <f>IF(ISNA(VLOOKUP($A160&amp;K$2,'2004'!$B$2:$K$1621,10,0)),VLOOKUP($A160&amp;K$2,'2004'!$A$2:$K$1621,10,0),VLOOKUP($A160&amp;K$2,'2004'!$B$2:$K$1621,10,0))</f>
        <v>NYD</v>
      </c>
      <c r="L160" s="34" t="str">
        <f>IF(ISNA(VLOOKUP($A160&amp;L$2,'2004'!$B$2:$K$1621,10,0)),VLOOKUP($A160&amp;L$2,'2004'!$A$2:$K$1621,10,0),VLOOKUP($A160&amp;L$2,'2004'!$B$2:$K$1621,10,0))</f>
        <v>@BAR</v>
      </c>
      <c r="M160" s="34" t="str">
        <f>IF(ISNA(VLOOKUP($A160&amp;M$2,'2004'!$B$2:$K$1621,10,0)),VLOOKUP($A160&amp;M$2,'2004'!$A$2:$K$1621,10,0),VLOOKUP($A160&amp;M$2,'2004'!$B$2:$K$1621,10,0))</f>
        <v>@CTW</v>
      </c>
      <c r="N160" s="34" t="str">
        <f>IF(ISNA(VLOOKUP($A160&amp;N$2,'2004'!$B$2:$K$1621,10,0)),VLOOKUP($A160&amp;N$2,'2004'!$A$2:$K$1621,10,0),VLOOKUP($A160&amp;N$2,'2004'!$B$2:$K$1621,10,0))</f>
        <v>@BBG</v>
      </c>
      <c r="O160" s="34" t="str">
        <f>IF(ISNA(VLOOKUP($A160&amp;O$2,'2004'!$B$2:$K$1621,10,0)),VLOOKUP($A160&amp;O$2,'2004'!$A$2:$K$1621,10,0),VLOOKUP($A160&amp;O$2,'2004'!$B$2:$K$1621,10,0))</f>
        <v>@GAR</v>
      </c>
      <c r="P160" s="34" t="str">
        <f>IF(ISNA(VLOOKUP($A160&amp;P$2,'2004'!$B$2:$K$1621,10,0)),VLOOKUP($A160&amp;P$2,'2004'!$A$2:$K$1621,10,0),VLOOKUP($A160&amp;P$2,'2004'!$B$2:$K$1621,10,0))</f>
        <v>@CIN</v>
      </c>
      <c r="Q160" s="38" t="str">
        <f>IF(ISNA(VLOOKUP($A160&amp;Q$2,'2004'!$B$2:$K$1621,10,0)),VLOOKUP($A160&amp;Q$2,'2004'!$A$2:$K$1621,10,0),VLOOKUP($A160&amp;Q$2,'2004'!$B$2:$K$1621,10,0))</f>
        <v>@CEN</v>
      </c>
      <c r="R160" s="38" t="str">
        <f>IF(ISNA(VLOOKUP($A160&amp;R$2,'2004'!$B$2:$K$1621,10,0)),VLOOKUP($A160&amp;R$2,'2004'!$A$2:$K$1621,10,0),VLOOKUP($A160&amp;R$2,'2004'!$B$2:$K$1621,10,0))</f>
        <v>@REN</v>
      </c>
      <c r="S160" s="38" t="str">
        <f>IF(ISNA(VLOOKUP($A160&amp;S$2,'2004'!$B$2:$K$1621,10,0)),VLOOKUP($A160&amp;S$2,'2004'!$A$2:$K$1621,10,0),VLOOKUP($A160&amp;S$2,'2004'!$B$2:$K$1621,10,0))</f>
        <v>@NEP</v>
      </c>
      <c r="T160" s="38" t="str">
        <f>IF(ISNA(VLOOKUP($A160&amp;T$2,'2004'!$B$2:$K$1621,10,0)),VLOOKUP($A160&amp;T$2,'2004'!$A$2:$K$1621,10,0),VLOOKUP($A160&amp;T$2,'2004'!$B$2:$K$1621,10,0))</f>
        <v>@TEW</v>
      </c>
      <c r="U160" s="38" t="str">
        <f>IF(ISNA(VLOOKUP($A160&amp;U$2,'2004'!$B$2:$K$1621,10,0)),VLOOKUP($A160&amp;U$2,'2004'!$A$2:$K$1621,10,0),VLOOKUP($A160&amp;U$2,'2004'!$B$2:$K$1621,10,0))</f>
        <v>@FDH</v>
      </c>
    </row>
    <row r="161" spans="1:21" x14ac:dyDescent="0.25">
      <c r="A161" s="40">
        <f t="shared" si="2"/>
        <v>38238</v>
      </c>
      <c r="B161" s="36" t="str">
        <f>IF(ISNA(VLOOKUP($A161&amp;B$2,'2004'!$B$2:$K$1621,10,0)),VLOOKUP($A161&amp;B$2,'2004'!$A$2:$K$1621,10,0),VLOOKUP($A161&amp;B$2,'2004'!$B$2:$K$1621,10,0))</f>
        <v>NNN</v>
      </c>
      <c r="C161" s="36" t="str">
        <f>IF(ISNA(VLOOKUP($A161&amp;C$2,'2004'!$B$2:$K$1621,10,0)),VLOOKUP($A161&amp;C$2,'2004'!$A$2:$K$1621,10,0),VLOOKUP($A161&amp;C$2,'2004'!$B$2:$K$1621,10,0))</f>
        <v>DIG</v>
      </c>
      <c r="D161" s="36" t="str">
        <f>IF(ISNA(VLOOKUP($A161&amp;D$2,'2004'!$B$2:$K$1621,10,0)),VLOOKUP($A161&amp;D$2,'2004'!$A$2:$K$1621,10,0),VLOOKUP($A161&amp;D$2,'2004'!$B$2:$K$1621,10,0))</f>
        <v>FFR</v>
      </c>
      <c r="E161" s="36" t="str">
        <f>IF(ISNA(VLOOKUP($A161&amp;E$2,'2004'!$B$2:$K$1621,10,0)),VLOOKUP($A161&amp;E$2,'2004'!$A$2:$K$1621,10,0),VLOOKUP($A161&amp;E$2,'2004'!$B$2:$K$1621,10,0))</f>
        <v>RMO</v>
      </c>
      <c r="F161" s="36" t="str">
        <f>IF(ISNA(VLOOKUP($A161&amp;F$2,'2004'!$B$2:$K$1621,10,0)),VLOOKUP($A161&amp;F$2,'2004'!$A$2:$K$1621,10,0),VLOOKUP($A161&amp;F$2,'2004'!$B$2:$K$1621,10,0))</f>
        <v>OKO</v>
      </c>
      <c r="G161" s="35" t="str">
        <f>IF(ISNA(VLOOKUP($A161&amp;G$2,'2004'!$B$2:$K$1621,10,0)),VLOOKUP($A161&amp;G$2,'2004'!$A$2:$K$1621,10,0),VLOOKUP($A161&amp;G$2,'2004'!$B$2:$K$1621,10,0))</f>
        <v>BRK</v>
      </c>
      <c r="H161" s="35" t="str">
        <f>IF(ISNA(VLOOKUP($A161&amp;H$2,'2004'!$B$2:$K$1621,10,0)),VLOOKUP($A161&amp;H$2,'2004'!$A$2:$K$1621,10,0),VLOOKUP($A161&amp;H$2,'2004'!$B$2:$K$1621,10,0))</f>
        <v>PHI</v>
      </c>
      <c r="I161" s="35" t="str">
        <f>IF(ISNA(VLOOKUP($A161&amp;I$2,'2004'!$B$2:$K$1621,10,0)),VLOOKUP($A161&amp;I$2,'2004'!$A$2:$K$1621,10,0),VLOOKUP($A161&amp;I$2,'2004'!$B$2:$K$1621,10,0))</f>
        <v>HAR</v>
      </c>
      <c r="J161" s="35" t="str">
        <f>IF(ISNA(VLOOKUP($A161&amp;J$2,'2004'!$B$2:$K$1621,10,0)),VLOOKUP($A161&amp;J$2,'2004'!$A$2:$K$1621,10,0),VLOOKUP($A161&amp;J$2,'2004'!$B$2:$K$1621,10,0))</f>
        <v>CBB</v>
      </c>
      <c r="K161" s="35" t="str">
        <f>IF(ISNA(VLOOKUP($A161&amp;K$2,'2004'!$B$2:$K$1621,10,0)),VLOOKUP($A161&amp;K$2,'2004'!$A$2:$K$1621,10,0),VLOOKUP($A161&amp;K$2,'2004'!$B$2:$K$1621,10,0))</f>
        <v>NYD</v>
      </c>
      <c r="L161" s="34" t="str">
        <f>IF(ISNA(VLOOKUP($A161&amp;L$2,'2004'!$B$2:$K$1621,10,0)),VLOOKUP($A161&amp;L$2,'2004'!$A$2:$K$1621,10,0),VLOOKUP($A161&amp;L$2,'2004'!$B$2:$K$1621,10,0))</f>
        <v>@BAR</v>
      </c>
      <c r="M161" s="34" t="str">
        <f>IF(ISNA(VLOOKUP($A161&amp;M$2,'2004'!$B$2:$K$1621,10,0)),VLOOKUP($A161&amp;M$2,'2004'!$A$2:$K$1621,10,0),VLOOKUP($A161&amp;M$2,'2004'!$B$2:$K$1621,10,0))</f>
        <v>@CTW</v>
      </c>
      <c r="N161" s="34" t="str">
        <f>IF(ISNA(VLOOKUP($A161&amp;N$2,'2004'!$B$2:$K$1621,10,0)),VLOOKUP($A161&amp;N$2,'2004'!$A$2:$K$1621,10,0),VLOOKUP($A161&amp;N$2,'2004'!$B$2:$K$1621,10,0))</f>
        <v>@BBG</v>
      </c>
      <c r="O161" s="34" t="str">
        <f>IF(ISNA(VLOOKUP($A161&amp;O$2,'2004'!$B$2:$K$1621,10,0)),VLOOKUP($A161&amp;O$2,'2004'!$A$2:$K$1621,10,0),VLOOKUP($A161&amp;O$2,'2004'!$B$2:$K$1621,10,0))</f>
        <v>@GAR</v>
      </c>
      <c r="P161" s="34" t="str">
        <f>IF(ISNA(VLOOKUP($A161&amp;P$2,'2004'!$B$2:$K$1621,10,0)),VLOOKUP($A161&amp;P$2,'2004'!$A$2:$K$1621,10,0),VLOOKUP($A161&amp;P$2,'2004'!$B$2:$K$1621,10,0))</f>
        <v>@CIN</v>
      </c>
      <c r="Q161" s="38" t="str">
        <f>IF(ISNA(VLOOKUP($A161&amp;Q$2,'2004'!$B$2:$K$1621,10,0)),VLOOKUP($A161&amp;Q$2,'2004'!$A$2:$K$1621,10,0),VLOOKUP($A161&amp;Q$2,'2004'!$B$2:$K$1621,10,0))</f>
        <v>@CEN</v>
      </c>
      <c r="R161" s="38" t="str">
        <f>IF(ISNA(VLOOKUP($A161&amp;R$2,'2004'!$B$2:$K$1621,10,0)),VLOOKUP($A161&amp;R$2,'2004'!$A$2:$K$1621,10,0),VLOOKUP($A161&amp;R$2,'2004'!$B$2:$K$1621,10,0))</f>
        <v>@REN</v>
      </c>
      <c r="S161" s="38" t="str">
        <f>IF(ISNA(VLOOKUP($A161&amp;S$2,'2004'!$B$2:$K$1621,10,0)),VLOOKUP($A161&amp;S$2,'2004'!$A$2:$K$1621,10,0),VLOOKUP($A161&amp;S$2,'2004'!$B$2:$K$1621,10,0))</f>
        <v>@NEP</v>
      </c>
      <c r="T161" s="38" t="str">
        <f>IF(ISNA(VLOOKUP($A161&amp;T$2,'2004'!$B$2:$K$1621,10,0)),VLOOKUP($A161&amp;T$2,'2004'!$A$2:$K$1621,10,0),VLOOKUP($A161&amp;T$2,'2004'!$B$2:$K$1621,10,0))</f>
        <v>@TEW</v>
      </c>
      <c r="U161" s="38" t="str">
        <f>IF(ISNA(VLOOKUP($A161&amp;U$2,'2004'!$B$2:$K$1621,10,0)),VLOOKUP($A161&amp;U$2,'2004'!$A$2:$K$1621,10,0),VLOOKUP($A161&amp;U$2,'2004'!$B$2:$K$1621,10,0))</f>
        <v>@FDH</v>
      </c>
    </row>
    <row r="162" spans="1:21" x14ac:dyDescent="0.25">
      <c r="A162" s="40">
        <f t="shared" si="2"/>
        <v>38239</v>
      </c>
      <c r="B162" s="36" t="str">
        <f>IF(ISNA(VLOOKUP($A162&amp;B$2,'2004'!$B$2:$K$1621,10,0)),VLOOKUP($A162&amp;B$2,'2004'!$A$2:$K$1621,10,0),VLOOKUP($A162&amp;B$2,'2004'!$B$2:$K$1621,10,0))</f>
        <v>NNN</v>
      </c>
      <c r="C162" s="36" t="str">
        <f>IF(ISNA(VLOOKUP($A162&amp;C$2,'2004'!$B$2:$K$1621,10,0)),VLOOKUP($A162&amp;C$2,'2004'!$A$2:$K$1621,10,0),VLOOKUP($A162&amp;C$2,'2004'!$B$2:$K$1621,10,0))</f>
        <v>DIG</v>
      </c>
      <c r="D162" s="36" t="str">
        <f>IF(ISNA(VLOOKUP($A162&amp;D$2,'2004'!$B$2:$K$1621,10,0)),VLOOKUP($A162&amp;D$2,'2004'!$A$2:$K$1621,10,0),VLOOKUP($A162&amp;D$2,'2004'!$B$2:$K$1621,10,0))</f>
        <v>FFR</v>
      </c>
      <c r="E162" s="36" t="str">
        <f>IF(ISNA(VLOOKUP($A162&amp;E$2,'2004'!$B$2:$K$1621,10,0)),VLOOKUP($A162&amp;E$2,'2004'!$A$2:$K$1621,10,0),VLOOKUP($A162&amp;E$2,'2004'!$B$2:$K$1621,10,0))</f>
        <v>RMO</v>
      </c>
      <c r="F162" s="36" t="str">
        <f>IF(ISNA(VLOOKUP($A162&amp;F$2,'2004'!$B$2:$K$1621,10,0)),VLOOKUP($A162&amp;F$2,'2004'!$A$2:$K$1621,10,0),VLOOKUP($A162&amp;F$2,'2004'!$B$2:$K$1621,10,0))</f>
        <v>OKO</v>
      </c>
      <c r="G162" s="35" t="str">
        <f>IF(ISNA(VLOOKUP($A162&amp;G$2,'2004'!$B$2:$K$1621,10,0)),VLOOKUP($A162&amp;G$2,'2004'!$A$2:$K$1621,10,0),VLOOKUP($A162&amp;G$2,'2004'!$B$2:$K$1621,10,0))</f>
        <v>BRK</v>
      </c>
      <c r="H162" s="35" t="str">
        <f>IF(ISNA(VLOOKUP($A162&amp;H$2,'2004'!$B$2:$K$1621,10,0)),VLOOKUP($A162&amp;H$2,'2004'!$A$2:$K$1621,10,0),VLOOKUP($A162&amp;H$2,'2004'!$B$2:$K$1621,10,0))</f>
        <v>PHI</v>
      </c>
      <c r="I162" s="35" t="str">
        <f>IF(ISNA(VLOOKUP($A162&amp;I$2,'2004'!$B$2:$K$1621,10,0)),VLOOKUP($A162&amp;I$2,'2004'!$A$2:$K$1621,10,0),VLOOKUP($A162&amp;I$2,'2004'!$B$2:$K$1621,10,0))</f>
        <v>HAR</v>
      </c>
      <c r="J162" s="35" t="str">
        <f>IF(ISNA(VLOOKUP($A162&amp;J$2,'2004'!$B$2:$K$1621,10,0)),VLOOKUP($A162&amp;J$2,'2004'!$A$2:$K$1621,10,0),VLOOKUP($A162&amp;J$2,'2004'!$B$2:$K$1621,10,0))</f>
        <v>CBB</v>
      </c>
      <c r="K162" s="35" t="str">
        <f>IF(ISNA(VLOOKUP($A162&amp;K$2,'2004'!$B$2:$K$1621,10,0)),VLOOKUP($A162&amp;K$2,'2004'!$A$2:$K$1621,10,0),VLOOKUP($A162&amp;K$2,'2004'!$B$2:$K$1621,10,0))</f>
        <v>NYD</v>
      </c>
      <c r="L162" s="34" t="str">
        <f>IF(ISNA(VLOOKUP($A162&amp;L$2,'2004'!$B$2:$K$1621,10,0)),VLOOKUP($A162&amp;L$2,'2004'!$A$2:$K$1621,10,0),VLOOKUP($A162&amp;L$2,'2004'!$B$2:$K$1621,10,0))</f>
        <v>@BAR</v>
      </c>
      <c r="M162" s="34" t="str">
        <f>IF(ISNA(VLOOKUP($A162&amp;M$2,'2004'!$B$2:$K$1621,10,0)),VLOOKUP($A162&amp;M$2,'2004'!$A$2:$K$1621,10,0),VLOOKUP($A162&amp;M$2,'2004'!$B$2:$K$1621,10,0))</f>
        <v>@CTW</v>
      </c>
      <c r="N162" s="34" t="str">
        <f>IF(ISNA(VLOOKUP($A162&amp;N$2,'2004'!$B$2:$K$1621,10,0)),VLOOKUP($A162&amp;N$2,'2004'!$A$2:$K$1621,10,0),VLOOKUP($A162&amp;N$2,'2004'!$B$2:$K$1621,10,0))</f>
        <v>@BBG</v>
      </c>
      <c r="O162" s="34" t="str">
        <f>IF(ISNA(VLOOKUP($A162&amp;O$2,'2004'!$B$2:$K$1621,10,0)),VLOOKUP($A162&amp;O$2,'2004'!$A$2:$K$1621,10,0),VLOOKUP($A162&amp;O$2,'2004'!$B$2:$K$1621,10,0))</f>
        <v>@GAR</v>
      </c>
      <c r="P162" s="34" t="str">
        <f>IF(ISNA(VLOOKUP($A162&amp;P$2,'2004'!$B$2:$K$1621,10,0)),VLOOKUP($A162&amp;P$2,'2004'!$A$2:$K$1621,10,0),VLOOKUP($A162&amp;P$2,'2004'!$B$2:$K$1621,10,0))</f>
        <v>@CIN</v>
      </c>
      <c r="Q162" s="38" t="str">
        <f>IF(ISNA(VLOOKUP($A162&amp;Q$2,'2004'!$B$2:$K$1621,10,0)),VLOOKUP($A162&amp;Q$2,'2004'!$A$2:$K$1621,10,0),VLOOKUP($A162&amp;Q$2,'2004'!$B$2:$K$1621,10,0))</f>
        <v>@CEN</v>
      </c>
      <c r="R162" s="38" t="str">
        <f>IF(ISNA(VLOOKUP($A162&amp;R$2,'2004'!$B$2:$K$1621,10,0)),VLOOKUP($A162&amp;R$2,'2004'!$A$2:$K$1621,10,0),VLOOKUP($A162&amp;R$2,'2004'!$B$2:$K$1621,10,0))</f>
        <v>@REN</v>
      </c>
      <c r="S162" s="38" t="str">
        <f>IF(ISNA(VLOOKUP($A162&amp;S$2,'2004'!$B$2:$K$1621,10,0)),VLOOKUP($A162&amp;S$2,'2004'!$A$2:$K$1621,10,0),VLOOKUP($A162&amp;S$2,'2004'!$B$2:$K$1621,10,0))</f>
        <v>@NEP</v>
      </c>
      <c r="T162" s="38" t="str">
        <f>IF(ISNA(VLOOKUP($A162&amp;T$2,'2004'!$B$2:$K$1621,10,0)),VLOOKUP($A162&amp;T$2,'2004'!$A$2:$K$1621,10,0),VLOOKUP($A162&amp;T$2,'2004'!$B$2:$K$1621,10,0))</f>
        <v>@TEW</v>
      </c>
      <c r="U162" s="38" t="str">
        <f>IF(ISNA(VLOOKUP($A162&amp;U$2,'2004'!$B$2:$K$1621,10,0)),VLOOKUP($A162&amp;U$2,'2004'!$A$2:$K$1621,10,0),VLOOKUP($A162&amp;U$2,'2004'!$B$2:$K$1621,10,0))</f>
        <v>@FDH</v>
      </c>
    </row>
    <row r="163" spans="1:21" x14ac:dyDescent="0.25">
      <c r="A163" s="40">
        <f t="shared" si="2"/>
        <v>38240</v>
      </c>
      <c r="B163" s="36" t="str">
        <f>IF(ISNA(VLOOKUP($A163&amp;B$2,'2004'!$B$2:$K$1621,10,0)),VLOOKUP($A163&amp;B$2,'2004'!$A$2:$K$1621,10,0),VLOOKUP($A163&amp;B$2,'2004'!$B$2:$K$1621,10,0))</f>
        <v>NNN</v>
      </c>
      <c r="C163" s="36" t="str">
        <f>IF(ISNA(VLOOKUP($A163&amp;C$2,'2004'!$B$2:$K$1621,10,0)),VLOOKUP($A163&amp;C$2,'2004'!$A$2:$K$1621,10,0),VLOOKUP($A163&amp;C$2,'2004'!$B$2:$K$1621,10,0))</f>
        <v>DIG</v>
      </c>
      <c r="D163" s="36" t="str">
        <f>IF(ISNA(VLOOKUP($A163&amp;D$2,'2004'!$B$2:$K$1621,10,0)),VLOOKUP($A163&amp;D$2,'2004'!$A$2:$K$1621,10,0),VLOOKUP($A163&amp;D$2,'2004'!$B$2:$K$1621,10,0))</f>
        <v>FFR</v>
      </c>
      <c r="E163" s="36" t="str">
        <f>IF(ISNA(VLOOKUP($A163&amp;E$2,'2004'!$B$2:$K$1621,10,0)),VLOOKUP($A163&amp;E$2,'2004'!$A$2:$K$1621,10,0),VLOOKUP($A163&amp;E$2,'2004'!$B$2:$K$1621,10,0))</f>
        <v>RMO</v>
      </c>
      <c r="F163" s="36" t="str">
        <f>IF(ISNA(VLOOKUP($A163&amp;F$2,'2004'!$B$2:$K$1621,10,0)),VLOOKUP($A163&amp;F$2,'2004'!$A$2:$K$1621,10,0),VLOOKUP($A163&amp;F$2,'2004'!$B$2:$K$1621,10,0))</f>
        <v>OKO</v>
      </c>
      <c r="G163" s="35" t="str">
        <f>IF(ISNA(VLOOKUP($A163&amp;G$2,'2004'!$B$2:$K$1621,10,0)),VLOOKUP($A163&amp;G$2,'2004'!$A$2:$K$1621,10,0),VLOOKUP($A163&amp;G$2,'2004'!$B$2:$K$1621,10,0))</f>
        <v>BRK</v>
      </c>
      <c r="H163" s="35" t="str">
        <f>IF(ISNA(VLOOKUP($A163&amp;H$2,'2004'!$B$2:$K$1621,10,0)),VLOOKUP($A163&amp;H$2,'2004'!$A$2:$K$1621,10,0),VLOOKUP($A163&amp;H$2,'2004'!$B$2:$K$1621,10,0))</f>
        <v>PHI</v>
      </c>
      <c r="I163" s="35" t="str">
        <f>IF(ISNA(VLOOKUP($A163&amp;I$2,'2004'!$B$2:$K$1621,10,0)),VLOOKUP($A163&amp;I$2,'2004'!$A$2:$K$1621,10,0),VLOOKUP($A163&amp;I$2,'2004'!$B$2:$K$1621,10,0))</f>
        <v>HAR</v>
      </c>
      <c r="J163" s="35" t="str">
        <f>IF(ISNA(VLOOKUP($A163&amp;J$2,'2004'!$B$2:$K$1621,10,0)),VLOOKUP($A163&amp;J$2,'2004'!$A$2:$K$1621,10,0),VLOOKUP($A163&amp;J$2,'2004'!$B$2:$K$1621,10,0))</f>
        <v>CBB</v>
      </c>
      <c r="K163" s="35" t="str">
        <f>IF(ISNA(VLOOKUP($A163&amp;K$2,'2004'!$B$2:$K$1621,10,0)),VLOOKUP($A163&amp;K$2,'2004'!$A$2:$K$1621,10,0),VLOOKUP($A163&amp;K$2,'2004'!$B$2:$K$1621,10,0))</f>
        <v>NYD</v>
      </c>
      <c r="L163" s="34" t="str">
        <f>IF(ISNA(VLOOKUP($A163&amp;L$2,'2004'!$B$2:$K$1621,10,0)),VLOOKUP($A163&amp;L$2,'2004'!$A$2:$K$1621,10,0),VLOOKUP($A163&amp;L$2,'2004'!$B$2:$K$1621,10,0))</f>
        <v>@BAR</v>
      </c>
      <c r="M163" s="34" t="str">
        <f>IF(ISNA(VLOOKUP($A163&amp;M$2,'2004'!$B$2:$K$1621,10,0)),VLOOKUP($A163&amp;M$2,'2004'!$A$2:$K$1621,10,0),VLOOKUP($A163&amp;M$2,'2004'!$B$2:$K$1621,10,0))</f>
        <v>@CTW</v>
      </c>
      <c r="N163" s="34" t="str">
        <f>IF(ISNA(VLOOKUP($A163&amp;N$2,'2004'!$B$2:$K$1621,10,0)),VLOOKUP($A163&amp;N$2,'2004'!$A$2:$K$1621,10,0),VLOOKUP($A163&amp;N$2,'2004'!$B$2:$K$1621,10,0))</f>
        <v>@BBG</v>
      </c>
      <c r="O163" s="34" t="str">
        <f>IF(ISNA(VLOOKUP($A163&amp;O$2,'2004'!$B$2:$K$1621,10,0)),VLOOKUP($A163&amp;O$2,'2004'!$A$2:$K$1621,10,0),VLOOKUP($A163&amp;O$2,'2004'!$B$2:$K$1621,10,0))</f>
        <v>@GAR</v>
      </c>
      <c r="P163" s="34" t="str">
        <f>IF(ISNA(VLOOKUP($A163&amp;P$2,'2004'!$B$2:$K$1621,10,0)),VLOOKUP($A163&amp;P$2,'2004'!$A$2:$K$1621,10,0),VLOOKUP($A163&amp;P$2,'2004'!$B$2:$K$1621,10,0))</f>
        <v>@CIN</v>
      </c>
      <c r="Q163" s="38" t="str">
        <f>IF(ISNA(VLOOKUP($A163&amp;Q$2,'2004'!$B$2:$K$1621,10,0)),VLOOKUP($A163&amp;Q$2,'2004'!$A$2:$K$1621,10,0),VLOOKUP($A163&amp;Q$2,'2004'!$B$2:$K$1621,10,0))</f>
        <v>@CEN</v>
      </c>
      <c r="R163" s="38" t="str">
        <f>IF(ISNA(VLOOKUP($A163&amp;R$2,'2004'!$B$2:$K$1621,10,0)),VLOOKUP($A163&amp;R$2,'2004'!$A$2:$K$1621,10,0),VLOOKUP($A163&amp;R$2,'2004'!$B$2:$K$1621,10,0))</f>
        <v>@REN</v>
      </c>
      <c r="S163" s="38" t="str">
        <f>IF(ISNA(VLOOKUP($A163&amp;S$2,'2004'!$B$2:$K$1621,10,0)),VLOOKUP($A163&amp;S$2,'2004'!$A$2:$K$1621,10,0),VLOOKUP($A163&amp;S$2,'2004'!$B$2:$K$1621,10,0))</f>
        <v>@NEP</v>
      </c>
      <c r="T163" s="38" t="str">
        <f>IF(ISNA(VLOOKUP($A163&amp;T$2,'2004'!$B$2:$K$1621,10,0)),VLOOKUP($A163&amp;T$2,'2004'!$A$2:$K$1621,10,0),VLOOKUP($A163&amp;T$2,'2004'!$B$2:$K$1621,10,0))</f>
        <v>@TEW</v>
      </c>
      <c r="U163" s="38" t="str">
        <f>IF(ISNA(VLOOKUP($A163&amp;U$2,'2004'!$B$2:$K$1621,10,0)),VLOOKUP($A163&amp;U$2,'2004'!$A$2:$K$1621,10,0),VLOOKUP($A163&amp;U$2,'2004'!$B$2:$K$1621,10,0))</f>
        <v>@FDH</v>
      </c>
    </row>
    <row r="164" spans="1:21" x14ac:dyDescent="0.25">
      <c r="A164" s="40">
        <f t="shared" si="2"/>
        <v>38241</v>
      </c>
      <c r="B164" s="36" t="e">
        <f>IF(ISNA(VLOOKUP($A164&amp;B$2,'2004'!$B$2:$K$1621,10,0)),VLOOKUP($A164&amp;B$2,'2004'!$A$2:$K$1621,10,0),VLOOKUP($A164&amp;B$2,'2004'!$B$2:$K$1621,10,0))</f>
        <v>#N/A</v>
      </c>
      <c r="C164" s="36" t="e">
        <f>IF(ISNA(VLOOKUP($A164&amp;C$2,'2004'!$B$2:$K$1621,10,0)),VLOOKUP($A164&amp;C$2,'2004'!$A$2:$K$1621,10,0),VLOOKUP($A164&amp;C$2,'2004'!$B$2:$K$1621,10,0))</f>
        <v>#N/A</v>
      </c>
      <c r="D164" s="36" t="e">
        <f>IF(ISNA(VLOOKUP($A164&amp;D$2,'2004'!$B$2:$K$1621,10,0)),VLOOKUP($A164&amp;D$2,'2004'!$A$2:$K$1621,10,0),VLOOKUP($A164&amp;D$2,'2004'!$B$2:$K$1621,10,0))</f>
        <v>#N/A</v>
      </c>
      <c r="E164" s="36" t="e">
        <f>IF(ISNA(VLOOKUP($A164&amp;E$2,'2004'!$B$2:$K$1621,10,0)),VLOOKUP($A164&amp;E$2,'2004'!$A$2:$K$1621,10,0),VLOOKUP($A164&amp;E$2,'2004'!$B$2:$K$1621,10,0))</f>
        <v>#N/A</v>
      </c>
      <c r="F164" s="36" t="e">
        <f>IF(ISNA(VLOOKUP($A164&amp;F$2,'2004'!$B$2:$K$1621,10,0)),VLOOKUP($A164&amp;F$2,'2004'!$A$2:$K$1621,10,0),VLOOKUP($A164&amp;F$2,'2004'!$B$2:$K$1621,10,0))</f>
        <v>#N/A</v>
      </c>
      <c r="G164" s="35" t="e">
        <f>IF(ISNA(VLOOKUP($A164&amp;G$2,'2004'!$B$2:$K$1621,10,0)),VLOOKUP($A164&amp;G$2,'2004'!$A$2:$K$1621,10,0),VLOOKUP($A164&amp;G$2,'2004'!$B$2:$K$1621,10,0))</f>
        <v>#N/A</v>
      </c>
      <c r="H164" s="35" t="e">
        <f>IF(ISNA(VLOOKUP($A164&amp;H$2,'2004'!$B$2:$K$1621,10,0)),VLOOKUP($A164&amp;H$2,'2004'!$A$2:$K$1621,10,0),VLOOKUP($A164&amp;H$2,'2004'!$B$2:$K$1621,10,0))</f>
        <v>#N/A</v>
      </c>
      <c r="I164" s="35" t="e">
        <f>IF(ISNA(VLOOKUP($A164&amp;I$2,'2004'!$B$2:$K$1621,10,0)),VLOOKUP($A164&amp;I$2,'2004'!$A$2:$K$1621,10,0),VLOOKUP($A164&amp;I$2,'2004'!$B$2:$K$1621,10,0))</f>
        <v>#N/A</v>
      </c>
      <c r="J164" s="35" t="e">
        <f>IF(ISNA(VLOOKUP($A164&amp;J$2,'2004'!$B$2:$K$1621,10,0)),VLOOKUP($A164&amp;J$2,'2004'!$A$2:$K$1621,10,0),VLOOKUP($A164&amp;J$2,'2004'!$B$2:$K$1621,10,0))</f>
        <v>#N/A</v>
      </c>
      <c r="K164" s="35" t="e">
        <f>IF(ISNA(VLOOKUP($A164&amp;K$2,'2004'!$B$2:$K$1621,10,0)),VLOOKUP($A164&amp;K$2,'2004'!$A$2:$K$1621,10,0),VLOOKUP($A164&amp;K$2,'2004'!$B$2:$K$1621,10,0))</f>
        <v>#N/A</v>
      </c>
      <c r="L164" s="34" t="e">
        <f>IF(ISNA(VLOOKUP($A164&amp;L$2,'2004'!$B$2:$K$1621,10,0)),VLOOKUP($A164&amp;L$2,'2004'!$A$2:$K$1621,10,0),VLOOKUP($A164&amp;L$2,'2004'!$B$2:$K$1621,10,0))</f>
        <v>#N/A</v>
      </c>
      <c r="M164" s="34" t="e">
        <f>IF(ISNA(VLOOKUP($A164&amp;M$2,'2004'!$B$2:$K$1621,10,0)),VLOOKUP($A164&amp;M$2,'2004'!$A$2:$K$1621,10,0),VLOOKUP($A164&amp;M$2,'2004'!$B$2:$K$1621,10,0))</f>
        <v>#N/A</v>
      </c>
      <c r="N164" s="34" t="e">
        <f>IF(ISNA(VLOOKUP($A164&amp;N$2,'2004'!$B$2:$K$1621,10,0)),VLOOKUP($A164&amp;N$2,'2004'!$A$2:$K$1621,10,0),VLOOKUP($A164&amp;N$2,'2004'!$B$2:$K$1621,10,0))</f>
        <v>#N/A</v>
      </c>
      <c r="O164" s="34" t="e">
        <f>IF(ISNA(VLOOKUP($A164&amp;O$2,'2004'!$B$2:$K$1621,10,0)),VLOOKUP($A164&amp;O$2,'2004'!$A$2:$K$1621,10,0),VLOOKUP($A164&amp;O$2,'2004'!$B$2:$K$1621,10,0))</f>
        <v>#N/A</v>
      </c>
      <c r="P164" s="34" t="e">
        <f>IF(ISNA(VLOOKUP($A164&amp;P$2,'2004'!$B$2:$K$1621,10,0)),VLOOKUP($A164&amp;P$2,'2004'!$A$2:$K$1621,10,0),VLOOKUP($A164&amp;P$2,'2004'!$B$2:$K$1621,10,0))</f>
        <v>#N/A</v>
      </c>
      <c r="Q164" s="38" t="e">
        <f>IF(ISNA(VLOOKUP($A164&amp;Q$2,'2004'!$B$2:$K$1621,10,0)),VLOOKUP($A164&amp;Q$2,'2004'!$A$2:$K$1621,10,0),VLOOKUP($A164&amp;Q$2,'2004'!$B$2:$K$1621,10,0))</f>
        <v>#N/A</v>
      </c>
      <c r="R164" s="38" t="e">
        <f>IF(ISNA(VLOOKUP($A164&amp;R$2,'2004'!$B$2:$K$1621,10,0)),VLOOKUP($A164&amp;R$2,'2004'!$A$2:$K$1621,10,0),VLOOKUP($A164&amp;R$2,'2004'!$B$2:$K$1621,10,0))</f>
        <v>#N/A</v>
      </c>
      <c r="S164" s="38" t="e">
        <f>IF(ISNA(VLOOKUP($A164&amp;S$2,'2004'!$B$2:$K$1621,10,0)),VLOOKUP($A164&amp;S$2,'2004'!$A$2:$K$1621,10,0),VLOOKUP($A164&amp;S$2,'2004'!$B$2:$K$1621,10,0))</f>
        <v>#N/A</v>
      </c>
      <c r="T164" s="38" t="e">
        <f>IF(ISNA(VLOOKUP($A164&amp;T$2,'2004'!$B$2:$K$1621,10,0)),VLOOKUP($A164&amp;T$2,'2004'!$A$2:$K$1621,10,0),VLOOKUP($A164&amp;T$2,'2004'!$B$2:$K$1621,10,0))</f>
        <v>#N/A</v>
      </c>
      <c r="U164" s="38" t="e">
        <f>IF(ISNA(VLOOKUP($A164&amp;U$2,'2004'!$B$2:$K$1621,10,0)),VLOOKUP($A164&amp;U$2,'2004'!$A$2:$K$1621,10,0),VLOOKUP($A164&amp;U$2,'2004'!$B$2:$K$1621,10,0))</f>
        <v>#N/A</v>
      </c>
    </row>
    <row r="165" spans="1:21" x14ac:dyDescent="0.25">
      <c r="A165" s="40">
        <f t="shared" si="2"/>
        <v>38242</v>
      </c>
      <c r="B165" s="36" t="str">
        <f>IF(ISNA(VLOOKUP($A165&amp;B$2,'2004'!$B$2:$K$1621,10,0)),VLOOKUP($A165&amp;B$2,'2004'!$A$2:$K$1621,10,0),VLOOKUP($A165&amp;B$2,'2004'!$B$2:$K$1621,10,0))</f>
        <v>@DIG</v>
      </c>
      <c r="C165" s="36" t="str">
        <f>IF(ISNA(VLOOKUP($A165&amp;C$2,'2004'!$B$2:$K$1621,10,0)),VLOOKUP($A165&amp;C$2,'2004'!$A$2:$K$1621,10,0),VLOOKUP($A165&amp;C$2,'2004'!$B$2:$K$1621,10,0))</f>
        <v>@FFR</v>
      </c>
      <c r="D165" s="36" t="str">
        <f>IF(ISNA(VLOOKUP($A165&amp;D$2,'2004'!$B$2:$K$1621,10,0)),VLOOKUP($A165&amp;D$2,'2004'!$A$2:$K$1621,10,0),VLOOKUP($A165&amp;D$2,'2004'!$B$2:$K$1621,10,0))</f>
        <v>@OKO</v>
      </c>
      <c r="E165" s="36" t="str">
        <f>IF(ISNA(VLOOKUP($A165&amp;E$2,'2004'!$B$2:$K$1621,10,0)),VLOOKUP($A165&amp;E$2,'2004'!$A$2:$K$1621,10,0),VLOOKUP($A165&amp;E$2,'2004'!$B$2:$K$1621,10,0))</f>
        <v>@NNN</v>
      </c>
      <c r="F165" s="36" t="str">
        <f>IF(ISNA(VLOOKUP($A165&amp;F$2,'2004'!$B$2:$K$1621,10,0)),VLOOKUP($A165&amp;F$2,'2004'!$A$2:$K$1621,10,0),VLOOKUP($A165&amp;F$2,'2004'!$B$2:$K$1621,10,0))</f>
        <v>@RMO</v>
      </c>
      <c r="G165" s="35" t="str">
        <f>IF(ISNA(VLOOKUP($A165&amp;G$2,'2004'!$B$2:$K$1621,10,0)),VLOOKUP($A165&amp;G$2,'2004'!$A$2:$K$1621,10,0),VLOOKUP($A165&amp;G$2,'2004'!$B$2:$K$1621,10,0))</f>
        <v>@HAR</v>
      </c>
      <c r="H165" s="35" t="str">
        <f>IF(ISNA(VLOOKUP($A165&amp;H$2,'2004'!$B$2:$K$1621,10,0)),VLOOKUP($A165&amp;H$2,'2004'!$A$2:$K$1621,10,0),VLOOKUP($A165&amp;H$2,'2004'!$B$2:$K$1621,10,0))</f>
        <v>@NYD</v>
      </c>
      <c r="I165" s="35" t="str">
        <f>IF(ISNA(VLOOKUP($A165&amp;I$2,'2004'!$B$2:$K$1621,10,0)),VLOOKUP($A165&amp;I$2,'2004'!$A$2:$K$1621,10,0),VLOOKUP($A165&amp;I$2,'2004'!$B$2:$K$1621,10,0))</f>
        <v>@CBB</v>
      </c>
      <c r="J165" s="35" t="str">
        <f>IF(ISNA(VLOOKUP($A165&amp;J$2,'2004'!$B$2:$K$1621,10,0)),VLOOKUP($A165&amp;J$2,'2004'!$A$2:$K$1621,10,0),VLOOKUP($A165&amp;J$2,'2004'!$B$2:$K$1621,10,0))</f>
        <v>@PHI</v>
      </c>
      <c r="K165" s="35" t="str">
        <f>IF(ISNA(VLOOKUP($A165&amp;K$2,'2004'!$B$2:$K$1621,10,0)),VLOOKUP($A165&amp;K$2,'2004'!$A$2:$K$1621,10,0),VLOOKUP($A165&amp;K$2,'2004'!$B$2:$K$1621,10,0))</f>
        <v>@BRK</v>
      </c>
      <c r="L165" s="34" t="str">
        <f>IF(ISNA(VLOOKUP($A165&amp;L$2,'2004'!$B$2:$K$1621,10,0)),VLOOKUP($A165&amp;L$2,'2004'!$A$2:$K$1621,10,0),VLOOKUP($A165&amp;L$2,'2004'!$B$2:$K$1621,10,0))</f>
        <v>BBG</v>
      </c>
      <c r="M165" s="34" t="str">
        <f>IF(ISNA(VLOOKUP($A165&amp;M$2,'2004'!$B$2:$K$1621,10,0)),VLOOKUP($A165&amp;M$2,'2004'!$A$2:$K$1621,10,0),VLOOKUP($A165&amp;M$2,'2004'!$B$2:$K$1621,10,0))</f>
        <v>BAR</v>
      </c>
      <c r="N165" s="34" t="str">
        <f>IF(ISNA(VLOOKUP($A165&amp;N$2,'2004'!$B$2:$K$1621,10,0)),VLOOKUP($A165&amp;N$2,'2004'!$A$2:$K$1621,10,0),VLOOKUP($A165&amp;N$2,'2004'!$B$2:$K$1621,10,0))</f>
        <v>CIN</v>
      </c>
      <c r="O165" s="34" t="str">
        <f>IF(ISNA(VLOOKUP($A165&amp;O$2,'2004'!$B$2:$K$1621,10,0)),VLOOKUP($A165&amp;O$2,'2004'!$A$2:$K$1621,10,0),VLOOKUP($A165&amp;O$2,'2004'!$B$2:$K$1621,10,0))</f>
        <v>CTW</v>
      </c>
      <c r="P165" s="34" t="str">
        <f>IF(ISNA(VLOOKUP($A165&amp;P$2,'2004'!$B$2:$K$1621,10,0)),VLOOKUP($A165&amp;P$2,'2004'!$A$2:$K$1621,10,0),VLOOKUP($A165&amp;P$2,'2004'!$B$2:$K$1621,10,0))</f>
        <v>GAR</v>
      </c>
      <c r="Q165" s="38" t="str">
        <f>IF(ISNA(VLOOKUP($A165&amp;Q$2,'2004'!$B$2:$K$1621,10,0)),VLOOKUP($A165&amp;Q$2,'2004'!$A$2:$K$1621,10,0),VLOOKUP($A165&amp;Q$2,'2004'!$B$2:$K$1621,10,0))</f>
        <v>TEW</v>
      </c>
      <c r="R165" s="38" t="str">
        <f>IF(ISNA(VLOOKUP($A165&amp;R$2,'2004'!$B$2:$K$1621,10,0)),VLOOKUP($A165&amp;R$2,'2004'!$A$2:$K$1621,10,0),VLOOKUP($A165&amp;R$2,'2004'!$B$2:$K$1621,10,0))</f>
        <v>NEP</v>
      </c>
      <c r="S165" s="38" t="str">
        <f>IF(ISNA(VLOOKUP($A165&amp;S$2,'2004'!$B$2:$K$1621,10,0)),VLOOKUP($A165&amp;S$2,'2004'!$A$2:$K$1621,10,0),VLOOKUP($A165&amp;S$2,'2004'!$B$2:$K$1621,10,0))</f>
        <v>CEN</v>
      </c>
      <c r="T165" s="38" t="str">
        <f>IF(ISNA(VLOOKUP($A165&amp;T$2,'2004'!$B$2:$K$1621,10,0)),VLOOKUP($A165&amp;T$2,'2004'!$A$2:$K$1621,10,0),VLOOKUP($A165&amp;T$2,'2004'!$B$2:$K$1621,10,0))</f>
        <v>FDH</v>
      </c>
      <c r="U165" s="38" t="str">
        <f>IF(ISNA(VLOOKUP($A165&amp;U$2,'2004'!$B$2:$K$1621,10,0)),VLOOKUP($A165&amp;U$2,'2004'!$A$2:$K$1621,10,0),VLOOKUP($A165&amp;U$2,'2004'!$B$2:$K$1621,10,0))</f>
        <v>REN</v>
      </c>
    </row>
    <row r="166" spans="1:21" x14ac:dyDescent="0.25">
      <c r="A166" s="40">
        <f t="shared" si="2"/>
        <v>38243</v>
      </c>
      <c r="B166" s="36" t="str">
        <f>IF(ISNA(VLOOKUP($A166&amp;B$2,'2004'!$B$2:$K$1621,10,0)),VLOOKUP($A166&amp;B$2,'2004'!$A$2:$K$1621,10,0),VLOOKUP($A166&amp;B$2,'2004'!$B$2:$K$1621,10,0))</f>
        <v>@DIG</v>
      </c>
      <c r="C166" s="36" t="str">
        <f>IF(ISNA(VLOOKUP($A166&amp;C$2,'2004'!$B$2:$K$1621,10,0)),VLOOKUP($A166&amp;C$2,'2004'!$A$2:$K$1621,10,0),VLOOKUP($A166&amp;C$2,'2004'!$B$2:$K$1621,10,0))</f>
        <v>@FFR</v>
      </c>
      <c r="D166" s="36" t="str">
        <f>IF(ISNA(VLOOKUP($A166&amp;D$2,'2004'!$B$2:$K$1621,10,0)),VLOOKUP($A166&amp;D$2,'2004'!$A$2:$K$1621,10,0),VLOOKUP($A166&amp;D$2,'2004'!$B$2:$K$1621,10,0))</f>
        <v>@OKO</v>
      </c>
      <c r="E166" s="36" t="str">
        <f>IF(ISNA(VLOOKUP($A166&amp;E$2,'2004'!$B$2:$K$1621,10,0)),VLOOKUP($A166&amp;E$2,'2004'!$A$2:$K$1621,10,0),VLOOKUP($A166&amp;E$2,'2004'!$B$2:$K$1621,10,0))</f>
        <v>@NNN</v>
      </c>
      <c r="F166" s="36" t="str">
        <f>IF(ISNA(VLOOKUP($A166&amp;F$2,'2004'!$B$2:$K$1621,10,0)),VLOOKUP($A166&amp;F$2,'2004'!$A$2:$K$1621,10,0),VLOOKUP($A166&amp;F$2,'2004'!$B$2:$K$1621,10,0))</f>
        <v>@RMO</v>
      </c>
      <c r="G166" s="35" t="str">
        <f>IF(ISNA(VLOOKUP($A166&amp;G$2,'2004'!$B$2:$K$1621,10,0)),VLOOKUP($A166&amp;G$2,'2004'!$A$2:$K$1621,10,0),VLOOKUP($A166&amp;G$2,'2004'!$B$2:$K$1621,10,0))</f>
        <v>@HAR</v>
      </c>
      <c r="H166" s="35" t="str">
        <f>IF(ISNA(VLOOKUP($A166&amp;H$2,'2004'!$B$2:$K$1621,10,0)),VLOOKUP($A166&amp;H$2,'2004'!$A$2:$K$1621,10,0),VLOOKUP($A166&amp;H$2,'2004'!$B$2:$K$1621,10,0))</f>
        <v>@NYD</v>
      </c>
      <c r="I166" s="35" t="str">
        <f>IF(ISNA(VLOOKUP($A166&amp;I$2,'2004'!$B$2:$K$1621,10,0)),VLOOKUP($A166&amp;I$2,'2004'!$A$2:$K$1621,10,0),VLOOKUP($A166&amp;I$2,'2004'!$B$2:$K$1621,10,0))</f>
        <v>@CBB</v>
      </c>
      <c r="J166" s="35" t="str">
        <f>IF(ISNA(VLOOKUP($A166&amp;J$2,'2004'!$B$2:$K$1621,10,0)),VLOOKUP($A166&amp;J$2,'2004'!$A$2:$K$1621,10,0),VLOOKUP($A166&amp;J$2,'2004'!$B$2:$K$1621,10,0))</f>
        <v>@PHI</v>
      </c>
      <c r="K166" s="35" t="str">
        <f>IF(ISNA(VLOOKUP($A166&amp;K$2,'2004'!$B$2:$K$1621,10,0)),VLOOKUP($A166&amp;K$2,'2004'!$A$2:$K$1621,10,0),VLOOKUP($A166&amp;K$2,'2004'!$B$2:$K$1621,10,0))</f>
        <v>@BRK</v>
      </c>
      <c r="L166" s="34" t="str">
        <f>IF(ISNA(VLOOKUP($A166&amp;L$2,'2004'!$B$2:$K$1621,10,0)),VLOOKUP($A166&amp;L$2,'2004'!$A$2:$K$1621,10,0),VLOOKUP($A166&amp;L$2,'2004'!$B$2:$K$1621,10,0))</f>
        <v>BBG</v>
      </c>
      <c r="M166" s="34" t="str">
        <f>IF(ISNA(VLOOKUP($A166&amp;M$2,'2004'!$B$2:$K$1621,10,0)),VLOOKUP($A166&amp;M$2,'2004'!$A$2:$K$1621,10,0),VLOOKUP($A166&amp;M$2,'2004'!$B$2:$K$1621,10,0))</f>
        <v>BAR</v>
      </c>
      <c r="N166" s="34" t="str">
        <f>IF(ISNA(VLOOKUP($A166&amp;N$2,'2004'!$B$2:$K$1621,10,0)),VLOOKUP($A166&amp;N$2,'2004'!$A$2:$K$1621,10,0),VLOOKUP($A166&amp;N$2,'2004'!$B$2:$K$1621,10,0))</f>
        <v>CIN</v>
      </c>
      <c r="O166" s="34" t="str">
        <f>IF(ISNA(VLOOKUP($A166&amp;O$2,'2004'!$B$2:$K$1621,10,0)),VLOOKUP($A166&amp;O$2,'2004'!$A$2:$K$1621,10,0),VLOOKUP($A166&amp;O$2,'2004'!$B$2:$K$1621,10,0))</f>
        <v>CTW</v>
      </c>
      <c r="P166" s="34" t="str">
        <f>IF(ISNA(VLOOKUP($A166&amp;P$2,'2004'!$B$2:$K$1621,10,0)),VLOOKUP($A166&amp;P$2,'2004'!$A$2:$K$1621,10,0),VLOOKUP($A166&amp;P$2,'2004'!$B$2:$K$1621,10,0))</f>
        <v>GAR</v>
      </c>
      <c r="Q166" s="38" t="str">
        <f>IF(ISNA(VLOOKUP($A166&amp;Q$2,'2004'!$B$2:$K$1621,10,0)),VLOOKUP($A166&amp;Q$2,'2004'!$A$2:$K$1621,10,0),VLOOKUP($A166&amp;Q$2,'2004'!$B$2:$K$1621,10,0))</f>
        <v>TEW</v>
      </c>
      <c r="R166" s="38" t="str">
        <f>IF(ISNA(VLOOKUP($A166&amp;R$2,'2004'!$B$2:$K$1621,10,0)),VLOOKUP($A166&amp;R$2,'2004'!$A$2:$K$1621,10,0),VLOOKUP($A166&amp;R$2,'2004'!$B$2:$K$1621,10,0))</f>
        <v>NEP</v>
      </c>
      <c r="S166" s="38" t="str">
        <f>IF(ISNA(VLOOKUP($A166&amp;S$2,'2004'!$B$2:$K$1621,10,0)),VLOOKUP($A166&amp;S$2,'2004'!$A$2:$K$1621,10,0),VLOOKUP($A166&amp;S$2,'2004'!$B$2:$K$1621,10,0))</f>
        <v>CEN</v>
      </c>
      <c r="T166" s="38" t="str">
        <f>IF(ISNA(VLOOKUP($A166&amp;T$2,'2004'!$B$2:$K$1621,10,0)),VLOOKUP($A166&amp;T$2,'2004'!$A$2:$K$1621,10,0),VLOOKUP($A166&amp;T$2,'2004'!$B$2:$K$1621,10,0))</f>
        <v>FDH</v>
      </c>
      <c r="U166" s="38" t="str">
        <f>IF(ISNA(VLOOKUP($A166&amp;U$2,'2004'!$B$2:$K$1621,10,0)),VLOOKUP($A166&amp;U$2,'2004'!$A$2:$K$1621,10,0),VLOOKUP($A166&amp;U$2,'2004'!$B$2:$K$1621,10,0))</f>
        <v>REN</v>
      </c>
    </row>
    <row r="167" spans="1:21" x14ac:dyDescent="0.25">
      <c r="A167" s="40">
        <f t="shared" si="2"/>
        <v>38244</v>
      </c>
      <c r="B167" s="36" t="str">
        <f>IF(ISNA(VLOOKUP($A167&amp;B$2,'2004'!$B$2:$K$1621,10,0)),VLOOKUP($A167&amp;B$2,'2004'!$A$2:$K$1621,10,0),VLOOKUP($A167&amp;B$2,'2004'!$B$2:$K$1621,10,0))</f>
        <v>@DIG</v>
      </c>
      <c r="C167" s="36" t="str">
        <f>IF(ISNA(VLOOKUP($A167&amp;C$2,'2004'!$B$2:$K$1621,10,0)),VLOOKUP($A167&amp;C$2,'2004'!$A$2:$K$1621,10,0),VLOOKUP($A167&amp;C$2,'2004'!$B$2:$K$1621,10,0))</f>
        <v>@FFR</v>
      </c>
      <c r="D167" s="36" t="str">
        <f>IF(ISNA(VLOOKUP($A167&amp;D$2,'2004'!$B$2:$K$1621,10,0)),VLOOKUP($A167&amp;D$2,'2004'!$A$2:$K$1621,10,0),VLOOKUP($A167&amp;D$2,'2004'!$B$2:$K$1621,10,0))</f>
        <v>@OKO</v>
      </c>
      <c r="E167" s="36" t="str">
        <f>IF(ISNA(VLOOKUP($A167&amp;E$2,'2004'!$B$2:$K$1621,10,0)),VLOOKUP($A167&amp;E$2,'2004'!$A$2:$K$1621,10,0),VLOOKUP($A167&amp;E$2,'2004'!$B$2:$K$1621,10,0))</f>
        <v>@NNN</v>
      </c>
      <c r="F167" s="36" t="str">
        <f>IF(ISNA(VLOOKUP($A167&amp;F$2,'2004'!$B$2:$K$1621,10,0)),VLOOKUP($A167&amp;F$2,'2004'!$A$2:$K$1621,10,0),VLOOKUP($A167&amp;F$2,'2004'!$B$2:$K$1621,10,0))</f>
        <v>@RMO</v>
      </c>
      <c r="G167" s="35" t="str">
        <f>IF(ISNA(VLOOKUP($A167&amp;G$2,'2004'!$B$2:$K$1621,10,0)),VLOOKUP($A167&amp;G$2,'2004'!$A$2:$K$1621,10,0),VLOOKUP($A167&amp;G$2,'2004'!$B$2:$K$1621,10,0))</f>
        <v>@HAR</v>
      </c>
      <c r="H167" s="35" t="str">
        <f>IF(ISNA(VLOOKUP($A167&amp;H$2,'2004'!$B$2:$K$1621,10,0)),VLOOKUP($A167&amp;H$2,'2004'!$A$2:$K$1621,10,0),VLOOKUP($A167&amp;H$2,'2004'!$B$2:$K$1621,10,0))</f>
        <v>@NYD</v>
      </c>
      <c r="I167" s="35" t="str">
        <f>IF(ISNA(VLOOKUP($A167&amp;I$2,'2004'!$B$2:$K$1621,10,0)),VLOOKUP($A167&amp;I$2,'2004'!$A$2:$K$1621,10,0),VLOOKUP($A167&amp;I$2,'2004'!$B$2:$K$1621,10,0))</f>
        <v>@CBB</v>
      </c>
      <c r="J167" s="35" t="str">
        <f>IF(ISNA(VLOOKUP($A167&amp;J$2,'2004'!$B$2:$K$1621,10,0)),VLOOKUP($A167&amp;J$2,'2004'!$A$2:$K$1621,10,0),VLOOKUP($A167&amp;J$2,'2004'!$B$2:$K$1621,10,0))</f>
        <v>@PHI</v>
      </c>
      <c r="K167" s="35" t="str">
        <f>IF(ISNA(VLOOKUP($A167&amp;K$2,'2004'!$B$2:$K$1621,10,0)),VLOOKUP($A167&amp;K$2,'2004'!$A$2:$K$1621,10,0),VLOOKUP($A167&amp;K$2,'2004'!$B$2:$K$1621,10,0))</f>
        <v>@BRK</v>
      </c>
      <c r="L167" s="34" t="str">
        <f>IF(ISNA(VLOOKUP($A167&amp;L$2,'2004'!$B$2:$K$1621,10,0)),VLOOKUP($A167&amp;L$2,'2004'!$A$2:$K$1621,10,0),VLOOKUP($A167&amp;L$2,'2004'!$B$2:$K$1621,10,0))</f>
        <v>BBG</v>
      </c>
      <c r="M167" s="34" t="str">
        <f>IF(ISNA(VLOOKUP($A167&amp;M$2,'2004'!$B$2:$K$1621,10,0)),VLOOKUP($A167&amp;M$2,'2004'!$A$2:$K$1621,10,0),VLOOKUP($A167&amp;M$2,'2004'!$B$2:$K$1621,10,0))</f>
        <v>BAR</v>
      </c>
      <c r="N167" s="34" t="str">
        <f>IF(ISNA(VLOOKUP($A167&amp;N$2,'2004'!$B$2:$K$1621,10,0)),VLOOKUP($A167&amp;N$2,'2004'!$A$2:$K$1621,10,0),VLOOKUP($A167&amp;N$2,'2004'!$B$2:$K$1621,10,0))</f>
        <v>CIN</v>
      </c>
      <c r="O167" s="34" t="str">
        <f>IF(ISNA(VLOOKUP($A167&amp;O$2,'2004'!$B$2:$K$1621,10,0)),VLOOKUP($A167&amp;O$2,'2004'!$A$2:$K$1621,10,0),VLOOKUP($A167&amp;O$2,'2004'!$B$2:$K$1621,10,0))</f>
        <v>CTW</v>
      </c>
      <c r="P167" s="34" t="str">
        <f>IF(ISNA(VLOOKUP($A167&amp;P$2,'2004'!$B$2:$K$1621,10,0)),VLOOKUP($A167&amp;P$2,'2004'!$A$2:$K$1621,10,0),VLOOKUP($A167&amp;P$2,'2004'!$B$2:$K$1621,10,0))</f>
        <v>GAR</v>
      </c>
      <c r="Q167" s="38" t="str">
        <f>IF(ISNA(VLOOKUP($A167&amp;Q$2,'2004'!$B$2:$K$1621,10,0)),VLOOKUP($A167&amp;Q$2,'2004'!$A$2:$K$1621,10,0),VLOOKUP($A167&amp;Q$2,'2004'!$B$2:$K$1621,10,0))</f>
        <v>TEW</v>
      </c>
      <c r="R167" s="38" t="str">
        <f>IF(ISNA(VLOOKUP($A167&amp;R$2,'2004'!$B$2:$K$1621,10,0)),VLOOKUP($A167&amp;R$2,'2004'!$A$2:$K$1621,10,0),VLOOKUP($A167&amp;R$2,'2004'!$B$2:$K$1621,10,0))</f>
        <v>NEP</v>
      </c>
      <c r="S167" s="38" t="str">
        <f>IF(ISNA(VLOOKUP($A167&amp;S$2,'2004'!$B$2:$K$1621,10,0)),VLOOKUP($A167&amp;S$2,'2004'!$A$2:$K$1621,10,0),VLOOKUP($A167&amp;S$2,'2004'!$B$2:$K$1621,10,0))</f>
        <v>CEN</v>
      </c>
      <c r="T167" s="38" t="str">
        <f>IF(ISNA(VLOOKUP($A167&amp;T$2,'2004'!$B$2:$K$1621,10,0)),VLOOKUP($A167&amp;T$2,'2004'!$A$2:$K$1621,10,0),VLOOKUP($A167&amp;T$2,'2004'!$B$2:$K$1621,10,0))</f>
        <v>FDH</v>
      </c>
      <c r="U167" s="38" t="str">
        <f>IF(ISNA(VLOOKUP($A167&amp;U$2,'2004'!$B$2:$K$1621,10,0)),VLOOKUP($A167&amp;U$2,'2004'!$A$2:$K$1621,10,0),VLOOKUP($A167&amp;U$2,'2004'!$B$2:$K$1621,10,0))</f>
        <v>REN</v>
      </c>
    </row>
    <row r="168" spans="1:21" x14ac:dyDescent="0.25">
      <c r="A168" s="40">
        <f t="shared" si="2"/>
        <v>38245</v>
      </c>
      <c r="B168" s="36" t="str">
        <f>IF(ISNA(VLOOKUP($A168&amp;B$2,'2004'!$B$2:$K$1621,10,0)),VLOOKUP($A168&amp;B$2,'2004'!$A$2:$K$1621,10,0),VLOOKUP($A168&amp;B$2,'2004'!$B$2:$K$1621,10,0))</f>
        <v>@DIG</v>
      </c>
      <c r="C168" s="36" t="str">
        <f>IF(ISNA(VLOOKUP($A168&amp;C$2,'2004'!$B$2:$K$1621,10,0)),VLOOKUP($A168&amp;C$2,'2004'!$A$2:$K$1621,10,0),VLOOKUP($A168&amp;C$2,'2004'!$B$2:$K$1621,10,0))</f>
        <v>@FFR</v>
      </c>
      <c r="D168" s="36" t="str">
        <f>IF(ISNA(VLOOKUP($A168&amp;D$2,'2004'!$B$2:$K$1621,10,0)),VLOOKUP($A168&amp;D$2,'2004'!$A$2:$K$1621,10,0),VLOOKUP($A168&amp;D$2,'2004'!$B$2:$K$1621,10,0))</f>
        <v>@OKO</v>
      </c>
      <c r="E168" s="36" t="str">
        <f>IF(ISNA(VLOOKUP($A168&amp;E$2,'2004'!$B$2:$K$1621,10,0)),VLOOKUP($A168&amp;E$2,'2004'!$A$2:$K$1621,10,0),VLOOKUP($A168&amp;E$2,'2004'!$B$2:$K$1621,10,0))</f>
        <v>@NNN</v>
      </c>
      <c r="F168" s="36" t="str">
        <f>IF(ISNA(VLOOKUP($A168&amp;F$2,'2004'!$B$2:$K$1621,10,0)),VLOOKUP($A168&amp;F$2,'2004'!$A$2:$K$1621,10,0),VLOOKUP($A168&amp;F$2,'2004'!$B$2:$K$1621,10,0))</f>
        <v>@RMO</v>
      </c>
      <c r="G168" s="35" t="str">
        <f>IF(ISNA(VLOOKUP($A168&amp;G$2,'2004'!$B$2:$K$1621,10,0)),VLOOKUP($A168&amp;G$2,'2004'!$A$2:$K$1621,10,0),VLOOKUP($A168&amp;G$2,'2004'!$B$2:$K$1621,10,0))</f>
        <v>@HAR</v>
      </c>
      <c r="H168" s="35" t="str">
        <f>IF(ISNA(VLOOKUP($A168&amp;H$2,'2004'!$B$2:$K$1621,10,0)),VLOOKUP($A168&amp;H$2,'2004'!$A$2:$K$1621,10,0),VLOOKUP($A168&amp;H$2,'2004'!$B$2:$K$1621,10,0))</f>
        <v>@NYD</v>
      </c>
      <c r="I168" s="35" t="str">
        <f>IF(ISNA(VLOOKUP($A168&amp;I$2,'2004'!$B$2:$K$1621,10,0)),VLOOKUP($A168&amp;I$2,'2004'!$A$2:$K$1621,10,0),VLOOKUP($A168&amp;I$2,'2004'!$B$2:$K$1621,10,0))</f>
        <v>@CBB</v>
      </c>
      <c r="J168" s="35" t="str">
        <f>IF(ISNA(VLOOKUP($A168&amp;J$2,'2004'!$B$2:$K$1621,10,0)),VLOOKUP($A168&amp;J$2,'2004'!$A$2:$K$1621,10,0),VLOOKUP($A168&amp;J$2,'2004'!$B$2:$K$1621,10,0))</f>
        <v>@PHI</v>
      </c>
      <c r="K168" s="35" t="str">
        <f>IF(ISNA(VLOOKUP($A168&amp;K$2,'2004'!$B$2:$K$1621,10,0)),VLOOKUP($A168&amp;K$2,'2004'!$A$2:$K$1621,10,0),VLOOKUP($A168&amp;K$2,'2004'!$B$2:$K$1621,10,0))</f>
        <v>@BRK</v>
      </c>
      <c r="L168" s="34" t="str">
        <f>IF(ISNA(VLOOKUP($A168&amp;L$2,'2004'!$B$2:$K$1621,10,0)),VLOOKUP($A168&amp;L$2,'2004'!$A$2:$K$1621,10,0),VLOOKUP($A168&amp;L$2,'2004'!$B$2:$K$1621,10,0))</f>
        <v>BBG</v>
      </c>
      <c r="M168" s="34" t="str">
        <f>IF(ISNA(VLOOKUP($A168&amp;M$2,'2004'!$B$2:$K$1621,10,0)),VLOOKUP($A168&amp;M$2,'2004'!$A$2:$K$1621,10,0),VLOOKUP($A168&amp;M$2,'2004'!$B$2:$K$1621,10,0))</f>
        <v>BAR</v>
      </c>
      <c r="N168" s="34" t="str">
        <f>IF(ISNA(VLOOKUP($A168&amp;N$2,'2004'!$B$2:$K$1621,10,0)),VLOOKUP($A168&amp;N$2,'2004'!$A$2:$K$1621,10,0),VLOOKUP($A168&amp;N$2,'2004'!$B$2:$K$1621,10,0))</f>
        <v>CIN</v>
      </c>
      <c r="O168" s="34" t="str">
        <f>IF(ISNA(VLOOKUP($A168&amp;O$2,'2004'!$B$2:$K$1621,10,0)),VLOOKUP($A168&amp;O$2,'2004'!$A$2:$K$1621,10,0),VLOOKUP($A168&amp;O$2,'2004'!$B$2:$K$1621,10,0))</f>
        <v>CTW</v>
      </c>
      <c r="P168" s="34" t="str">
        <f>IF(ISNA(VLOOKUP($A168&amp;P$2,'2004'!$B$2:$K$1621,10,0)),VLOOKUP($A168&amp;P$2,'2004'!$A$2:$K$1621,10,0),VLOOKUP($A168&amp;P$2,'2004'!$B$2:$K$1621,10,0))</f>
        <v>GAR</v>
      </c>
      <c r="Q168" s="38" t="str">
        <f>IF(ISNA(VLOOKUP($A168&amp;Q$2,'2004'!$B$2:$K$1621,10,0)),VLOOKUP($A168&amp;Q$2,'2004'!$A$2:$K$1621,10,0),VLOOKUP($A168&amp;Q$2,'2004'!$B$2:$K$1621,10,0))</f>
        <v>TEW</v>
      </c>
      <c r="R168" s="38" t="str">
        <f>IF(ISNA(VLOOKUP($A168&amp;R$2,'2004'!$B$2:$K$1621,10,0)),VLOOKUP($A168&amp;R$2,'2004'!$A$2:$K$1621,10,0),VLOOKUP($A168&amp;R$2,'2004'!$B$2:$K$1621,10,0))</f>
        <v>NEP</v>
      </c>
      <c r="S168" s="38" t="str">
        <f>IF(ISNA(VLOOKUP($A168&amp;S$2,'2004'!$B$2:$K$1621,10,0)),VLOOKUP($A168&amp;S$2,'2004'!$A$2:$K$1621,10,0),VLOOKUP($A168&amp;S$2,'2004'!$B$2:$K$1621,10,0))</f>
        <v>CEN</v>
      </c>
      <c r="T168" s="38" t="str">
        <f>IF(ISNA(VLOOKUP($A168&amp;T$2,'2004'!$B$2:$K$1621,10,0)),VLOOKUP($A168&amp;T$2,'2004'!$A$2:$K$1621,10,0),VLOOKUP($A168&amp;T$2,'2004'!$B$2:$K$1621,10,0))</f>
        <v>FDH</v>
      </c>
      <c r="U168" s="38" t="str">
        <f>IF(ISNA(VLOOKUP($A168&amp;U$2,'2004'!$B$2:$K$1621,10,0)),VLOOKUP($A168&amp;U$2,'2004'!$A$2:$K$1621,10,0),VLOOKUP($A168&amp;U$2,'2004'!$B$2:$K$1621,10,0))</f>
        <v>REN</v>
      </c>
    </row>
    <row r="169" spans="1:21" x14ac:dyDescent="0.25">
      <c r="A169" s="40">
        <f t="shared" si="2"/>
        <v>38246</v>
      </c>
      <c r="B169" s="36" t="str">
        <f>IF(ISNA(VLOOKUP($A169&amp;B$2,'2004'!$B$2:$K$1621,10,0)),VLOOKUP($A169&amp;B$2,'2004'!$A$2:$K$1621,10,0),VLOOKUP($A169&amp;B$2,'2004'!$B$2:$K$1621,10,0))</f>
        <v>CTW</v>
      </c>
      <c r="C169" s="36" t="str">
        <f>IF(ISNA(VLOOKUP($A169&amp;C$2,'2004'!$B$2:$K$1621,10,0)),VLOOKUP($A169&amp;C$2,'2004'!$A$2:$K$1621,10,0),VLOOKUP($A169&amp;C$2,'2004'!$B$2:$K$1621,10,0))</f>
        <v>CIN</v>
      </c>
      <c r="D169" s="36" t="str">
        <f>IF(ISNA(VLOOKUP($A169&amp;D$2,'2004'!$B$2:$K$1621,10,0)),VLOOKUP($A169&amp;D$2,'2004'!$A$2:$K$1621,10,0),VLOOKUP($A169&amp;D$2,'2004'!$B$2:$K$1621,10,0))</f>
        <v>@BBG</v>
      </c>
      <c r="E169" s="36" t="str">
        <f>IF(ISNA(VLOOKUP($A169&amp;E$2,'2004'!$B$2:$K$1621,10,0)),VLOOKUP($A169&amp;E$2,'2004'!$A$2:$K$1621,10,0),VLOOKUP($A169&amp;E$2,'2004'!$B$2:$K$1621,10,0))</f>
        <v>@BAR</v>
      </c>
      <c r="F169" s="36" t="str">
        <f>IF(ISNA(VLOOKUP($A169&amp;F$2,'2004'!$B$2:$K$1621,10,0)),VLOOKUP($A169&amp;F$2,'2004'!$A$2:$K$1621,10,0),VLOOKUP($A169&amp;F$2,'2004'!$B$2:$K$1621,10,0))</f>
        <v>@REN</v>
      </c>
      <c r="G169" s="35" t="str">
        <f>IF(ISNA(VLOOKUP($A169&amp;G$2,'2004'!$B$2:$K$1621,10,0)),VLOOKUP($A169&amp;G$2,'2004'!$A$2:$K$1621,10,0),VLOOKUP($A169&amp;G$2,'2004'!$B$2:$K$1621,10,0))</f>
        <v>FDH</v>
      </c>
      <c r="H169" s="35" t="str">
        <f>IF(ISNA(VLOOKUP($A169&amp;H$2,'2004'!$B$2:$K$1621,10,0)),VLOOKUP($A169&amp;H$2,'2004'!$A$2:$K$1621,10,0),VLOOKUP($A169&amp;H$2,'2004'!$B$2:$K$1621,10,0))</f>
        <v>@CEN</v>
      </c>
      <c r="I169" s="35" t="str">
        <f>IF(ISNA(VLOOKUP($A169&amp;I$2,'2004'!$B$2:$K$1621,10,0)),VLOOKUP($A169&amp;I$2,'2004'!$A$2:$K$1621,10,0),VLOOKUP($A169&amp;I$2,'2004'!$B$2:$K$1621,10,0))</f>
        <v>@TEW</v>
      </c>
      <c r="J169" s="35" t="str">
        <f>IF(ISNA(VLOOKUP($A169&amp;J$2,'2004'!$B$2:$K$1621,10,0)),VLOOKUP($A169&amp;J$2,'2004'!$A$2:$K$1621,10,0),VLOOKUP($A169&amp;J$2,'2004'!$B$2:$K$1621,10,0))</f>
        <v>GAR</v>
      </c>
      <c r="K169" s="35" t="str">
        <f>IF(ISNA(VLOOKUP($A169&amp;K$2,'2004'!$B$2:$K$1621,10,0)),VLOOKUP($A169&amp;K$2,'2004'!$A$2:$K$1621,10,0),VLOOKUP($A169&amp;K$2,'2004'!$B$2:$K$1621,10,0))</f>
        <v>NEP</v>
      </c>
      <c r="L169" s="34" t="str">
        <f>IF(ISNA(VLOOKUP($A169&amp;L$2,'2004'!$B$2:$K$1621,10,0)),VLOOKUP($A169&amp;L$2,'2004'!$A$2:$K$1621,10,0),VLOOKUP($A169&amp;L$2,'2004'!$B$2:$K$1621,10,0))</f>
        <v>@OKO</v>
      </c>
      <c r="M169" s="34" t="str">
        <f>IF(ISNA(VLOOKUP($A169&amp;M$2,'2004'!$B$2:$K$1621,10,0)),VLOOKUP($A169&amp;M$2,'2004'!$A$2:$K$1621,10,0),VLOOKUP($A169&amp;M$2,'2004'!$B$2:$K$1621,10,0))</f>
        <v>RMO</v>
      </c>
      <c r="N169" s="34" t="str">
        <f>IF(ISNA(VLOOKUP($A169&amp;N$2,'2004'!$B$2:$K$1621,10,0)),VLOOKUP($A169&amp;N$2,'2004'!$A$2:$K$1621,10,0),VLOOKUP($A169&amp;N$2,'2004'!$B$2:$K$1621,10,0))</f>
        <v>@NYD</v>
      </c>
      <c r="O169" s="34" t="str">
        <f>IF(ISNA(VLOOKUP($A169&amp;O$2,'2004'!$B$2:$K$1621,10,0)),VLOOKUP($A169&amp;O$2,'2004'!$A$2:$K$1621,10,0),VLOOKUP($A169&amp;O$2,'2004'!$B$2:$K$1621,10,0))</f>
        <v>DIG</v>
      </c>
      <c r="P169" s="34" t="str">
        <f>IF(ISNA(VLOOKUP($A169&amp;P$2,'2004'!$B$2:$K$1621,10,0)),VLOOKUP($A169&amp;P$2,'2004'!$A$2:$K$1621,10,0),VLOOKUP($A169&amp;P$2,'2004'!$B$2:$K$1621,10,0))</f>
        <v>@FFR</v>
      </c>
      <c r="Q169" s="38" t="str">
        <f>IF(ISNA(VLOOKUP($A169&amp;Q$2,'2004'!$B$2:$K$1621,10,0)),VLOOKUP($A169&amp;Q$2,'2004'!$A$2:$K$1621,10,0),VLOOKUP($A169&amp;Q$2,'2004'!$B$2:$K$1621,10,0))</f>
        <v>@CBB</v>
      </c>
      <c r="R169" s="38" t="str">
        <f>IF(ISNA(VLOOKUP($A169&amp;R$2,'2004'!$B$2:$K$1621,10,0)),VLOOKUP($A169&amp;R$2,'2004'!$A$2:$K$1621,10,0),VLOOKUP($A169&amp;R$2,'2004'!$B$2:$K$1621,10,0))</f>
        <v>BRK</v>
      </c>
      <c r="S169" s="38" t="str">
        <f>IF(ISNA(VLOOKUP($A169&amp;S$2,'2004'!$B$2:$K$1621,10,0)),VLOOKUP($A169&amp;S$2,'2004'!$A$2:$K$1621,10,0),VLOOKUP($A169&amp;S$2,'2004'!$B$2:$K$1621,10,0))</f>
        <v>PHI</v>
      </c>
      <c r="T169" s="38" t="str">
        <f>IF(ISNA(VLOOKUP($A169&amp;T$2,'2004'!$B$2:$K$1621,10,0)),VLOOKUP($A169&amp;T$2,'2004'!$A$2:$K$1621,10,0),VLOOKUP($A169&amp;T$2,'2004'!$B$2:$K$1621,10,0))</f>
        <v>NNN</v>
      </c>
      <c r="U169" s="38" t="str">
        <f>IF(ISNA(VLOOKUP($A169&amp;U$2,'2004'!$B$2:$K$1621,10,0)),VLOOKUP($A169&amp;U$2,'2004'!$A$2:$K$1621,10,0),VLOOKUP($A169&amp;U$2,'2004'!$B$2:$K$1621,10,0))</f>
        <v>@HAR</v>
      </c>
    </row>
    <row r="170" spans="1:21" x14ac:dyDescent="0.25">
      <c r="A170" s="40">
        <f t="shared" si="2"/>
        <v>38247</v>
      </c>
      <c r="B170" s="36" t="str">
        <f>IF(ISNA(VLOOKUP($A170&amp;B$2,'2004'!$B$2:$K$1621,10,0)),VLOOKUP($A170&amp;B$2,'2004'!$A$2:$K$1621,10,0),VLOOKUP($A170&amp;B$2,'2004'!$B$2:$K$1621,10,0))</f>
        <v>CTW</v>
      </c>
      <c r="C170" s="36" t="str">
        <f>IF(ISNA(VLOOKUP($A170&amp;C$2,'2004'!$B$2:$K$1621,10,0)),VLOOKUP($A170&amp;C$2,'2004'!$A$2:$K$1621,10,0),VLOOKUP($A170&amp;C$2,'2004'!$B$2:$K$1621,10,0))</f>
        <v>CIN</v>
      </c>
      <c r="D170" s="36" t="str">
        <f>IF(ISNA(VLOOKUP($A170&amp;D$2,'2004'!$B$2:$K$1621,10,0)),VLOOKUP($A170&amp;D$2,'2004'!$A$2:$K$1621,10,0),VLOOKUP($A170&amp;D$2,'2004'!$B$2:$K$1621,10,0))</f>
        <v>@BBG</v>
      </c>
      <c r="E170" s="36" t="str">
        <f>IF(ISNA(VLOOKUP($A170&amp;E$2,'2004'!$B$2:$K$1621,10,0)),VLOOKUP($A170&amp;E$2,'2004'!$A$2:$K$1621,10,0),VLOOKUP($A170&amp;E$2,'2004'!$B$2:$K$1621,10,0))</f>
        <v>@BAR</v>
      </c>
      <c r="F170" s="36" t="str">
        <f>IF(ISNA(VLOOKUP($A170&amp;F$2,'2004'!$B$2:$K$1621,10,0)),VLOOKUP($A170&amp;F$2,'2004'!$A$2:$K$1621,10,0),VLOOKUP($A170&amp;F$2,'2004'!$B$2:$K$1621,10,0))</f>
        <v>@REN</v>
      </c>
      <c r="G170" s="35" t="str">
        <f>IF(ISNA(VLOOKUP($A170&amp;G$2,'2004'!$B$2:$K$1621,10,0)),VLOOKUP($A170&amp;G$2,'2004'!$A$2:$K$1621,10,0),VLOOKUP($A170&amp;G$2,'2004'!$B$2:$K$1621,10,0))</f>
        <v>FDH</v>
      </c>
      <c r="H170" s="35" t="str">
        <f>IF(ISNA(VLOOKUP($A170&amp;H$2,'2004'!$B$2:$K$1621,10,0)),VLOOKUP($A170&amp;H$2,'2004'!$A$2:$K$1621,10,0),VLOOKUP($A170&amp;H$2,'2004'!$B$2:$K$1621,10,0))</f>
        <v>@CEN</v>
      </c>
      <c r="I170" s="35" t="str">
        <f>IF(ISNA(VLOOKUP($A170&amp;I$2,'2004'!$B$2:$K$1621,10,0)),VLOOKUP($A170&amp;I$2,'2004'!$A$2:$K$1621,10,0),VLOOKUP($A170&amp;I$2,'2004'!$B$2:$K$1621,10,0))</f>
        <v>@TEW</v>
      </c>
      <c r="J170" s="35" t="str">
        <f>IF(ISNA(VLOOKUP($A170&amp;J$2,'2004'!$B$2:$K$1621,10,0)),VLOOKUP($A170&amp;J$2,'2004'!$A$2:$K$1621,10,0),VLOOKUP($A170&amp;J$2,'2004'!$B$2:$K$1621,10,0))</f>
        <v>GAR</v>
      </c>
      <c r="K170" s="35" t="str">
        <f>IF(ISNA(VLOOKUP($A170&amp;K$2,'2004'!$B$2:$K$1621,10,0)),VLOOKUP($A170&amp;K$2,'2004'!$A$2:$K$1621,10,0),VLOOKUP($A170&amp;K$2,'2004'!$B$2:$K$1621,10,0))</f>
        <v>NEP</v>
      </c>
      <c r="L170" s="34" t="str">
        <f>IF(ISNA(VLOOKUP($A170&amp;L$2,'2004'!$B$2:$K$1621,10,0)),VLOOKUP($A170&amp;L$2,'2004'!$A$2:$K$1621,10,0),VLOOKUP($A170&amp;L$2,'2004'!$B$2:$K$1621,10,0))</f>
        <v>@OKO</v>
      </c>
      <c r="M170" s="34" t="str">
        <f>IF(ISNA(VLOOKUP($A170&amp;M$2,'2004'!$B$2:$K$1621,10,0)),VLOOKUP($A170&amp;M$2,'2004'!$A$2:$K$1621,10,0),VLOOKUP($A170&amp;M$2,'2004'!$B$2:$K$1621,10,0))</f>
        <v>RMO</v>
      </c>
      <c r="N170" s="34" t="str">
        <f>IF(ISNA(VLOOKUP($A170&amp;N$2,'2004'!$B$2:$K$1621,10,0)),VLOOKUP($A170&amp;N$2,'2004'!$A$2:$K$1621,10,0),VLOOKUP($A170&amp;N$2,'2004'!$B$2:$K$1621,10,0))</f>
        <v>@NYD</v>
      </c>
      <c r="O170" s="34" t="str">
        <f>IF(ISNA(VLOOKUP($A170&amp;O$2,'2004'!$B$2:$K$1621,10,0)),VLOOKUP($A170&amp;O$2,'2004'!$A$2:$K$1621,10,0),VLOOKUP($A170&amp;O$2,'2004'!$B$2:$K$1621,10,0))</f>
        <v>DIG</v>
      </c>
      <c r="P170" s="34" t="str">
        <f>IF(ISNA(VLOOKUP($A170&amp;P$2,'2004'!$B$2:$K$1621,10,0)),VLOOKUP($A170&amp;P$2,'2004'!$A$2:$K$1621,10,0),VLOOKUP($A170&amp;P$2,'2004'!$B$2:$K$1621,10,0))</f>
        <v>@FFR</v>
      </c>
      <c r="Q170" s="38" t="str">
        <f>IF(ISNA(VLOOKUP($A170&amp;Q$2,'2004'!$B$2:$K$1621,10,0)),VLOOKUP($A170&amp;Q$2,'2004'!$A$2:$K$1621,10,0),VLOOKUP($A170&amp;Q$2,'2004'!$B$2:$K$1621,10,0))</f>
        <v>@CBB</v>
      </c>
      <c r="R170" s="38" t="str">
        <f>IF(ISNA(VLOOKUP($A170&amp;R$2,'2004'!$B$2:$K$1621,10,0)),VLOOKUP($A170&amp;R$2,'2004'!$A$2:$K$1621,10,0),VLOOKUP($A170&amp;R$2,'2004'!$B$2:$K$1621,10,0))</f>
        <v>BRK</v>
      </c>
      <c r="S170" s="38" t="str">
        <f>IF(ISNA(VLOOKUP($A170&amp;S$2,'2004'!$B$2:$K$1621,10,0)),VLOOKUP($A170&amp;S$2,'2004'!$A$2:$K$1621,10,0),VLOOKUP($A170&amp;S$2,'2004'!$B$2:$K$1621,10,0))</f>
        <v>PHI</v>
      </c>
      <c r="T170" s="38" t="str">
        <f>IF(ISNA(VLOOKUP($A170&amp;T$2,'2004'!$B$2:$K$1621,10,0)),VLOOKUP($A170&amp;T$2,'2004'!$A$2:$K$1621,10,0),VLOOKUP($A170&amp;T$2,'2004'!$B$2:$K$1621,10,0))</f>
        <v>NNN</v>
      </c>
      <c r="U170" s="38" t="str">
        <f>IF(ISNA(VLOOKUP($A170&amp;U$2,'2004'!$B$2:$K$1621,10,0)),VLOOKUP($A170&amp;U$2,'2004'!$A$2:$K$1621,10,0),VLOOKUP($A170&amp;U$2,'2004'!$B$2:$K$1621,10,0))</f>
        <v>@HAR</v>
      </c>
    </row>
    <row r="171" spans="1:21" x14ac:dyDescent="0.25">
      <c r="A171" s="40">
        <f t="shared" si="2"/>
        <v>38248</v>
      </c>
      <c r="B171" s="36" t="str">
        <f>IF(ISNA(VLOOKUP($A171&amp;B$2,'2004'!$B$2:$K$1621,10,0)),VLOOKUP($A171&amp;B$2,'2004'!$A$2:$K$1621,10,0),VLOOKUP($A171&amp;B$2,'2004'!$B$2:$K$1621,10,0))</f>
        <v>CTW</v>
      </c>
      <c r="C171" s="36" t="str">
        <f>IF(ISNA(VLOOKUP($A171&amp;C$2,'2004'!$B$2:$K$1621,10,0)),VLOOKUP($A171&amp;C$2,'2004'!$A$2:$K$1621,10,0),VLOOKUP($A171&amp;C$2,'2004'!$B$2:$K$1621,10,0))</f>
        <v>CIN</v>
      </c>
      <c r="D171" s="36" t="str">
        <f>IF(ISNA(VLOOKUP($A171&amp;D$2,'2004'!$B$2:$K$1621,10,0)),VLOOKUP($A171&amp;D$2,'2004'!$A$2:$K$1621,10,0),VLOOKUP($A171&amp;D$2,'2004'!$B$2:$K$1621,10,0))</f>
        <v>@BBG</v>
      </c>
      <c r="E171" s="36" t="str">
        <f>IF(ISNA(VLOOKUP($A171&amp;E$2,'2004'!$B$2:$K$1621,10,0)),VLOOKUP($A171&amp;E$2,'2004'!$A$2:$K$1621,10,0),VLOOKUP($A171&amp;E$2,'2004'!$B$2:$K$1621,10,0))</f>
        <v>@BAR</v>
      </c>
      <c r="F171" s="36" t="e">
        <f>IF(ISNA(VLOOKUP($A171&amp;F$2,'2004'!$B$2:$K$1621,10,0)),VLOOKUP($A171&amp;F$2,'2004'!$A$2:$K$1621,10,0),VLOOKUP($A171&amp;F$2,'2004'!$B$2:$K$1621,10,0))</f>
        <v>#N/A</v>
      </c>
      <c r="G171" s="35" t="str">
        <f>IF(ISNA(VLOOKUP($A171&amp;G$2,'2004'!$B$2:$K$1621,10,0)),VLOOKUP($A171&amp;G$2,'2004'!$A$2:$K$1621,10,0),VLOOKUP($A171&amp;G$2,'2004'!$B$2:$K$1621,10,0))</f>
        <v>FDH</v>
      </c>
      <c r="H171" s="35" t="str">
        <f>IF(ISNA(VLOOKUP($A171&amp;H$2,'2004'!$B$2:$K$1621,10,0)),VLOOKUP($A171&amp;H$2,'2004'!$A$2:$K$1621,10,0),VLOOKUP($A171&amp;H$2,'2004'!$B$2:$K$1621,10,0))</f>
        <v>@CEN</v>
      </c>
      <c r="I171" s="35" t="str">
        <f>IF(ISNA(VLOOKUP($A171&amp;I$2,'2004'!$B$2:$K$1621,10,0)),VLOOKUP($A171&amp;I$2,'2004'!$A$2:$K$1621,10,0),VLOOKUP($A171&amp;I$2,'2004'!$B$2:$K$1621,10,0))</f>
        <v>@TEW</v>
      </c>
      <c r="J171" s="35" t="e">
        <f>IF(ISNA(VLOOKUP($A171&amp;J$2,'2004'!$B$2:$K$1621,10,0)),VLOOKUP($A171&amp;J$2,'2004'!$A$2:$K$1621,10,0),VLOOKUP($A171&amp;J$2,'2004'!$B$2:$K$1621,10,0))</f>
        <v>#N/A</v>
      </c>
      <c r="K171" s="35" t="str">
        <f>IF(ISNA(VLOOKUP($A171&amp;K$2,'2004'!$B$2:$K$1621,10,0)),VLOOKUP($A171&amp;K$2,'2004'!$A$2:$K$1621,10,0),VLOOKUP($A171&amp;K$2,'2004'!$B$2:$K$1621,10,0))</f>
        <v>NEP</v>
      </c>
      <c r="L171" s="34" t="str">
        <f>IF(ISNA(VLOOKUP($A171&amp;L$2,'2004'!$B$2:$K$1621,10,0)),VLOOKUP($A171&amp;L$2,'2004'!$A$2:$K$1621,10,0),VLOOKUP($A171&amp;L$2,'2004'!$B$2:$K$1621,10,0))</f>
        <v>@OKO</v>
      </c>
      <c r="M171" s="34" t="str">
        <f>IF(ISNA(VLOOKUP($A171&amp;M$2,'2004'!$B$2:$K$1621,10,0)),VLOOKUP($A171&amp;M$2,'2004'!$A$2:$K$1621,10,0),VLOOKUP($A171&amp;M$2,'2004'!$B$2:$K$1621,10,0))</f>
        <v>RMO</v>
      </c>
      <c r="N171" s="34" t="e">
        <f>IF(ISNA(VLOOKUP($A171&amp;N$2,'2004'!$B$2:$K$1621,10,0)),VLOOKUP($A171&amp;N$2,'2004'!$A$2:$K$1621,10,0),VLOOKUP($A171&amp;N$2,'2004'!$B$2:$K$1621,10,0))</f>
        <v>#N/A</v>
      </c>
      <c r="O171" s="34" t="str">
        <f>IF(ISNA(VLOOKUP($A171&amp;O$2,'2004'!$B$2:$K$1621,10,0)),VLOOKUP($A171&amp;O$2,'2004'!$A$2:$K$1621,10,0),VLOOKUP($A171&amp;O$2,'2004'!$B$2:$K$1621,10,0))</f>
        <v>DIG</v>
      </c>
      <c r="P171" s="34" t="str">
        <f>IF(ISNA(VLOOKUP($A171&amp;P$2,'2004'!$B$2:$K$1621,10,0)),VLOOKUP($A171&amp;P$2,'2004'!$A$2:$K$1621,10,0),VLOOKUP($A171&amp;P$2,'2004'!$B$2:$K$1621,10,0))</f>
        <v>@FFR</v>
      </c>
      <c r="Q171" s="38" t="str">
        <f>IF(ISNA(VLOOKUP($A171&amp;Q$2,'2004'!$B$2:$K$1621,10,0)),VLOOKUP($A171&amp;Q$2,'2004'!$A$2:$K$1621,10,0),VLOOKUP($A171&amp;Q$2,'2004'!$B$2:$K$1621,10,0))</f>
        <v>@CBB</v>
      </c>
      <c r="R171" s="38" t="str">
        <f>IF(ISNA(VLOOKUP($A171&amp;R$2,'2004'!$B$2:$K$1621,10,0)),VLOOKUP($A171&amp;R$2,'2004'!$A$2:$K$1621,10,0),VLOOKUP($A171&amp;R$2,'2004'!$B$2:$K$1621,10,0))</f>
        <v>BRK</v>
      </c>
      <c r="S171" s="38" t="str">
        <f>IF(ISNA(VLOOKUP($A171&amp;S$2,'2004'!$B$2:$K$1621,10,0)),VLOOKUP($A171&amp;S$2,'2004'!$A$2:$K$1621,10,0),VLOOKUP($A171&amp;S$2,'2004'!$B$2:$K$1621,10,0))</f>
        <v>PHI</v>
      </c>
      <c r="T171" s="38" t="e">
        <f>IF(ISNA(VLOOKUP($A171&amp;T$2,'2004'!$B$2:$K$1621,10,0)),VLOOKUP($A171&amp;T$2,'2004'!$A$2:$K$1621,10,0),VLOOKUP($A171&amp;T$2,'2004'!$B$2:$K$1621,10,0))</f>
        <v>#N/A</v>
      </c>
      <c r="U171" s="38" t="str">
        <f>IF(ISNA(VLOOKUP($A171&amp;U$2,'2004'!$B$2:$K$1621,10,0)),VLOOKUP($A171&amp;U$2,'2004'!$A$2:$K$1621,10,0),VLOOKUP($A171&amp;U$2,'2004'!$B$2:$K$1621,10,0))</f>
        <v>@HAR</v>
      </c>
    </row>
    <row r="172" spans="1:21" x14ac:dyDescent="0.25">
      <c r="A172" s="40">
        <f t="shared" si="2"/>
        <v>38249</v>
      </c>
      <c r="B172" s="36" t="str">
        <f>IF(ISNA(VLOOKUP($A172&amp;B$2,'2004'!$B$2:$K$1621,10,0)),VLOOKUP($A172&amp;B$2,'2004'!$A$2:$K$1621,10,0),VLOOKUP($A172&amp;B$2,'2004'!$B$2:$K$1621,10,0))</f>
        <v>@CEN</v>
      </c>
      <c r="C172" s="36" t="str">
        <f>IF(ISNA(VLOOKUP($A172&amp;C$2,'2004'!$B$2:$K$1621,10,0)),VLOOKUP($A172&amp;C$2,'2004'!$A$2:$K$1621,10,0),VLOOKUP($A172&amp;C$2,'2004'!$B$2:$K$1621,10,0))</f>
        <v>@NEP</v>
      </c>
      <c r="D172" s="36" t="str">
        <f>IF(ISNA(VLOOKUP($A172&amp;D$2,'2004'!$B$2:$K$1621,10,0)),VLOOKUP($A172&amp;D$2,'2004'!$A$2:$K$1621,10,0),VLOOKUP($A172&amp;D$2,'2004'!$B$2:$K$1621,10,0))</f>
        <v>@REN</v>
      </c>
      <c r="E172" s="36" t="str">
        <f>IF(ISNA(VLOOKUP($A172&amp;E$2,'2004'!$B$2:$K$1621,10,0)),VLOOKUP($A172&amp;E$2,'2004'!$A$2:$K$1621,10,0),VLOOKUP($A172&amp;E$2,'2004'!$B$2:$K$1621,10,0))</f>
        <v>@TEW</v>
      </c>
      <c r="F172" s="36" t="str">
        <f>IF(ISNA(VLOOKUP($A172&amp;F$2,'2004'!$B$2:$K$1621,10,0)),VLOOKUP($A172&amp;F$2,'2004'!$A$2:$K$1621,10,0),VLOOKUP($A172&amp;F$2,'2004'!$B$2:$K$1621,10,0))</f>
        <v>@FDH</v>
      </c>
      <c r="G172" s="35" t="str">
        <f>IF(ISNA(VLOOKUP($A172&amp;G$2,'2004'!$B$2:$K$1621,10,0)),VLOOKUP($A172&amp;G$2,'2004'!$A$2:$K$1621,10,0),VLOOKUP($A172&amp;G$2,'2004'!$B$2:$K$1621,10,0))</f>
        <v>BBG</v>
      </c>
      <c r="H172" s="35" t="str">
        <f>IF(ISNA(VLOOKUP($A172&amp;H$2,'2004'!$B$2:$K$1621,10,0)),VLOOKUP($A172&amp;H$2,'2004'!$A$2:$K$1621,10,0),VLOOKUP($A172&amp;H$2,'2004'!$B$2:$K$1621,10,0))</f>
        <v>GAR</v>
      </c>
      <c r="I172" s="35" t="str">
        <f>IF(ISNA(VLOOKUP($A172&amp;I$2,'2004'!$B$2:$K$1621,10,0)),VLOOKUP($A172&amp;I$2,'2004'!$A$2:$K$1621,10,0),VLOOKUP($A172&amp;I$2,'2004'!$B$2:$K$1621,10,0))</f>
        <v>BAR</v>
      </c>
      <c r="J172" s="35" t="str">
        <f>IF(ISNA(VLOOKUP($A172&amp;J$2,'2004'!$B$2:$K$1621,10,0)),VLOOKUP($A172&amp;J$2,'2004'!$A$2:$K$1621,10,0),VLOOKUP($A172&amp;J$2,'2004'!$B$2:$K$1621,10,0))</f>
        <v>CTW</v>
      </c>
      <c r="K172" s="35" t="str">
        <f>IF(ISNA(VLOOKUP($A172&amp;K$2,'2004'!$B$2:$K$1621,10,0)),VLOOKUP($A172&amp;K$2,'2004'!$A$2:$K$1621,10,0),VLOOKUP($A172&amp;K$2,'2004'!$B$2:$K$1621,10,0))</f>
        <v>CIN</v>
      </c>
      <c r="L172" s="34" t="str">
        <f>IF(ISNA(VLOOKUP($A172&amp;L$2,'2004'!$B$2:$K$1621,10,0)),VLOOKUP($A172&amp;L$2,'2004'!$A$2:$K$1621,10,0),VLOOKUP($A172&amp;L$2,'2004'!$B$2:$K$1621,10,0))</f>
        <v>@HAR</v>
      </c>
      <c r="M172" s="34" t="str">
        <f>IF(ISNA(VLOOKUP($A172&amp;M$2,'2004'!$B$2:$K$1621,10,0)),VLOOKUP($A172&amp;M$2,'2004'!$A$2:$K$1621,10,0),VLOOKUP($A172&amp;M$2,'2004'!$B$2:$K$1621,10,0))</f>
        <v>@CBB</v>
      </c>
      <c r="N172" s="34" t="str">
        <f>IF(ISNA(VLOOKUP($A172&amp;N$2,'2004'!$B$2:$K$1621,10,0)),VLOOKUP($A172&amp;N$2,'2004'!$A$2:$K$1621,10,0),VLOOKUP($A172&amp;N$2,'2004'!$B$2:$K$1621,10,0))</f>
        <v>@BRK</v>
      </c>
      <c r="O172" s="34" t="str">
        <f>IF(ISNA(VLOOKUP($A172&amp;O$2,'2004'!$B$2:$K$1621,10,0)),VLOOKUP($A172&amp;O$2,'2004'!$A$2:$K$1621,10,0),VLOOKUP($A172&amp;O$2,'2004'!$B$2:$K$1621,10,0))</f>
        <v>@PHI</v>
      </c>
      <c r="P172" s="34" t="str">
        <f>IF(ISNA(VLOOKUP($A172&amp;P$2,'2004'!$B$2:$K$1621,10,0)),VLOOKUP($A172&amp;P$2,'2004'!$A$2:$K$1621,10,0),VLOOKUP($A172&amp;P$2,'2004'!$B$2:$K$1621,10,0))</f>
        <v>@NYD</v>
      </c>
      <c r="Q172" s="38" t="str">
        <f>IF(ISNA(VLOOKUP($A172&amp;Q$2,'2004'!$B$2:$K$1621,10,0)),VLOOKUP($A172&amp;Q$2,'2004'!$A$2:$K$1621,10,0),VLOOKUP($A172&amp;Q$2,'2004'!$B$2:$K$1621,10,0))</f>
        <v>NNN</v>
      </c>
      <c r="R172" s="38" t="str">
        <f>IF(ISNA(VLOOKUP($A172&amp;R$2,'2004'!$B$2:$K$1621,10,0)),VLOOKUP($A172&amp;R$2,'2004'!$A$2:$K$1621,10,0),VLOOKUP($A172&amp;R$2,'2004'!$B$2:$K$1621,10,0))</f>
        <v>FFR</v>
      </c>
      <c r="S172" s="38" t="str">
        <f>IF(ISNA(VLOOKUP($A172&amp;S$2,'2004'!$B$2:$K$1621,10,0)),VLOOKUP($A172&amp;S$2,'2004'!$A$2:$K$1621,10,0),VLOOKUP($A172&amp;S$2,'2004'!$B$2:$K$1621,10,0))</f>
        <v>DIG</v>
      </c>
      <c r="T172" s="38" t="str">
        <f>IF(ISNA(VLOOKUP($A172&amp;T$2,'2004'!$B$2:$K$1621,10,0)),VLOOKUP($A172&amp;T$2,'2004'!$A$2:$K$1621,10,0),VLOOKUP($A172&amp;T$2,'2004'!$B$2:$K$1621,10,0))</f>
        <v>RMO</v>
      </c>
      <c r="U172" s="38" t="str">
        <f>IF(ISNA(VLOOKUP($A172&amp;U$2,'2004'!$B$2:$K$1621,10,0)),VLOOKUP($A172&amp;U$2,'2004'!$A$2:$K$1621,10,0),VLOOKUP($A172&amp;U$2,'2004'!$B$2:$K$1621,10,0))</f>
        <v>OKO</v>
      </c>
    </row>
    <row r="173" spans="1:21" x14ac:dyDescent="0.25">
      <c r="A173" s="40">
        <f t="shared" si="2"/>
        <v>38250</v>
      </c>
      <c r="B173" s="36" t="str">
        <f>IF(ISNA(VLOOKUP($A173&amp;B$2,'2004'!$B$2:$K$1621,10,0)),VLOOKUP($A173&amp;B$2,'2004'!$A$2:$K$1621,10,0),VLOOKUP($A173&amp;B$2,'2004'!$B$2:$K$1621,10,0))</f>
        <v>@CEN</v>
      </c>
      <c r="C173" s="36" t="str">
        <f>IF(ISNA(VLOOKUP($A173&amp;C$2,'2004'!$B$2:$K$1621,10,0)),VLOOKUP($A173&amp;C$2,'2004'!$A$2:$K$1621,10,0),VLOOKUP($A173&amp;C$2,'2004'!$B$2:$K$1621,10,0))</f>
        <v>@NEP</v>
      </c>
      <c r="D173" s="36" t="str">
        <f>IF(ISNA(VLOOKUP($A173&amp;D$2,'2004'!$B$2:$K$1621,10,0)),VLOOKUP($A173&amp;D$2,'2004'!$A$2:$K$1621,10,0),VLOOKUP($A173&amp;D$2,'2004'!$B$2:$K$1621,10,0))</f>
        <v>@REN</v>
      </c>
      <c r="E173" s="36" t="str">
        <f>IF(ISNA(VLOOKUP($A173&amp;E$2,'2004'!$B$2:$K$1621,10,0)),VLOOKUP($A173&amp;E$2,'2004'!$A$2:$K$1621,10,0),VLOOKUP($A173&amp;E$2,'2004'!$B$2:$K$1621,10,0))</f>
        <v>@TEW</v>
      </c>
      <c r="F173" s="36" t="str">
        <f>IF(ISNA(VLOOKUP($A173&amp;F$2,'2004'!$B$2:$K$1621,10,0)),VLOOKUP($A173&amp;F$2,'2004'!$A$2:$K$1621,10,0),VLOOKUP($A173&amp;F$2,'2004'!$B$2:$K$1621,10,0))</f>
        <v>@FDH</v>
      </c>
      <c r="G173" s="35" t="str">
        <f>IF(ISNA(VLOOKUP($A173&amp;G$2,'2004'!$B$2:$K$1621,10,0)),VLOOKUP($A173&amp;G$2,'2004'!$A$2:$K$1621,10,0),VLOOKUP($A173&amp;G$2,'2004'!$B$2:$K$1621,10,0))</f>
        <v>BBG</v>
      </c>
      <c r="H173" s="35" t="str">
        <f>IF(ISNA(VLOOKUP($A173&amp;H$2,'2004'!$B$2:$K$1621,10,0)),VLOOKUP($A173&amp;H$2,'2004'!$A$2:$K$1621,10,0),VLOOKUP($A173&amp;H$2,'2004'!$B$2:$K$1621,10,0))</f>
        <v>GAR</v>
      </c>
      <c r="I173" s="35" t="str">
        <f>IF(ISNA(VLOOKUP($A173&amp;I$2,'2004'!$B$2:$K$1621,10,0)),VLOOKUP($A173&amp;I$2,'2004'!$A$2:$K$1621,10,0),VLOOKUP($A173&amp;I$2,'2004'!$B$2:$K$1621,10,0))</f>
        <v>BAR</v>
      </c>
      <c r="J173" s="35" t="str">
        <f>IF(ISNA(VLOOKUP($A173&amp;J$2,'2004'!$B$2:$K$1621,10,0)),VLOOKUP($A173&amp;J$2,'2004'!$A$2:$K$1621,10,0),VLOOKUP($A173&amp;J$2,'2004'!$B$2:$K$1621,10,0))</f>
        <v>CTW</v>
      </c>
      <c r="K173" s="35" t="str">
        <f>IF(ISNA(VLOOKUP($A173&amp;K$2,'2004'!$B$2:$K$1621,10,0)),VLOOKUP($A173&amp;K$2,'2004'!$A$2:$K$1621,10,0),VLOOKUP($A173&amp;K$2,'2004'!$B$2:$K$1621,10,0))</f>
        <v>CIN</v>
      </c>
      <c r="L173" s="34" t="str">
        <f>IF(ISNA(VLOOKUP($A173&amp;L$2,'2004'!$B$2:$K$1621,10,0)),VLOOKUP($A173&amp;L$2,'2004'!$A$2:$K$1621,10,0),VLOOKUP($A173&amp;L$2,'2004'!$B$2:$K$1621,10,0))</f>
        <v>@HAR</v>
      </c>
      <c r="M173" s="34" t="str">
        <f>IF(ISNA(VLOOKUP($A173&amp;M$2,'2004'!$B$2:$K$1621,10,0)),VLOOKUP($A173&amp;M$2,'2004'!$A$2:$K$1621,10,0),VLOOKUP($A173&amp;M$2,'2004'!$B$2:$K$1621,10,0))</f>
        <v>@CBB</v>
      </c>
      <c r="N173" s="34" t="str">
        <f>IF(ISNA(VLOOKUP($A173&amp;N$2,'2004'!$B$2:$K$1621,10,0)),VLOOKUP($A173&amp;N$2,'2004'!$A$2:$K$1621,10,0),VLOOKUP($A173&amp;N$2,'2004'!$B$2:$K$1621,10,0))</f>
        <v>@BRK</v>
      </c>
      <c r="O173" s="34" t="str">
        <f>IF(ISNA(VLOOKUP($A173&amp;O$2,'2004'!$B$2:$K$1621,10,0)),VLOOKUP($A173&amp;O$2,'2004'!$A$2:$K$1621,10,0),VLOOKUP($A173&amp;O$2,'2004'!$B$2:$K$1621,10,0))</f>
        <v>@PHI</v>
      </c>
      <c r="P173" s="34" t="str">
        <f>IF(ISNA(VLOOKUP($A173&amp;P$2,'2004'!$B$2:$K$1621,10,0)),VLOOKUP($A173&amp;P$2,'2004'!$A$2:$K$1621,10,0),VLOOKUP($A173&amp;P$2,'2004'!$B$2:$K$1621,10,0))</f>
        <v>@NYD</v>
      </c>
      <c r="Q173" s="38" t="str">
        <f>IF(ISNA(VLOOKUP($A173&amp;Q$2,'2004'!$B$2:$K$1621,10,0)),VLOOKUP($A173&amp;Q$2,'2004'!$A$2:$K$1621,10,0),VLOOKUP($A173&amp;Q$2,'2004'!$B$2:$K$1621,10,0))</f>
        <v>NNN</v>
      </c>
      <c r="R173" s="38" t="str">
        <f>IF(ISNA(VLOOKUP($A173&amp;R$2,'2004'!$B$2:$K$1621,10,0)),VLOOKUP($A173&amp;R$2,'2004'!$A$2:$K$1621,10,0),VLOOKUP($A173&amp;R$2,'2004'!$B$2:$K$1621,10,0))</f>
        <v>FFR</v>
      </c>
      <c r="S173" s="38" t="str">
        <f>IF(ISNA(VLOOKUP($A173&amp;S$2,'2004'!$B$2:$K$1621,10,0)),VLOOKUP($A173&amp;S$2,'2004'!$A$2:$K$1621,10,0),VLOOKUP($A173&amp;S$2,'2004'!$B$2:$K$1621,10,0))</f>
        <v>DIG</v>
      </c>
      <c r="T173" s="38" t="str">
        <f>IF(ISNA(VLOOKUP($A173&amp;T$2,'2004'!$B$2:$K$1621,10,0)),VLOOKUP($A173&amp;T$2,'2004'!$A$2:$K$1621,10,0),VLOOKUP($A173&amp;T$2,'2004'!$B$2:$K$1621,10,0))</f>
        <v>RMO</v>
      </c>
      <c r="U173" s="38" t="str">
        <f>IF(ISNA(VLOOKUP($A173&amp;U$2,'2004'!$B$2:$K$1621,10,0)),VLOOKUP($A173&amp;U$2,'2004'!$A$2:$K$1621,10,0),VLOOKUP($A173&amp;U$2,'2004'!$B$2:$K$1621,10,0))</f>
        <v>OKO</v>
      </c>
    </row>
    <row r="174" spans="1:21" x14ac:dyDescent="0.25">
      <c r="A174" s="40">
        <f t="shared" si="2"/>
        <v>38251</v>
      </c>
      <c r="B174" s="36" t="str">
        <f>IF(ISNA(VLOOKUP($A174&amp;B$2,'2004'!$B$2:$K$1621,10,0)),VLOOKUP($A174&amp;B$2,'2004'!$A$2:$K$1621,10,0),VLOOKUP($A174&amp;B$2,'2004'!$B$2:$K$1621,10,0))</f>
        <v>@CEN</v>
      </c>
      <c r="C174" s="36" t="str">
        <f>IF(ISNA(VLOOKUP($A174&amp;C$2,'2004'!$B$2:$K$1621,10,0)),VLOOKUP($A174&amp;C$2,'2004'!$A$2:$K$1621,10,0),VLOOKUP($A174&amp;C$2,'2004'!$B$2:$K$1621,10,0))</f>
        <v>@NEP</v>
      </c>
      <c r="D174" s="36" t="str">
        <f>IF(ISNA(VLOOKUP($A174&amp;D$2,'2004'!$B$2:$K$1621,10,0)),VLOOKUP($A174&amp;D$2,'2004'!$A$2:$K$1621,10,0),VLOOKUP($A174&amp;D$2,'2004'!$B$2:$K$1621,10,0))</f>
        <v>@REN</v>
      </c>
      <c r="E174" s="36" t="str">
        <f>IF(ISNA(VLOOKUP($A174&amp;E$2,'2004'!$B$2:$K$1621,10,0)),VLOOKUP($A174&amp;E$2,'2004'!$A$2:$K$1621,10,0),VLOOKUP($A174&amp;E$2,'2004'!$B$2:$K$1621,10,0))</f>
        <v>@TEW</v>
      </c>
      <c r="F174" s="36" t="str">
        <f>IF(ISNA(VLOOKUP($A174&amp;F$2,'2004'!$B$2:$K$1621,10,0)),VLOOKUP($A174&amp;F$2,'2004'!$A$2:$K$1621,10,0),VLOOKUP($A174&amp;F$2,'2004'!$B$2:$K$1621,10,0))</f>
        <v>@FDH</v>
      </c>
      <c r="G174" s="35" t="str">
        <f>IF(ISNA(VLOOKUP($A174&amp;G$2,'2004'!$B$2:$K$1621,10,0)),VLOOKUP($A174&amp;G$2,'2004'!$A$2:$K$1621,10,0),VLOOKUP($A174&amp;G$2,'2004'!$B$2:$K$1621,10,0))</f>
        <v>BBG</v>
      </c>
      <c r="H174" s="35" t="str">
        <f>IF(ISNA(VLOOKUP($A174&amp;H$2,'2004'!$B$2:$K$1621,10,0)),VLOOKUP($A174&amp;H$2,'2004'!$A$2:$K$1621,10,0),VLOOKUP($A174&amp;H$2,'2004'!$B$2:$K$1621,10,0))</f>
        <v>GAR</v>
      </c>
      <c r="I174" s="35" t="str">
        <f>IF(ISNA(VLOOKUP($A174&amp;I$2,'2004'!$B$2:$K$1621,10,0)),VLOOKUP($A174&amp;I$2,'2004'!$A$2:$K$1621,10,0),VLOOKUP($A174&amp;I$2,'2004'!$B$2:$K$1621,10,0))</f>
        <v>BAR</v>
      </c>
      <c r="J174" s="35" t="str">
        <f>IF(ISNA(VLOOKUP($A174&amp;J$2,'2004'!$B$2:$K$1621,10,0)),VLOOKUP($A174&amp;J$2,'2004'!$A$2:$K$1621,10,0),VLOOKUP($A174&amp;J$2,'2004'!$B$2:$K$1621,10,0))</f>
        <v>CTW</v>
      </c>
      <c r="K174" s="35" t="str">
        <f>IF(ISNA(VLOOKUP($A174&amp;K$2,'2004'!$B$2:$K$1621,10,0)),VLOOKUP($A174&amp;K$2,'2004'!$A$2:$K$1621,10,0),VLOOKUP($A174&amp;K$2,'2004'!$B$2:$K$1621,10,0))</f>
        <v>CIN</v>
      </c>
      <c r="L174" s="34" t="str">
        <f>IF(ISNA(VLOOKUP($A174&amp;L$2,'2004'!$B$2:$K$1621,10,0)),VLOOKUP($A174&amp;L$2,'2004'!$A$2:$K$1621,10,0),VLOOKUP($A174&amp;L$2,'2004'!$B$2:$K$1621,10,0))</f>
        <v>@HAR</v>
      </c>
      <c r="M174" s="34" t="str">
        <f>IF(ISNA(VLOOKUP($A174&amp;M$2,'2004'!$B$2:$K$1621,10,0)),VLOOKUP($A174&amp;M$2,'2004'!$A$2:$K$1621,10,0),VLOOKUP($A174&amp;M$2,'2004'!$B$2:$K$1621,10,0))</f>
        <v>@CBB</v>
      </c>
      <c r="N174" s="34" t="str">
        <f>IF(ISNA(VLOOKUP($A174&amp;N$2,'2004'!$B$2:$K$1621,10,0)),VLOOKUP($A174&amp;N$2,'2004'!$A$2:$K$1621,10,0),VLOOKUP($A174&amp;N$2,'2004'!$B$2:$K$1621,10,0))</f>
        <v>@BRK</v>
      </c>
      <c r="O174" s="34" t="str">
        <f>IF(ISNA(VLOOKUP($A174&amp;O$2,'2004'!$B$2:$K$1621,10,0)),VLOOKUP($A174&amp;O$2,'2004'!$A$2:$K$1621,10,0),VLOOKUP($A174&amp;O$2,'2004'!$B$2:$K$1621,10,0))</f>
        <v>@PHI</v>
      </c>
      <c r="P174" s="34" t="str">
        <f>IF(ISNA(VLOOKUP($A174&amp;P$2,'2004'!$B$2:$K$1621,10,0)),VLOOKUP($A174&amp;P$2,'2004'!$A$2:$K$1621,10,0),VLOOKUP($A174&amp;P$2,'2004'!$B$2:$K$1621,10,0))</f>
        <v>@NYD</v>
      </c>
      <c r="Q174" s="38" t="str">
        <f>IF(ISNA(VLOOKUP($A174&amp;Q$2,'2004'!$B$2:$K$1621,10,0)),VLOOKUP($A174&amp;Q$2,'2004'!$A$2:$K$1621,10,0),VLOOKUP($A174&amp;Q$2,'2004'!$B$2:$K$1621,10,0))</f>
        <v>NNN</v>
      </c>
      <c r="R174" s="38" t="str">
        <f>IF(ISNA(VLOOKUP($A174&amp;R$2,'2004'!$B$2:$K$1621,10,0)),VLOOKUP($A174&amp;R$2,'2004'!$A$2:$K$1621,10,0),VLOOKUP($A174&amp;R$2,'2004'!$B$2:$K$1621,10,0))</f>
        <v>FFR</v>
      </c>
      <c r="S174" s="38" t="str">
        <f>IF(ISNA(VLOOKUP($A174&amp;S$2,'2004'!$B$2:$K$1621,10,0)),VLOOKUP($A174&amp;S$2,'2004'!$A$2:$K$1621,10,0),VLOOKUP($A174&amp;S$2,'2004'!$B$2:$K$1621,10,0))</f>
        <v>DIG</v>
      </c>
      <c r="T174" s="38" t="str">
        <f>IF(ISNA(VLOOKUP($A174&amp;T$2,'2004'!$B$2:$K$1621,10,0)),VLOOKUP($A174&amp;T$2,'2004'!$A$2:$K$1621,10,0),VLOOKUP($A174&amp;T$2,'2004'!$B$2:$K$1621,10,0))</f>
        <v>RMO</v>
      </c>
      <c r="U174" s="38" t="str">
        <f>IF(ISNA(VLOOKUP($A174&amp;U$2,'2004'!$B$2:$K$1621,10,0)),VLOOKUP($A174&amp;U$2,'2004'!$A$2:$K$1621,10,0),VLOOKUP($A174&amp;U$2,'2004'!$B$2:$K$1621,10,0))</f>
        <v>OKO</v>
      </c>
    </row>
    <row r="175" spans="1:21" x14ac:dyDescent="0.25">
      <c r="A175" s="40">
        <f t="shared" si="2"/>
        <v>38252</v>
      </c>
      <c r="B175" s="36" t="str">
        <f>IF(ISNA(VLOOKUP($A175&amp;B$2,'2004'!$B$2:$K$1621,10,0)),VLOOKUP($A175&amp;B$2,'2004'!$A$2:$K$1621,10,0),VLOOKUP($A175&amp;B$2,'2004'!$B$2:$K$1621,10,0))</f>
        <v>@CEN</v>
      </c>
      <c r="C175" s="36" t="str">
        <f>IF(ISNA(VLOOKUP($A175&amp;C$2,'2004'!$B$2:$K$1621,10,0)),VLOOKUP($A175&amp;C$2,'2004'!$A$2:$K$1621,10,0),VLOOKUP($A175&amp;C$2,'2004'!$B$2:$K$1621,10,0))</f>
        <v>@NEP</v>
      </c>
      <c r="D175" s="36" t="str">
        <f>IF(ISNA(VLOOKUP($A175&amp;D$2,'2004'!$B$2:$K$1621,10,0)),VLOOKUP($A175&amp;D$2,'2004'!$A$2:$K$1621,10,0),VLOOKUP($A175&amp;D$2,'2004'!$B$2:$K$1621,10,0))</f>
        <v>@REN</v>
      </c>
      <c r="E175" s="36" t="str">
        <f>IF(ISNA(VLOOKUP($A175&amp;E$2,'2004'!$B$2:$K$1621,10,0)),VLOOKUP($A175&amp;E$2,'2004'!$A$2:$K$1621,10,0),VLOOKUP($A175&amp;E$2,'2004'!$B$2:$K$1621,10,0))</f>
        <v>@TEW</v>
      </c>
      <c r="F175" s="36" t="str">
        <f>IF(ISNA(VLOOKUP($A175&amp;F$2,'2004'!$B$2:$K$1621,10,0)),VLOOKUP($A175&amp;F$2,'2004'!$A$2:$K$1621,10,0),VLOOKUP($A175&amp;F$2,'2004'!$B$2:$K$1621,10,0))</f>
        <v>@FDH</v>
      </c>
      <c r="G175" s="35" t="str">
        <f>IF(ISNA(VLOOKUP($A175&amp;G$2,'2004'!$B$2:$K$1621,10,0)),VLOOKUP($A175&amp;G$2,'2004'!$A$2:$K$1621,10,0),VLOOKUP($A175&amp;G$2,'2004'!$B$2:$K$1621,10,0))</f>
        <v>BBG</v>
      </c>
      <c r="H175" s="35" t="str">
        <f>IF(ISNA(VLOOKUP($A175&amp;H$2,'2004'!$B$2:$K$1621,10,0)),VLOOKUP($A175&amp;H$2,'2004'!$A$2:$K$1621,10,0),VLOOKUP($A175&amp;H$2,'2004'!$B$2:$K$1621,10,0))</f>
        <v>GAR</v>
      </c>
      <c r="I175" s="35" t="str">
        <f>IF(ISNA(VLOOKUP($A175&amp;I$2,'2004'!$B$2:$K$1621,10,0)),VLOOKUP($A175&amp;I$2,'2004'!$A$2:$K$1621,10,0),VLOOKUP($A175&amp;I$2,'2004'!$B$2:$K$1621,10,0))</f>
        <v>BAR</v>
      </c>
      <c r="J175" s="35" t="str">
        <f>IF(ISNA(VLOOKUP($A175&amp;J$2,'2004'!$B$2:$K$1621,10,0)),VLOOKUP($A175&amp;J$2,'2004'!$A$2:$K$1621,10,0),VLOOKUP($A175&amp;J$2,'2004'!$B$2:$K$1621,10,0))</f>
        <v>CTW</v>
      </c>
      <c r="K175" s="35" t="str">
        <f>IF(ISNA(VLOOKUP($A175&amp;K$2,'2004'!$B$2:$K$1621,10,0)),VLOOKUP($A175&amp;K$2,'2004'!$A$2:$K$1621,10,0),VLOOKUP($A175&amp;K$2,'2004'!$B$2:$K$1621,10,0))</f>
        <v>CIN</v>
      </c>
      <c r="L175" s="34" t="str">
        <f>IF(ISNA(VLOOKUP($A175&amp;L$2,'2004'!$B$2:$K$1621,10,0)),VLOOKUP($A175&amp;L$2,'2004'!$A$2:$K$1621,10,0),VLOOKUP($A175&amp;L$2,'2004'!$B$2:$K$1621,10,0))</f>
        <v>@HAR</v>
      </c>
      <c r="M175" s="34" t="str">
        <f>IF(ISNA(VLOOKUP($A175&amp;M$2,'2004'!$B$2:$K$1621,10,0)),VLOOKUP($A175&amp;M$2,'2004'!$A$2:$K$1621,10,0),VLOOKUP($A175&amp;M$2,'2004'!$B$2:$K$1621,10,0))</f>
        <v>@CBB</v>
      </c>
      <c r="N175" s="34" t="str">
        <f>IF(ISNA(VLOOKUP($A175&amp;N$2,'2004'!$B$2:$K$1621,10,0)),VLOOKUP($A175&amp;N$2,'2004'!$A$2:$K$1621,10,0),VLOOKUP($A175&amp;N$2,'2004'!$B$2:$K$1621,10,0))</f>
        <v>@BRK</v>
      </c>
      <c r="O175" s="34" t="str">
        <f>IF(ISNA(VLOOKUP($A175&amp;O$2,'2004'!$B$2:$K$1621,10,0)),VLOOKUP($A175&amp;O$2,'2004'!$A$2:$K$1621,10,0),VLOOKUP($A175&amp;O$2,'2004'!$B$2:$K$1621,10,0))</f>
        <v>@PHI</v>
      </c>
      <c r="P175" s="34" t="str">
        <f>IF(ISNA(VLOOKUP($A175&amp;P$2,'2004'!$B$2:$K$1621,10,0)),VLOOKUP($A175&amp;P$2,'2004'!$A$2:$K$1621,10,0),VLOOKUP($A175&amp;P$2,'2004'!$B$2:$K$1621,10,0))</f>
        <v>@NYD</v>
      </c>
      <c r="Q175" s="38" t="str">
        <f>IF(ISNA(VLOOKUP($A175&amp;Q$2,'2004'!$B$2:$K$1621,10,0)),VLOOKUP($A175&amp;Q$2,'2004'!$A$2:$K$1621,10,0),VLOOKUP($A175&amp;Q$2,'2004'!$B$2:$K$1621,10,0))</f>
        <v>NNN</v>
      </c>
      <c r="R175" s="38" t="str">
        <f>IF(ISNA(VLOOKUP($A175&amp;R$2,'2004'!$B$2:$K$1621,10,0)),VLOOKUP($A175&amp;R$2,'2004'!$A$2:$K$1621,10,0),VLOOKUP($A175&amp;R$2,'2004'!$B$2:$K$1621,10,0))</f>
        <v>FFR</v>
      </c>
      <c r="S175" s="38" t="str">
        <f>IF(ISNA(VLOOKUP($A175&amp;S$2,'2004'!$B$2:$K$1621,10,0)),VLOOKUP($A175&amp;S$2,'2004'!$A$2:$K$1621,10,0),VLOOKUP($A175&amp;S$2,'2004'!$B$2:$K$1621,10,0))</f>
        <v>DIG</v>
      </c>
      <c r="T175" s="38" t="str">
        <f>IF(ISNA(VLOOKUP($A175&amp;T$2,'2004'!$B$2:$K$1621,10,0)),VLOOKUP($A175&amp;T$2,'2004'!$A$2:$K$1621,10,0),VLOOKUP($A175&amp;T$2,'2004'!$B$2:$K$1621,10,0))</f>
        <v>RMO</v>
      </c>
      <c r="U175" s="38" t="str">
        <f>IF(ISNA(VLOOKUP($A175&amp;U$2,'2004'!$B$2:$K$1621,10,0)),VLOOKUP($A175&amp;U$2,'2004'!$A$2:$K$1621,10,0),VLOOKUP($A175&amp;U$2,'2004'!$B$2:$K$1621,10,0))</f>
        <v>OKO</v>
      </c>
    </row>
    <row r="176" spans="1:21" x14ac:dyDescent="0.25">
      <c r="A176" s="40">
        <f t="shared" si="2"/>
        <v>38253</v>
      </c>
      <c r="B176" s="36" t="e">
        <f>IF(ISNA(VLOOKUP($A176&amp;B$2,'2004'!$B$2:$K$1621,10,0)),VLOOKUP($A176&amp;B$2,'2004'!$A$2:$K$1621,10,0),VLOOKUP($A176&amp;B$2,'2004'!$B$2:$K$1621,10,0))</f>
        <v>#N/A</v>
      </c>
      <c r="C176" s="36" t="e">
        <f>IF(ISNA(VLOOKUP($A176&amp;C$2,'2004'!$B$2:$K$1621,10,0)),VLOOKUP($A176&amp;C$2,'2004'!$A$2:$K$1621,10,0),VLOOKUP($A176&amp;C$2,'2004'!$B$2:$K$1621,10,0))</f>
        <v>#N/A</v>
      </c>
      <c r="D176" s="36" t="e">
        <f>IF(ISNA(VLOOKUP($A176&amp;D$2,'2004'!$B$2:$K$1621,10,0)),VLOOKUP($A176&amp;D$2,'2004'!$A$2:$K$1621,10,0),VLOOKUP($A176&amp;D$2,'2004'!$B$2:$K$1621,10,0))</f>
        <v>#N/A</v>
      </c>
      <c r="E176" s="36" t="e">
        <f>IF(ISNA(VLOOKUP($A176&amp;E$2,'2004'!$B$2:$K$1621,10,0)),VLOOKUP($A176&amp;E$2,'2004'!$A$2:$K$1621,10,0),VLOOKUP($A176&amp;E$2,'2004'!$B$2:$K$1621,10,0))</f>
        <v>#N/A</v>
      </c>
      <c r="F176" s="36" t="e">
        <f>IF(ISNA(VLOOKUP($A176&amp;F$2,'2004'!$B$2:$K$1621,10,0)),VLOOKUP($A176&amp;F$2,'2004'!$A$2:$K$1621,10,0),VLOOKUP($A176&amp;F$2,'2004'!$B$2:$K$1621,10,0))</f>
        <v>#N/A</v>
      </c>
      <c r="G176" s="35" t="e">
        <f>IF(ISNA(VLOOKUP($A176&amp;G$2,'2004'!$B$2:$K$1621,10,0)),VLOOKUP($A176&amp;G$2,'2004'!$A$2:$K$1621,10,0),VLOOKUP($A176&amp;G$2,'2004'!$B$2:$K$1621,10,0))</f>
        <v>#N/A</v>
      </c>
      <c r="H176" s="35" t="e">
        <f>IF(ISNA(VLOOKUP($A176&amp;H$2,'2004'!$B$2:$K$1621,10,0)),VLOOKUP($A176&amp;H$2,'2004'!$A$2:$K$1621,10,0),VLOOKUP($A176&amp;H$2,'2004'!$B$2:$K$1621,10,0))</f>
        <v>#N/A</v>
      </c>
      <c r="I176" s="35" t="e">
        <f>IF(ISNA(VLOOKUP($A176&amp;I$2,'2004'!$B$2:$K$1621,10,0)),VLOOKUP($A176&amp;I$2,'2004'!$A$2:$K$1621,10,0),VLOOKUP($A176&amp;I$2,'2004'!$B$2:$K$1621,10,0))</f>
        <v>#N/A</v>
      </c>
      <c r="J176" s="35" t="e">
        <f>IF(ISNA(VLOOKUP($A176&amp;J$2,'2004'!$B$2:$K$1621,10,0)),VLOOKUP($A176&amp;J$2,'2004'!$A$2:$K$1621,10,0),VLOOKUP($A176&amp;J$2,'2004'!$B$2:$K$1621,10,0))</f>
        <v>#N/A</v>
      </c>
      <c r="K176" s="35" t="e">
        <f>IF(ISNA(VLOOKUP($A176&amp;K$2,'2004'!$B$2:$K$1621,10,0)),VLOOKUP($A176&amp;K$2,'2004'!$A$2:$K$1621,10,0),VLOOKUP($A176&amp;K$2,'2004'!$B$2:$K$1621,10,0))</f>
        <v>#N/A</v>
      </c>
      <c r="L176" s="34" t="e">
        <f>IF(ISNA(VLOOKUP($A176&amp;L$2,'2004'!$B$2:$K$1621,10,0)),VLOOKUP($A176&amp;L$2,'2004'!$A$2:$K$1621,10,0),VLOOKUP($A176&amp;L$2,'2004'!$B$2:$K$1621,10,0))</f>
        <v>#N/A</v>
      </c>
      <c r="M176" s="34" t="e">
        <f>IF(ISNA(VLOOKUP($A176&amp;M$2,'2004'!$B$2:$K$1621,10,0)),VLOOKUP($A176&amp;M$2,'2004'!$A$2:$K$1621,10,0),VLOOKUP($A176&amp;M$2,'2004'!$B$2:$K$1621,10,0))</f>
        <v>#N/A</v>
      </c>
      <c r="N176" s="34" t="e">
        <f>IF(ISNA(VLOOKUP($A176&amp;N$2,'2004'!$B$2:$K$1621,10,0)),VLOOKUP($A176&amp;N$2,'2004'!$A$2:$K$1621,10,0),VLOOKUP($A176&amp;N$2,'2004'!$B$2:$K$1621,10,0))</f>
        <v>#N/A</v>
      </c>
      <c r="O176" s="34" t="e">
        <f>IF(ISNA(VLOOKUP($A176&amp;O$2,'2004'!$B$2:$K$1621,10,0)),VLOOKUP($A176&amp;O$2,'2004'!$A$2:$K$1621,10,0),VLOOKUP($A176&amp;O$2,'2004'!$B$2:$K$1621,10,0))</f>
        <v>#N/A</v>
      </c>
      <c r="P176" s="34" t="e">
        <f>IF(ISNA(VLOOKUP($A176&amp;P$2,'2004'!$B$2:$K$1621,10,0)),VLOOKUP($A176&amp;P$2,'2004'!$A$2:$K$1621,10,0),VLOOKUP($A176&amp;P$2,'2004'!$B$2:$K$1621,10,0))</f>
        <v>#N/A</v>
      </c>
      <c r="Q176" s="38" t="e">
        <f>IF(ISNA(VLOOKUP($A176&amp;Q$2,'2004'!$B$2:$K$1621,10,0)),VLOOKUP($A176&amp;Q$2,'2004'!$A$2:$K$1621,10,0),VLOOKUP($A176&amp;Q$2,'2004'!$B$2:$K$1621,10,0))</f>
        <v>#N/A</v>
      </c>
      <c r="R176" s="38" t="e">
        <f>IF(ISNA(VLOOKUP($A176&amp;R$2,'2004'!$B$2:$K$1621,10,0)),VLOOKUP($A176&amp;R$2,'2004'!$A$2:$K$1621,10,0),VLOOKUP($A176&amp;R$2,'2004'!$B$2:$K$1621,10,0))</f>
        <v>#N/A</v>
      </c>
      <c r="S176" s="38" t="e">
        <f>IF(ISNA(VLOOKUP($A176&amp;S$2,'2004'!$B$2:$K$1621,10,0)),VLOOKUP($A176&amp;S$2,'2004'!$A$2:$K$1621,10,0),VLOOKUP($A176&amp;S$2,'2004'!$B$2:$K$1621,10,0))</f>
        <v>#N/A</v>
      </c>
      <c r="T176" s="38" t="e">
        <f>IF(ISNA(VLOOKUP($A176&amp;T$2,'2004'!$B$2:$K$1621,10,0)),VLOOKUP($A176&amp;T$2,'2004'!$A$2:$K$1621,10,0),VLOOKUP($A176&amp;T$2,'2004'!$B$2:$K$1621,10,0))</f>
        <v>#N/A</v>
      </c>
      <c r="U176" s="38" t="e">
        <f>IF(ISNA(VLOOKUP($A176&amp;U$2,'2004'!$B$2:$K$1621,10,0)),VLOOKUP($A176&amp;U$2,'2004'!$A$2:$K$1621,10,0),VLOOKUP($A176&amp;U$2,'2004'!$B$2:$K$1621,10,0))</f>
        <v>#N/A</v>
      </c>
    </row>
    <row r="177" spans="1:21" x14ac:dyDescent="0.25">
      <c r="A177" s="40">
        <f t="shared" si="2"/>
        <v>38254</v>
      </c>
      <c r="B177" s="36" t="str">
        <f>IF(ISNA(VLOOKUP($A177&amp;B$2,'2004'!$B$2:$K$1621,10,0)),VLOOKUP($A177&amp;B$2,'2004'!$A$2:$K$1621,10,0),VLOOKUP($A177&amp;B$2,'2004'!$B$2:$K$1621,10,0))</f>
        <v>@FDH</v>
      </c>
      <c r="C177" s="36" t="str">
        <f>IF(ISNA(VLOOKUP($A177&amp;C$2,'2004'!$B$2:$K$1621,10,0)),VLOOKUP($A177&amp;C$2,'2004'!$A$2:$K$1621,10,0),VLOOKUP($A177&amp;C$2,'2004'!$B$2:$K$1621,10,0))</f>
        <v>@TEW</v>
      </c>
      <c r="D177" s="36" t="str">
        <f>IF(ISNA(VLOOKUP($A177&amp;D$2,'2004'!$B$2:$K$1621,10,0)),VLOOKUP($A177&amp;D$2,'2004'!$A$2:$K$1621,10,0),VLOOKUP($A177&amp;D$2,'2004'!$B$2:$K$1621,10,0))</f>
        <v>@CEN</v>
      </c>
      <c r="E177" s="36" t="str">
        <f>IF(ISNA(VLOOKUP($A177&amp;E$2,'2004'!$B$2:$K$1621,10,0)),VLOOKUP($A177&amp;E$2,'2004'!$A$2:$K$1621,10,0),VLOOKUP($A177&amp;E$2,'2004'!$B$2:$K$1621,10,0))</f>
        <v>@REN</v>
      </c>
      <c r="F177" s="36" t="str">
        <f>IF(ISNA(VLOOKUP($A177&amp;F$2,'2004'!$B$2:$K$1621,10,0)),VLOOKUP($A177&amp;F$2,'2004'!$A$2:$K$1621,10,0),VLOOKUP($A177&amp;F$2,'2004'!$B$2:$K$1621,10,0))</f>
        <v>@NEP</v>
      </c>
      <c r="G177" s="35" t="str">
        <f>IF(ISNA(VLOOKUP($A177&amp;G$2,'2004'!$B$2:$K$1621,10,0)),VLOOKUP($A177&amp;G$2,'2004'!$A$2:$K$1621,10,0),VLOOKUP($A177&amp;G$2,'2004'!$B$2:$K$1621,10,0))</f>
        <v>CTW</v>
      </c>
      <c r="H177" s="35" t="str">
        <f>IF(ISNA(VLOOKUP($A177&amp;H$2,'2004'!$B$2:$K$1621,10,0)),VLOOKUP($A177&amp;H$2,'2004'!$A$2:$K$1621,10,0),VLOOKUP($A177&amp;H$2,'2004'!$B$2:$K$1621,10,0))</f>
        <v>BBG</v>
      </c>
      <c r="I177" s="35" t="str">
        <f>IF(ISNA(VLOOKUP($A177&amp;I$2,'2004'!$B$2:$K$1621,10,0)),VLOOKUP($A177&amp;I$2,'2004'!$A$2:$K$1621,10,0),VLOOKUP($A177&amp;I$2,'2004'!$B$2:$K$1621,10,0))</f>
        <v>GAR</v>
      </c>
      <c r="J177" s="35" t="str">
        <f>IF(ISNA(VLOOKUP($A177&amp;J$2,'2004'!$B$2:$K$1621,10,0)),VLOOKUP($A177&amp;J$2,'2004'!$A$2:$K$1621,10,0),VLOOKUP($A177&amp;J$2,'2004'!$B$2:$K$1621,10,0))</f>
        <v>CIN</v>
      </c>
      <c r="K177" s="35" t="str">
        <f>IF(ISNA(VLOOKUP($A177&amp;K$2,'2004'!$B$2:$K$1621,10,0)),VLOOKUP($A177&amp;K$2,'2004'!$A$2:$K$1621,10,0),VLOOKUP($A177&amp;K$2,'2004'!$B$2:$K$1621,10,0))</f>
        <v>BAR</v>
      </c>
      <c r="L177" s="34" t="str">
        <f>IF(ISNA(VLOOKUP($A177&amp;L$2,'2004'!$B$2:$K$1621,10,0)),VLOOKUP($A177&amp;L$2,'2004'!$A$2:$K$1621,10,0),VLOOKUP($A177&amp;L$2,'2004'!$B$2:$K$1621,10,0))</f>
        <v>@NYD</v>
      </c>
      <c r="M177" s="34" t="str">
        <f>IF(ISNA(VLOOKUP($A177&amp;M$2,'2004'!$B$2:$K$1621,10,0)),VLOOKUP($A177&amp;M$2,'2004'!$A$2:$K$1621,10,0),VLOOKUP($A177&amp;M$2,'2004'!$B$2:$K$1621,10,0))</f>
        <v>@BRK</v>
      </c>
      <c r="N177" s="34" t="str">
        <f>IF(ISNA(VLOOKUP($A177&amp;N$2,'2004'!$B$2:$K$1621,10,0)),VLOOKUP($A177&amp;N$2,'2004'!$A$2:$K$1621,10,0),VLOOKUP($A177&amp;N$2,'2004'!$B$2:$K$1621,10,0))</f>
        <v>@PHI</v>
      </c>
      <c r="O177" s="34" t="str">
        <f>IF(ISNA(VLOOKUP($A177&amp;O$2,'2004'!$B$2:$K$1621,10,0)),VLOOKUP($A177&amp;O$2,'2004'!$A$2:$K$1621,10,0),VLOOKUP($A177&amp;O$2,'2004'!$B$2:$K$1621,10,0))</f>
        <v>@HAR</v>
      </c>
      <c r="P177" s="34" t="str">
        <f>IF(ISNA(VLOOKUP($A177&amp;P$2,'2004'!$B$2:$K$1621,10,0)),VLOOKUP($A177&amp;P$2,'2004'!$A$2:$K$1621,10,0),VLOOKUP($A177&amp;P$2,'2004'!$B$2:$K$1621,10,0))</f>
        <v>@CBB</v>
      </c>
      <c r="Q177" s="38" t="str">
        <f>IF(ISNA(VLOOKUP($A177&amp;Q$2,'2004'!$B$2:$K$1621,10,0)),VLOOKUP($A177&amp;Q$2,'2004'!$A$2:$K$1621,10,0),VLOOKUP($A177&amp;Q$2,'2004'!$B$2:$K$1621,10,0))</f>
        <v>FFR</v>
      </c>
      <c r="R177" s="38" t="str">
        <f>IF(ISNA(VLOOKUP($A177&amp;R$2,'2004'!$B$2:$K$1621,10,0)),VLOOKUP($A177&amp;R$2,'2004'!$A$2:$K$1621,10,0),VLOOKUP($A177&amp;R$2,'2004'!$B$2:$K$1621,10,0))</f>
        <v>RMO</v>
      </c>
      <c r="S177" s="38" t="str">
        <f>IF(ISNA(VLOOKUP($A177&amp;S$2,'2004'!$B$2:$K$1621,10,0)),VLOOKUP($A177&amp;S$2,'2004'!$A$2:$K$1621,10,0),VLOOKUP($A177&amp;S$2,'2004'!$B$2:$K$1621,10,0))</f>
        <v>OKO</v>
      </c>
      <c r="T177" s="38" t="str">
        <f>IF(ISNA(VLOOKUP($A177&amp;T$2,'2004'!$B$2:$K$1621,10,0)),VLOOKUP($A177&amp;T$2,'2004'!$A$2:$K$1621,10,0),VLOOKUP($A177&amp;T$2,'2004'!$B$2:$K$1621,10,0))</f>
        <v>DIG</v>
      </c>
      <c r="U177" s="38" t="str">
        <f>IF(ISNA(VLOOKUP($A177&amp;U$2,'2004'!$B$2:$K$1621,10,0)),VLOOKUP($A177&amp;U$2,'2004'!$A$2:$K$1621,10,0),VLOOKUP($A177&amp;U$2,'2004'!$B$2:$K$1621,10,0))</f>
        <v>NNN</v>
      </c>
    </row>
    <row r="178" spans="1:21" x14ac:dyDescent="0.25">
      <c r="A178" s="40">
        <f t="shared" si="2"/>
        <v>38255</v>
      </c>
      <c r="B178" s="36" t="str">
        <f>IF(ISNA(VLOOKUP($A178&amp;B$2,'2004'!$B$2:$K$1621,10,0)),VLOOKUP($A178&amp;B$2,'2004'!$A$2:$K$1621,10,0),VLOOKUP($A178&amp;B$2,'2004'!$B$2:$K$1621,10,0))</f>
        <v>@FDH</v>
      </c>
      <c r="C178" s="36" t="str">
        <f>IF(ISNA(VLOOKUP($A178&amp;C$2,'2004'!$B$2:$K$1621,10,0)),VLOOKUP($A178&amp;C$2,'2004'!$A$2:$K$1621,10,0),VLOOKUP($A178&amp;C$2,'2004'!$B$2:$K$1621,10,0))</f>
        <v>@TEW</v>
      </c>
      <c r="D178" s="36" t="str">
        <f>IF(ISNA(VLOOKUP($A178&amp;D$2,'2004'!$B$2:$K$1621,10,0)),VLOOKUP($A178&amp;D$2,'2004'!$A$2:$K$1621,10,0),VLOOKUP($A178&amp;D$2,'2004'!$B$2:$K$1621,10,0))</f>
        <v>@CEN</v>
      </c>
      <c r="E178" s="36" t="str">
        <f>IF(ISNA(VLOOKUP($A178&amp;E$2,'2004'!$B$2:$K$1621,10,0)),VLOOKUP($A178&amp;E$2,'2004'!$A$2:$K$1621,10,0),VLOOKUP($A178&amp;E$2,'2004'!$B$2:$K$1621,10,0))</f>
        <v>@REN</v>
      </c>
      <c r="F178" s="36" t="str">
        <f>IF(ISNA(VLOOKUP($A178&amp;F$2,'2004'!$B$2:$K$1621,10,0)),VLOOKUP($A178&amp;F$2,'2004'!$A$2:$K$1621,10,0),VLOOKUP($A178&amp;F$2,'2004'!$B$2:$K$1621,10,0))</f>
        <v>@NEP</v>
      </c>
      <c r="G178" s="35" t="str">
        <f>IF(ISNA(VLOOKUP($A178&amp;G$2,'2004'!$B$2:$K$1621,10,0)),VLOOKUP($A178&amp;G$2,'2004'!$A$2:$K$1621,10,0),VLOOKUP($A178&amp;G$2,'2004'!$B$2:$K$1621,10,0))</f>
        <v>CTW</v>
      </c>
      <c r="H178" s="35" t="str">
        <f>IF(ISNA(VLOOKUP($A178&amp;H$2,'2004'!$B$2:$K$1621,10,0)),VLOOKUP($A178&amp;H$2,'2004'!$A$2:$K$1621,10,0),VLOOKUP($A178&amp;H$2,'2004'!$B$2:$K$1621,10,0))</f>
        <v>BBG</v>
      </c>
      <c r="I178" s="35" t="str">
        <f>IF(ISNA(VLOOKUP($A178&amp;I$2,'2004'!$B$2:$K$1621,10,0)),VLOOKUP($A178&amp;I$2,'2004'!$A$2:$K$1621,10,0),VLOOKUP($A178&amp;I$2,'2004'!$B$2:$K$1621,10,0))</f>
        <v>GAR</v>
      </c>
      <c r="J178" s="35" t="str">
        <f>IF(ISNA(VLOOKUP($A178&amp;J$2,'2004'!$B$2:$K$1621,10,0)),VLOOKUP($A178&amp;J$2,'2004'!$A$2:$K$1621,10,0),VLOOKUP($A178&amp;J$2,'2004'!$B$2:$K$1621,10,0))</f>
        <v>CIN</v>
      </c>
      <c r="K178" s="35" t="str">
        <f>IF(ISNA(VLOOKUP($A178&amp;K$2,'2004'!$B$2:$K$1621,10,0)),VLOOKUP($A178&amp;K$2,'2004'!$A$2:$K$1621,10,0),VLOOKUP($A178&amp;K$2,'2004'!$B$2:$K$1621,10,0))</f>
        <v>BAR</v>
      </c>
      <c r="L178" s="34" t="str">
        <f>IF(ISNA(VLOOKUP($A178&amp;L$2,'2004'!$B$2:$K$1621,10,0)),VLOOKUP($A178&amp;L$2,'2004'!$A$2:$K$1621,10,0),VLOOKUP($A178&amp;L$2,'2004'!$B$2:$K$1621,10,0))</f>
        <v>@NYD</v>
      </c>
      <c r="M178" s="34" t="str">
        <f>IF(ISNA(VLOOKUP($A178&amp;M$2,'2004'!$B$2:$K$1621,10,0)),VLOOKUP($A178&amp;M$2,'2004'!$A$2:$K$1621,10,0),VLOOKUP($A178&amp;M$2,'2004'!$B$2:$K$1621,10,0))</f>
        <v>@BRK</v>
      </c>
      <c r="N178" s="34" t="str">
        <f>IF(ISNA(VLOOKUP($A178&amp;N$2,'2004'!$B$2:$K$1621,10,0)),VLOOKUP($A178&amp;N$2,'2004'!$A$2:$K$1621,10,0),VLOOKUP($A178&amp;N$2,'2004'!$B$2:$K$1621,10,0))</f>
        <v>@PHI</v>
      </c>
      <c r="O178" s="34" t="str">
        <f>IF(ISNA(VLOOKUP($A178&amp;O$2,'2004'!$B$2:$K$1621,10,0)),VLOOKUP($A178&amp;O$2,'2004'!$A$2:$K$1621,10,0),VLOOKUP($A178&amp;O$2,'2004'!$B$2:$K$1621,10,0))</f>
        <v>@HAR</v>
      </c>
      <c r="P178" s="34" t="str">
        <f>IF(ISNA(VLOOKUP($A178&amp;P$2,'2004'!$B$2:$K$1621,10,0)),VLOOKUP($A178&amp;P$2,'2004'!$A$2:$K$1621,10,0),VLOOKUP($A178&amp;P$2,'2004'!$B$2:$K$1621,10,0))</f>
        <v>@CBB</v>
      </c>
      <c r="Q178" s="38" t="str">
        <f>IF(ISNA(VLOOKUP($A178&amp;Q$2,'2004'!$B$2:$K$1621,10,0)),VLOOKUP($A178&amp;Q$2,'2004'!$A$2:$K$1621,10,0),VLOOKUP($A178&amp;Q$2,'2004'!$B$2:$K$1621,10,0))</f>
        <v>FFR</v>
      </c>
      <c r="R178" s="38" t="str">
        <f>IF(ISNA(VLOOKUP($A178&amp;R$2,'2004'!$B$2:$K$1621,10,0)),VLOOKUP($A178&amp;R$2,'2004'!$A$2:$K$1621,10,0),VLOOKUP($A178&amp;R$2,'2004'!$B$2:$K$1621,10,0))</f>
        <v>RMO</v>
      </c>
      <c r="S178" s="38" t="str">
        <f>IF(ISNA(VLOOKUP($A178&amp;S$2,'2004'!$B$2:$K$1621,10,0)),VLOOKUP($A178&amp;S$2,'2004'!$A$2:$K$1621,10,0),VLOOKUP($A178&amp;S$2,'2004'!$B$2:$K$1621,10,0))</f>
        <v>OKO</v>
      </c>
      <c r="T178" s="38" t="str">
        <f>IF(ISNA(VLOOKUP($A178&amp;T$2,'2004'!$B$2:$K$1621,10,0)),VLOOKUP($A178&amp;T$2,'2004'!$A$2:$K$1621,10,0),VLOOKUP($A178&amp;T$2,'2004'!$B$2:$K$1621,10,0))</f>
        <v>DIG</v>
      </c>
      <c r="U178" s="38" t="str">
        <f>IF(ISNA(VLOOKUP($A178&amp;U$2,'2004'!$B$2:$K$1621,10,0)),VLOOKUP($A178&amp;U$2,'2004'!$A$2:$K$1621,10,0),VLOOKUP($A178&amp;U$2,'2004'!$B$2:$K$1621,10,0))</f>
        <v>NNN</v>
      </c>
    </row>
    <row r="179" spans="1:21" x14ac:dyDescent="0.25">
      <c r="A179" s="40">
        <f>A178+1</f>
        <v>38256</v>
      </c>
      <c r="B179" s="36" t="str">
        <f>IF(ISNA(VLOOKUP($A179&amp;B$2,'2004'!$B$2:$K$1621,10,0)),VLOOKUP($A179&amp;B$2,'2004'!$A$2:$K$1621,10,0),VLOOKUP($A179&amp;B$2,'2004'!$B$2:$K$1621,10,0))</f>
        <v>@FDH</v>
      </c>
      <c r="C179" s="36" t="str">
        <f>IF(ISNA(VLOOKUP($A179&amp;C$2,'2004'!$B$2:$K$1621,10,0)),VLOOKUP($A179&amp;C$2,'2004'!$A$2:$K$1621,10,0),VLOOKUP($A179&amp;C$2,'2004'!$B$2:$K$1621,10,0))</f>
        <v>@TEW</v>
      </c>
      <c r="D179" s="36" t="str">
        <f>IF(ISNA(VLOOKUP($A179&amp;D$2,'2004'!$B$2:$K$1621,10,0)),VLOOKUP($A179&amp;D$2,'2004'!$A$2:$K$1621,10,0),VLOOKUP($A179&amp;D$2,'2004'!$B$2:$K$1621,10,0))</f>
        <v>@CEN</v>
      </c>
      <c r="E179" s="36" t="str">
        <f>IF(ISNA(VLOOKUP($A179&amp;E$2,'2004'!$B$2:$K$1621,10,0)),VLOOKUP($A179&amp;E$2,'2004'!$A$2:$K$1621,10,0),VLOOKUP($A179&amp;E$2,'2004'!$B$2:$K$1621,10,0))</f>
        <v>@REN</v>
      </c>
      <c r="F179" s="36" t="str">
        <f>IF(ISNA(VLOOKUP($A179&amp;F$2,'2004'!$B$2:$K$1621,10,0)),VLOOKUP($A179&amp;F$2,'2004'!$A$2:$K$1621,10,0),VLOOKUP($A179&amp;F$2,'2004'!$B$2:$K$1621,10,0))</f>
        <v>@NEP</v>
      </c>
      <c r="G179" s="35" t="str">
        <f>IF(ISNA(VLOOKUP($A179&amp;G$2,'2004'!$B$2:$K$1621,10,0)),VLOOKUP($A179&amp;G$2,'2004'!$A$2:$K$1621,10,0),VLOOKUP($A179&amp;G$2,'2004'!$B$2:$K$1621,10,0))</f>
        <v>CTW</v>
      </c>
      <c r="H179" s="35" t="str">
        <f>IF(ISNA(VLOOKUP($A179&amp;H$2,'2004'!$B$2:$K$1621,10,0)),VLOOKUP($A179&amp;H$2,'2004'!$A$2:$K$1621,10,0),VLOOKUP($A179&amp;H$2,'2004'!$B$2:$K$1621,10,0))</f>
        <v>BBG</v>
      </c>
      <c r="I179" s="35" t="str">
        <f>IF(ISNA(VLOOKUP($A179&amp;I$2,'2004'!$B$2:$K$1621,10,0)),VLOOKUP($A179&amp;I$2,'2004'!$A$2:$K$1621,10,0),VLOOKUP($A179&amp;I$2,'2004'!$B$2:$K$1621,10,0))</f>
        <v>GAR</v>
      </c>
      <c r="J179" s="35" t="str">
        <f>IF(ISNA(VLOOKUP($A179&amp;J$2,'2004'!$B$2:$K$1621,10,0)),VLOOKUP($A179&amp;J$2,'2004'!$A$2:$K$1621,10,0),VLOOKUP($A179&amp;J$2,'2004'!$B$2:$K$1621,10,0))</f>
        <v>CIN</v>
      </c>
      <c r="K179" s="35" t="str">
        <f>IF(ISNA(VLOOKUP($A179&amp;K$2,'2004'!$B$2:$K$1621,10,0)),VLOOKUP($A179&amp;K$2,'2004'!$A$2:$K$1621,10,0),VLOOKUP($A179&amp;K$2,'2004'!$B$2:$K$1621,10,0))</f>
        <v>BAR</v>
      </c>
      <c r="L179" s="34" t="str">
        <f>IF(ISNA(VLOOKUP($A179&amp;L$2,'2004'!$B$2:$K$1621,10,0)),VLOOKUP($A179&amp;L$2,'2004'!$A$2:$K$1621,10,0),VLOOKUP($A179&amp;L$2,'2004'!$B$2:$K$1621,10,0))</f>
        <v>@NYD</v>
      </c>
      <c r="M179" s="34" t="str">
        <f>IF(ISNA(VLOOKUP($A179&amp;M$2,'2004'!$B$2:$K$1621,10,0)),VLOOKUP($A179&amp;M$2,'2004'!$A$2:$K$1621,10,0),VLOOKUP($A179&amp;M$2,'2004'!$B$2:$K$1621,10,0))</f>
        <v>@BRK</v>
      </c>
      <c r="N179" s="34" t="str">
        <f>IF(ISNA(VLOOKUP($A179&amp;N$2,'2004'!$B$2:$K$1621,10,0)),VLOOKUP($A179&amp;N$2,'2004'!$A$2:$K$1621,10,0),VLOOKUP($A179&amp;N$2,'2004'!$B$2:$K$1621,10,0))</f>
        <v>@PHI</v>
      </c>
      <c r="O179" s="34" t="str">
        <f>IF(ISNA(VLOOKUP($A179&amp;O$2,'2004'!$B$2:$K$1621,10,0)),VLOOKUP($A179&amp;O$2,'2004'!$A$2:$K$1621,10,0),VLOOKUP($A179&amp;O$2,'2004'!$B$2:$K$1621,10,0))</f>
        <v>@HAR</v>
      </c>
      <c r="P179" s="34" t="str">
        <f>IF(ISNA(VLOOKUP($A179&amp;P$2,'2004'!$B$2:$K$1621,10,0)),VLOOKUP($A179&amp;P$2,'2004'!$A$2:$K$1621,10,0),VLOOKUP($A179&amp;P$2,'2004'!$B$2:$K$1621,10,0))</f>
        <v>@CBB</v>
      </c>
      <c r="Q179" s="38" t="str">
        <f>IF(ISNA(VLOOKUP($A179&amp;Q$2,'2004'!$B$2:$K$1621,10,0)),VLOOKUP($A179&amp;Q$2,'2004'!$A$2:$K$1621,10,0),VLOOKUP($A179&amp;Q$2,'2004'!$B$2:$K$1621,10,0))</f>
        <v>FFR</v>
      </c>
      <c r="R179" s="38" t="str">
        <f>IF(ISNA(VLOOKUP($A179&amp;R$2,'2004'!$B$2:$K$1621,10,0)),VLOOKUP($A179&amp;R$2,'2004'!$A$2:$K$1621,10,0),VLOOKUP($A179&amp;R$2,'2004'!$B$2:$K$1621,10,0))</f>
        <v>RMO</v>
      </c>
      <c r="S179" s="38" t="str">
        <f>IF(ISNA(VLOOKUP($A179&amp;S$2,'2004'!$B$2:$K$1621,10,0)),VLOOKUP($A179&amp;S$2,'2004'!$A$2:$K$1621,10,0),VLOOKUP($A179&amp;S$2,'2004'!$B$2:$K$1621,10,0))</f>
        <v>OKO</v>
      </c>
      <c r="T179" s="38" t="str">
        <f>IF(ISNA(VLOOKUP($A179&amp;T$2,'2004'!$B$2:$K$1621,10,0)),VLOOKUP($A179&amp;T$2,'2004'!$A$2:$K$1621,10,0),VLOOKUP($A179&amp;T$2,'2004'!$B$2:$K$1621,10,0))</f>
        <v>DIG</v>
      </c>
      <c r="U179" s="38" t="str">
        <f>IF(ISNA(VLOOKUP($A179&amp;U$2,'2004'!$B$2:$K$1621,10,0)),VLOOKUP($A179&amp;U$2,'2004'!$A$2:$K$1621,10,0),VLOOKUP($A179&amp;U$2,'2004'!$B$2:$K$1621,10,0))</f>
        <v>NNN</v>
      </c>
    </row>
    <row r="180" spans="1:21" x14ac:dyDescent="0.25">
      <c r="A180" s="40">
        <f t="shared" si="2"/>
        <v>38257</v>
      </c>
      <c r="B180" s="36" t="str">
        <f>IF(ISNA(VLOOKUP($A180&amp;B$2,'2004'!$B$2:$K$1621,10,0)),VLOOKUP($A180&amp;B$2,'2004'!$A$2:$K$1621,10,0),VLOOKUP($A180&amp;B$2,'2004'!$B$2:$K$1621,10,0))</f>
        <v>@FDH</v>
      </c>
      <c r="C180" s="36" t="str">
        <f>IF(ISNA(VLOOKUP($A180&amp;C$2,'2004'!$B$2:$K$1621,10,0)),VLOOKUP($A180&amp;C$2,'2004'!$A$2:$K$1621,10,0),VLOOKUP($A180&amp;C$2,'2004'!$B$2:$K$1621,10,0))</f>
        <v>@TEW</v>
      </c>
      <c r="D180" s="36" t="str">
        <f>IF(ISNA(VLOOKUP($A180&amp;D$2,'2004'!$B$2:$K$1621,10,0)),VLOOKUP($A180&amp;D$2,'2004'!$A$2:$K$1621,10,0),VLOOKUP($A180&amp;D$2,'2004'!$B$2:$K$1621,10,0))</f>
        <v>@CEN</v>
      </c>
      <c r="E180" s="36" t="str">
        <f>IF(ISNA(VLOOKUP($A180&amp;E$2,'2004'!$B$2:$K$1621,10,0)),VLOOKUP($A180&amp;E$2,'2004'!$A$2:$K$1621,10,0),VLOOKUP($A180&amp;E$2,'2004'!$B$2:$K$1621,10,0))</f>
        <v>@REN</v>
      </c>
      <c r="F180" s="36" t="str">
        <f>IF(ISNA(VLOOKUP($A180&amp;F$2,'2004'!$B$2:$K$1621,10,0)),VLOOKUP($A180&amp;F$2,'2004'!$A$2:$K$1621,10,0),VLOOKUP($A180&amp;F$2,'2004'!$B$2:$K$1621,10,0))</f>
        <v>@NEP</v>
      </c>
      <c r="G180" s="35" t="str">
        <f>IF(ISNA(VLOOKUP($A180&amp;G$2,'2004'!$B$2:$K$1621,10,0)),VLOOKUP($A180&amp;G$2,'2004'!$A$2:$K$1621,10,0),VLOOKUP($A180&amp;G$2,'2004'!$B$2:$K$1621,10,0))</f>
        <v>CTW</v>
      </c>
      <c r="H180" s="35" t="str">
        <f>IF(ISNA(VLOOKUP($A180&amp;H$2,'2004'!$B$2:$K$1621,10,0)),VLOOKUP($A180&amp;H$2,'2004'!$A$2:$K$1621,10,0),VLOOKUP($A180&amp;H$2,'2004'!$B$2:$K$1621,10,0))</f>
        <v>BBG</v>
      </c>
      <c r="I180" s="35" t="str">
        <f>IF(ISNA(VLOOKUP($A180&amp;I$2,'2004'!$B$2:$K$1621,10,0)),VLOOKUP($A180&amp;I$2,'2004'!$A$2:$K$1621,10,0),VLOOKUP($A180&amp;I$2,'2004'!$B$2:$K$1621,10,0))</f>
        <v>GAR</v>
      </c>
      <c r="J180" s="35" t="str">
        <f>IF(ISNA(VLOOKUP($A180&amp;J$2,'2004'!$B$2:$K$1621,10,0)),VLOOKUP($A180&amp;J$2,'2004'!$A$2:$K$1621,10,0),VLOOKUP($A180&amp;J$2,'2004'!$B$2:$K$1621,10,0))</f>
        <v>CIN</v>
      </c>
      <c r="K180" s="35" t="str">
        <f>IF(ISNA(VLOOKUP($A180&amp;K$2,'2004'!$B$2:$K$1621,10,0)),VLOOKUP($A180&amp;K$2,'2004'!$A$2:$K$1621,10,0),VLOOKUP($A180&amp;K$2,'2004'!$B$2:$K$1621,10,0))</f>
        <v>BAR</v>
      </c>
      <c r="L180" s="34" t="str">
        <f>IF(ISNA(VLOOKUP($A180&amp;L$2,'2004'!$B$2:$K$1621,10,0)),VLOOKUP($A180&amp;L$2,'2004'!$A$2:$K$1621,10,0),VLOOKUP($A180&amp;L$2,'2004'!$B$2:$K$1621,10,0))</f>
        <v>@NYD</v>
      </c>
      <c r="M180" s="34" t="str">
        <f>IF(ISNA(VLOOKUP($A180&amp;M$2,'2004'!$B$2:$K$1621,10,0)),VLOOKUP($A180&amp;M$2,'2004'!$A$2:$K$1621,10,0),VLOOKUP($A180&amp;M$2,'2004'!$B$2:$K$1621,10,0))</f>
        <v>@BRK</v>
      </c>
      <c r="N180" s="34" t="str">
        <f>IF(ISNA(VLOOKUP($A180&amp;N$2,'2004'!$B$2:$K$1621,10,0)),VLOOKUP($A180&amp;N$2,'2004'!$A$2:$K$1621,10,0),VLOOKUP($A180&amp;N$2,'2004'!$B$2:$K$1621,10,0))</f>
        <v>@PHI</v>
      </c>
      <c r="O180" s="34" t="str">
        <f>IF(ISNA(VLOOKUP($A180&amp;O$2,'2004'!$B$2:$K$1621,10,0)),VLOOKUP($A180&amp;O$2,'2004'!$A$2:$K$1621,10,0),VLOOKUP($A180&amp;O$2,'2004'!$B$2:$K$1621,10,0))</f>
        <v>@HAR</v>
      </c>
      <c r="P180" s="34" t="str">
        <f>IF(ISNA(VLOOKUP($A180&amp;P$2,'2004'!$B$2:$K$1621,10,0)),VLOOKUP($A180&amp;P$2,'2004'!$A$2:$K$1621,10,0),VLOOKUP($A180&amp;P$2,'2004'!$B$2:$K$1621,10,0))</f>
        <v>@CBB</v>
      </c>
      <c r="Q180" s="38" t="str">
        <f>IF(ISNA(VLOOKUP($A180&amp;Q$2,'2004'!$B$2:$K$1621,10,0)),VLOOKUP($A180&amp;Q$2,'2004'!$A$2:$K$1621,10,0),VLOOKUP($A180&amp;Q$2,'2004'!$B$2:$K$1621,10,0))</f>
        <v>FFR</v>
      </c>
      <c r="R180" s="38" t="str">
        <f>IF(ISNA(VLOOKUP($A180&amp;R$2,'2004'!$B$2:$K$1621,10,0)),VLOOKUP($A180&amp;R$2,'2004'!$A$2:$K$1621,10,0),VLOOKUP($A180&amp;R$2,'2004'!$B$2:$K$1621,10,0))</f>
        <v>RMO</v>
      </c>
      <c r="S180" s="38" t="str">
        <f>IF(ISNA(VLOOKUP($A180&amp;S$2,'2004'!$B$2:$K$1621,10,0)),VLOOKUP($A180&amp;S$2,'2004'!$A$2:$K$1621,10,0),VLOOKUP($A180&amp;S$2,'2004'!$B$2:$K$1621,10,0))</f>
        <v>OKO</v>
      </c>
      <c r="T180" s="38" t="str">
        <f>IF(ISNA(VLOOKUP($A180&amp;T$2,'2004'!$B$2:$K$1621,10,0)),VLOOKUP($A180&amp;T$2,'2004'!$A$2:$K$1621,10,0),VLOOKUP($A180&amp;T$2,'2004'!$B$2:$K$1621,10,0))</f>
        <v>DIG</v>
      </c>
      <c r="U180" s="38" t="str">
        <f>IF(ISNA(VLOOKUP($A180&amp;U$2,'2004'!$B$2:$K$1621,10,0)),VLOOKUP($A180&amp;U$2,'2004'!$A$2:$K$1621,10,0),VLOOKUP($A180&amp;U$2,'2004'!$B$2:$K$1621,10,0))</f>
        <v>NNN</v>
      </c>
    </row>
    <row r="181" spans="1:21" x14ac:dyDescent="0.25">
      <c r="A181" s="40">
        <f t="shared" si="2"/>
        <v>38258</v>
      </c>
      <c r="B181" s="36" t="str">
        <f>IF(ISNA(VLOOKUP($A181&amp;B$2,'2004'!$B$2:$K$1621,10,0)),VLOOKUP($A181&amp;B$2,'2004'!$A$2:$K$1621,10,0),VLOOKUP($A181&amp;B$2,'2004'!$B$2:$K$1621,10,0))</f>
        <v>RMO</v>
      </c>
      <c r="C181" s="36" t="str">
        <f>IF(ISNA(VLOOKUP($A181&amp;C$2,'2004'!$B$2:$K$1621,10,0)),VLOOKUP($A181&amp;C$2,'2004'!$A$2:$K$1621,10,0),VLOOKUP($A181&amp;C$2,'2004'!$B$2:$K$1621,10,0))</f>
        <v>NNN</v>
      </c>
      <c r="D181" s="36" t="str">
        <f>IF(ISNA(VLOOKUP($A181&amp;D$2,'2004'!$B$2:$K$1621,10,0)),VLOOKUP($A181&amp;D$2,'2004'!$A$2:$K$1621,10,0),VLOOKUP($A181&amp;D$2,'2004'!$B$2:$K$1621,10,0))</f>
        <v>DIG</v>
      </c>
      <c r="E181" s="36" t="str">
        <f>IF(ISNA(VLOOKUP($A181&amp;E$2,'2004'!$B$2:$K$1621,10,0)),VLOOKUP($A181&amp;E$2,'2004'!$A$2:$K$1621,10,0),VLOOKUP($A181&amp;E$2,'2004'!$B$2:$K$1621,10,0))</f>
        <v>OKO</v>
      </c>
      <c r="F181" s="36" t="str">
        <f>IF(ISNA(VLOOKUP($A181&amp;F$2,'2004'!$B$2:$K$1621,10,0)),VLOOKUP($A181&amp;F$2,'2004'!$A$2:$K$1621,10,0),VLOOKUP($A181&amp;F$2,'2004'!$B$2:$K$1621,10,0))</f>
        <v>FFR</v>
      </c>
      <c r="G181" s="35" t="str">
        <f>IF(ISNA(VLOOKUP($A181&amp;G$2,'2004'!$B$2:$K$1621,10,0)),VLOOKUP($A181&amp;G$2,'2004'!$A$2:$K$1621,10,0),VLOOKUP($A181&amp;G$2,'2004'!$B$2:$K$1621,10,0))</f>
        <v>NYD</v>
      </c>
      <c r="H181" s="35" t="str">
        <f>IF(ISNA(VLOOKUP($A181&amp;H$2,'2004'!$B$2:$K$1621,10,0)),VLOOKUP($A181&amp;H$2,'2004'!$A$2:$K$1621,10,0),VLOOKUP($A181&amp;H$2,'2004'!$B$2:$K$1621,10,0))</f>
        <v>CBB</v>
      </c>
      <c r="I181" s="35" t="str">
        <f>IF(ISNA(VLOOKUP($A181&amp;I$2,'2004'!$B$2:$K$1621,10,0)),VLOOKUP($A181&amp;I$2,'2004'!$A$2:$K$1621,10,0),VLOOKUP($A181&amp;I$2,'2004'!$B$2:$K$1621,10,0))</f>
        <v>BRK</v>
      </c>
      <c r="J181" s="35" t="str">
        <f>IF(ISNA(VLOOKUP($A181&amp;J$2,'2004'!$B$2:$K$1621,10,0)),VLOOKUP($A181&amp;J$2,'2004'!$A$2:$K$1621,10,0),VLOOKUP($A181&amp;J$2,'2004'!$B$2:$K$1621,10,0))</f>
        <v>HAR</v>
      </c>
      <c r="K181" s="35" t="str">
        <f>IF(ISNA(VLOOKUP($A181&amp;K$2,'2004'!$B$2:$K$1621,10,0)),VLOOKUP($A181&amp;K$2,'2004'!$A$2:$K$1621,10,0),VLOOKUP($A181&amp;K$2,'2004'!$B$2:$K$1621,10,0))</f>
        <v>PHI</v>
      </c>
      <c r="L181" s="34" t="str">
        <f>IF(ISNA(VLOOKUP($A181&amp;L$2,'2004'!$B$2:$K$1621,10,0)),VLOOKUP($A181&amp;L$2,'2004'!$A$2:$K$1621,10,0),VLOOKUP($A181&amp;L$2,'2004'!$B$2:$K$1621,10,0))</f>
        <v>@CTW</v>
      </c>
      <c r="M181" s="34" t="str">
        <f>IF(ISNA(VLOOKUP($A181&amp;M$2,'2004'!$B$2:$K$1621,10,0)),VLOOKUP($A181&amp;M$2,'2004'!$A$2:$K$1621,10,0),VLOOKUP($A181&amp;M$2,'2004'!$B$2:$K$1621,10,0))</f>
        <v>@GAR</v>
      </c>
      <c r="N181" s="34" t="str">
        <f>IF(ISNA(VLOOKUP($A181&amp;N$2,'2004'!$B$2:$K$1621,10,0)),VLOOKUP($A181&amp;N$2,'2004'!$A$2:$K$1621,10,0),VLOOKUP($A181&amp;N$2,'2004'!$B$2:$K$1621,10,0))</f>
        <v>@BAR</v>
      </c>
      <c r="O181" s="34" t="str">
        <f>IF(ISNA(VLOOKUP($A181&amp;O$2,'2004'!$B$2:$K$1621,10,0)),VLOOKUP($A181&amp;O$2,'2004'!$A$2:$K$1621,10,0),VLOOKUP($A181&amp;O$2,'2004'!$B$2:$K$1621,10,0))</f>
        <v>@CIN</v>
      </c>
      <c r="P181" s="34" t="str">
        <f>IF(ISNA(VLOOKUP($A181&amp;P$2,'2004'!$B$2:$K$1621,10,0)),VLOOKUP($A181&amp;P$2,'2004'!$A$2:$K$1621,10,0),VLOOKUP($A181&amp;P$2,'2004'!$B$2:$K$1621,10,0))</f>
        <v>@BBG</v>
      </c>
      <c r="Q181" s="38" t="str">
        <f>IF(ISNA(VLOOKUP($A181&amp;Q$2,'2004'!$B$2:$K$1621,10,0)),VLOOKUP($A181&amp;Q$2,'2004'!$A$2:$K$1621,10,0),VLOOKUP($A181&amp;Q$2,'2004'!$B$2:$K$1621,10,0))</f>
        <v>@NEP</v>
      </c>
      <c r="R181" s="38" t="str">
        <f>IF(ISNA(VLOOKUP($A181&amp;R$2,'2004'!$B$2:$K$1621,10,0)),VLOOKUP($A181&amp;R$2,'2004'!$A$2:$K$1621,10,0),VLOOKUP($A181&amp;R$2,'2004'!$B$2:$K$1621,10,0))</f>
        <v>@FDH</v>
      </c>
      <c r="S181" s="38" t="str">
        <f>IF(ISNA(VLOOKUP($A181&amp;S$2,'2004'!$B$2:$K$1621,10,0)),VLOOKUP($A181&amp;S$2,'2004'!$A$2:$K$1621,10,0),VLOOKUP($A181&amp;S$2,'2004'!$B$2:$K$1621,10,0))</f>
        <v>@REN</v>
      </c>
      <c r="T181" s="38" t="str">
        <f>IF(ISNA(VLOOKUP($A181&amp;T$2,'2004'!$B$2:$K$1621,10,0)),VLOOKUP($A181&amp;T$2,'2004'!$A$2:$K$1621,10,0),VLOOKUP($A181&amp;T$2,'2004'!$B$2:$K$1621,10,0))</f>
        <v>@CEN</v>
      </c>
      <c r="U181" s="38" t="str">
        <f>IF(ISNA(VLOOKUP($A181&amp;U$2,'2004'!$B$2:$K$1621,10,0)),VLOOKUP($A181&amp;U$2,'2004'!$A$2:$K$1621,10,0),VLOOKUP($A181&amp;U$2,'2004'!$B$2:$K$1621,10,0))</f>
        <v>@TEW</v>
      </c>
    </row>
    <row r="182" spans="1:21" x14ac:dyDescent="0.25">
      <c r="A182" s="40">
        <f t="shared" si="2"/>
        <v>38259</v>
      </c>
      <c r="B182" s="36" t="str">
        <f>IF(ISNA(VLOOKUP($A182&amp;B$2,'2004'!$B$2:$K$1621,10,0)),VLOOKUP($A182&amp;B$2,'2004'!$A$2:$K$1621,10,0),VLOOKUP($A182&amp;B$2,'2004'!$B$2:$K$1621,10,0))</f>
        <v>RMO</v>
      </c>
      <c r="C182" s="36" t="str">
        <f>IF(ISNA(VLOOKUP($A182&amp;C$2,'2004'!$B$2:$K$1621,10,0)),VLOOKUP($A182&amp;C$2,'2004'!$A$2:$K$1621,10,0),VLOOKUP($A182&amp;C$2,'2004'!$B$2:$K$1621,10,0))</f>
        <v>NNN</v>
      </c>
      <c r="D182" s="36" t="str">
        <f>IF(ISNA(VLOOKUP($A182&amp;D$2,'2004'!$B$2:$K$1621,10,0)),VLOOKUP($A182&amp;D$2,'2004'!$A$2:$K$1621,10,0),VLOOKUP($A182&amp;D$2,'2004'!$B$2:$K$1621,10,0))</f>
        <v>DIG</v>
      </c>
      <c r="E182" s="36" t="str">
        <f>IF(ISNA(VLOOKUP($A182&amp;E$2,'2004'!$B$2:$K$1621,10,0)),VLOOKUP($A182&amp;E$2,'2004'!$A$2:$K$1621,10,0),VLOOKUP($A182&amp;E$2,'2004'!$B$2:$K$1621,10,0))</f>
        <v>OKO</v>
      </c>
      <c r="F182" s="36" t="str">
        <f>IF(ISNA(VLOOKUP($A182&amp;F$2,'2004'!$B$2:$K$1621,10,0)),VLOOKUP($A182&amp;F$2,'2004'!$A$2:$K$1621,10,0),VLOOKUP($A182&amp;F$2,'2004'!$B$2:$K$1621,10,0))</f>
        <v>FFR</v>
      </c>
      <c r="G182" s="35" t="str">
        <f>IF(ISNA(VLOOKUP($A182&amp;G$2,'2004'!$B$2:$K$1621,10,0)),VLOOKUP($A182&amp;G$2,'2004'!$A$2:$K$1621,10,0),VLOOKUP($A182&amp;G$2,'2004'!$B$2:$K$1621,10,0))</f>
        <v>NYD</v>
      </c>
      <c r="H182" s="35" t="str">
        <f>IF(ISNA(VLOOKUP($A182&amp;H$2,'2004'!$B$2:$K$1621,10,0)),VLOOKUP($A182&amp;H$2,'2004'!$A$2:$K$1621,10,0),VLOOKUP($A182&amp;H$2,'2004'!$B$2:$K$1621,10,0))</f>
        <v>CBB</v>
      </c>
      <c r="I182" s="35" t="str">
        <f>IF(ISNA(VLOOKUP($A182&amp;I$2,'2004'!$B$2:$K$1621,10,0)),VLOOKUP($A182&amp;I$2,'2004'!$A$2:$K$1621,10,0),VLOOKUP($A182&amp;I$2,'2004'!$B$2:$K$1621,10,0))</f>
        <v>BRK</v>
      </c>
      <c r="J182" s="35" t="str">
        <f>IF(ISNA(VLOOKUP($A182&amp;J$2,'2004'!$B$2:$K$1621,10,0)),VLOOKUP($A182&amp;J$2,'2004'!$A$2:$K$1621,10,0),VLOOKUP($A182&amp;J$2,'2004'!$B$2:$K$1621,10,0))</f>
        <v>HAR</v>
      </c>
      <c r="K182" s="35" t="str">
        <f>IF(ISNA(VLOOKUP($A182&amp;K$2,'2004'!$B$2:$K$1621,10,0)),VLOOKUP($A182&amp;K$2,'2004'!$A$2:$K$1621,10,0),VLOOKUP($A182&amp;K$2,'2004'!$B$2:$K$1621,10,0))</f>
        <v>PHI</v>
      </c>
      <c r="L182" s="34" t="str">
        <f>IF(ISNA(VLOOKUP($A182&amp;L$2,'2004'!$B$2:$K$1621,10,0)),VLOOKUP($A182&amp;L$2,'2004'!$A$2:$K$1621,10,0),VLOOKUP($A182&amp;L$2,'2004'!$B$2:$K$1621,10,0))</f>
        <v>@CTW</v>
      </c>
      <c r="M182" s="34" t="str">
        <f>IF(ISNA(VLOOKUP($A182&amp;M$2,'2004'!$B$2:$K$1621,10,0)),VLOOKUP($A182&amp;M$2,'2004'!$A$2:$K$1621,10,0),VLOOKUP($A182&amp;M$2,'2004'!$B$2:$K$1621,10,0))</f>
        <v>@GAR</v>
      </c>
      <c r="N182" s="34" t="str">
        <f>IF(ISNA(VLOOKUP($A182&amp;N$2,'2004'!$B$2:$K$1621,10,0)),VLOOKUP($A182&amp;N$2,'2004'!$A$2:$K$1621,10,0),VLOOKUP($A182&amp;N$2,'2004'!$B$2:$K$1621,10,0))</f>
        <v>@BAR</v>
      </c>
      <c r="O182" s="34" t="str">
        <f>IF(ISNA(VLOOKUP($A182&amp;O$2,'2004'!$B$2:$K$1621,10,0)),VLOOKUP($A182&amp;O$2,'2004'!$A$2:$K$1621,10,0),VLOOKUP($A182&amp;O$2,'2004'!$B$2:$K$1621,10,0))</f>
        <v>@CIN</v>
      </c>
      <c r="P182" s="34" t="str">
        <f>IF(ISNA(VLOOKUP($A182&amp;P$2,'2004'!$B$2:$K$1621,10,0)),VLOOKUP($A182&amp;P$2,'2004'!$A$2:$K$1621,10,0),VLOOKUP($A182&amp;P$2,'2004'!$B$2:$K$1621,10,0))</f>
        <v>@BBG</v>
      </c>
      <c r="Q182" s="38" t="str">
        <f>IF(ISNA(VLOOKUP($A182&amp;Q$2,'2004'!$B$2:$K$1621,10,0)),VLOOKUP($A182&amp;Q$2,'2004'!$A$2:$K$1621,10,0),VLOOKUP($A182&amp;Q$2,'2004'!$B$2:$K$1621,10,0))</f>
        <v>@NEP</v>
      </c>
      <c r="R182" s="38" t="str">
        <f>IF(ISNA(VLOOKUP($A182&amp;R$2,'2004'!$B$2:$K$1621,10,0)),VLOOKUP($A182&amp;R$2,'2004'!$A$2:$K$1621,10,0),VLOOKUP($A182&amp;R$2,'2004'!$B$2:$K$1621,10,0))</f>
        <v>@FDH</v>
      </c>
      <c r="S182" s="38" t="str">
        <f>IF(ISNA(VLOOKUP($A182&amp;S$2,'2004'!$B$2:$K$1621,10,0)),VLOOKUP($A182&amp;S$2,'2004'!$A$2:$K$1621,10,0),VLOOKUP($A182&amp;S$2,'2004'!$B$2:$K$1621,10,0))</f>
        <v>@REN</v>
      </c>
      <c r="T182" s="38" t="str">
        <f>IF(ISNA(VLOOKUP($A182&amp;T$2,'2004'!$B$2:$K$1621,10,0)),VLOOKUP($A182&amp;T$2,'2004'!$A$2:$K$1621,10,0),VLOOKUP($A182&amp;T$2,'2004'!$B$2:$K$1621,10,0))</f>
        <v>@CEN</v>
      </c>
      <c r="U182" s="38" t="str">
        <f>IF(ISNA(VLOOKUP($A182&amp;U$2,'2004'!$B$2:$K$1621,10,0)),VLOOKUP($A182&amp;U$2,'2004'!$A$2:$K$1621,10,0),VLOOKUP($A182&amp;U$2,'2004'!$B$2:$K$1621,10,0))</f>
        <v>@TEW</v>
      </c>
    </row>
    <row r="183" spans="1:21" x14ac:dyDescent="0.25">
      <c r="A183" s="40">
        <f t="shared" si="2"/>
        <v>38260</v>
      </c>
      <c r="B183" s="36" t="str">
        <f>IF(ISNA(VLOOKUP($A183&amp;B$2,'2004'!$B$2:$K$1621,10,0)),VLOOKUP($A183&amp;B$2,'2004'!$A$2:$K$1621,10,0),VLOOKUP($A183&amp;B$2,'2004'!$B$2:$K$1621,10,0))</f>
        <v>RMO</v>
      </c>
      <c r="C183" s="36" t="str">
        <f>IF(ISNA(VLOOKUP($A183&amp;C$2,'2004'!$B$2:$K$1621,10,0)),VLOOKUP($A183&amp;C$2,'2004'!$A$2:$K$1621,10,0),VLOOKUP($A183&amp;C$2,'2004'!$B$2:$K$1621,10,0))</f>
        <v>NNN</v>
      </c>
      <c r="D183" s="36" t="str">
        <f>IF(ISNA(VLOOKUP($A183&amp;D$2,'2004'!$B$2:$K$1621,10,0)),VLOOKUP($A183&amp;D$2,'2004'!$A$2:$K$1621,10,0),VLOOKUP($A183&amp;D$2,'2004'!$B$2:$K$1621,10,0))</f>
        <v>DIG</v>
      </c>
      <c r="E183" s="36" t="str">
        <f>IF(ISNA(VLOOKUP($A183&amp;E$2,'2004'!$B$2:$K$1621,10,0)),VLOOKUP($A183&amp;E$2,'2004'!$A$2:$K$1621,10,0),VLOOKUP($A183&amp;E$2,'2004'!$B$2:$K$1621,10,0))</f>
        <v>OKO</v>
      </c>
      <c r="F183" s="36" t="str">
        <f>IF(ISNA(VLOOKUP($A183&amp;F$2,'2004'!$B$2:$K$1621,10,0)),VLOOKUP($A183&amp;F$2,'2004'!$A$2:$K$1621,10,0),VLOOKUP($A183&amp;F$2,'2004'!$B$2:$K$1621,10,0))</f>
        <v>FFR</v>
      </c>
      <c r="G183" s="35" t="str">
        <f>IF(ISNA(VLOOKUP($A183&amp;G$2,'2004'!$B$2:$K$1621,10,0)),VLOOKUP($A183&amp;G$2,'2004'!$A$2:$K$1621,10,0),VLOOKUP($A183&amp;G$2,'2004'!$B$2:$K$1621,10,0))</f>
        <v>NYD</v>
      </c>
      <c r="H183" s="35" t="str">
        <f>IF(ISNA(VLOOKUP($A183&amp;H$2,'2004'!$B$2:$K$1621,10,0)),VLOOKUP($A183&amp;H$2,'2004'!$A$2:$K$1621,10,0),VLOOKUP($A183&amp;H$2,'2004'!$B$2:$K$1621,10,0))</f>
        <v>CBB</v>
      </c>
      <c r="I183" s="35" t="str">
        <f>IF(ISNA(VLOOKUP($A183&amp;I$2,'2004'!$B$2:$K$1621,10,0)),VLOOKUP($A183&amp;I$2,'2004'!$A$2:$K$1621,10,0),VLOOKUP($A183&amp;I$2,'2004'!$B$2:$K$1621,10,0))</f>
        <v>BRK</v>
      </c>
      <c r="J183" s="35" t="str">
        <f>IF(ISNA(VLOOKUP($A183&amp;J$2,'2004'!$B$2:$K$1621,10,0)),VLOOKUP($A183&amp;J$2,'2004'!$A$2:$K$1621,10,0),VLOOKUP($A183&amp;J$2,'2004'!$B$2:$K$1621,10,0))</f>
        <v>HAR</v>
      </c>
      <c r="K183" s="35" t="str">
        <f>IF(ISNA(VLOOKUP($A183&amp;K$2,'2004'!$B$2:$K$1621,10,0)),VLOOKUP($A183&amp;K$2,'2004'!$A$2:$K$1621,10,0),VLOOKUP($A183&amp;K$2,'2004'!$B$2:$K$1621,10,0))</f>
        <v>PHI</v>
      </c>
      <c r="L183" s="34" t="str">
        <f>IF(ISNA(VLOOKUP($A183&amp;L$2,'2004'!$B$2:$K$1621,10,0)),VLOOKUP($A183&amp;L$2,'2004'!$A$2:$K$1621,10,0),VLOOKUP($A183&amp;L$2,'2004'!$B$2:$K$1621,10,0))</f>
        <v>@CTW</v>
      </c>
      <c r="M183" s="34" t="str">
        <f>IF(ISNA(VLOOKUP($A183&amp;M$2,'2004'!$B$2:$K$1621,10,0)),VLOOKUP($A183&amp;M$2,'2004'!$A$2:$K$1621,10,0),VLOOKUP($A183&amp;M$2,'2004'!$B$2:$K$1621,10,0))</f>
        <v>@GAR</v>
      </c>
      <c r="N183" s="34" t="str">
        <f>IF(ISNA(VLOOKUP($A183&amp;N$2,'2004'!$B$2:$K$1621,10,0)),VLOOKUP($A183&amp;N$2,'2004'!$A$2:$K$1621,10,0),VLOOKUP($A183&amp;N$2,'2004'!$B$2:$K$1621,10,0))</f>
        <v>@BAR</v>
      </c>
      <c r="O183" s="34" t="str">
        <f>IF(ISNA(VLOOKUP($A183&amp;O$2,'2004'!$B$2:$K$1621,10,0)),VLOOKUP($A183&amp;O$2,'2004'!$A$2:$K$1621,10,0),VLOOKUP($A183&amp;O$2,'2004'!$B$2:$K$1621,10,0))</f>
        <v>@CIN</v>
      </c>
      <c r="P183" s="34" t="str">
        <f>IF(ISNA(VLOOKUP($A183&amp;P$2,'2004'!$B$2:$K$1621,10,0)),VLOOKUP($A183&amp;P$2,'2004'!$A$2:$K$1621,10,0),VLOOKUP($A183&amp;P$2,'2004'!$B$2:$K$1621,10,0))</f>
        <v>@BBG</v>
      </c>
      <c r="Q183" s="38" t="str">
        <f>IF(ISNA(VLOOKUP($A183&amp;Q$2,'2004'!$B$2:$K$1621,10,0)),VLOOKUP($A183&amp;Q$2,'2004'!$A$2:$K$1621,10,0),VLOOKUP($A183&amp;Q$2,'2004'!$B$2:$K$1621,10,0))</f>
        <v>@NEP</v>
      </c>
      <c r="R183" s="38" t="str">
        <f>IF(ISNA(VLOOKUP($A183&amp;R$2,'2004'!$B$2:$K$1621,10,0)),VLOOKUP($A183&amp;R$2,'2004'!$A$2:$K$1621,10,0),VLOOKUP($A183&amp;R$2,'2004'!$B$2:$K$1621,10,0))</f>
        <v>@FDH</v>
      </c>
      <c r="S183" s="38" t="str">
        <f>IF(ISNA(VLOOKUP($A183&amp;S$2,'2004'!$B$2:$K$1621,10,0)),VLOOKUP($A183&amp;S$2,'2004'!$A$2:$K$1621,10,0),VLOOKUP($A183&amp;S$2,'2004'!$B$2:$K$1621,10,0))</f>
        <v>@REN</v>
      </c>
      <c r="T183" s="38" t="str">
        <f>IF(ISNA(VLOOKUP($A183&amp;T$2,'2004'!$B$2:$K$1621,10,0)),VLOOKUP($A183&amp;T$2,'2004'!$A$2:$K$1621,10,0),VLOOKUP($A183&amp;T$2,'2004'!$B$2:$K$1621,10,0))</f>
        <v>@CEN</v>
      </c>
      <c r="U183" s="38" t="str">
        <f>IF(ISNA(VLOOKUP($A183&amp;U$2,'2004'!$B$2:$K$1621,10,0)),VLOOKUP($A183&amp;U$2,'2004'!$A$2:$K$1621,10,0),VLOOKUP($A183&amp;U$2,'2004'!$B$2:$K$1621,10,0))</f>
        <v>@TEW</v>
      </c>
    </row>
    <row r="184" spans="1:21" x14ac:dyDescent="0.25">
      <c r="A184" s="40">
        <f t="shared" si="2"/>
        <v>38261</v>
      </c>
      <c r="B184" s="36" t="str">
        <f>IF(ISNA(VLOOKUP($A184&amp;B$2,'2004'!$B$2:$K$1621,10,0)),VLOOKUP($A184&amp;B$2,'2004'!$A$2:$K$1621,10,0),VLOOKUP($A184&amp;B$2,'2004'!$B$2:$K$1621,10,0))</f>
        <v>RMO</v>
      </c>
      <c r="C184" s="36" t="str">
        <f>IF(ISNA(VLOOKUP($A184&amp;C$2,'2004'!$B$2:$K$1621,10,0)),VLOOKUP($A184&amp;C$2,'2004'!$A$2:$K$1621,10,0),VLOOKUP($A184&amp;C$2,'2004'!$B$2:$K$1621,10,0))</f>
        <v>NNN</v>
      </c>
      <c r="D184" s="36" t="str">
        <f>IF(ISNA(VLOOKUP($A184&amp;D$2,'2004'!$B$2:$K$1621,10,0)),VLOOKUP($A184&amp;D$2,'2004'!$A$2:$K$1621,10,0),VLOOKUP($A184&amp;D$2,'2004'!$B$2:$K$1621,10,0))</f>
        <v>DIG</v>
      </c>
      <c r="E184" s="36" t="str">
        <f>IF(ISNA(VLOOKUP($A184&amp;E$2,'2004'!$B$2:$K$1621,10,0)),VLOOKUP($A184&amp;E$2,'2004'!$A$2:$K$1621,10,0),VLOOKUP($A184&amp;E$2,'2004'!$B$2:$K$1621,10,0))</f>
        <v>OKO</v>
      </c>
      <c r="F184" s="36" t="str">
        <f>IF(ISNA(VLOOKUP($A184&amp;F$2,'2004'!$B$2:$K$1621,10,0)),VLOOKUP($A184&amp;F$2,'2004'!$A$2:$K$1621,10,0),VLOOKUP($A184&amp;F$2,'2004'!$B$2:$K$1621,10,0))</f>
        <v>FFR</v>
      </c>
      <c r="G184" s="35" t="str">
        <f>IF(ISNA(VLOOKUP($A184&amp;G$2,'2004'!$B$2:$K$1621,10,0)),VLOOKUP($A184&amp;G$2,'2004'!$A$2:$K$1621,10,0),VLOOKUP($A184&amp;G$2,'2004'!$B$2:$K$1621,10,0))</f>
        <v>NYD</v>
      </c>
      <c r="H184" s="35" t="str">
        <f>IF(ISNA(VLOOKUP($A184&amp;H$2,'2004'!$B$2:$K$1621,10,0)),VLOOKUP($A184&amp;H$2,'2004'!$A$2:$K$1621,10,0),VLOOKUP($A184&amp;H$2,'2004'!$B$2:$K$1621,10,0))</f>
        <v>CBB</v>
      </c>
      <c r="I184" s="35" t="str">
        <f>IF(ISNA(VLOOKUP($A184&amp;I$2,'2004'!$B$2:$K$1621,10,0)),VLOOKUP($A184&amp;I$2,'2004'!$A$2:$K$1621,10,0),VLOOKUP($A184&amp;I$2,'2004'!$B$2:$K$1621,10,0))</f>
        <v>BRK</v>
      </c>
      <c r="J184" s="35" t="str">
        <f>IF(ISNA(VLOOKUP($A184&amp;J$2,'2004'!$B$2:$K$1621,10,0)),VLOOKUP($A184&amp;J$2,'2004'!$A$2:$K$1621,10,0),VLOOKUP($A184&amp;J$2,'2004'!$B$2:$K$1621,10,0))</f>
        <v>HAR</v>
      </c>
      <c r="K184" s="35" t="str">
        <f>IF(ISNA(VLOOKUP($A184&amp;K$2,'2004'!$B$2:$K$1621,10,0)),VLOOKUP($A184&amp;K$2,'2004'!$A$2:$K$1621,10,0),VLOOKUP($A184&amp;K$2,'2004'!$B$2:$K$1621,10,0))</f>
        <v>PHI</v>
      </c>
      <c r="L184" s="34" t="str">
        <f>IF(ISNA(VLOOKUP($A184&amp;L$2,'2004'!$B$2:$K$1621,10,0)),VLOOKUP($A184&amp;L$2,'2004'!$A$2:$K$1621,10,0),VLOOKUP($A184&amp;L$2,'2004'!$B$2:$K$1621,10,0))</f>
        <v>@CTW</v>
      </c>
      <c r="M184" s="34" t="str">
        <f>IF(ISNA(VLOOKUP($A184&amp;M$2,'2004'!$B$2:$K$1621,10,0)),VLOOKUP($A184&amp;M$2,'2004'!$A$2:$K$1621,10,0),VLOOKUP($A184&amp;M$2,'2004'!$B$2:$K$1621,10,0))</f>
        <v>@GAR</v>
      </c>
      <c r="N184" s="34" t="str">
        <f>IF(ISNA(VLOOKUP($A184&amp;N$2,'2004'!$B$2:$K$1621,10,0)),VLOOKUP($A184&amp;N$2,'2004'!$A$2:$K$1621,10,0),VLOOKUP($A184&amp;N$2,'2004'!$B$2:$K$1621,10,0))</f>
        <v>@BAR</v>
      </c>
      <c r="O184" s="34" t="str">
        <f>IF(ISNA(VLOOKUP($A184&amp;O$2,'2004'!$B$2:$K$1621,10,0)),VLOOKUP($A184&amp;O$2,'2004'!$A$2:$K$1621,10,0),VLOOKUP($A184&amp;O$2,'2004'!$B$2:$K$1621,10,0))</f>
        <v>@CIN</v>
      </c>
      <c r="P184" s="34" t="str">
        <f>IF(ISNA(VLOOKUP($A184&amp;P$2,'2004'!$B$2:$K$1621,10,0)),VLOOKUP($A184&amp;P$2,'2004'!$A$2:$K$1621,10,0),VLOOKUP($A184&amp;P$2,'2004'!$B$2:$K$1621,10,0))</f>
        <v>@BBG</v>
      </c>
      <c r="Q184" s="38" t="str">
        <f>IF(ISNA(VLOOKUP($A184&amp;Q$2,'2004'!$B$2:$K$1621,10,0)),VLOOKUP($A184&amp;Q$2,'2004'!$A$2:$K$1621,10,0),VLOOKUP($A184&amp;Q$2,'2004'!$B$2:$K$1621,10,0))</f>
        <v>@NEP</v>
      </c>
      <c r="R184" s="38" t="str">
        <f>IF(ISNA(VLOOKUP($A184&amp;R$2,'2004'!$B$2:$K$1621,10,0)),VLOOKUP($A184&amp;R$2,'2004'!$A$2:$K$1621,10,0),VLOOKUP($A184&amp;R$2,'2004'!$B$2:$K$1621,10,0))</f>
        <v>@FDH</v>
      </c>
      <c r="S184" s="38" t="str">
        <f>IF(ISNA(VLOOKUP($A184&amp;S$2,'2004'!$B$2:$K$1621,10,0)),VLOOKUP($A184&amp;S$2,'2004'!$A$2:$K$1621,10,0),VLOOKUP($A184&amp;S$2,'2004'!$B$2:$K$1621,10,0))</f>
        <v>@REN</v>
      </c>
      <c r="T184" s="38" t="str">
        <f>IF(ISNA(VLOOKUP($A184&amp;T$2,'2004'!$B$2:$K$1621,10,0)),VLOOKUP($A184&amp;T$2,'2004'!$A$2:$K$1621,10,0),VLOOKUP($A184&amp;T$2,'2004'!$B$2:$K$1621,10,0))</f>
        <v>@CEN</v>
      </c>
      <c r="U184" s="38" t="str">
        <f>IF(ISNA(VLOOKUP($A184&amp;U$2,'2004'!$B$2:$K$1621,10,0)),VLOOKUP($A184&amp;U$2,'2004'!$A$2:$K$1621,10,0),VLOOKUP($A184&amp;U$2,'2004'!$B$2:$K$1621,10,0))</f>
        <v>@TEW</v>
      </c>
    </row>
    <row r="185" spans="1:21" x14ac:dyDescent="0.25">
      <c r="A185" s="40">
        <f t="shared" si="2"/>
        <v>38262</v>
      </c>
      <c r="B185" s="36" t="e">
        <f>IF(ISNA(VLOOKUP($A185&amp;B$2,'2004'!$B$2:$K$1621,10,0)),VLOOKUP($A185&amp;B$2,'2004'!$A$2:$K$1621,10,0),VLOOKUP($A185&amp;B$2,'2004'!$B$2:$K$1621,10,0))</f>
        <v>#N/A</v>
      </c>
      <c r="C185" s="36" t="e">
        <f>IF(ISNA(VLOOKUP($A185&amp;C$2,'2004'!$B$2:$K$1621,10,0)),VLOOKUP($A185&amp;C$2,'2004'!$A$2:$K$1621,10,0),VLOOKUP($A185&amp;C$2,'2004'!$B$2:$K$1621,10,0))</f>
        <v>#N/A</v>
      </c>
      <c r="D185" s="36" t="e">
        <f>IF(ISNA(VLOOKUP($A185&amp;D$2,'2004'!$B$2:$K$1621,10,0)),VLOOKUP($A185&amp;D$2,'2004'!$A$2:$K$1621,10,0),VLOOKUP($A185&amp;D$2,'2004'!$B$2:$K$1621,10,0))</f>
        <v>#N/A</v>
      </c>
      <c r="E185" s="36" t="e">
        <f>IF(ISNA(VLOOKUP($A185&amp;E$2,'2004'!$B$2:$K$1621,10,0)),VLOOKUP($A185&amp;E$2,'2004'!$A$2:$K$1621,10,0),VLOOKUP($A185&amp;E$2,'2004'!$B$2:$K$1621,10,0))</f>
        <v>#N/A</v>
      </c>
      <c r="F185" s="36" t="e">
        <f>IF(ISNA(VLOOKUP($A185&amp;F$2,'2004'!$B$2:$K$1621,10,0)),VLOOKUP($A185&amp;F$2,'2004'!$A$2:$K$1621,10,0),VLOOKUP($A185&amp;F$2,'2004'!$B$2:$K$1621,10,0))</f>
        <v>#N/A</v>
      </c>
      <c r="G185" s="35" t="e">
        <f>IF(ISNA(VLOOKUP($A185&amp;G$2,'2004'!$B$2:$K$1621,10,0)),VLOOKUP($A185&amp;G$2,'2004'!$A$2:$K$1621,10,0),VLOOKUP($A185&amp;G$2,'2004'!$B$2:$K$1621,10,0))</f>
        <v>#N/A</v>
      </c>
      <c r="H185" s="35" t="e">
        <f>IF(ISNA(VLOOKUP($A185&amp;H$2,'2004'!$B$2:$K$1621,10,0)),VLOOKUP($A185&amp;H$2,'2004'!$A$2:$K$1621,10,0),VLOOKUP($A185&amp;H$2,'2004'!$B$2:$K$1621,10,0))</f>
        <v>#N/A</v>
      </c>
      <c r="I185" s="35" t="e">
        <f>IF(ISNA(VLOOKUP($A185&amp;I$2,'2004'!$B$2:$K$1621,10,0)),VLOOKUP($A185&amp;I$2,'2004'!$A$2:$K$1621,10,0),VLOOKUP($A185&amp;I$2,'2004'!$B$2:$K$1621,10,0))</f>
        <v>#N/A</v>
      </c>
      <c r="J185" s="35" t="e">
        <f>IF(ISNA(VLOOKUP($A185&amp;J$2,'2004'!$B$2:$K$1621,10,0)),VLOOKUP($A185&amp;J$2,'2004'!$A$2:$K$1621,10,0),VLOOKUP($A185&amp;J$2,'2004'!$B$2:$K$1621,10,0))</f>
        <v>#N/A</v>
      </c>
      <c r="K185" s="35" t="e">
        <f>IF(ISNA(VLOOKUP($A185&amp;K$2,'2004'!$B$2:$K$1621,10,0)),VLOOKUP($A185&amp;K$2,'2004'!$A$2:$K$1621,10,0),VLOOKUP($A185&amp;K$2,'2004'!$B$2:$K$1621,10,0))</f>
        <v>#N/A</v>
      </c>
      <c r="L185" s="34" t="e">
        <f>IF(ISNA(VLOOKUP($A185&amp;L$2,'2004'!$B$2:$K$1621,10,0)),VLOOKUP($A185&amp;L$2,'2004'!$A$2:$K$1621,10,0),VLOOKUP($A185&amp;L$2,'2004'!$B$2:$K$1621,10,0))</f>
        <v>#N/A</v>
      </c>
      <c r="M185" s="34" t="e">
        <f>IF(ISNA(VLOOKUP($A185&amp;M$2,'2004'!$B$2:$K$1621,10,0)),VLOOKUP($A185&amp;M$2,'2004'!$A$2:$K$1621,10,0),VLOOKUP($A185&amp;M$2,'2004'!$B$2:$K$1621,10,0))</f>
        <v>#N/A</v>
      </c>
      <c r="N185" s="34" t="e">
        <f>IF(ISNA(VLOOKUP($A185&amp;N$2,'2004'!$B$2:$K$1621,10,0)),VLOOKUP($A185&amp;N$2,'2004'!$A$2:$K$1621,10,0),VLOOKUP($A185&amp;N$2,'2004'!$B$2:$K$1621,10,0))</f>
        <v>#N/A</v>
      </c>
      <c r="O185" s="34" t="e">
        <f>IF(ISNA(VLOOKUP($A185&amp;O$2,'2004'!$B$2:$K$1621,10,0)),VLOOKUP($A185&amp;O$2,'2004'!$A$2:$K$1621,10,0),VLOOKUP($A185&amp;O$2,'2004'!$B$2:$K$1621,10,0))</f>
        <v>#N/A</v>
      </c>
      <c r="P185" s="34" t="e">
        <f>IF(ISNA(VLOOKUP($A185&amp;P$2,'2004'!$B$2:$K$1621,10,0)),VLOOKUP($A185&amp;P$2,'2004'!$A$2:$K$1621,10,0),VLOOKUP($A185&amp;P$2,'2004'!$B$2:$K$1621,10,0))</f>
        <v>#N/A</v>
      </c>
      <c r="Q185" s="38" t="e">
        <f>IF(ISNA(VLOOKUP($A185&amp;Q$2,'2004'!$B$2:$K$1621,10,0)),VLOOKUP($A185&amp;Q$2,'2004'!$A$2:$K$1621,10,0),VLOOKUP($A185&amp;Q$2,'2004'!$B$2:$K$1621,10,0))</f>
        <v>#N/A</v>
      </c>
      <c r="R185" s="38" t="e">
        <f>IF(ISNA(VLOOKUP($A185&amp;R$2,'2004'!$B$2:$K$1621,10,0)),VLOOKUP($A185&amp;R$2,'2004'!$A$2:$K$1621,10,0),VLOOKUP($A185&amp;R$2,'2004'!$B$2:$K$1621,10,0))</f>
        <v>#N/A</v>
      </c>
      <c r="S185" s="38" t="e">
        <f>IF(ISNA(VLOOKUP($A185&amp;S$2,'2004'!$B$2:$K$1621,10,0)),VLOOKUP($A185&amp;S$2,'2004'!$A$2:$K$1621,10,0),VLOOKUP($A185&amp;S$2,'2004'!$B$2:$K$1621,10,0))</f>
        <v>#N/A</v>
      </c>
      <c r="T185" s="38" t="e">
        <f>IF(ISNA(VLOOKUP($A185&amp;T$2,'2004'!$B$2:$K$1621,10,0)),VLOOKUP($A185&amp;T$2,'2004'!$A$2:$K$1621,10,0),VLOOKUP($A185&amp;T$2,'2004'!$B$2:$K$1621,10,0))</f>
        <v>#N/A</v>
      </c>
      <c r="U185" s="38" t="e">
        <f>IF(ISNA(VLOOKUP($A185&amp;U$2,'2004'!$B$2:$K$1621,10,0)),VLOOKUP($A185&amp;U$2,'2004'!$A$2:$K$1621,10,0),VLOOKUP($A185&amp;U$2,'2004'!$B$2:$K$1621,10,0))</f>
        <v>#N/A</v>
      </c>
    </row>
    <row r="186" spans="1:21" x14ac:dyDescent="0.25">
      <c r="A186" s="40">
        <f t="shared" si="2"/>
        <v>38263</v>
      </c>
      <c r="B186" s="36" t="e">
        <f>IF(ISNA(VLOOKUP($A186&amp;B$2,'2004'!$B$2:$K$1621,10,0)),VLOOKUP($A186&amp;B$2,'2004'!$A$2:$K$1621,10,0),VLOOKUP($A186&amp;B$2,'2004'!$B$2:$K$1621,10,0))</f>
        <v>#N/A</v>
      </c>
      <c r="C186" s="36" t="e">
        <f>IF(ISNA(VLOOKUP($A186&amp;C$2,'2004'!$B$2:$K$1621,10,0)),VLOOKUP($A186&amp;C$2,'2004'!$A$2:$K$1621,10,0),VLOOKUP($A186&amp;C$2,'2004'!$B$2:$K$1621,10,0))</f>
        <v>#N/A</v>
      </c>
      <c r="D186" s="36" t="e">
        <f>IF(ISNA(VLOOKUP($A186&amp;D$2,'2004'!$B$2:$K$1621,10,0)),VLOOKUP($A186&amp;D$2,'2004'!$A$2:$K$1621,10,0),VLOOKUP($A186&amp;D$2,'2004'!$B$2:$K$1621,10,0))</f>
        <v>#N/A</v>
      </c>
      <c r="E186" s="36" t="e">
        <f>IF(ISNA(VLOOKUP($A186&amp;E$2,'2004'!$B$2:$K$1621,10,0)),VLOOKUP($A186&amp;E$2,'2004'!$A$2:$K$1621,10,0),VLOOKUP($A186&amp;E$2,'2004'!$B$2:$K$1621,10,0))</f>
        <v>#N/A</v>
      </c>
      <c r="F186" s="36" t="e">
        <f>IF(ISNA(VLOOKUP($A186&amp;F$2,'2004'!$B$2:$K$1621,10,0)),VLOOKUP($A186&amp;F$2,'2004'!$A$2:$K$1621,10,0),VLOOKUP($A186&amp;F$2,'2004'!$B$2:$K$1621,10,0))</f>
        <v>#N/A</v>
      </c>
      <c r="G186" s="35" t="e">
        <f>IF(ISNA(VLOOKUP($A186&amp;G$2,'2004'!$B$2:$K$1621,10,0)),VLOOKUP($A186&amp;G$2,'2004'!$A$2:$K$1621,10,0),VLOOKUP($A186&amp;G$2,'2004'!$B$2:$K$1621,10,0))</f>
        <v>#N/A</v>
      </c>
      <c r="H186" s="35" t="e">
        <f>IF(ISNA(VLOOKUP($A186&amp;H$2,'2004'!$B$2:$K$1621,10,0)),VLOOKUP($A186&amp;H$2,'2004'!$A$2:$K$1621,10,0),VLOOKUP($A186&amp;H$2,'2004'!$B$2:$K$1621,10,0))</f>
        <v>#N/A</v>
      </c>
      <c r="I186" s="35" t="e">
        <f>IF(ISNA(VLOOKUP($A186&amp;I$2,'2004'!$B$2:$K$1621,10,0)),VLOOKUP($A186&amp;I$2,'2004'!$A$2:$K$1621,10,0),VLOOKUP($A186&amp;I$2,'2004'!$B$2:$K$1621,10,0))</f>
        <v>#N/A</v>
      </c>
      <c r="J186" s="35" t="e">
        <f>IF(ISNA(VLOOKUP($A186&amp;J$2,'2004'!$B$2:$K$1621,10,0)),VLOOKUP($A186&amp;J$2,'2004'!$A$2:$K$1621,10,0),VLOOKUP($A186&amp;J$2,'2004'!$B$2:$K$1621,10,0))</f>
        <v>#N/A</v>
      </c>
      <c r="K186" s="35" t="e">
        <f>IF(ISNA(VLOOKUP($A186&amp;K$2,'2004'!$B$2:$K$1621,10,0)),VLOOKUP($A186&amp;K$2,'2004'!$A$2:$K$1621,10,0),VLOOKUP($A186&amp;K$2,'2004'!$B$2:$K$1621,10,0))</f>
        <v>#N/A</v>
      </c>
      <c r="L186" s="34" t="e">
        <f>IF(ISNA(VLOOKUP($A186&amp;L$2,'2004'!$B$2:$K$1621,10,0)),VLOOKUP($A186&amp;L$2,'2004'!$A$2:$K$1621,10,0),VLOOKUP($A186&amp;L$2,'2004'!$B$2:$K$1621,10,0))</f>
        <v>#N/A</v>
      </c>
      <c r="M186" s="34" t="e">
        <f>IF(ISNA(VLOOKUP($A186&amp;M$2,'2004'!$B$2:$K$1621,10,0)),VLOOKUP($A186&amp;M$2,'2004'!$A$2:$K$1621,10,0),VLOOKUP($A186&amp;M$2,'2004'!$B$2:$K$1621,10,0))</f>
        <v>#N/A</v>
      </c>
      <c r="N186" s="34" t="e">
        <f>IF(ISNA(VLOOKUP($A186&amp;N$2,'2004'!$B$2:$K$1621,10,0)),VLOOKUP($A186&amp;N$2,'2004'!$A$2:$K$1621,10,0),VLOOKUP($A186&amp;N$2,'2004'!$B$2:$K$1621,10,0))</f>
        <v>#N/A</v>
      </c>
      <c r="O186" s="34" t="e">
        <f>IF(ISNA(VLOOKUP($A186&amp;O$2,'2004'!$B$2:$K$1621,10,0)),VLOOKUP($A186&amp;O$2,'2004'!$A$2:$K$1621,10,0),VLOOKUP($A186&amp;O$2,'2004'!$B$2:$K$1621,10,0))</f>
        <v>#N/A</v>
      </c>
      <c r="P186" s="34" t="e">
        <f>IF(ISNA(VLOOKUP($A186&amp;P$2,'2004'!$B$2:$K$1621,10,0)),VLOOKUP($A186&amp;P$2,'2004'!$A$2:$K$1621,10,0),VLOOKUP($A186&amp;P$2,'2004'!$B$2:$K$1621,10,0))</f>
        <v>#N/A</v>
      </c>
      <c r="Q186" s="38" t="e">
        <f>IF(ISNA(VLOOKUP($A186&amp;Q$2,'2004'!$B$2:$K$1621,10,0)),VLOOKUP($A186&amp;Q$2,'2004'!$A$2:$K$1621,10,0),VLOOKUP($A186&amp;Q$2,'2004'!$B$2:$K$1621,10,0))</f>
        <v>#N/A</v>
      </c>
      <c r="R186" s="38" t="e">
        <f>IF(ISNA(VLOOKUP($A186&amp;R$2,'2004'!$B$2:$K$1621,10,0)),VLOOKUP($A186&amp;R$2,'2004'!$A$2:$K$1621,10,0),VLOOKUP($A186&amp;R$2,'2004'!$B$2:$K$1621,10,0))</f>
        <v>#N/A</v>
      </c>
      <c r="S186" s="38" t="e">
        <f>IF(ISNA(VLOOKUP($A186&amp;S$2,'2004'!$B$2:$K$1621,10,0)),VLOOKUP($A186&amp;S$2,'2004'!$A$2:$K$1621,10,0),VLOOKUP($A186&amp;S$2,'2004'!$B$2:$K$1621,10,0))</f>
        <v>#N/A</v>
      </c>
      <c r="T186" s="38" t="e">
        <f>IF(ISNA(VLOOKUP($A186&amp;T$2,'2004'!$B$2:$K$1621,10,0)),VLOOKUP($A186&amp;T$2,'2004'!$A$2:$K$1621,10,0),VLOOKUP($A186&amp;T$2,'2004'!$B$2:$K$1621,10,0))</f>
        <v>#N/A</v>
      </c>
      <c r="U186" s="38" t="e">
        <f>IF(ISNA(VLOOKUP($A186&amp;U$2,'2004'!$B$2:$K$1621,10,0)),VLOOKUP($A186&amp;U$2,'2004'!$A$2:$K$1621,10,0),VLOOKUP($A186&amp;U$2,'2004'!$B$2:$K$1621,10,0))</f>
        <v>#N/A</v>
      </c>
    </row>
    <row r="187" spans="1:21" x14ac:dyDescent="0.25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 spans="1:21" x14ac:dyDescent="0.25">
      <c r="A188" s="47" t="s">
        <v>13</v>
      </c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spans="1:21" x14ac:dyDescent="0.25">
      <c r="A189" s="27" t="s">
        <v>9</v>
      </c>
      <c r="B189" s="28">
        <f>SUM(B191:B210)</f>
        <v>81</v>
      </c>
      <c r="C189" s="28">
        <f t="shared" ref="C189:U189" si="3">SUM(C191:C210)</f>
        <v>81</v>
      </c>
      <c r="D189" s="28">
        <f t="shared" si="3"/>
        <v>81</v>
      </c>
      <c r="E189" s="28">
        <f t="shared" si="3"/>
        <v>81</v>
      </c>
      <c r="F189" s="28">
        <f t="shared" si="3"/>
        <v>81</v>
      </c>
      <c r="G189" s="28">
        <f t="shared" si="3"/>
        <v>81</v>
      </c>
      <c r="H189" s="28">
        <f t="shared" si="3"/>
        <v>81</v>
      </c>
      <c r="I189" s="28">
        <f t="shared" si="3"/>
        <v>81</v>
      </c>
      <c r="J189" s="28">
        <f t="shared" si="3"/>
        <v>81</v>
      </c>
      <c r="K189" s="28">
        <f t="shared" si="3"/>
        <v>81</v>
      </c>
      <c r="L189" s="28">
        <f t="shared" si="3"/>
        <v>81</v>
      </c>
      <c r="M189" s="28">
        <f t="shared" si="3"/>
        <v>81</v>
      </c>
      <c r="N189" s="28">
        <f t="shared" si="3"/>
        <v>81</v>
      </c>
      <c r="O189" s="28">
        <f t="shared" si="3"/>
        <v>81</v>
      </c>
      <c r="P189" s="28">
        <f t="shared" si="3"/>
        <v>81</v>
      </c>
      <c r="Q189" s="28">
        <f t="shared" si="3"/>
        <v>81</v>
      </c>
      <c r="R189" s="28">
        <f t="shared" si="3"/>
        <v>81</v>
      </c>
      <c r="S189" s="28">
        <f t="shared" si="3"/>
        <v>81</v>
      </c>
      <c r="T189" s="28">
        <f t="shared" si="3"/>
        <v>81</v>
      </c>
      <c r="U189" s="28">
        <f t="shared" si="3"/>
        <v>81</v>
      </c>
    </row>
    <row r="190" spans="1:21" x14ac:dyDescent="0.25">
      <c r="A190" s="29" t="s">
        <v>8</v>
      </c>
      <c r="B190" s="30">
        <f>SUM(B211:B230)</f>
        <v>81</v>
      </c>
      <c r="C190" s="30">
        <f t="shared" ref="C190:U190" si="4">SUM(C211:C230)</f>
        <v>81</v>
      </c>
      <c r="D190" s="30">
        <f t="shared" si="4"/>
        <v>81</v>
      </c>
      <c r="E190" s="30">
        <f t="shared" si="4"/>
        <v>81</v>
      </c>
      <c r="F190" s="30">
        <f t="shared" si="4"/>
        <v>81</v>
      </c>
      <c r="G190" s="30">
        <f t="shared" si="4"/>
        <v>81</v>
      </c>
      <c r="H190" s="30">
        <f t="shared" si="4"/>
        <v>81</v>
      </c>
      <c r="I190" s="30">
        <f t="shared" si="4"/>
        <v>81</v>
      </c>
      <c r="J190" s="30">
        <f t="shared" si="4"/>
        <v>81</v>
      </c>
      <c r="K190" s="30">
        <f t="shared" si="4"/>
        <v>81</v>
      </c>
      <c r="L190" s="30">
        <f t="shared" si="4"/>
        <v>81</v>
      </c>
      <c r="M190" s="30">
        <f t="shared" si="4"/>
        <v>81</v>
      </c>
      <c r="N190" s="30">
        <f t="shared" si="4"/>
        <v>81</v>
      </c>
      <c r="O190" s="30">
        <f t="shared" si="4"/>
        <v>81</v>
      </c>
      <c r="P190" s="30">
        <f t="shared" si="4"/>
        <v>81</v>
      </c>
      <c r="Q190" s="30">
        <f t="shared" si="4"/>
        <v>81</v>
      </c>
      <c r="R190" s="30">
        <f t="shared" si="4"/>
        <v>81</v>
      </c>
      <c r="S190" s="30">
        <f t="shared" si="4"/>
        <v>81</v>
      </c>
      <c r="T190" s="30">
        <f t="shared" si="4"/>
        <v>81</v>
      </c>
      <c r="U190" s="30">
        <f t="shared" si="4"/>
        <v>81</v>
      </c>
    </row>
    <row r="191" spans="1:21" x14ac:dyDescent="0.25">
      <c r="A191" s="31" t="s">
        <v>5</v>
      </c>
      <c r="B191" s="28">
        <f>COUNTIF(B$5:B$187,$A191)</f>
        <v>0</v>
      </c>
      <c r="C191" s="28">
        <f>COUNTIF(C$5:C$187,$A191)</f>
        <v>6</v>
      </c>
      <c r="D191" s="28">
        <f>COUNTIF(D$5:D$187,$A191)</f>
        <v>5</v>
      </c>
      <c r="E191" s="28">
        <f>COUNTIF(E$5:E$187,$A191)</f>
        <v>5</v>
      </c>
      <c r="F191" s="28">
        <f>COUNTIF(F$5:F$187,$A191)</f>
        <v>5</v>
      </c>
      <c r="G191" s="28">
        <f>COUNTIF(G$5:G$187,$A191)</f>
        <v>4</v>
      </c>
      <c r="H191" s="28">
        <f>COUNTIF(H$5:H$187,$A191)</f>
        <v>4</v>
      </c>
      <c r="I191" s="28">
        <f>COUNTIF(I$5:I$187,$A191)</f>
        <v>4</v>
      </c>
      <c r="J191" s="28">
        <f>COUNTIF(J$5:J$187,$A191)</f>
        <v>4</v>
      </c>
      <c r="K191" s="28">
        <f>COUNTIF(K$5:K$187,$A191)</f>
        <v>4</v>
      </c>
      <c r="L191" s="28">
        <f>COUNTIF(L$5:L$187,$A191)</f>
        <v>4</v>
      </c>
      <c r="M191" s="28">
        <f>COUNTIF(M$5:M$187,$A191)</f>
        <v>4</v>
      </c>
      <c r="N191" s="28">
        <f>COUNTIF(N$5:N$187,$A191)</f>
        <v>4</v>
      </c>
      <c r="O191" s="28">
        <f>COUNTIF(O$5:O$187,$A191)</f>
        <v>4</v>
      </c>
      <c r="P191" s="28">
        <f>COUNTIF(P$5:P$187,$A191)</f>
        <v>4</v>
      </c>
      <c r="Q191" s="28">
        <f>COUNTIF(Q$5:Q$187,$A191)</f>
        <v>4</v>
      </c>
      <c r="R191" s="28">
        <f>COUNTIF(R$5:R$187,$A191)</f>
        <v>4</v>
      </c>
      <c r="S191" s="28">
        <f>COUNTIF(S$5:S$187,$A191)</f>
        <v>4</v>
      </c>
      <c r="T191" s="28">
        <f>COUNTIF(T$5:T$187,$A191)</f>
        <v>4</v>
      </c>
      <c r="U191" s="28">
        <f>COUNTIF(U$5:U$187,$A191)</f>
        <v>4</v>
      </c>
    </row>
    <row r="192" spans="1:21" x14ac:dyDescent="0.25">
      <c r="A192" s="31" t="s">
        <v>7</v>
      </c>
      <c r="B192" s="28">
        <f>COUNTIF(B$5:B$187,$A192)</f>
        <v>5</v>
      </c>
      <c r="C192" s="28">
        <f>COUNTIF(C$5:C$187,$A192)</f>
        <v>0</v>
      </c>
      <c r="D192" s="28">
        <f>COUNTIF(D$5:D$187,$A192)</f>
        <v>6</v>
      </c>
      <c r="E192" s="28">
        <f>COUNTIF(E$5:E$187,$A192)</f>
        <v>5</v>
      </c>
      <c r="F192" s="28">
        <f>COUNTIF(F$5:F$187,$A192)</f>
        <v>5</v>
      </c>
      <c r="G192" s="28">
        <f>COUNTIF(G$5:G$187,$A192)</f>
        <v>4</v>
      </c>
      <c r="H192" s="28">
        <f>COUNTIF(H$5:H$187,$A192)</f>
        <v>4</v>
      </c>
      <c r="I192" s="28">
        <f>COUNTIF(I$5:I$187,$A192)</f>
        <v>4</v>
      </c>
      <c r="J192" s="28">
        <f>COUNTIF(J$5:J$187,$A192)</f>
        <v>4</v>
      </c>
      <c r="K192" s="28">
        <f>COUNTIF(K$5:K$187,$A192)</f>
        <v>4</v>
      </c>
      <c r="L192" s="28">
        <f>COUNTIF(L$5:L$187,$A192)</f>
        <v>4</v>
      </c>
      <c r="M192" s="28">
        <f>COUNTIF(M$5:M$187,$A192)</f>
        <v>4</v>
      </c>
      <c r="N192" s="28">
        <f>COUNTIF(N$5:N$187,$A192)</f>
        <v>4</v>
      </c>
      <c r="O192" s="28">
        <f>COUNTIF(O$5:O$187,$A192)</f>
        <v>4</v>
      </c>
      <c r="P192" s="28">
        <f>COUNTIF(P$5:P$187,$A192)</f>
        <v>4</v>
      </c>
      <c r="Q192" s="28">
        <f>COUNTIF(Q$5:Q$187,$A192)</f>
        <v>4</v>
      </c>
      <c r="R192" s="28">
        <f>COUNTIF(R$5:R$187,$A192)</f>
        <v>4</v>
      </c>
      <c r="S192" s="28">
        <f>COUNTIF(S$5:S$187,$A192)</f>
        <v>4</v>
      </c>
      <c r="T192" s="28">
        <f>COUNTIF(T$5:T$187,$A192)</f>
        <v>4</v>
      </c>
      <c r="U192" s="28">
        <f>COUNTIF(U$5:U$187,$A192)</f>
        <v>4</v>
      </c>
    </row>
    <row r="193" spans="1:21" x14ac:dyDescent="0.25">
      <c r="A193" s="31" t="s">
        <v>3</v>
      </c>
      <c r="B193" s="28">
        <f>COUNTIF(B$5:B$187,$A193)</f>
        <v>5</v>
      </c>
      <c r="C193" s="28">
        <f>COUNTIF(C$5:C$187,$A193)</f>
        <v>5</v>
      </c>
      <c r="D193" s="28">
        <f>COUNTIF(D$5:D$187,$A193)</f>
        <v>0</v>
      </c>
      <c r="E193" s="28">
        <f>COUNTIF(E$5:E$187,$A193)</f>
        <v>6</v>
      </c>
      <c r="F193" s="28">
        <f>COUNTIF(F$5:F$187,$A193)</f>
        <v>5</v>
      </c>
      <c r="G193" s="28">
        <f>COUNTIF(G$5:G$187,$A193)</f>
        <v>4</v>
      </c>
      <c r="H193" s="28">
        <f>COUNTIF(H$5:H$187,$A193)</f>
        <v>4</v>
      </c>
      <c r="I193" s="28">
        <f>COUNTIF(I$5:I$187,$A193)</f>
        <v>4</v>
      </c>
      <c r="J193" s="28">
        <f>COUNTIF(J$5:J$187,$A193)</f>
        <v>4</v>
      </c>
      <c r="K193" s="28">
        <f>COUNTIF(K$5:K$187,$A193)</f>
        <v>4</v>
      </c>
      <c r="L193" s="28">
        <f>COUNTIF(L$5:L$187,$A193)</f>
        <v>4</v>
      </c>
      <c r="M193" s="28">
        <f>COUNTIF(M$5:M$187,$A193)</f>
        <v>4</v>
      </c>
      <c r="N193" s="28">
        <f>COUNTIF(N$5:N$187,$A193)</f>
        <v>4</v>
      </c>
      <c r="O193" s="28">
        <f>COUNTIF(O$5:O$187,$A193)</f>
        <v>4</v>
      </c>
      <c r="P193" s="28">
        <f>COUNTIF(P$5:P$187,$A193)</f>
        <v>4</v>
      </c>
      <c r="Q193" s="28">
        <f>COUNTIF(Q$5:Q$187,$A193)</f>
        <v>4</v>
      </c>
      <c r="R193" s="28">
        <f>COUNTIF(R$5:R$187,$A193)</f>
        <v>4</v>
      </c>
      <c r="S193" s="28">
        <f>COUNTIF(S$5:S$187,$A193)</f>
        <v>4</v>
      </c>
      <c r="T193" s="28">
        <f>COUNTIF(T$5:T$187,$A193)</f>
        <v>4</v>
      </c>
      <c r="U193" s="28">
        <f>COUNTIF(U$5:U$187,$A193)</f>
        <v>4</v>
      </c>
    </row>
    <row r="194" spans="1:21" x14ac:dyDescent="0.25">
      <c r="A194" s="31" t="s">
        <v>4</v>
      </c>
      <c r="B194" s="28">
        <f>COUNTIF(B$5:B$187,$A194)</f>
        <v>5</v>
      </c>
      <c r="C194" s="28">
        <f>COUNTIF(C$5:C$187,$A194)</f>
        <v>5</v>
      </c>
      <c r="D194" s="28">
        <f>COUNTIF(D$5:D$187,$A194)</f>
        <v>5</v>
      </c>
      <c r="E194" s="28">
        <f>COUNTIF(E$5:E$187,$A194)</f>
        <v>0</v>
      </c>
      <c r="F194" s="28">
        <f>COUNTIF(F$5:F$187,$A194)</f>
        <v>6</v>
      </c>
      <c r="G194" s="28">
        <f>COUNTIF(G$5:G$187,$A194)</f>
        <v>4</v>
      </c>
      <c r="H194" s="28">
        <f>COUNTIF(H$5:H$187,$A194)</f>
        <v>4</v>
      </c>
      <c r="I194" s="28">
        <f>COUNTIF(I$5:I$187,$A194)</f>
        <v>4</v>
      </c>
      <c r="J194" s="28">
        <f>COUNTIF(J$5:J$187,$A194)</f>
        <v>4</v>
      </c>
      <c r="K194" s="28">
        <f>COUNTIF(K$5:K$187,$A194)</f>
        <v>4</v>
      </c>
      <c r="L194" s="28">
        <f>COUNTIF(L$5:L$187,$A194)</f>
        <v>4</v>
      </c>
      <c r="M194" s="28">
        <f>COUNTIF(M$5:M$187,$A194)</f>
        <v>4</v>
      </c>
      <c r="N194" s="28">
        <f>COUNTIF(N$5:N$187,$A194)</f>
        <v>4</v>
      </c>
      <c r="O194" s="28">
        <f>COUNTIF(O$5:O$187,$A194)</f>
        <v>4</v>
      </c>
      <c r="P194" s="28">
        <f>COUNTIF(P$5:P$187,$A194)</f>
        <v>4</v>
      </c>
      <c r="Q194" s="28">
        <f>COUNTIF(Q$5:Q$187,$A194)</f>
        <v>4</v>
      </c>
      <c r="R194" s="28">
        <f>COUNTIF(R$5:R$187,$A194)</f>
        <v>4</v>
      </c>
      <c r="S194" s="28">
        <f>COUNTIF(S$5:S$187,$A194)</f>
        <v>4</v>
      </c>
      <c r="T194" s="28">
        <f>COUNTIF(T$5:T$187,$A194)</f>
        <v>4</v>
      </c>
      <c r="U194" s="28">
        <f>COUNTIF(U$5:U$187,$A194)</f>
        <v>4</v>
      </c>
    </row>
    <row r="195" spans="1:21" x14ac:dyDescent="0.25">
      <c r="A195" s="32" t="s">
        <v>56</v>
      </c>
      <c r="B195" s="30">
        <f>COUNTIF(B$5:B$187,$A195)</f>
        <v>6</v>
      </c>
      <c r="C195" s="30">
        <f>COUNTIF(C$5:C$187,$A195)</f>
        <v>5</v>
      </c>
      <c r="D195" s="30">
        <f>COUNTIF(D$5:D$187,$A195)</f>
        <v>5</v>
      </c>
      <c r="E195" s="30">
        <f>COUNTIF(E$5:E$187,$A195)</f>
        <v>5</v>
      </c>
      <c r="F195" s="30">
        <f>COUNTIF(F$5:F$187,$A195)</f>
        <v>0</v>
      </c>
      <c r="G195" s="30">
        <f>COUNTIF(G$5:G$187,$A195)</f>
        <v>4</v>
      </c>
      <c r="H195" s="30">
        <f>COUNTIF(H$5:H$187,$A195)</f>
        <v>4</v>
      </c>
      <c r="I195" s="30">
        <f>COUNTIF(I$5:I$187,$A195)</f>
        <v>4</v>
      </c>
      <c r="J195" s="30">
        <f>COUNTIF(J$5:J$187,$A195)</f>
        <v>4</v>
      </c>
      <c r="K195" s="30">
        <f>COUNTIF(K$5:K$187,$A195)</f>
        <v>4</v>
      </c>
      <c r="L195" s="30">
        <f>COUNTIF(L$5:L$187,$A195)</f>
        <v>4</v>
      </c>
      <c r="M195" s="30">
        <f>COUNTIF(M$5:M$187,$A195)</f>
        <v>4</v>
      </c>
      <c r="N195" s="30">
        <f>COUNTIF(N$5:N$187,$A195)</f>
        <v>4</v>
      </c>
      <c r="O195" s="30">
        <f>COUNTIF(O$5:O$187,$A195)</f>
        <v>4</v>
      </c>
      <c r="P195" s="30">
        <f>COUNTIF(P$5:P$187,$A195)</f>
        <v>4</v>
      </c>
      <c r="Q195" s="30">
        <f>COUNTIF(Q$5:Q$187,$A195)</f>
        <v>4</v>
      </c>
      <c r="R195" s="30">
        <f>COUNTIF(R$5:R$187,$A195)</f>
        <v>4</v>
      </c>
      <c r="S195" s="30">
        <f>COUNTIF(S$5:S$187,$A195)</f>
        <v>4</v>
      </c>
      <c r="T195" s="30">
        <f>COUNTIF(T$5:T$187,$A195)</f>
        <v>4</v>
      </c>
      <c r="U195" s="30">
        <f>COUNTIF(U$5:U$187,$A195)</f>
        <v>4</v>
      </c>
    </row>
    <row r="196" spans="1:21" x14ac:dyDescent="0.25">
      <c r="A196" s="25" t="s">
        <v>6</v>
      </c>
      <c r="B196" s="26">
        <f>COUNTIF(B$5:B$187,$A196)</f>
        <v>4</v>
      </c>
      <c r="C196" s="26">
        <f>COUNTIF(C$5:C$187,$A196)</f>
        <v>4</v>
      </c>
      <c r="D196" s="26">
        <f>COUNTIF(D$5:D$187,$A196)</f>
        <v>4</v>
      </c>
      <c r="E196" s="26">
        <f>COUNTIF(E$5:E$187,$A196)</f>
        <v>4</v>
      </c>
      <c r="F196" s="26">
        <f>COUNTIF(F$5:F$187,$A196)</f>
        <v>4</v>
      </c>
      <c r="G196" s="54">
        <f>COUNTIF(G$5:G$187,$A196)</f>
        <v>0</v>
      </c>
      <c r="H196" s="54">
        <f>COUNTIF(H$5:H$187,$A196)</f>
        <v>6</v>
      </c>
      <c r="I196" s="54">
        <f>COUNTIF(I$5:I$187,$A196)</f>
        <v>5</v>
      </c>
      <c r="J196" s="54">
        <f>COUNTIF(J$5:J$187,$A196)</f>
        <v>5</v>
      </c>
      <c r="K196" s="54">
        <f>COUNTIF(K$5:K$187,$A196)</f>
        <v>5</v>
      </c>
      <c r="L196" s="26">
        <f>COUNTIF(L$5:L$187,$A196)</f>
        <v>4</v>
      </c>
      <c r="M196" s="26">
        <f>COUNTIF(M$5:M$187,$A196)</f>
        <v>4</v>
      </c>
      <c r="N196" s="26">
        <f>COUNTIF(N$5:N$187,$A196)</f>
        <v>4</v>
      </c>
      <c r="O196" s="26">
        <f>COUNTIF(O$5:O$187,$A196)</f>
        <v>4</v>
      </c>
      <c r="P196" s="26">
        <f>COUNTIF(P$5:P$187,$A196)</f>
        <v>4</v>
      </c>
      <c r="Q196" s="26">
        <f>COUNTIF(Q$5:Q$187,$A196)</f>
        <v>4</v>
      </c>
      <c r="R196" s="26">
        <f>COUNTIF(R$5:R$187,$A196)</f>
        <v>4</v>
      </c>
      <c r="S196" s="26">
        <f>COUNTIF(S$5:S$187,$A196)</f>
        <v>4</v>
      </c>
      <c r="T196" s="26">
        <f>COUNTIF(T$5:T$187,$A196)</f>
        <v>4</v>
      </c>
      <c r="U196" s="26">
        <f>COUNTIF(U$5:U$187,$A196)</f>
        <v>4</v>
      </c>
    </row>
    <row r="197" spans="1:21" x14ac:dyDescent="0.25">
      <c r="A197" s="25" t="s">
        <v>0</v>
      </c>
      <c r="B197" s="26">
        <f>COUNTIF(B$5:B$187,$A197)</f>
        <v>4</v>
      </c>
      <c r="C197" s="26">
        <f>COUNTIF(C$5:C$187,$A197)</f>
        <v>4</v>
      </c>
      <c r="D197" s="26">
        <f>COUNTIF(D$5:D$187,$A197)</f>
        <v>4</v>
      </c>
      <c r="E197" s="26">
        <f>COUNTIF(E$5:E$187,$A197)</f>
        <v>4</v>
      </c>
      <c r="F197" s="26">
        <f>COUNTIF(F$5:F$187,$A197)</f>
        <v>4</v>
      </c>
      <c r="G197" s="54">
        <f>COUNTIF(G$5:G$187,$A197)</f>
        <v>6</v>
      </c>
      <c r="H197" s="54">
        <f>COUNTIF(H$5:H$187,$A197)</f>
        <v>0</v>
      </c>
      <c r="I197" s="54">
        <f>COUNTIF(I$5:I$187,$A197)</f>
        <v>5</v>
      </c>
      <c r="J197" s="54">
        <f>COUNTIF(J$5:J$187,$A197)</f>
        <v>5</v>
      </c>
      <c r="K197" s="54">
        <f>COUNTIF(K$5:K$187,$A197)</f>
        <v>5</v>
      </c>
      <c r="L197" s="26">
        <f>COUNTIF(L$5:L$187,$A197)</f>
        <v>4</v>
      </c>
      <c r="M197" s="26">
        <f>COUNTIF(M$5:M$187,$A197)</f>
        <v>4</v>
      </c>
      <c r="N197" s="26">
        <f>COUNTIF(N$5:N$187,$A197)</f>
        <v>4</v>
      </c>
      <c r="O197" s="26">
        <f>COUNTIF(O$5:O$187,$A197)</f>
        <v>4</v>
      </c>
      <c r="P197" s="26">
        <f>COUNTIF(P$5:P$187,$A197)</f>
        <v>4</v>
      </c>
      <c r="Q197" s="26">
        <f>COUNTIF(Q$5:Q$187,$A197)</f>
        <v>4</v>
      </c>
      <c r="R197" s="26">
        <f>COUNTIF(R$5:R$187,$A197)</f>
        <v>4</v>
      </c>
      <c r="S197" s="26">
        <f>COUNTIF(S$5:S$187,$A197)</f>
        <v>4</v>
      </c>
      <c r="T197" s="26">
        <f>COUNTIF(T$5:T$187,$A197)</f>
        <v>4</v>
      </c>
      <c r="U197" s="26">
        <f>COUNTIF(U$5:U$187,$A197)</f>
        <v>4</v>
      </c>
    </row>
    <row r="198" spans="1:21" x14ac:dyDescent="0.25">
      <c r="A198" s="25" t="s">
        <v>1</v>
      </c>
      <c r="B198" s="26">
        <f>COUNTIF(B$5:B$187,$A198)</f>
        <v>4</v>
      </c>
      <c r="C198" s="26">
        <f>COUNTIF(C$5:C$187,$A198)</f>
        <v>4</v>
      </c>
      <c r="D198" s="26">
        <f>COUNTIF(D$5:D$187,$A198)</f>
        <v>4</v>
      </c>
      <c r="E198" s="26">
        <f>COUNTIF(E$5:E$187,$A198)</f>
        <v>4</v>
      </c>
      <c r="F198" s="26">
        <f>COUNTIF(F$5:F$187,$A198)</f>
        <v>4</v>
      </c>
      <c r="G198" s="54">
        <f>COUNTIF(G$5:G$187,$A198)</f>
        <v>5</v>
      </c>
      <c r="H198" s="54">
        <f>COUNTIF(H$5:H$187,$A198)</f>
        <v>5</v>
      </c>
      <c r="I198" s="54">
        <f>COUNTIF(I$5:I$187,$A198)</f>
        <v>0</v>
      </c>
      <c r="J198" s="54">
        <f>COUNTIF(J$5:J$187,$A198)</f>
        <v>6</v>
      </c>
      <c r="K198" s="54">
        <f>COUNTIF(K$5:K$187,$A198)</f>
        <v>5</v>
      </c>
      <c r="L198" s="26">
        <f>COUNTIF(L$5:L$187,$A198)</f>
        <v>4</v>
      </c>
      <c r="M198" s="26">
        <f>COUNTIF(M$5:M$187,$A198)</f>
        <v>4</v>
      </c>
      <c r="N198" s="26">
        <f>COUNTIF(N$5:N$187,$A198)</f>
        <v>4</v>
      </c>
      <c r="O198" s="26">
        <f>COUNTIF(O$5:O$187,$A198)</f>
        <v>4</v>
      </c>
      <c r="P198" s="26">
        <f>COUNTIF(P$5:P$187,$A198)</f>
        <v>4</v>
      </c>
      <c r="Q198" s="26">
        <f>COUNTIF(Q$5:Q$187,$A198)</f>
        <v>4</v>
      </c>
      <c r="R198" s="26">
        <f>COUNTIF(R$5:R$187,$A198)</f>
        <v>4</v>
      </c>
      <c r="S198" s="26">
        <f>COUNTIF(S$5:S$187,$A198)</f>
        <v>4</v>
      </c>
      <c r="T198" s="26">
        <f>COUNTIF(T$5:T$187,$A198)</f>
        <v>4</v>
      </c>
      <c r="U198" s="26">
        <f>COUNTIF(U$5:U$187,$A198)</f>
        <v>4</v>
      </c>
    </row>
    <row r="199" spans="1:21" x14ac:dyDescent="0.25">
      <c r="A199" s="25" t="s">
        <v>57</v>
      </c>
      <c r="B199" s="26">
        <f>COUNTIF(B$5:B$187,$A199)</f>
        <v>4</v>
      </c>
      <c r="C199" s="26">
        <f>COUNTIF(C$5:C$187,$A199)</f>
        <v>4</v>
      </c>
      <c r="D199" s="26">
        <f>COUNTIF(D$5:D$187,$A199)</f>
        <v>4</v>
      </c>
      <c r="E199" s="26">
        <f>COUNTIF(E$5:E$187,$A199)</f>
        <v>4</v>
      </c>
      <c r="F199" s="26">
        <f>COUNTIF(F$5:F$187,$A199)</f>
        <v>4</v>
      </c>
      <c r="G199" s="54">
        <f>COUNTIF(G$5:G$187,$A199)</f>
        <v>5</v>
      </c>
      <c r="H199" s="54">
        <f>COUNTIF(H$5:H$187,$A199)</f>
        <v>5</v>
      </c>
      <c r="I199" s="54">
        <f>COUNTIF(I$5:I$187,$A199)</f>
        <v>5</v>
      </c>
      <c r="J199" s="54">
        <f>COUNTIF(J$5:J$187,$A199)</f>
        <v>0</v>
      </c>
      <c r="K199" s="54">
        <f>COUNTIF(K$5:K$187,$A199)</f>
        <v>6</v>
      </c>
      <c r="L199" s="26">
        <f>COUNTIF(L$5:L$187,$A199)</f>
        <v>4</v>
      </c>
      <c r="M199" s="26">
        <f>COUNTIF(M$5:M$187,$A199)</f>
        <v>4</v>
      </c>
      <c r="N199" s="26">
        <f>COUNTIF(N$5:N$187,$A199)</f>
        <v>4</v>
      </c>
      <c r="O199" s="26">
        <f>COUNTIF(O$5:O$187,$A199)</f>
        <v>4</v>
      </c>
      <c r="P199" s="26">
        <f>COUNTIF(P$5:P$187,$A199)</f>
        <v>4</v>
      </c>
      <c r="Q199" s="26">
        <f>COUNTIF(Q$5:Q$187,$A199)</f>
        <v>4</v>
      </c>
      <c r="R199" s="26">
        <f>COUNTIF(R$5:R$187,$A199)</f>
        <v>4</v>
      </c>
      <c r="S199" s="26">
        <f>COUNTIF(S$5:S$187,$A199)</f>
        <v>4</v>
      </c>
      <c r="T199" s="26">
        <f>COUNTIF(T$5:T$187,$A199)</f>
        <v>4</v>
      </c>
      <c r="U199" s="26">
        <f>COUNTIF(U$5:U$187,$A199)</f>
        <v>4</v>
      </c>
    </row>
    <row r="200" spans="1:21" x14ac:dyDescent="0.25">
      <c r="A200" s="32" t="s">
        <v>2</v>
      </c>
      <c r="B200" s="30">
        <f>COUNTIF(B$5:B$187,$A200)</f>
        <v>4</v>
      </c>
      <c r="C200" s="30">
        <f>COUNTIF(C$5:C$187,$A200)</f>
        <v>4</v>
      </c>
      <c r="D200" s="30">
        <f>COUNTIF(D$5:D$187,$A200)</f>
        <v>4</v>
      </c>
      <c r="E200" s="30">
        <f>COUNTIF(E$5:E$187,$A200)</f>
        <v>4</v>
      </c>
      <c r="F200" s="30">
        <f>COUNTIF(F$5:F$187,$A200)</f>
        <v>4</v>
      </c>
      <c r="G200" s="55">
        <f>COUNTIF(G$5:G$187,$A200)</f>
        <v>5</v>
      </c>
      <c r="H200" s="55">
        <f>COUNTIF(H$5:H$187,$A200)</f>
        <v>5</v>
      </c>
      <c r="I200" s="55">
        <f>COUNTIF(I$5:I$187,$A200)</f>
        <v>6</v>
      </c>
      <c r="J200" s="55">
        <f>COUNTIF(J$5:J$187,$A200)</f>
        <v>5</v>
      </c>
      <c r="K200" s="55">
        <f>COUNTIF(K$5:K$187,$A200)</f>
        <v>0</v>
      </c>
      <c r="L200" s="30">
        <f>COUNTIF(L$5:L$187,$A200)</f>
        <v>4</v>
      </c>
      <c r="M200" s="30">
        <f>COUNTIF(M$5:M$187,$A200)</f>
        <v>4</v>
      </c>
      <c r="N200" s="30">
        <f>COUNTIF(N$5:N$187,$A200)</f>
        <v>4</v>
      </c>
      <c r="O200" s="30">
        <f>COUNTIF(O$5:O$187,$A200)</f>
        <v>4</v>
      </c>
      <c r="P200" s="30">
        <f>COUNTIF(P$5:P$187,$A200)</f>
        <v>4</v>
      </c>
      <c r="Q200" s="30">
        <f>COUNTIF(Q$5:Q$187,$A200)</f>
        <v>4</v>
      </c>
      <c r="R200" s="30">
        <f>COUNTIF(R$5:R$187,$A200)</f>
        <v>4</v>
      </c>
      <c r="S200" s="30">
        <f>COUNTIF(S$5:S$187,$A200)</f>
        <v>4</v>
      </c>
      <c r="T200" s="30">
        <f>COUNTIF(T$5:T$187,$A200)</f>
        <v>4</v>
      </c>
      <c r="U200" s="30">
        <f>COUNTIF(U$5:U$187,$A200)</f>
        <v>4</v>
      </c>
    </row>
    <row r="201" spans="1:21" x14ac:dyDescent="0.25">
      <c r="A201" s="25" t="s">
        <v>58</v>
      </c>
      <c r="B201" s="26">
        <f>COUNTIF(B$5:B$187,$A201)</f>
        <v>4</v>
      </c>
      <c r="C201" s="26">
        <f>COUNTIF(C$5:C$187,$A201)</f>
        <v>4</v>
      </c>
      <c r="D201" s="26">
        <f>COUNTIF(D$5:D$187,$A201)</f>
        <v>4</v>
      </c>
      <c r="E201" s="26">
        <f>COUNTIF(E$5:E$187,$A201)</f>
        <v>4</v>
      </c>
      <c r="F201" s="26">
        <f>COUNTIF(F$5:F$187,$A201)</f>
        <v>4</v>
      </c>
      <c r="G201" s="26">
        <f>COUNTIF(G$5:G$187,$A201)</f>
        <v>4</v>
      </c>
      <c r="H201" s="26">
        <f>COUNTIF(H$5:H$187,$A201)</f>
        <v>4</v>
      </c>
      <c r="I201" s="26">
        <f>COUNTIF(I$5:I$187,$A201)</f>
        <v>4</v>
      </c>
      <c r="J201" s="26">
        <f>COUNTIF(J$5:J$187,$A201)</f>
        <v>4</v>
      </c>
      <c r="K201" s="26">
        <f>COUNTIF(K$5:K$187,$A201)</f>
        <v>4</v>
      </c>
      <c r="L201" s="28">
        <f>COUNTIF(L$5:L$187,$A201)</f>
        <v>0</v>
      </c>
      <c r="M201" s="28">
        <f>COUNTIF(M$5:M$187,$A201)</f>
        <v>6</v>
      </c>
      <c r="N201" s="28">
        <f>COUNTIF(N$5:N$187,$A201)</f>
        <v>5</v>
      </c>
      <c r="O201" s="28">
        <f>COUNTIF(O$5:O$187,$A201)</f>
        <v>5</v>
      </c>
      <c r="P201" s="28">
        <f>COUNTIF(P$5:P$187,$A201)</f>
        <v>5</v>
      </c>
      <c r="Q201" s="26">
        <f>COUNTIF(Q$5:Q$187,$A201)</f>
        <v>4</v>
      </c>
      <c r="R201" s="26">
        <f>COUNTIF(R$5:R$187,$A201)</f>
        <v>4</v>
      </c>
      <c r="S201" s="26">
        <f>COUNTIF(S$5:S$187,$A201)</f>
        <v>4</v>
      </c>
      <c r="T201" s="26">
        <f>COUNTIF(T$5:T$187,$A201)</f>
        <v>4</v>
      </c>
      <c r="U201" s="26">
        <f>COUNTIF(U$5:U$187,$A201)</f>
        <v>4</v>
      </c>
    </row>
    <row r="202" spans="1:21" x14ac:dyDescent="0.25">
      <c r="A202" s="25" t="s">
        <v>16</v>
      </c>
      <c r="B202" s="26">
        <f>COUNTIF(B$5:B$187,$A202)</f>
        <v>4</v>
      </c>
      <c r="C202" s="26">
        <f>COUNTIF(C$5:C$187,$A202)</f>
        <v>4</v>
      </c>
      <c r="D202" s="26">
        <f>COUNTIF(D$5:D$187,$A202)</f>
        <v>4</v>
      </c>
      <c r="E202" s="26">
        <f>COUNTIF(E$5:E$187,$A202)</f>
        <v>4</v>
      </c>
      <c r="F202" s="26">
        <f>COUNTIF(F$5:F$187,$A202)</f>
        <v>4</v>
      </c>
      <c r="G202" s="26">
        <f>COUNTIF(G$5:G$187,$A202)</f>
        <v>4</v>
      </c>
      <c r="H202" s="26">
        <f>COUNTIF(H$5:H$187,$A202)</f>
        <v>4</v>
      </c>
      <c r="I202" s="26">
        <f>COUNTIF(I$5:I$187,$A202)</f>
        <v>4</v>
      </c>
      <c r="J202" s="26">
        <f>COUNTIF(J$5:J$187,$A202)</f>
        <v>4</v>
      </c>
      <c r="K202" s="26">
        <f>COUNTIF(K$5:K$187,$A202)</f>
        <v>4</v>
      </c>
      <c r="L202" s="28">
        <f>COUNTIF(L$5:L$187,$A202)</f>
        <v>5</v>
      </c>
      <c r="M202" s="28">
        <f>COUNTIF(M$5:M$187,$A202)</f>
        <v>0</v>
      </c>
      <c r="N202" s="28">
        <f>COUNTIF(N$5:N$187,$A202)</f>
        <v>5</v>
      </c>
      <c r="O202" s="28">
        <f>COUNTIF(O$5:O$187,$A202)</f>
        <v>5</v>
      </c>
      <c r="P202" s="28">
        <f>COUNTIF(P$5:P$187,$A202)</f>
        <v>6</v>
      </c>
      <c r="Q202" s="26">
        <f>COUNTIF(Q$5:Q$187,$A202)</f>
        <v>4</v>
      </c>
      <c r="R202" s="26">
        <f>COUNTIF(R$5:R$187,$A202)</f>
        <v>4</v>
      </c>
      <c r="S202" s="26">
        <f>COUNTIF(S$5:S$187,$A202)</f>
        <v>4</v>
      </c>
      <c r="T202" s="26">
        <f>COUNTIF(T$5:T$187,$A202)</f>
        <v>4</v>
      </c>
      <c r="U202" s="26">
        <f>COUNTIF(U$5:U$187,$A202)</f>
        <v>4</v>
      </c>
    </row>
    <row r="203" spans="1:21" x14ac:dyDescent="0.25">
      <c r="A203" s="25" t="s">
        <v>59</v>
      </c>
      <c r="B203" s="26">
        <f>COUNTIF(B$5:B$187,$A203)</f>
        <v>4</v>
      </c>
      <c r="C203" s="26">
        <f>COUNTIF(C$5:C$187,$A203)</f>
        <v>4</v>
      </c>
      <c r="D203" s="26">
        <f>COUNTIF(D$5:D$187,$A203)</f>
        <v>4</v>
      </c>
      <c r="E203" s="26">
        <f>COUNTIF(E$5:E$187,$A203)</f>
        <v>4</v>
      </c>
      <c r="F203" s="26">
        <f>COUNTIF(F$5:F$187,$A203)</f>
        <v>4</v>
      </c>
      <c r="G203" s="26">
        <f>COUNTIF(G$5:G$187,$A203)</f>
        <v>4</v>
      </c>
      <c r="H203" s="26">
        <f>COUNTIF(H$5:H$187,$A203)</f>
        <v>4</v>
      </c>
      <c r="I203" s="26">
        <f>COUNTIF(I$5:I$187,$A203)</f>
        <v>4</v>
      </c>
      <c r="J203" s="26">
        <f>COUNTIF(J$5:J$187,$A203)</f>
        <v>4</v>
      </c>
      <c r="K203" s="26">
        <f>COUNTIF(K$5:K$187,$A203)</f>
        <v>4</v>
      </c>
      <c r="L203" s="28">
        <f>COUNTIF(L$5:L$187,$A203)</f>
        <v>5</v>
      </c>
      <c r="M203" s="28">
        <f>COUNTIF(M$5:M$187,$A203)</f>
        <v>5</v>
      </c>
      <c r="N203" s="28">
        <f>COUNTIF(N$5:N$187,$A203)</f>
        <v>0</v>
      </c>
      <c r="O203" s="28">
        <f>COUNTIF(O$5:O$187,$A203)</f>
        <v>6</v>
      </c>
      <c r="P203" s="28">
        <f>COUNTIF(P$5:P$187,$A203)</f>
        <v>5</v>
      </c>
      <c r="Q203" s="26">
        <f>COUNTIF(Q$5:Q$187,$A203)</f>
        <v>4</v>
      </c>
      <c r="R203" s="26">
        <f>COUNTIF(R$5:R$187,$A203)</f>
        <v>4</v>
      </c>
      <c r="S203" s="26">
        <f>COUNTIF(S$5:S$187,$A203)</f>
        <v>4</v>
      </c>
      <c r="T203" s="26">
        <f>COUNTIF(T$5:T$187,$A203)</f>
        <v>4</v>
      </c>
      <c r="U203" s="26">
        <f>COUNTIF(U$5:U$187,$A203)</f>
        <v>4</v>
      </c>
    </row>
    <row r="204" spans="1:21" x14ac:dyDescent="0.25">
      <c r="A204" s="25" t="s">
        <v>14</v>
      </c>
      <c r="B204" s="26">
        <f>COUNTIF(B$5:B$187,$A204)</f>
        <v>4</v>
      </c>
      <c r="C204" s="26">
        <f>COUNTIF(C$5:C$187,$A204)</f>
        <v>4</v>
      </c>
      <c r="D204" s="26">
        <f>COUNTIF(D$5:D$187,$A204)</f>
        <v>4</v>
      </c>
      <c r="E204" s="26">
        <f>COUNTIF(E$5:E$187,$A204)</f>
        <v>4</v>
      </c>
      <c r="F204" s="26">
        <f>COUNTIF(F$5:F$187,$A204)</f>
        <v>4</v>
      </c>
      <c r="G204" s="26">
        <f>COUNTIF(G$5:G$187,$A204)</f>
        <v>4</v>
      </c>
      <c r="H204" s="26">
        <f>COUNTIF(H$5:H$187,$A204)</f>
        <v>4</v>
      </c>
      <c r="I204" s="26">
        <f>COUNTIF(I$5:I$187,$A204)</f>
        <v>4</v>
      </c>
      <c r="J204" s="26">
        <f>COUNTIF(J$5:J$187,$A204)</f>
        <v>4</v>
      </c>
      <c r="K204" s="26">
        <f>COUNTIF(K$5:K$187,$A204)</f>
        <v>4</v>
      </c>
      <c r="L204" s="28">
        <f>COUNTIF(L$5:L$187,$A204)</f>
        <v>6</v>
      </c>
      <c r="M204" s="28">
        <f>COUNTIF(M$5:M$187,$A204)</f>
        <v>5</v>
      </c>
      <c r="N204" s="28">
        <f>COUNTIF(N$5:N$187,$A204)</f>
        <v>5</v>
      </c>
      <c r="O204" s="28">
        <f>COUNTIF(O$5:O$187,$A204)</f>
        <v>0</v>
      </c>
      <c r="P204" s="28">
        <f>COUNTIF(P$5:P$187,$A204)</f>
        <v>5</v>
      </c>
      <c r="Q204" s="26">
        <f>COUNTIF(Q$5:Q$187,$A204)</f>
        <v>4</v>
      </c>
      <c r="R204" s="26">
        <f>COUNTIF(R$5:R$187,$A204)</f>
        <v>4</v>
      </c>
      <c r="S204" s="26">
        <f>COUNTIF(S$5:S$187,$A204)</f>
        <v>4</v>
      </c>
      <c r="T204" s="26">
        <f>COUNTIF(T$5:T$187,$A204)</f>
        <v>4</v>
      </c>
      <c r="U204" s="26">
        <f>COUNTIF(U$5:U$187,$A204)</f>
        <v>4</v>
      </c>
    </row>
    <row r="205" spans="1:21" x14ac:dyDescent="0.25">
      <c r="A205" s="32" t="s">
        <v>15</v>
      </c>
      <c r="B205" s="30">
        <f>COUNTIF(B$5:B$187,$A205)</f>
        <v>4</v>
      </c>
      <c r="C205" s="30">
        <f>COUNTIF(C$5:C$187,$A205)</f>
        <v>4</v>
      </c>
      <c r="D205" s="30">
        <f>COUNTIF(D$5:D$187,$A205)</f>
        <v>4</v>
      </c>
      <c r="E205" s="30">
        <f>COUNTIF(E$5:E$187,$A205)</f>
        <v>4</v>
      </c>
      <c r="F205" s="30">
        <f>COUNTIF(F$5:F$187,$A205)</f>
        <v>4</v>
      </c>
      <c r="G205" s="30">
        <f>COUNTIF(G$5:G$187,$A205)</f>
        <v>4</v>
      </c>
      <c r="H205" s="30">
        <f>COUNTIF(H$5:H$187,$A205)</f>
        <v>4</v>
      </c>
      <c r="I205" s="30">
        <f>COUNTIF(I$5:I$187,$A205)</f>
        <v>4</v>
      </c>
      <c r="J205" s="30">
        <f>COUNTIF(J$5:J$187,$A205)</f>
        <v>4</v>
      </c>
      <c r="K205" s="30">
        <f>COUNTIF(K$5:K$187,$A205)</f>
        <v>4</v>
      </c>
      <c r="L205" s="30">
        <f>COUNTIF(L$5:L$187,$A205)</f>
        <v>5</v>
      </c>
      <c r="M205" s="30">
        <f>COUNTIF(M$5:M$187,$A205)</f>
        <v>5</v>
      </c>
      <c r="N205" s="30">
        <f>COUNTIF(N$5:N$187,$A205)</f>
        <v>6</v>
      </c>
      <c r="O205" s="30">
        <f>COUNTIF(O$5:O$187,$A205)</f>
        <v>5</v>
      </c>
      <c r="P205" s="30">
        <f>COUNTIF(P$5:P$187,$A205)</f>
        <v>0</v>
      </c>
      <c r="Q205" s="30">
        <f>COUNTIF(Q$5:Q$187,$A205)</f>
        <v>4</v>
      </c>
      <c r="R205" s="30">
        <f>COUNTIF(R$5:R$187,$A205)</f>
        <v>4</v>
      </c>
      <c r="S205" s="30">
        <f>COUNTIF(S$5:S$187,$A205)</f>
        <v>4</v>
      </c>
      <c r="T205" s="30">
        <f>COUNTIF(T$5:T$187,$A205)</f>
        <v>4</v>
      </c>
      <c r="U205" s="30">
        <f>COUNTIF(U$5:U$187,$A205)</f>
        <v>4</v>
      </c>
    </row>
    <row r="206" spans="1:21" x14ac:dyDescent="0.25">
      <c r="A206" s="25" t="s">
        <v>60</v>
      </c>
      <c r="B206" s="26">
        <f>COUNTIF(B$5:B$187,$A206)</f>
        <v>4</v>
      </c>
      <c r="C206" s="26">
        <f>COUNTIF(C$5:C$187,$A206)</f>
        <v>4</v>
      </c>
      <c r="D206" s="26">
        <f>COUNTIF(D$5:D$187,$A206)</f>
        <v>4</v>
      </c>
      <c r="E206" s="26">
        <f>COUNTIF(E$5:E$187,$A206)</f>
        <v>4</v>
      </c>
      <c r="F206" s="26">
        <f>COUNTIF(F$5:F$187,$A206)</f>
        <v>4</v>
      </c>
      <c r="G206" s="26">
        <f>COUNTIF(G$5:G$187,$A206)</f>
        <v>4</v>
      </c>
      <c r="H206" s="26">
        <f>COUNTIF(H$5:H$187,$A206)</f>
        <v>4</v>
      </c>
      <c r="I206" s="26">
        <f>COUNTIF(I$5:I$187,$A206)</f>
        <v>4</v>
      </c>
      <c r="J206" s="26">
        <f>COUNTIF(J$5:J$187,$A206)</f>
        <v>4</v>
      </c>
      <c r="K206" s="26">
        <f>COUNTIF(K$5:K$187,$A206)</f>
        <v>4</v>
      </c>
      <c r="L206" s="26">
        <f>COUNTIF(L$5:L$187,$A206)</f>
        <v>4</v>
      </c>
      <c r="M206" s="26">
        <f>COUNTIF(M$5:M$187,$A206)</f>
        <v>4</v>
      </c>
      <c r="N206" s="26">
        <f>COUNTIF(N$5:N$187,$A206)</f>
        <v>4</v>
      </c>
      <c r="O206" s="26">
        <f>COUNTIF(O$5:O$187,$A206)</f>
        <v>4</v>
      </c>
      <c r="P206" s="26">
        <f>COUNTIF(P$5:P$187,$A206)</f>
        <v>4</v>
      </c>
      <c r="Q206" s="28">
        <f>COUNTIF(Q$5:Q$187,$A206)</f>
        <v>0</v>
      </c>
      <c r="R206" s="28">
        <f>COUNTIF(R$5:R$187,$A206)</f>
        <v>6</v>
      </c>
      <c r="S206" s="28">
        <f>COUNTIF(S$5:S$187,$A206)</f>
        <v>5</v>
      </c>
      <c r="T206" s="28">
        <f>COUNTIF(T$5:T$187,$A206)</f>
        <v>5</v>
      </c>
      <c r="U206" s="28">
        <f>COUNTIF(U$5:U$187,$A206)</f>
        <v>5</v>
      </c>
    </row>
    <row r="207" spans="1:21" x14ac:dyDescent="0.25">
      <c r="A207" s="25" t="s">
        <v>61</v>
      </c>
      <c r="B207" s="26">
        <f>COUNTIF(B$5:B$187,$A207)</f>
        <v>4</v>
      </c>
      <c r="C207" s="26">
        <f>COUNTIF(C$5:C$187,$A207)</f>
        <v>4</v>
      </c>
      <c r="D207" s="26">
        <f>COUNTIF(D$5:D$187,$A207)</f>
        <v>4</v>
      </c>
      <c r="E207" s="26">
        <f>COUNTIF(E$5:E$187,$A207)</f>
        <v>4</v>
      </c>
      <c r="F207" s="26">
        <f>COUNTIF(F$5:F$187,$A207)</f>
        <v>4</v>
      </c>
      <c r="G207" s="26">
        <f>COUNTIF(G$5:G$187,$A207)</f>
        <v>4</v>
      </c>
      <c r="H207" s="26">
        <f>COUNTIF(H$5:H$187,$A207)</f>
        <v>4</v>
      </c>
      <c r="I207" s="26">
        <f>COUNTIF(I$5:I$187,$A207)</f>
        <v>4</v>
      </c>
      <c r="J207" s="26">
        <f>COUNTIF(J$5:J$187,$A207)</f>
        <v>4</v>
      </c>
      <c r="K207" s="26">
        <f>COUNTIF(K$5:K$187,$A207)</f>
        <v>4</v>
      </c>
      <c r="L207" s="26">
        <f>COUNTIF(L$5:L$187,$A207)</f>
        <v>4</v>
      </c>
      <c r="M207" s="26">
        <f>COUNTIF(M$5:M$187,$A207)</f>
        <v>4</v>
      </c>
      <c r="N207" s="26">
        <f>COUNTIF(N$5:N$187,$A207)</f>
        <v>4</v>
      </c>
      <c r="O207" s="26">
        <f>COUNTIF(O$5:O$187,$A207)</f>
        <v>4</v>
      </c>
      <c r="P207" s="26">
        <f>COUNTIF(P$5:P$187,$A207)</f>
        <v>4</v>
      </c>
      <c r="Q207" s="28">
        <f>COUNTIF(Q$5:Q$187,$A207)</f>
        <v>5</v>
      </c>
      <c r="R207" s="28">
        <f>COUNTIF(R$5:R$187,$A207)</f>
        <v>0</v>
      </c>
      <c r="S207" s="28">
        <f>COUNTIF(S$5:S$187,$A207)</f>
        <v>5</v>
      </c>
      <c r="T207" s="28">
        <f>COUNTIF(T$5:T$187,$A207)</f>
        <v>5</v>
      </c>
      <c r="U207" s="28">
        <f>COUNTIF(U$5:U$187,$A207)</f>
        <v>6</v>
      </c>
    </row>
    <row r="208" spans="1:21" x14ac:dyDescent="0.25">
      <c r="A208" s="25" t="s">
        <v>62</v>
      </c>
      <c r="B208" s="26">
        <f>COUNTIF(B$5:B$187,$A208)</f>
        <v>4</v>
      </c>
      <c r="C208" s="26">
        <f>COUNTIF(C$5:C$187,$A208)</f>
        <v>4</v>
      </c>
      <c r="D208" s="26">
        <f>COUNTIF(D$5:D$187,$A208)</f>
        <v>4</v>
      </c>
      <c r="E208" s="26">
        <f>COUNTIF(E$5:E$187,$A208)</f>
        <v>4</v>
      </c>
      <c r="F208" s="26">
        <f>COUNTIF(F$5:F$187,$A208)</f>
        <v>4</v>
      </c>
      <c r="G208" s="26">
        <f>COUNTIF(G$5:G$187,$A208)</f>
        <v>4</v>
      </c>
      <c r="H208" s="26">
        <f>COUNTIF(H$5:H$187,$A208)</f>
        <v>4</v>
      </c>
      <c r="I208" s="26">
        <f>COUNTIF(I$5:I$187,$A208)</f>
        <v>4</v>
      </c>
      <c r="J208" s="26">
        <f>COUNTIF(J$5:J$187,$A208)</f>
        <v>4</v>
      </c>
      <c r="K208" s="26">
        <f>COUNTIF(K$5:K$187,$A208)</f>
        <v>4</v>
      </c>
      <c r="L208" s="26">
        <f>COUNTIF(L$5:L$187,$A208)</f>
        <v>4</v>
      </c>
      <c r="M208" s="26">
        <f>COUNTIF(M$5:M$187,$A208)</f>
        <v>4</v>
      </c>
      <c r="N208" s="26">
        <f>COUNTIF(N$5:N$187,$A208)</f>
        <v>4</v>
      </c>
      <c r="O208" s="26">
        <f>COUNTIF(O$5:O$187,$A208)</f>
        <v>4</v>
      </c>
      <c r="P208" s="26">
        <f>COUNTIF(P$5:P$187,$A208)</f>
        <v>4</v>
      </c>
      <c r="Q208" s="28">
        <f>COUNTIF(Q$5:Q$187,$A208)</f>
        <v>5</v>
      </c>
      <c r="R208" s="28">
        <f>COUNTIF(R$5:R$187,$A208)</f>
        <v>5</v>
      </c>
      <c r="S208" s="28">
        <f>COUNTIF(S$5:S$187,$A208)</f>
        <v>0</v>
      </c>
      <c r="T208" s="28">
        <f>COUNTIF(T$5:T$187,$A208)</f>
        <v>6</v>
      </c>
      <c r="U208" s="28">
        <f>COUNTIF(U$5:U$187,$A208)</f>
        <v>5</v>
      </c>
    </row>
    <row r="209" spans="1:21" x14ac:dyDescent="0.25">
      <c r="A209" s="25" t="s">
        <v>63</v>
      </c>
      <c r="B209" s="26">
        <f>COUNTIF(B$5:B$187,$A209)</f>
        <v>4</v>
      </c>
      <c r="C209" s="26">
        <f>COUNTIF(C$5:C$187,$A209)</f>
        <v>4</v>
      </c>
      <c r="D209" s="26">
        <f>COUNTIF(D$5:D$187,$A209)</f>
        <v>4</v>
      </c>
      <c r="E209" s="26">
        <f>COUNTIF(E$5:E$187,$A209)</f>
        <v>4</v>
      </c>
      <c r="F209" s="26">
        <f>COUNTIF(F$5:F$187,$A209)</f>
        <v>4</v>
      </c>
      <c r="G209" s="26">
        <f>COUNTIF(G$5:G$187,$A209)</f>
        <v>4</v>
      </c>
      <c r="H209" s="26">
        <f>COUNTIF(H$5:H$187,$A209)</f>
        <v>4</v>
      </c>
      <c r="I209" s="26">
        <f>COUNTIF(I$5:I$187,$A209)</f>
        <v>4</v>
      </c>
      <c r="J209" s="26">
        <f>COUNTIF(J$5:J$187,$A209)</f>
        <v>4</v>
      </c>
      <c r="K209" s="26">
        <f>COUNTIF(K$5:K$187,$A209)</f>
        <v>4</v>
      </c>
      <c r="L209" s="26">
        <f>COUNTIF(L$5:L$187,$A209)</f>
        <v>4</v>
      </c>
      <c r="M209" s="26">
        <f>COUNTIF(M$5:M$187,$A209)</f>
        <v>4</v>
      </c>
      <c r="N209" s="26">
        <f>COUNTIF(N$5:N$187,$A209)</f>
        <v>4</v>
      </c>
      <c r="O209" s="26">
        <f>COUNTIF(O$5:O$187,$A209)</f>
        <v>4</v>
      </c>
      <c r="P209" s="26">
        <f>COUNTIF(P$5:P$187,$A209)</f>
        <v>4</v>
      </c>
      <c r="Q209" s="28">
        <f>COUNTIF(Q$5:Q$187,$A209)</f>
        <v>6</v>
      </c>
      <c r="R209" s="28">
        <f>COUNTIF(R$5:R$187,$A209)</f>
        <v>5</v>
      </c>
      <c r="S209" s="28">
        <f>COUNTIF(S$5:S$187,$A209)</f>
        <v>5</v>
      </c>
      <c r="T209" s="28">
        <f>COUNTIF(T$5:T$187,$A209)</f>
        <v>0</v>
      </c>
      <c r="U209" s="28">
        <f>COUNTIF(U$5:U$187,$A209)</f>
        <v>5</v>
      </c>
    </row>
    <row r="210" spans="1:21" x14ac:dyDescent="0.25">
      <c r="A210" s="32" t="s">
        <v>64</v>
      </c>
      <c r="B210" s="30">
        <f>COUNTIF(B$5:B$187,$A210)</f>
        <v>4</v>
      </c>
      <c r="C210" s="30">
        <f>COUNTIF(C$5:C$187,$A210)</f>
        <v>4</v>
      </c>
      <c r="D210" s="30">
        <f>COUNTIF(D$5:D$187,$A210)</f>
        <v>4</v>
      </c>
      <c r="E210" s="30">
        <f>COUNTIF(E$5:E$187,$A210)</f>
        <v>4</v>
      </c>
      <c r="F210" s="30">
        <f>COUNTIF(F$5:F$187,$A210)</f>
        <v>4</v>
      </c>
      <c r="G210" s="30">
        <f>COUNTIF(G$5:G$187,$A210)</f>
        <v>4</v>
      </c>
      <c r="H210" s="30">
        <f>COUNTIF(H$5:H$187,$A210)</f>
        <v>4</v>
      </c>
      <c r="I210" s="30">
        <f>COUNTIF(I$5:I$187,$A210)</f>
        <v>4</v>
      </c>
      <c r="J210" s="30">
        <f>COUNTIF(J$5:J$187,$A210)</f>
        <v>4</v>
      </c>
      <c r="K210" s="30">
        <f>COUNTIF(K$5:K$187,$A210)</f>
        <v>4</v>
      </c>
      <c r="L210" s="30">
        <f>COUNTIF(L$5:L$187,$A210)</f>
        <v>4</v>
      </c>
      <c r="M210" s="30">
        <f>COUNTIF(M$5:M$187,$A210)</f>
        <v>4</v>
      </c>
      <c r="N210" s="30">
        <f>COUNTIF(N$5:N$187,$A210)</f>
        <v>4</v>
      </c>
      <c r="O210" s="30">
        <f>COUNTIF(O$5:O$187,$A210)</f>
        <v>4</v>
      </c>
      <c r="P210" s="30">
        <f>COUNTIF(P$5:P$187,$A210)</f>
        <v>4</v>
      </c>
      <c r="Q210" s="30">
        <f>COUNTIF(Q$5:Q$187,$A210)</f>
        <v>5</v>
      </c>
      <c r="R210" s="30">
        <f>COUNTIF(R$5:R$187,$A210)</f>
        <v>5</v>
      </c>
      <c r="S210" s="30">
        <f>COUNTIF(S$5:S$187,$A210)</f>
        <v>6</v>
      </c>
      <c r="T210" s="30">
        <f>COUNTIF(T$5:T$187,$A210)</f>
        <v>5</v>
      </c>
      <c r="U210" s="30">
        <f>COUNTIF(U$5:U$187,$A210)</f>
        <v>0</v>
      </c>
    </row>
    <row r="211" spans="1:21" x14ac:dyDescent="0.25">
      <c r="A211" s="24" t="str">
        <f>"@"&amp;A191</f>
        <v>@BBG</v>
      </c>
      <c r="B211" s="28">
        <f>COUNTIF(B$5:B$187,$A211)</f>
        <v>0</v>
      </c>
      <c r="C211" s="28">
        <f>COUNTIF(C$5:C$187,$A211)</f>
        <v>5</v>
      </c>
      <c r="D211" s="28">
        <f>COUNTIF(D$5:D$187,$A211)</f>
        <v>5</v>
      </c>
      <c r="E211" s="28">
        <f>COUNTIF(E$5:E$187,$A211)</f>
        <v>5</v>
      </c>
      <c r="F211" s="28">
        <f>COUNTIF(F$5:F$187,$A211)</f>
        <v>6</v>
      </c>
      <c r="G211" s="26">
        <f>COUNTIF(G$5:G$187,$A211)</f>
        <v>4</v>
      </c>
      <c r="H211" s="26">
        <f>COUNTIF(H$5:H$187,$A211)</f>
        <v>4</v>
      </c>
      <c r="I211" s="26">
        <f>COUNTIF(I$5:I$187,$A211)</f>
        <v>4</v>
      </c>
      <c r="J211" s="26">
        <f>COUNTIF(J$5:J$187,$A211)</f>
        <v>4</v>
      </c>
      <c r="K211" s="26">
        <f>COUNTIF(K$5:K$187,$A211)</f>
        <v>4</v>
      </c>
      <c r="L211" s="26">
        <f>COUNTIF(L$5:L$187,$A211)</f>
        <v>4</v>
      </c>
      <c r="M211" s="26">
        <f>COUNTIF(M$5:M$187,$A211)</f>
        <v>4</v>
      </c>
      <c r="N211" s="26">
        <f>COUNTIF(N$5:N$187,$A211)</f>
        <v>4</v>
      </c>
      <c r="O211" s="26">
        <f>COUNTIF(O$5:O$187,$A211)</f>
        <v>4</v>
      </c>
      <c r="P211" s="26">
        <f>COUNTIF(P$5:P$187,$A211)</f>
        <v>4</v>
      </c>
      <c r="Q211" s="26">
        <f>COUNTIF(Q$5:Q$187,$A211)</f>
        <v>4</v>
      </c>
      <c r="R211" s="26">
        <f>COUNTIF(R$5:R$187,$A211)</f>
        <v>4</v>
      </c>
      <c r="S211" s="26">
        <f>COUNTIF(S$5:S$187,$A211)</f>
        <v>4</v>
      </c>
      <c r="T211" s="26">
        <f>COUNTIF(T$5:T$187,$A211)</f>
        <v>4</v>
      </c>
      <c r="U211" s="26">
        <f>COUNTIF(U$5:U$187,$A211)</f>
        <v>4</v>
      </c>
    </row>
    <row r="212" spans="1:21" x14ac:dyDescent="0.25">
      <c r="A212" s="24" t="str">
        <f t="shared" ref="A212:A230" si="5">"@"&amp;A192</f>
        <v>@BAR</v>
      </c>
      <c r="B212" s="28">
        <f>COUNTIF(B$5:B$187,$A212)</f>
        <v>6</v>
      </c>
      <c r="C212" s="28">
        <f>COUNTIF(C$5:C$187,$A212)</f>
        <v>0</v>
      </c>
      <c r="D212" s="28">
        <f>COUNTIF(D$5:D$187,$A212)</f>
        <v>5</v>
      </c>
      <c r="E212" s="28">
        <f>COUNTIF(E$5:E$187,$A212)</f>
        <v>5</v>
      </c>
      <c r="F212" s="28">
        <f>COUNTIF(F$5:F$187,$A212)</f>
        <v>5</v>
      </c>
      <c r="G212" s="26">
        <f>COUNTIF(G$5:G$187,$A212)</f>
        <v>4</v>
      </c>
      <c r="H212" s="26">
        <f>COUNTIF(H$5:H$187,$A212)</f>
        <v>4</v>
      </c>
      <c r="I212" s="26">
        <f>COUNTIF(I$5:I$187,$A212)</f>
        <v>4</v>
      </c>
      <c r="J212" s="26">
        <f>COUNTIF(J$5:J$187,$A212)</f>
        <v>4</v>
      </c>
      <c r="K212" s="26">
        <f>COUNTIF(K$5:K$187,$A212)</f>
        <v>4</v>
      </c>
      <c r="L212" s="26">
        <f>COUNTIF(L$5:L$187,$A212)</f>
        <v>4</v>
      </c>
      <c r="M212" s="26">
        <f>COUNTIF(M$5:M$187,$A212)</f>
        <v>4</v>
      </c>
      <c r="N212" s="26">
        <f>COUNTIF(N$5:N$187,$A212)</f>
        <v>4</v>
      </c>
      <c r="O212" s="26">
        <f>COUNTIF(O$5:O$187,$A212)</f>
        <v>4</v>
      </c>
      <c r="P212" s="26">
        <f>COUNTIF(P$5:P$187,$A212)</f>
        <v>4</v>
      </c>
      <c r="Q212" s="26">
        <f>COUNTIF(Q$5:Q$187,$A212)</f>
        <v>4</v>
      </c>
      <c r="R212" s="26">
        <f>COUNTIF(R$5:R$187,$A212)</f>
        <v>4</v>
      </c>
      <c r="S212" s="26">
        <f>COUNTIF(S$5:S$187,$A212)</f>
        <v>4</v>
      </c>
      <c r="T212" s="26">
        <f>COUNTIF(T$5:T$187,$A212)</f>
        <v>4</v>
      </c>
      <c r="U212" s="26">
        <f>COUNTIF(U$5:U$187,$A212)</f>
        <v>4</v>
      </c>
    </row>
    <row r="213" spans="1:21" x14ac:dyDescent="0.25">
      <c r="A213" s="24" t="str">
        <f t="shared" si="5"/>
        <v>@CTW</v>
      </c>
      <c r="B213" s="28">
        <f>COUNTIF(B$5:B$187,$A213)</f>
        <v>5</v>
      </c>
      <c r="C213" s="28">
        <f>COUNTIF(C$5:C$187,$A213)</f>
        <v>6</v>
      </c>
      <c r="D213" s="28">
        <f>COUNTIF(D$5:D$187,$A213)</f>
        <v>0</v>
      </c>
      <c r="E213" s="28">
        <f>COUNTIF(E$5:E$187,$A213)</f>
        <v>5</v>
      </c>
      <c r="F213" s="28">
        <f>COUNTIF(F$5:F$187,$A213)</f>
        <v>5</v>
      </c>
      <c r="G213" s="26">
        <f>COUNTIF(G$5:G$187,$A213)</f>
        <v>4</v>
      </c>
      <c r="H213" s="26">
        <f>COUNTIF(H$5:H$187,$A213)</f>
        <v>4</v>
      </c>
      <c r="I213" s="26">
        <f>COUNTIF(I$5:I$187,$A213)</f>
        <v>4</v>
      </c>
      <c r="J213" s="26">
        <f>COUNTIF(J$5:J$187,$A213)</f>
        <v>4</v>
      </c>
      <c r="K213" s="26">
        <f>COUNTIF(K$5:K$187,$A213)</f>
        <v>4</v>
      </c>
      <c r="L213" s="26">
        <f>COUNTIF(L$5:L$187,$A213)</f>
        <v>4</v>
      </c>
      <c r="M213" s="26">
        <f>COUNTIF(M$5:M$187,$A213)</f>
        <v>4</v>
      </c>
      <c r="N213" s="26">
        <f>COUNTIF(N$5:N$187,$A213)</f>
        <v>4</v>
      </c>
      <c r="O213" s="26">
        <f>COUNTIF(O$5:O$187,$A213)</f>
        <v>4</v>
      </c>
      <c r="P213" s="26">
        <f>COUNTIF(P$5:P$187,$A213)</f>
        <v>4</v>
      </c>
      <c r="Q213" s="26">
        <f>COUNTIF(Q$5:Q$187,$A213)</f>
        <v>4</v>
      </c>
      <c r="R213" s="26">
        <f>COUNTIF(R$5:R$187,$A213)</f>
        <v>4</v>
      </c>
      <c r="S213" s="26">
        <f>COUNTIF(S$5:S$187,$A213)</f>
        <v>4</v>
      </c>
      <c r="T213" s="26">
        <f>COUNTIF(T$5:T$187,$A213)</f>
        <v>4</v>
      </c>
      <c r="U213" s="26">
        <f>COUNTIF(U$5:U$187,$A213)</f>
        <v>4</v>
      </c>
    </row>
    <row r="214" spans="1:21" x14ac:dyDescent="0.25">
      <c r="A214" s="24" t="str">
        <f t="shared" si="5"/>
        <v>@CIN</v>
      </c>
      <c r="B214" s="28">
        <f>COUNTIF(B$5:B$187,$A214)</f>
        <v>5</v>
      </c>
      <c r="C214" s="28">
        <f>COUNTIF(C$5:C$187,$A214)</f>
        <v>5</v>
      </c>
      <c r="D214" s="28">
        <f>COUNTIF(D$5:D$187,$A214)</f>
        <v>6</v>
      </c>
      <c r="E214" s="28">
        <f>COUNTIF(E$5:E$187,$A214)</f>
        <v>0</v>
      </c>
      <c r="F214" s="28">
        <f>COUNTIF(F$5:F$187,$A214)</f>
        <v>5</v>
      </c>
      <c r="G214" s="26">
        <f>COUNTIF(G$5:G$187,$A214)</f>
        <v>4</v>
      </c>
      <c r="H214" s="26">
        <f>COUNTIF(H$5:H$187,$A214)</f>
        <v>4</v>
      </c>
      <c r="I214" s="26">
        <f>COUNTIF(I$5:I$187,$A214)</f>
        <v>4</v>
      </c>
      <c r="J214" s="26">
        <f>COUNTIF(J$5:J$187,$A214)</f>
        <v>4</v>
      </c>
      <c r="K214" s="26">
        <f>COUNTIF(K$5:K$187,$A214)</f>
        <v>4</v>
      </c>
      <c r="L214" s="26">
        <f>COUNTIF(L$5:L$187,$A214)</f>
        <v>4</v>
      </c>
      <c r="M214" s="26">
        <f>COUNTIF(M$5:M$187,$A214)</f>
        <v>4</v>
      </c>
      <c r="N214" s="26">
        <f>COUNTIF(N$5:N$187,$A214)</f>
        <v>4</v>
      </c>
      <c r="O214" s="26">
        <f>COUNTIF(O$5:O$187,$A214)</f>
        <v>4</v>
      </c>
      <c r="P214" s="26">
        <f>COUNTIF(P$5:P$187,$A214)</f>
        <v>4</v>
      </c>
      <c r="Q214" s="26">
        <f>COUNTIF(Q$5:Q$187,$A214)</f>
        <v>4</v>
      </c>
      <c r="R214" s="26">
        <f>COUNTIF(R$5:R$187,$A214)</f>
        <v>4</v>
      </c>
      <c r="S214" s="26">
        <f>COUNTIF(S$5:S$187,$A214)</f>
        <v>4</v>
      </c>
      <c r="T214" s="26">
        <f>COUNTIF(T$5:T$187,$A214)</f>
        <v>4</v>
      </c>
      <c r="U214" s="26">
        <f>COUNTIF(U$5:U$187,$A214)</f>
        <v>4</v>
      </c>
    </row>
    <row r="215" spans="1:21" x14ac:dyDescent="0.25">
      <c r="A215" s="29" t="str">
        <f t="shared" si="5"/>
        <v>@GAR</v>
      </c>
      <c r="B215" s="30">
        <f>COUNTIF(B$5:B$187,$A215)</f>
        <v>5</v>
      </c>
      <c r="C215" s="30">
        <f>COUNTIF(C$5:C$187,$A215)</f>
        <v>5</v>
      </c>
      <c r="D215" s="30">
        <f>COUNTIF(D$5:D$187,$A215)</f>
        <v>5</v>
      </c>
      <c r="E215" s="30">
        <f>COUNTIF(E$5:E$187,$A215)</f>
        <v>6</v>
      </c>
      <c r="F215" s="30">
        <f>COUNTIF(F$5:F$187,$A215)</f>
        <v>0</v>
      </c>
      <c r="G215" s="30">
        <f>COUNTIF(G$5:G$187,$A215)</f>
        <v>4</v>
      </c>
      <c r="H215" s="30">
        <f>COUNTIF(H$5:H$187,$A215)</f>
        <v>4</v>
      </c>
      <c r="I215" s="30">
        <f>COUNTIF(I$5:I$187,$A215)</f>
        <v>4</v>
      </c>
      <c r="J215" s="30">
        <f>COUNTIF(J$5:J$187,$A215)</f>
        <v>4</v>
      </c>
      <c r="K215" s="30">
        <f>COUNTIF(K$5:K$187,$A215)</f>
        <v>4</v>
      </c>
      <c r="L215" s="30">
        <f>COUNTIF(L$5:L$187,$A215)</f>
        <v>4</v>
      </c>
      <c r="M215" s="30">
        <f>COUNTIF(M$5:M$187,$A215)</f>
        <v>4</v>
      </c>
      <c r="N215" s="30">
        <f>COUNTIF(N$5:N$187,$A215)</f>
        <v>4</v>
      </c>
      <c r="O215" s="30">
        <f>COUNTIF(O$5:O$187,$A215)</f>
        <v>4</v>
      </c>
      <c r="P215" s="30">
        <f>COUNTIF(P$5:P$187,$A215)</f>
        <v>4</v>
      </c>
      <c r="Q215" s="30">
        <f>COUNTIF(Q$5:Q$187,$A215)</f>
        <v>4</v>
      </c>
      <c r="R215" s="30">
        <f>COUNTIF(R$5:R$187,$A215)</f>
        <v>4</v>
      </c>
      <c r="S215" s="30">
        <f>COUNTIF(S$5:S$187,$A215)</f>
        <v>4</v>
      </c>
      <c r="T215" s="30">
        <f>COUNTIF(T$5:T$187,$A215)</f>
        <v>4</v>
      </c>
      <c r="U215" s="30">
        <f>COUNTIF(U$5:U$187,$A215)</f>
        <v>4</v>
      </c>
    </row>
    <row r="216" spans="1:21" x14ac:dyDescent="0.25">
      <c r="A216" s="24" t="str">
        <f t="shared" si="5"/>
        <v>@CEN</v>
      </c>
      <c r="B216" s="26">
        <f>COUNTIF(B$5:B$187,$A216)</f>
        <v>4</v>
      </c>
      <c r="C216" s="26">
        <f>COUNTIF(C$5:C$187,$A216)</f>
        <v>4</v>
      </c>
      <c r="D216" s="26">
        <f>COUNTIF(D$5:D$187,$A216)</f>
        <v>4</v>
      </c>
      <c r="E216" s="26">
        <f>COUNTIF(E$5:E$187,$A216)</f>
        <v>4</v>
      </c>
      <c r="F216" s="26">
        <f>COUNTIF(F$5:F$187,$A216)</f>
        <v>4</v>
      </c>
      <c r="G216" s="54">
        <f>COUNTIF(G$5:G$187,$A216)</f>
        <v>0</v>
      </c>
      <c r="H216" s="54">
        <f>COUNTIF(H$5:H$187,$A216)</f>
        <v>6</v>
      </c>
      <c r="I216" s="54">
        <f>COUNTIF(I$5:I$187,$A216)</f>
        <v>5</v>
      </c>
      <c r="J216" s="54">
        <f>COUNTIF(J$5:J$187,$A216)</f>
        <v>5</v>
      </c>
      <c r="K216" s="54">
        <f>COUNTIF(K$5:K$187,$A216)</f>
        <v>5</v>
      </c>
      <c r="L216" s="26">
        <f>COUNTIF(L$5:L$187,$A216)</f>
        <v>4</v>
      </c>
      <c r="M216" s="26">
        <f>COUNTIF(M$5:M$187,$A216)</f>
        <v>4</v>
      </c>
      <c r="N216" s="26">
        <f>COUNTIF(N$5:N$187,$A216)</f>
        <v>4</v>
      </c>
      <c r="O216" s="26">
        <f>COUNTIF(O$5:O$187,$A216)</f>
        <v>4</v>
      </c>
      <c r="P216" s="26">
        <f>COUNTIF(P$5:P$187,$A216)</f>
        <v>4</v>
      </c>
      <c r="Q216" s="26">
        <f>COUNTIF(Q$5:Q$187,$A216)</f>
        <v>4</v>
      </c>
      <c r="R216" s="26">
        <f>COUNTIF(R$5:R$187,$A216)</f>
        <v>4</v>
      </c>
      <c r="S216" s="26">
        <f>COUNTIF(S$5:S$187,$A216)</f>
        <v>4</v>
      </c>
      <c r="T216" s="26">
        <f>COUNTIF(T$5:T$187,$A216)</f>
        <v>4</v>
      </c>
      <c r="U216" s="26">
        <f>COUNTIF(U$5:U$187,$A216)</f>
        <v>4</v>
      </c>
    </row>
    <row r="217" spans="1:21" x14ac:dyDescent="0.25">
      <c r="A217" s="24" t="str">
        <f t="shared" si="5"/>
        <v>@FDH</v>
      </c>
      <c r="B217" s="26">
        <f>COUNTIF(B$5:B$187,$A217)</f>
        <v>4</v>
      </c>
      <c r="C217" s="26">
        <f>COUNTIF(C$5:C$187,$A217)</f>
        <v>4</v>
      </c>
      <c r="D217" s="26">
        <f>COUNTIF(D$5:D$187,$A217)</f>
        <v>4</v>
      </c>
      <c r="E217" s="26">
        <f>COUNTIF(E$5:E$187,$A217)</f>
        <v>4</v>
      </c>
      <c r="F217" s="26">
        <f>COUNTIF(F$5:F$187,$A217)</f>
        <v>4</v>
      </c>
      <c r="G217" s="54">
        <f>COUNTIF(G$5:G$187,$A217)</f>
        <v>6</v>
      </c>
      <c r="H217" s="54">
        <f>COUNTIF(H$5:H$187,$A217)</f>
        <v>0</v>
      </c>
      <c r="I217" s="54">
        <f>COUNTIF(I$5:I$187,$A217)</f>
        <v>5</v>
      </c>
      <c r="J217" s="54">
        <f>COUNTIF(J$5:J$187,$A217)</f>
        <v>5</v>
      </c>
      <c r="K217" s="54">
        <f>COUNTIF(K$5:K$187,$A217)</f>
        <v>5</v>
      </c>
      <c r="L217" s="26">
        <f>COUNTIF(L$5:L$187,$A217)</f>
        <v>4</v>
      </c>
      <c r="M217" s="26">
        <f>COUNTIF(M$5:M$187,$A217)</f>
        <v>4</v>
      </c>
      <c r="N217" s="26">
        <f>COUNTIF(N$5:N$187,$A217)</f>
        <v>4</v>
      </c>
      <c r="O217" s="26">
        <f>COUNTIF(O$5:O$187,$A217)</f>
        <v>4</v>
      </c>
      <c r="P217" s="26">
        <f>COUNTIF(P$5:P$187,$A217)</f>
        <v>4</v>
      </c>
      <c r="Q217" s="26">
        <f>COUNTIF(Q$5:Q$187,$A217)</f>
        <v>4</v>
      </c>
      <c r="R217" s="26">
        <f>COUNTIF(R$5:R$187,$A217)</f>
        <v>4</v>
      </c>
      <c r="S217" s="26">
        <f>COUNTIF(S$5:S$187,$A217)</f>
        <v>4</v>
      </c>
      <c r="T217" s="26">
        <f>COUNTIF(T$5:T$187,$A217)</f>
        <v>4</v>
      </c>
      <c r="U217" s="26">
        <f>COUNTIF(U$5:U$187,$A217)</f>
        <v>4</v>
      </c>
    </row>
    <row r="218" spans="1:21" x14ac:dyDescent="0.25">
      <c r="A218" s="24" t="str">
        <f t="shared" si="5"/>
        <v>@NEP</v>
      </c>
      <c r="B218" s="26">
        <f>COUNTIF(B$5:B$187,$A218)</f>
        <v>4</v>
      </c>
      <c r="C218" s="26">
        <f>COUNTIF(C$5:C$187,$A218)</f>
        <v>4</v>
      </c>
      <c r="D218" s="26">
        <f>COUNTIF(D$5:D$187,$A218)</f>
        <v>4</v>
      </c>
      <c r="E218" s="26">
        <f>COUNTIF(E$5:E$187,$A218)</f>
        <v>4</v>
      </c>
      <c r="F218" s="26">
        <f>COUNTIF(F$5:F$187,$A218)</f>
        <v>4</v>
      </c>
      <c r="G218" s="54">
        <f>COUNTIF(G$5:G$187,$A218)</f>
        <v>5</v>
      </c>
      <c r="H218" s="54">
        <f>COUNTIF(H$5:H$187,$A218)</f>
        <v>5</v>
      </c>
      <c r="I218" s="54">
        <f>COUNTIF(I$5:I$187,$A218)</f>
        <v>0</v>
      </c>
      <c r="J218" s="54">
        <f>COUNTIF(J$5:J$187,$A218)</f>
        <v>5</v>
      </c>
      <c r="K218" s="54">
        <f>COUNTIF(K$5:K$187,$A218)</f>
        <v>6</v>
      </c>
      <c r="L218" s="26">
        <f>COUNTIF(L$5:L$187,$A218)</f>
        <v>4</v>
      </c>
      <c r="M218" s="26">
        <f>COUNTIF(M$5:M$187,$A218)</f>
        <v>4</v>
      </c>
      <c r="N218" s="26">
        <f>COUNTIF(N$5:N$187,$A218)</f>
        <v>4</v>
      </c>
      <c r="O218" s="26">
        <f>COUNTIF(O$5:O$187,$A218)</f>
        <v>4</v>
      </c>
      <c r="P218" s="26">
        <f>COUNTIF(P$5:P$187,$A218)</f>
        <v>4</v>
      </c>
      <c r="Q218" s="26">
        <f>COUNTIF(Q$5:Q$187,$A218)</f>
        <v>4</v>
      </c>
      <c r="R218" s="26">
        <f>COUNTIF(R$5:R$187,$A218)</f>
        <v>4</v>
      </c>
      <c r="S218" s="26">
        <f>COUNTIF(S$5:S$187,$A218)</f>
        <v>4</v>
      </c>
      <c r="T218" s="26">
        <f>COUNTIF(T$5:T$187,$A218)</f>
        <v>4</v>
      </c>
      <c r="U218" s="26">
        <f>COUNTIF(U$5:U$187,$A218)</f>
        <v>4</v>
      </c>
    </row>
    <row r="219" spans="1:21" x14ac:dyDescent="0.25">
      <c r="A219" s="24" t="str">
        <f t="shared" si="5"/>
        <v>@REN</v>
      </c>
      <c r="B219" s="26">
        <f>COUNTIF(B$5:B$187,$A219)</f>
        <v>4</v>
      </c>
      <c r="C219" s="26">
        <f>COUNTIF(C$5:C$187,$A219)</f>
        <v>4</v>
      </c>
      <c r="D219" s="26">
        <f>COUNTIF(D$5:D$187,$A219)</f>
        <v>4</v>
      </c>
      <c r="E219" s="26">
        <f>COUNTIF(E$5:E$187,$A219)</f>
        <v>4</v>
      </c>
      <c r="F219" s="26">
        <f>COUNTIF(F$5:F$187,$A219)</f>
        <v>4</v>
      </c>
      <c r="G219" s="54">
        <f>COUNTIF(G$5:G$187,$A219)</f>
        <v>5</v>
      </c>
      <c r="H219" s="54">
        <f>COUNTIF(H$5:H$187,$A219)</f>
        <v>5</v>
      </c>
      <c r="I219" s="54">
        <f>COUNTIF(I$5:I$187,$A219)</f>
        <v>6</v>
      </c>
      <c r="J219" s="54">
        <f>COUNTIF(J$5:J$187,$A219)</f>
        <v>0</v>
      </c>
      <c r="K219" s="54">
        <f>COUNTIF(K$5:K$187,$A219)</f>
        <v>5</v>
      </c>
      <c r="L219" s="26">
        <f>COUNTIF(L$5:L$187,$A219)</f>
        <v>4</v>
      </c>
      <c r="M219" s="26">
        <f>COUNTIF(M$5:M$187,$A219)</f>
        <v>4</v>
      </c>
      <c r="N219" s="26">
        <f>COUNTIF(N$5:N$187,$A219)</f>
        <v>4</v>
      </c>
      <c r="O219" s="26">
        <f>COUNTIF(O$5:O$187,$A219)</f>
        <v>4</v>
      </c>
      <c r="P219" s="26">
        <f>COUNTIF(P$5:P$187,$A219)</f>
        <v>4</v>
      </c>
      <c r="Q219" s="26">
        <f>COUNTIF(Q$5:Q$187,$A219)</f>
        <v>4</v>
      </c>
      <c r="R219" s="26">
        <f>COUNTIF(R$5:R$187,$A219)</f>
        <v>4</v>
      </c>
      <c r="S219" s="26">
        <f>COUNTIF(S$5:S$187,$A219)</f>
        <v>4</v>
      </c>
      <c r="T219" s="26">
        <f>COUNTIF(T$5:T$187,$A219)</f>
        <v>4</v>
      </c>
      <c r="U219" s="26">
        <f>COUNTIF(U$5:U$187,$A219)</f>
        <v>4</v>
      </c>
    </row>
    <row r="220" spans="1:21" x14ac:dyDescent="0.25">
      <c r="A220" s="29" t="str">
        <f t="shared" si="5"/>
        <v>@TEW</v>
      </c>
      <c r="B220" s="30">
        <f>COUNTIF(B$5:B$187,$A220)</f>
        <v>4</v>
      </c>
      <c r="C220" s="30">
        <f>COUNTIF(C$5:C$187,$A220)</f>
        <v>4</v>
      </c>
      <c r="D220" s="30">
        <f>COUNTIF(D$5:D$187,$A220)</f>
        <v>4</v>
      </c>
      <c r="E220" s="30">
        <f>COUNTIF(E$5:E$187,$A220)</f>
        <v>4</v>
      </c>
      <c r="F220" s="30">
        <f>COUNTIF(F$5:F$187,$A220)</f>
        <v>4</v>
      </c>
      <c r="G220" s="55">
        <f>COUNTIF(G$5:G$187,$A220)</f>
        <v>5</v>
      </c>
      <c r="H220" s="55">
        <f>COUNTIF(H$5:H$187,$A220)</f>
        <v>5</v>
      </c>
      <c r="I220" s="55">
        <f>COUNTIF(I$5:I$187,$A220)</f>
        <v>5</v>
      </c>
      <c r="J220" s="55">
        <f>COUNTIF(J$5:J$187,$A220)</f>
        <v>6</v>
      </c>
      <c r="K220" s="55">
        <f>COUNTIF(K$5:K$187,$A220)</f>
        <v>0</v>
      </c>
      <c r="L220" s="30">
        <f>COUNTIF(L$5:L$187,$A220)</f>
        <v>4</v>
      </c>
      <c r="M220" s="30">
        <f>COUNTIF(M$5:M$187,$A220)</f>
        <v>4</v>
      </c>
      <c r="N220" s="30">
        <f>COUNTIF(N$5:N$187,$A220)</f>
        <v>4</v>
      </c>
      <c r="O220" s="30">
        <f>COUNTIF(O$5:O$187,$A220)</f>
        <v>4</v>
      </c>
      <c r="P220" s="30">
        <f>COUNTIF(P$5:P$187,$A220)</f>
        <v>4</v>
      </c>
      <c r="Q220" s="30">
        <f>COUNTIF(Q$5:Q$187,$A220)</f>
        <v>4</v>
      </c>
      <c r="R220" s="30">
        <f>COUNTIF(R$5:R$187,$A220)</f>
        <v>4</v>
      </c>
      <c r="S220" s="30">
        <f>COUNTIF(S$5:S$187,$A220)</f>
        <v>4</v>
      </c>
      <c r="T220" s="30">
        <f>COUNTIF(T$5:T$187,$A220)</f>
        <v>4</v>
      </c>
      <c r="U220" s="30">
        <f>COUNTIF(U$5:U$187,$A220)</f>
        <v>4</v>
      </c>
    </row>
    <row r="221" spans="1:21" x14ac:dyDescent="0.25">
      <c r="A221" s="24" t="str">
        <f t="shared" si="5"/>
        <v>@DIG</v>
      </c>
      <c r="B221" s="26">
        <f>COUNTIF(B$5:B$187,$A221)</f>
        <v>4</v>
      </c>
      <c r="C221" s="26">
        <f>COUNTIF(C$5:C$187,$A221)</f>
        <v>4</v>
      </c>
      <c r="D221" s="26">
        <f>COUNTIF(D$5:D$187,$A221)</f>
        <v>4</v>
      </c>
      <c r="E221" s="26">
        <f>COUNTIF(E$5:E$187,$A221)</f>
        <v>4</v>
      </c>
      <c r="F221" s="26">
        <f>COUNTIF(F$5:F$187,$A221)</f>
        <v>4</v>
      </c>
      <c r="G221" s="26">
        <f>COUNTIF(G$5:G$187,$A221)</f>
        <v>4</v>
      </c>
      <c r="H221" s="26">
        <f>COUNTIF(H$5:H$187,$A221)</f>
        <v>4</v>
      </c>
      <c r="I221" s="26">
        <f>COUNTIF(I$5:I$187,$A221)</f>
        <v>4</v>
      </c>
      <c r="J221" s="26">
        <f>COUNTIF(J$5:J$187,$A221)</f>
        <v>4</v>
      </c>
      <c r="K221" s="26">
        <f>COUNTIF(K$5:K$187,$A221)</f>
        <v>4</v>
      </c>
      <c r="L221" s="28">
        <f>COUNTIF(L$5:L$187,$A221)</f>
        <v>0</v>
      </c>
      <c r="M221" s="28">
        <f>COUNTIF(M$5:M$187,$A221)</f>
        <v>5</v>
      </c>
      <c r="N221" s="28">
        <f>COUNTIF(N$5:N$187,$A221)</f>
        <v>5</v>
      </c>
      <c r="O221" s="28">
        <f>COUNTIF(O$5:O$187,$A221)</f>
        <v>6</v>
      </c>
      <c r="P221" s="28">
        <f>COUNTIF(P$5:P$187,$A221)</f>
        <v>5</v>
      </c>
      <c r="Q221" s="26">
        <f>COUNTIF(Q$5:Q$187,$A221)</f>
        <v>4</v>
      </c>
      <c r="R221" s="26">
        <f>COUNTIF(R$5:R$187,$A221)</f>
        <v>4</v>
      </c>
      <c r="S221" s="26">
        <f>COUNTIF(S$5:S$187,$A221)</f>
        <v>4</v>
      </c>
      <c r="T221" s="26">
        <f>COUNTIF(T$5:T$187,$A221)</f>
        <v>4</v>
      </c>
      <c r="U221" s="26">
        <f>COUNTIF(U$5:U$187,$A221)</f>
        <v>4</v>
      </c>
    </row>
    <row r="222" spans="1:21" x14ac:dyDescent="0.25">
      <c r="A222" s="24" t="str">
        <f t="shared" si="5"/>
        <v>@FFR</v>
      </c>
      <c r="B222" s="26">
        <f>COUNTIF(B$5:B$187,$A222)</f>
        <v>4</v>
      </c>
      <c r="C222" s="26">
        <f>COUNTIF(C$5:C$187,$A222)</f>
        <v>4</v>
      </c>
      <c r="D222" s="26">
        <f>COUNTIF(D$5:D$187,$A222)</f>
        <v>4</v>
      </c>
      <c r="E222" s="26">
        <f>COUNTIF(E$5:E$187,$A222)</f>
        <v>4</v>
      </c>
      <c r="F222" s="26">
        <f>COUNTIF(F$5:F$187,$A222)</f>
        <v>4</v>
      </c>
      <c r="G222" s="26">
        <f>COUNTIF(G$5:G$187,$A222)</f>
        <v>4</v>
      </c>
      <c r="H222" s="26">
        <f>COUNTIF(H$5:H$187,$A222)</f>
        <v>4</v>
      </c>
      <c r="I222" s="26">
        <f>COUNTIF(I$5:I$187,$A222)</f>
        <v>4</v>
      </c>
      <c r="J222" s="26">
        <f>COUNTIF(J$5:J$187,$A222)</f>
        <v>4</v>
      </c>
      <c r="K222" s="26">
        <f>COUNTIF(K$5:K$187,$A222)</f>
        <v>4</v>
      </c>
      <c r="L222" s="28">
        <f>COUNTIF(L$5:L$187,$A222)</f>
        <v>6</v>
      </c>
      <c r="M222" s="28">
        <f>COUNTIF(M$5:M$187,$A222)</f>
        <v>0</v>
      </c>
      <c r="N222" s="28">
        <f>COUNTIF(N$5:N$187,$A222)</f>
        <v>5</v>
      </c>
      <c r="O222" s="28">
        <f>COUNTIF(O$5:O$187,$A222)</f>
        <v>5</v>
      </c>
      <c r="P222" s="28">
        <f>COUNTIF(P$5:P$187,$A222)</f>
        <v>5</v>
      </c>
      <c r="Q222" s="26">
        <f>COUNTIF(Q$5:Q$187,$A222)</f>
        <v>4</v>
      </c>
      <c r="R222" s="26">
        <f>COUNTIF(R$5:R$187,$A222)</f>
        <v>4</v>
      </c>
      <c r="S222" s="26">
        <f>COUNTIF(S$5:S$187,$A222)</f>
        <v>4</v>
      </c>
      <c r="T222" s="26">
        <f>COUNTIF(T$5:T$187,$A222)</f>
        <v>4</v>
      </c>
      <c r="U222" s="26">
        <f>COUNTIF(U$5:U$187,$A222)</f>
        <v>4</v>
      </c>
    </row>
    <row r="223" spans="1:21" x14ac:dyDescent="0.25">
      <c r="A223" s="24" t="str">
        <f t="shared" si="5"/>
        <v>@NNN</v>
      </c>
      <c r="B223" s="26">
        <f>COUNTIF(B$5:B$187,$A223)</f>
        <v>4</v>
      </c>
      <c r="C223" s="26">
        <f>COUNTIF(C$5:C$187,$A223)</f>
        <v>4</v>
      </c>
      <c r="D223" s="26">
        <f>COUNTIF(D$5:D$187,$A223)</f>
        <v>4</v>
      </c>
      <c r="E223" s="26">
        <f>COUNTIF(E$5:E$187,$A223)</f>
        <v>4</v>
      </c>
      <c r="F223" s="26">
        <f>COUNTIF(F$5:F$187,$A223)</f>
        <v>4</v>
      </c>
      <c r="G223" s="26">
        <f>COUNTIF(G$5:G$187,$A223)</f>
        <v>4</v>
      </c>
      <c r="H223" s="26">
        <f>COUNTIF(H$5:H$187,$A223)</f>
        <v>4</v>
      </c>
      <c r="I223" s="26">
        <f>COUNTIF(I$5:I$187,$A223)</f>
        <v>4</v>
      </c>
      <c r="J223" s="26">
        <f>COUNTIF(J$5:J$187,$A223)</f>
        <v>4</v>
      </c>
      <c r="K223" s="26">
        <f>COUNTIF(K$5:K$187,$A223)</f>
        <v>4</v>
      </c>
      <c r="L223" s="28">
        <f>COUNTIF(L$5:L$187,$A223)</f>
        <v>5</v>
      </c>
      <c r="M223" s="28">
        <f>COUNTIF(M$5:M$187,$A223)</f>
        <v>5</v>
      </c>
      <c r="N223" s="28">
        <f>COUNTIF(N$5:N$187,$A223)</f>
        <v>0</v>
      </c>
      <c r="O223" s="28">
        <f>COUNTIF(O$5:O$187,$A223)</f>
        <v>5</v>
      </c>
      <c r="P223" s="28">
        <f>COUNTIF(P$5:P$187,$A223)</f>
        <v>6</v>
      </c>
      <c r="Q223" s="26">
        <f>COUNTIF(Q$5:Q$187,$A223)</f>
        <v>4</v>
      </c>
      <c r="R223" s="26">
        <f>COUNTIF(R$5:R$187,$A223)</f>
        <v>4</v>
      </c>
      <c r="S223" s="26">
        <f>COUNTIF(S$5:S$187,$A223)</f>
        <v>4</v>
      </c>
      <c r="T223" s="26">
        <f>COUNTIF(T$5:T$187,$A223)</f>
        <v>4</v>
      </c>
      <c r="U223" s="26">
        <f>COUNTIF(U$5:U$187,$A223)</f>
        <v>4</v>
      </c>
    </row>
    <row r="224" spans="1:21" x14ac:dyDescent="0.25">
      <c r="A224" s="24" t="str">
        <f t="shared" si="5"/>
        <v>@OKO</v>
      </c>
      <c r="B224" s="26">
        <f>COUNTIF(B$5:B$187,$A224)</f>
        <v>4</v>
      </c>
      <c r="C224" s="26">
        <f>COUNTIF(C$5:C$187,$A224)</f>
        <v>4</v>
      </c>
      <c r="D224" s="26">
        <f>COUNTIF(D$5:D$187,$A224)</f>
        <v>4</v>
      </c>
      <c r="E224" s="26">
        <f>COUNTIF(E$5:E$187,$A224)</f>
        <v>4</v>
      </c>
      <c r="F224" s="26">
        <f>COUNTIF(F$5:F$187,$A224)</f>
        <v>4</v>
      </c>
      <c r="G224" s="26">
        <f>COUNTIF(G$5:G$187,$A224)</f>
        <v>4</v>
      </c>
      <c r="H224" s="26">
        <f>COUNTIF(H$5:H$187,$A224)</f>
        <v>4</v>
      </c>
      <c r="I224" s="26">
        <f>COUNTIF(I$5:I$187,$A224)</f>
        <v>4</v>
      </c>
      <c r="J224" s="26">
        <f>COUNTIF(J$5:J$187,$A224)</f>
        <v>4</v>
      </c>
      <c r="K224" s="26">
        <f>COUNTIF(K$5:K$187,$A224)</f>
        <v>4</v>
      </c>
      <c r="L224" s="28">
        <f>COUNTIF(L$5:L$187,$A224)</f>
        <v>5</v>
      </c>
      <c r="M224" s="28">
        <f>COUNTIF(M$5:M$187,$A224)</f>
        <v>5</v>
      </c>
      <c r="N224" s="28">
        <f>COUNTIF(N$5:N$187,$A224)</f>
        <v>6</v>
      </c>
      <c r="O224" s="28">
        <f>COUNTIF(O$5:O$187,$A224)</f>
        <v>0</v>
      </c>
      <c r="P224" s="28">
        <f>COUNTIF(P$5:P$187,$A224)</f>
        <v>5</v>
      </c>
      <c r="Q224" s="26">
        <f>COUNTIF(Q$5:Q$187,$A224)</f>
        <v>4</v>
      </c>
      <c r="R224" s="26">
        <f>COUNTIF(R$5:R$187,$A224)</f>
        <v>4</v>
      </c>
      <c r="S224" s="26">
        <f>COUNTIF(S$5:S$187,$A224)</f>
        <v>4</v>
      </c>
      <c r="T224" s="26">
        <f>COUNTIF(T$5:T$187,$A224)</f>
        <v>4</v>
      </c>
      <c r="U224" s="26">
        <f>COUNTIF(U$5:U$187,$A224)</f>
        <v>4</v>
      </c>
    </row>
    <row r="225" spans="1:21" x14ac:dyDescent="0.25">
      <c r="A225" s="29" t="str">
        <f t="shared" si="5"/>
        <v>@RMO</v>
      </c>
      <c r="B225" s="30">
        <f>COUNTIF(B$5:B$187,$A225)</f>
        <v>4</v>
      </c>
      <c r="C225" s="30">
        <f>COUNTIF(C$5:C$187,$A225)</f>
        <v>4</v>
      </c>
      <c r="D225" s="30">
        <f>COUNTIF(D$5:D$187,$A225)</f>
        <v>4</v>
      </c>
      <c r="E225" s="30">
        <f>COUNTIF(E$5:E$187,$A225)</f>
        <v>4</v>
      </c>
      <c r="F225" s="30">
        <f>COUNTIF(F$5:F$187,$A225)</f>
        <v>4</v>
      </c>
      <c r="G225" s="30">
        <f>COUNTIF(G$5:G$187,$A225)</f>
        <v>4</v>
      </c>
      <c r="H225" s="30">
        <f>COUNTIF(H$5:H$187,$A225)</f>
        <v>4</v>
      </c>
      <c r="I225" s="30">
        <f>COUNTIF(I$5:I$187,$A225)</f>
        <v>4</v>
      </c>
      <c r="J225" s="30">
        <f>COUNTIF(J$5:J$187,$A225)</f>
        <v>4</v>
      </c>
      <c r="K225" s="30">
        <f>COUNTIF(K$5:K$187,$A225)</f>
        <v>4</v>
      </c>
      <c r="L225" s="30">
        <f>COUNTIF(L$5:L$187,$A225)</f>
        <v>5</v>
      </c>
      <c r="M225" s="30">
        <f>COUNTIF(M$5:M$187,$A225)</f>
        <v>6</v>
      </c>
      <c r="N225" s="30">
        <f>COUNTIF(N$5:N$187,$A225)</f>
        <v>5</v>
      </c>
      <c r="O225" s="30">
        <f>COUNTIF(O$5:O$187,$A225)</f>
        <v>5</v>
      </c>
      <c r="P225" s="30">
        <f>COUNTIF(P$5:P$187,$A225)</f>
        <v>0</v>
      </c>
      <c r="Q225" s="30">
        <f>COUNTIF(Q$5:Q$187,$A225)</f>
        <v>4</v>
      </c>
      <c r="R225" s="30">
        <f>COUNTIF(R$5:R$187,$A225)</f>
        <v>4</v>
      </c>
      <c r="S225" s="30">
        <f>COUNTIF(S$5:S$187,$A225)</f>
        <v>4</v>
      </c>
      <c r="T225" s="30">
        <f>COUNTIF(T$5:T$187,$A225)</f>
        <v>4</v>
      </c>
      <c r="U225" s="30">
        <f>COUNTIF(U$5:U$187,$A225)</f>
        <v>4</v>
      </c>
    </row>
    <row r="226" spans="1:21" x14ac:dyDescent="0.25">
      <c r="A226" s="24" t="str">
        <f t="shared" si="5"/>
        <v>@BRK</v>
      </c>
      <c r="B226" s="26">
        <f>COUNTIF(B$5:B$187,$A226)</f>
        <v>4</v>
      </c>
      <c r="C226" s="26">
        <f>COUNTIF(C$5:C$187,$A226)</f>
        <v>4</v>
      </c>
      <c r="D226" s="26">
        <f>COUNTIF(D$5:D$187,$A226)</f>
        <v>4</v>
      </c>
      <c r="E226" s="26">
        <f>COUNTIF(E$5:E$187,$A226)</f>
        <v>4</v>
      </c>
      <c r="F226" s="26">
        <f>COUNTIF(F$5:F$187,$A226)</f>
        <v>4</v>
      </c>
      <c r="G226" s="26">
        <f>COUNTIF(G$5:G$187,$A226)</f>
        <v>4</v>
      </c>
      <c r="H226" s="26">
        <f>COUNTIF(H$5:H$187,$A226)</f>
        <v>4</v>
      </c>
      <c r="I226" s="26">
        <f>COUNTIF(I$5:I$187,$A226)</f>
        <v>4</v>
      </c>
      <c r="J226" s="26">
        <f>COUNTIF(J$5:J$187,$A226)</f>
        <v>4</v>
      </c>
      <c r="K226" s="26">
        <f>COUNTIF(K$5:K$187,$A226)</f>
        <v>4</v>
      </c>
      <c r="L226" s="26">
        <f>COUNTIF(L$5:L$187,$A226)</f>
        <v>4</v>
      </c>
      <c r="M226" s="26">
        <f>COUNTIF(M$5:M$187,$A226)</f>
        <v>4</v>
      </c>
      <c r="N226" s="26">
        <f>COUNTIF(N$5:N$187,$A226)</f>
        <v>4</v>
      </c>
      <c r="O226" s="26">
        <f>COUNTIF(O$5:O$187,$A226)</f>
        <v>4</v>
      </c>
      <c r="P226" s="26">
        <f>COUNTIF(P$5:P$187,$A226)</f>
        <v>4</v>
      </c>
      <c r="Q226" s="28">
        <f>COUNTIF(Q$5:Q$187,$A226)</f>
        <v>0</v>
      </c>
      <c r="R226" s="28">
        <f>COUNTIF(R$5:R$187,$A226)</f>
        <v>5</v>
      </c>
      <c r="S226" s="28">
        <f>COUNTIF(S$5:S$187,$A226)</f>
        <v>5</v>
      </c>
      <c r="T226" s="28">
        <f>COUNTIF(T$5:T$187,$A226)</f>
        <v>6</v>
      </c>
      <c r="U226" s="28">
        <f>COUNTIF(U$5:U$187,$A226)</f>
        <v>5</v>
      </c>
    </row>
    <row r="227" spans="1:21" x14ac:dyDescent="0.25">
      <c r="A227" s="24" t="str">
        <f t="shared" si="5"/>
        <v>@CBB</v>
      </c>
      <c r="B227" s="26">
        <f>COUNTIF(B$5:B$187,$A227)</f>
        <v>4</v>
      </c>
      <c r="C227" s="26">
        <f>COUNTIF(C$5:C$187,$A227)</f>
        <v>4</v>
      </c>
      <c r="D227" s="26">
        <f>COUNTIF(D$5:D$187,$A227)</f>
        <v>4</v>
      </c>
      <c r="E227" s="26">
        <f>COUNTIF(E$5:E$187,$A227)</f>
        <v>4</v>
      </c>
      <c r="F227" s="26">
        <f>COUNTIF(F$5:F$187,$A227)</f>
        <v>4</v>
      </c>
      <c r="G227" s="26">
        <f>COUNTIF(G$5:G$187,$A227)</f>
        <v>4</v>
      </c>
      <c r="H227" s="26">
        <f>COUNTIF(H$5:H$187,$A227)</f>
        <v>4</v>
      </c>
      <c r="I227" s="26">
        <f>COUNTIF(I$5:I$187,$A227)</f>
        <v>4</v>
      </c>
      <c r="J227" s="26">
        <f>COUNTIF(J$5:J$187,$A227)</f>
        <v>4</v>
      </c>
      <c r="K227" s="26">
        <f>COUNTIF(K$5:K$187,$A227)</f>
        <v>4</v>
      </c>
      <c r="L227" s="26">
        <f>COUNTIF(L$5:L$187,$A227)</f>
        <v>4</v>
      </c>
      <c r="M227" s="26">
        <f>COUNTIF(M$5:M$187,$A227)</f>
        <v>4</v>
      </c>
      <c r="N227" s="26">
        <f>COUNTIF(N$5:N$187,$A227)</f>
        <v>4</v>
      </c>
      <c r="O227" s="26">
        <f>COUNTIF(O$5:O$187,$A227)</f>
        <v>4</v>
      </c>
      <c r="P227" s="26">
        <f>COUNTIF(P$5:P$187,$A227)</f>
        <v>4</v>
      </c>
      <c r="Q227" s="28">
        <f>COUNTIF(Q$5:Q$187,$A227)</f>
        <v>6</v>
      </c>
      <c r="R227" s="28">
        <f>COUNTIF(R$5:R$187,$A227)</f>
        <v>0</v>
      </c>
      <c r="S227" s="28">
        <f>COUNTIF(S$5:S$187,$A227)</f>
        <v>5</v>
      </c>
      <c r="T227" s="28">
        <f>COUNTIF(T$5:T$187,$A227)</f>
        <v>5</v>
      </c>
      <c r="U227" s="28">
        <f>COUNTIF(U$5:U$187,$A227)</f>
        <v>5</v>
      </c>
    </row>
    <row r="228" spans="1:21" x14ac:dyDescent="0.25">
      <c r="A228" s="24" t="str">
        <f t="shared" si="5"/>
        <v>@HAR</v>
      </c>
      <c r="B228" s="26">
        <f>COUNTIF(B$5:B$187,$A228)</f>
        <v>4</v>
      </c>
      <c r="C228" s="26">
        <f>COUNTIF(C$5:C$187,$A228)</f>
        <v>4</v>
      </c>
      <c r="D228" s="26">
        <f>COUNTIF(D$5:D$187,$A228)</f>
        <v>4</v>
      </c>
      <c r="E228" s="26">
        <f>COUNTIF(E$5:E$187,$A228)</f>
        <v>4</v>
      </c>
      <c r="F228" s="26">
        <f>COUNTIF(F$5:F$187,$A228)</f>
        <v>4</v>
      </c>
      <c r="G228" s="26">
        <f>COUNTIF(G$5:G$187,$A228)</f>
        <v>4</v>
      </c>
      <c r="H228" s="26">
        <f>COUNTIF(H$5:H$187,$A228)</f>
        <v>4</v>
      </c>
      <c r="I228" s="26">
        <f>COUNTIF(I$5:I$187,$A228)</f>
        <v>4</v>
      </c>
      <c r="J228" s="26">
        <f>COUNTIF(J$5:J$187,$A228)</f>
        <v>4</v>
      </c>
      <c r="K228" s="26">
        <f>COUNTIF(K$5:K$187,$A228)</f>
        <v>4</v>
      </c>
      <c r="L228" s="26">
        <f>COUNTIF(L$5:L$187,$A228)</f>
        <v>4</v>
      </c>
      <c r="M228" s="26">
        <f>COUNTIF(M$5:M$187,$A228)</f>
        <v>4</v>
      </c>
      <c r="N228" s="26">
        <f>COUNTIF(N$5:N$187,$A228)</f>
        <v>4</v>
      </c>
      <c r="O228" s="26">
        <f>COUNTIF(O$5:O$187,$A228)</f>
        <v>4</v>
      </c>
      <c r="P228" s="26">
        <f>COUNTIF(P$5:P$187,$A228)</f>
        <v>4</v>
      </c>
      <c r="Q228" s="28">
        <f>COUNTIF(Q$5:Q$187,$A228)</f>
        <v>5</v>
      </c>
      <c r="R228" s="28">
        <f>COUNTIF(R$5:R$187,$A228)</f>
        <v>5</v>
      </c>
      <c r="S228" s="28">
        <f>COUNTIF(S$5:S$187,$A228)</f>
        <v>0</v>
      </c>
      <c r="T228" s="28">
        <f>COUNTIF(T$5:T$187,$A228)</f>
        <v>5</v>
      </c>
      <c r="U228" s="28">
        <f>COUNTIF(U$5:U$187,$A228)</f>
        <v>6</v>
      </c>
    </row>
    <row r="229" spans="1:21" x14ac:dyDescent="0.25">
      <c r="A229" s="24" t="str">
        <f t="shared" si="5"/>
        <v>@NYD</v>
      </c>
      <c r="B229" s="26">
        <f>COUNTIF(B$5:B$187,$A229)</f>
        <v>4</v>
      </c>
      <c r="C229" s="26">
        <f>COUNTIF(C$5:C$187,$A229)</f>
        <v>4</v>
      </c>
      <c r="D229" s="26">
        <f>COUNTIF(D$5:D$187,$A229)</f>
        <v>4</v>
      </c>
      <c r="E229" s="26">
        <f>COUNTIF(E$5:E$187,$A229)</f>
        <v>4</v>
      </c>
      <c r="F229" s="26">
        <f>COUNTIF(F$5:F$187,$A229)</f>
        <v>4</v>
      </c>
      <c r="G229" s="26">
        <f>COUNTIF(G$5:G$187,$A229)</f>
        <v>4</v>
      </c>
      <c r="H229" s="26">
        <f>COUNTIF(H$5:H$187,$A229)</f>
        <v>4</v>
      </c>
      <c r="I229" s="26">
        <f>COUNTIF(I$5:I$187,$A229)</f>
        <v>4</v>
      </c>
      <c r="J229" s="26">
        <f>COUNTIF(J$5:J$187,$A229)</f>
        <v>4</v>
      </c>
      <c r="K229" s="26">
        <f>COUNTIF(K$5:K$187,$A229)</f>
        <v>4</v>
      </c>
      <c r="L229" s="26">
        <f>COUNTIF(L$5:L$187,$A229)</f>
        <v>4</v>
      </c>
      <c r="M229" s="26">
        <f>COUNTIF(M$5:M$187,$A229)</f>
        <v>4</v>
      </c>
      <c r="N229" s="26">
        <f>COUNTIF(N$5:N$187,$A229)</f>
        <v>4</v>
      </c>
      <c r="O229" s="26">
        <f>COUNTIF(O$5:O$187,$A229)</f>
        <v>4</v>
      </c>
      <c r="P229" s="26">
        <f>COUNTIF(P$5:P$187,$A229)</f>
        <v>4</v>
      </c>
      <c r="Q229" s="28">
        <f>COUNTIF(Q$5:Q$187,$A229)</f>
        <v>5</v>
      </c>
      <c r="R229" s="28">
        <f>COUNTIF(R$5:R$187,$A229)</f>
        <v>5</v>
      </c>
      <c r="S229" s="28">
        <f>COUNTIF(S$5:S$187,$A229)</f>
        <v>6</v>
      </c>
      <c r="T229" s="28">
        <f>COUNTIF(T$5:T$187,$A229)</f>
        <v>0</v>
      </c>
      <c r="U229" s="28">
        <f>COUNTIF(U$5:U$187,$A229)</f>
        <v>5</v>
      </c>
    </row>
    <row r="230" spans="1:21" x14ac:dyDescent="0.25">
      <c r="A230" s="29" t="str">
        <f t="shared" si="5"/>
        <v>@PHI</v>
      </c>
      <c r="B230" s="30">
        <f>COUNTIF(B$5:B$187,$A230)</f>
        <v>4</v>
      </c>
      <c r="C230" s="30">
        <f>COUNTIF(C$5:C$187,$A230)</f>
        <v>4</v>
      </c>
      <c r="D230" s="30">
        <f>COUNTIF(D$5:D$187,$A230)</f>
        <v>4</v>
      </c>
      <c r="E230" s="30">
        <f>COUNTIF(E$5:E$187,$A230)</f>
        <v>4</v>
      </c>
      <c r="F230" s="30">
        <f>COUNTIF(F$5:F$187,$A230)</f>
        <v>4</v>
      </c>
      <c r="G230" s="30">
        <f>COUNTIF(G$5:G$187,$A230)</f>
        <v>4</v>
      </c>
      <c r="H230" s="30">
        <f>COUNTIF(H$5:H$187,$A230)</f>
        <v>4</v>
      </c>
      <c r="I230" s="30">
        <f>COUNTIF(I$5:I$187,$A230)</f>
        <v>4</v>
      </c>
      <c r="J230" s="30">
        <f>COUNTIF(J$5:J$187,$A230)</f>
        <v>4</v>
      </c>
      <c r="K230" s="30">
        <f>COUNTIF(K$5:K$187,$A230)</f>
        <v>4</v>
      </c>
      <c r="L230" s="30">
        <f>COUNTIF(L$5:L$187,$A230)</f>
        <v>4</v>
      </c>
      <c r="M230" s="30">
        <f>COUNTIF(M$5:M$187,$A230)</f>
        <v>4</v>
      </c>
      <c r="N230" s="30">
        <f>COUNTIF(N$5:N$187,$A230)</f>
        <v>4</v>
      </c>
      <c r="O230" s="30">
        <f>COUNTIF(O$5:O$187,$A230)</f>
        <v>4</v>
      </c>
      <c r="P230" s="30">
        <f>COUNTIF(P$5:P$187,$A230)</f>
        <v>4</v>
      </c>
      <c r="Q230" s="30">
        <f>COUNTIF(Q$5:Q$187,$A230)</f>
        <v>5</v>
      </c>
      <c r="R230" s="30">
        <f>COUNTIF(R$5:R$187,$A230)</f>
        <v>6</v>
      </c>
      <c r="S230" s="30">
        <f>COUNTIF(S$5:S$187,$A230)</f>
        <v>5</v>
      </c>
      <c r="T230" s="30">
        <f>COUNTIF(T$5:T$187,$A230)</f>
        <v>5</v>
      </c>
      <c r="U230" s="30">
        <f>COUNTIF(U$5:U$187,$A230)</f>
        <v>0</v>
      </c>
    </row>
    <row r="231" spans="1:21" x14ac:dyDescent="0.25">
      <c r="A231" s="31" t="str">
        <f>A191</f>
        <v>BBG</v>
      </c>
      <c r="B231" s="28">
        <f>B191+B211</f>
        <v>0</v>
      </c>
      <c r="C231" s="28">
        <f t="shared" ref="C231:U231" si="6">C191+C211</f>
        <v>11</v>
      </c>
      <c r="D231" s="28">
        <f t="shared" si="6"/>
        <v>10</v>
      </c>
      <c r="E231" s="28">
        <f t="shared" si="6"/>
        <v>10</v>
      </c>
      <c r="F231" s="28">
        <f t="shared" si="6"/>
        <v>11</v>
      </c>
      <c r="G231" s="28">
        <f t="shared" si="6"/>
        <v>8</v>
      </c>
      <c r="H231" s="28">
        <f t="shared" si="6"/>
        <v>8</v>
      </c>
      <c r="I231" s="28">
        <f t="shared" si="6"/>
        <v>8</v>
      </c>
      <c r="J231" s="28">
        <f t="shared" si="6"/>
        <v>8</v>
      </c>
      <c r="K231" s="28">
        <f t="shared" si="6"/>
        <v>8</v>
      </c>
      <c r="L231" s="28">
        <f t="shared" si="6"/>
        <v>8</v>
      </c>
      <c r="M231" s="28">
        <f t="shared" si="6"/>
        <v>8</v>
      </c>
      <c r="N231" s="28">
        <f t="shared" si="6"/>
        <v>8</v>
      </c>
      <c r="O231" s="28">
        <f t="shared" si="6"/>
        <v>8</v>
      </c>
      <c r="P231" s="28">
        <f t="shared" si="6"/>
        <v>8</v>
      </c>
      <c r="Q231" s="28">
        <f t="shared" si="6"/>
        <v>8</v>
      </c>
      <c r="R231" s="28">
        <f t="shared" si="6"/>
        <v>8</v>
      </c>
      <c r="S231" s="28">
        <f t="shared" si="6"/>
        <v>8</v>
      </c>
      <c r="T231" s="28">
        <f t="shared" si="6"/>
        <v>8</v>
      </c>
      <c r="U231" s="28">
        <f t="shared" si="6"/>
        <v>8</v>
      </c>
    </row>
    <row r="232" spans="1:21" x14ac:dyDescent="0.25">
      <c r="A232" s="31" t="str">
        <f t="shared" ref="A232:A250" si="7">A192</f>
        <v>BAR</v>
      </c>
      <c r="B232" s="28">
        <f t="shared" ref="B232:U244" si="8">B192+B212</f>
        <v>11</v>
      </c>
      <c r="C232" s="28">
        <f t="shared" si="8"/>
        <v>0</v>
      </c>
      <c r="D232" s="28">
        <f t="shared" si="8"/>
        <v>11</v>
      </c>
      <c r="E232" s="28">
        <f t="shared" si="8"/>
        <v>10</v>
      </c>
      <c r="F232" s="28">
        <f t="shared" si="8"/>
        <v>10</v>
      </c>
      <c r="G232" s="28">
        <f t="shared" si="8"/>
        <v>8</v>
      </c>
      <c r="H232" s="28">
        <f t="shared" si="8"/>
        <v>8</v>
      </c>
      <c r="I232" s="28">
        <f t="shared" si="8"/>
        <v>8</v>
      </c>
      <c r="J232" s="28">
        <f t="shared" si="8"/>
        <v>8</v>
      </c>
      <c r="K232" s="28">
        <f t="shared" si="8"/>
        <v>8</v>
      </c>
      <c r="L232" s="28">
        <f t="shared" si="8"/>
        <v>8</v>
      </c>
      <c r="M232" s="28">
        <f t="shared" si="8"/>
        <v>8</v>
      </c>
      <c r="N232" s="28">
        <f t="shared" si="8"/>
        <v>8</v>
      </c>
      <c r="O232" s="28">
        <f t="shared" si="8"/>
        <v>8</v>
      </c>
      <c r="P232" s="28">
        <f t="shared" si="8"/>
        <v>8</v>
      </c>
      <c r="Q232" s="28">
        <f t="shared" si="8"/>
        <v>8</v>
      </c>
      <c r="R232" s="28">
        <f t="shared" si="8"/>
        <v>8</v>
      </c>
      <c r="S232" s="28">
        <f t="shared" si="8"/>
        <v>8</v>
      </c>
      <c r="T232" s="28">
        <f t="shared" si="8"/>
        <v>8</v>
      </c>
      <c r="U232" s="28">
        <f t="shared" si="8"/>
        <v>8</v>
      </c>
    </row>
    <row r="233" spans="1:21" x14ac:dyDescent="0.25">
      <c r="A233" s="31" t="str">
        <f t="shared" si="7"/>
        <v>CTW</v>
      </c>
      <c r="B233" s="28">
        <f t="shared" si="8"/>
        <v>10</v>
      </c>
      <c r="C233" s="28">
        <f t="shared" si="8"/>
        <v>11</v>
      </c>
      <c r="D233" s="28">
        <f t="shared" si="8"/>
        <v>0</v>
      </c>
      <c r="E233" s="28">
        <f t="shared" si="8"/>
        <v>11</v>
      </c>
      <c r="F233" s="28">
        <f t="shared" si="8"/>
        <v>10</v>
      </c>
      <c r="G233" s="28">
        <f t="shared" si="8"/>
        <v>8</v>
      </c>
      <c r="H233" s="28">
        <f t="shared" si="8"/>
        <v>8</v>
      </c>
      <c r="I233" s="28">
        <f t="shared" si="8"/>
        <v>8</v>
      </c>
      <c r="J233" s="28">
        <f t="shared" si="8"/>
        <v>8</v>
      </c>
      <c r="K233" s="28">
        <f t="shared" si="8"/>
        <v>8</v>
      </c>
      <c r="L233" s="28">
        <f t="shared" si="8"/>
        <v>8</v>
      </c>
      <c r="M233" s="28">
        <f t="shared" si="8"/>
        <v>8</v>
      </c>
      <c r="N233" s="28">
        <f t="shared" si="8"/>
        <v>8</v>
      </c>
      <c r="O233" s="28">
        <f t="shared" si="8"/>
        <v>8</v>
      </c>
      <c r="P233" s="28">
        <f t="shared" si="8"/>
        <v>8</v>
      </c>
      <c r="Q233" s="28">
        <f t="shared" si="8"/>
        <v>8</v>
      </c>
      <c r="R233" s="28">
        <f t="shared" si="8"/>
        <v>8</v>
      </c>
      <c r="S233" s="28">
        <f t="shared" si="8"/>
        <v>8</v>
      </c>
      <c r="T233" s="28">
        <f t="shared" si="8"/>
        <v>8</v>
      </c>
      <c r="U233" s="28">
        <f t="shared" si="8"/>
        <v>8</v>
      </c>
    </row>
    <row r="234" spans="1:21" x14ac:dyDescent="0.25">
      <c r="A234" s="31" t="str">
        <f t="shared" si="7"/>
        <v>CIN</v>
      </c>
      <c r="B234" s="28">
        <f t="shared" si="8"/>
        <v>10</v>
      </c>
      <c r="C234" s="28">
        <f t="shared" si="8"/>
        <v>10</v>
      </c>
      <c r="D234" s="28">
        <f t="shared" si="8"/>
        <v>11</v>
      </c>
      <c r="E234" s="28">
        <f t="shared" si="8"/>
        <v>0</v>
      </c>
      <c r="F234" s="28">
        <f t="shared" si="8"/>
        <v>11</v>
      </c>
      <c r="G234" s="28">
        <f t="shared" si="8"/>
        <v>8</v>
      </c>
      <c r="H234" s="28">
        <f t="shared" si="8"/>
        <v>8</v>
      </c>
      <c r="I234" s="28">
        <f t="shared" si="8"/>
        <v>8</v>
      </c>
      <c r="J234" s="28">
        <f t="shared" si="8"/>
        <v>8</v>
      </c>
      <c r="K234" s="28">
        <f t="shared" si="8"/>
        <v>8</v>
      </c>
      <c r="L234" s="28">
        <f t="shared" si="8"/>
        <v>8</v>
      </c>
      <c r="M234" s="28">
        <f t="shared" si="8"/>
        <v>8</v>
      </c>
      <c r="N234" s="28">
        <f t="shared" si="8"/>
        <v>8</v>
      </c>
      <c r="O234" s="28">
        <f t="shared" si="8"/>
        <v>8</v>
      </c>
      <c r="P234" s="28">
        <f t="shared" si="8"/>
        <v>8</v>
      </c>
      <c r="Q234" s="28">
        <f t="shared" si="8"/>
        <v>8</v>
      </c>
      <c r="R234" s="28">
        <f t="shared" si="8"/>
        <v>8</v>
      </c>
      <c r="S234" s="28">
        <f t="shared" si="8"/>
        <v>8</v>
      </c>
      <c r="T234" s="28">
        <f t="shared" si="8"/>
        <v>8</v>
      </c>
      <c r="U234" s="28">
        <f t="shared" si="8"/>
        <v>8</v>
      </c>
    </row>
    <row r="235" spans="1:21" x14ac:dyDescent="0.25">
      <c r="A235" s="32" t="str">
        <f t="shared" si="7"/>
        <v>GAR</v>
      </c>
      <c r="B235" s="30">
        <f t="shared" si="8"/>
        <v>11</v>
      </c>
      <c r="C235" s="30">
        <f t="shared" si="8"/>
        <v>10</v>
      </c>
      <c r="D235" s="30">
        <f t="shared" si="8"/>
        <v>10</v>
      </c>
      <c r="E235" s="30">
        <f t="shared" si="8"/>
        <v>11</v>
      </c>
      <c r="F235" s="30">
        <f t="shared" si="8"/>
        <v>0</v>
      </c>
      <c r="G235" s="30">
        <f t="shared" si="8"/>
        <v>8</v>
      </c>
      <c r="H235" s="30">
        <f t="shared" si="8"/>
        <v>8</v>
      </c>
      <c r="I235" s="30">
        <f t="shared" si="8"/>
        <v>8</v>
      </c>
      <c r="J235" s="30">
        <f t="shared" si="8"/>
        <v>8</v>
      </c>
      <c r="K235" s="30">
        <f t="shared" si="8"/>
        <v>8</v>
      </c>
      <c r="L235" s="30">
        <f t="shared" si="8"/>
        <v>8</v>
      </c>
      <c r="M235" s="30">
        <f t="shared" si="8"/>
        <v>8</v>
      </c>
      <c r="N235" s="30">
        <f t="shared" si="8"/>
        <v>8</v>
      </c>
      <c r="O235" s="30">
        <f t="shared" si="8"/>
        <v>8</v>
      </c>
      <c r="P235" s="30">
        <f t="shared" si="8"/>
        <v>8</v>
      </c>
      <c r="Q235" s="30">
        <f t="shared" si="8"/>
        <v>8</v>
      </c>
      <c r="R235" s="30">
        <f t="shared" si="8"/>
        <v>8</v>
      </c>
      <c r="S235" s="30">
        <f t="shared" si="8"/>
        <v>8</v>
      </c>
      <c r="T235" s="30">
        <f t="shared" si="8"/>
        <v>8</v>
      </c>
      <c r="U235" s="30">
        <f t="shared" si="8"/>
        <v>8</v>
      </c>
    </row>
    <row r="236" spans="1:21" x14ac:dyDescent="0.25">
      <c r="A236" s="25" t="str">
        <f t="shared" si="7"/>
        <v>CEN</v>
      </c>
      <c r="B236" s="26">
        <f t="shared" si="8"/>
        <v>8</v>
      </c>
      <c r="C236" s="26">
        <f t="shared" si="8"/>
        <v>8</v>
      </c>
      <c r="D236" s="26">
        <f t="shared" si="8"/>
        <v>8</v>
      </c>
      <c r="E236" s="26">
        <f t="shared" si="8"/>
        <v>8</v>
      </c>
      <c r="F236" s="26">
        <f t="shared" si="8"/>
        <v>8</v>
      </c>
      <c r="G236" s="26">
        <f t="shared" si="8"/>
        <v>0</v>
      </c>
      <c r="H236" s="26">
        <f t="shared" si="8"/>
        <v>12</v>
      </c>
      <c r="I236" s="26">
        <f t="shared" si="8"/>
        <v>10</v>
      </c>
      <c r="J236" s="26">
        <f t="shared" si="8"/>
        <v>10</v>
      </c>
      <c r="K236" s="26">
        <f t="shared" si="8"/>
        <v>10</v>
      </c>
      <c r="L236" s="26">
        <f t="shared" si="8"/>
        <v>8</v>
      </c>
      <c r="M236" s="26">
        <f t="shared" si="8"/>
        <v>8</v>
      </c>
      <c r="N236" s="26">
        <f t="shared" si="8"/>
        <v>8</v>
      </c>
      <c r="O236" s="26">
        <f t="shared" si="8"/>
        <v>8</v>
      </c>
      <c r="P236" s="26">
        <f t="shared" si="8"/>
        <v>8</v>
      </c>
      <c r="Q236" s="26">
        <f t="shared" si="8"/>
        <v>8</v>
      </c>
      <c r="R236" s="26">
        <f t="shared" si="8"/>
        <v>8</v>
      </c>
      <c r="S236" s="26">
        <f t="shared" si="8"/>
        <v>8</v>
      </c>
      <c r="T236" s="26">
        <f t="shared" si="8"/>
        <v>8</v>
      </c>
      <c r="U236" s="26">
        <f t="shared" si="8"/>
        <v>8</v>
      </c>
    </row>
    <row r="237" spans="1:21" x14ac:dyDescent="0.25">
      <c r="A237" s="25" t="str">
        <f t="shared" si="7"/>
        <v>FDH</v>
      </c>
      <c r="B237" s="26">
        <f t="shared" si="8"/>
        <v>8</v>
      </c>
      <c r="C237" s="26">
        <f t="shared" si="8"/>
        <v>8</v>
      </c>
      <c r="D237" s="26">
        <f t="shared" si="8"/>
        <v>8</v>
      </c>
      <c r="E237" s="26">
        <f t="shared" si="8"/>
        <v>8</v>
      </c>
      <c r="F237" s="26">
        <f t="shared" si="8"/>
        <v>8</v>
      </c>
      <c r="G237" s="26">
        <f t="shared" si="8"/>
        <v>12</v>
      </c>
      <c r="H237" s="26">
        <f t="shared" si="8"/>
        <v>0</v>
      </c>
      <c r="I237" s="26">
        <f t="shared" si="8"/>
        <v>10</v>
      </c>
      <c r="J237" s="26">
        <f t="shared" si="8"/>
        <v>10</v>
      </c>
      <c r="K237" s="26">
        <f t="shared" si="8"/>
        <v>10</v>
      </c>
      <c r="L237" s="26">
        <f t="shared" si="8"/>
        <v>8</v>
      </c>
      <c r="M237" s="26">
        <f t="shared" si="8"/>
        <v>8</v>
      </c>
      <c r="N237" s="26">
        <f t="shared" si="8"/>
        <v>8</v>
      </c>
      <c r="O237" s="26">
        <f t="shared" si="8"/>
        <v>8</v>
      </c>
      <c r="P237" s="26">
        <f t="shared" si="8"/>
        <v>8</v>
      </c>
      <c r="Q237" s="26">
        <f t="shared" si="8"/>
        <v>8</v>
      </c>
      <c r="R237" s="26">
        <f t="shared" si="8"/>
        <v>8</v>
      </c>
      <c r="S237" s="26">
        <f t="shared" si="8"/>
        <v>8</v>
      </c>
      <c r="T237" s="26">
        <f t="shared" si="8"/>
        <v>8</v>
      </c>
      <c r="U237" s="26">
        <f t="shared" si="8"/>
        <v>8</v>
      </c>
    </row>
    <row r="238" spans="1:21" x14ac:dyDescent="0.25">
      <c r="A238" s="25" t="str">
        <f t="shared" si="7"/>
        <v>NEP</v>
      </c>
      <c r="B238" s="26">
        <f t="shared" si="8"/>
        <v>8</v>
      </c>
      <c r="C238" s="26">
        <f t="shared" si="8"/>
        <v>8</v>
      </c>
      <c r="D238" s="26">
        <f t="shared" si="8"/>
        <v>8</v>
      </c>
      <c r="E238" s="26">
        <f t="shared" si="8"/>
        <v>8</v>
      </c>
      <c r="F238" s="26">
        <f t="shared" si="8"/>
        <v>8</v>
      </c>
      <c r="G238" s="26">
        <f t="shared" si="8"/>
        <v>10</v>
      </c>
      <c r="H238" s="26">
        <f t="shared" si="8"/>
        <v>10</v>
      </c>
      <c r="I238" s="26">
        <f t="shared" si="8"/>
        <v>0</v>
      </c>
      <c r="J238" s="26">
        <f t="shared" si="8"/>
        <v>11</v>
      </c>
      <c r="K238" s="26">
        <f t="shared" si="8"/>
        <v>11</v>
      </c>
      <c r="L238" s="26">
        <f t="shared" si="8"/>
        <v>8</v>
      </c>
      <c r="M238" s="26">
        <f t="shared" si="8"/>
        <v>8</v>
      </c>
      <c r="N238" s="26">
        <f t="shared" si="8"/>
        <v>8</v>
      </c>
      <c r="O238" s="26">
        <f t="shared" si="8"/>
        <v>8</v>
      </c>
      <c r="P238" s="26">
        <f t="shared" si="8"/>
        <v>8</v>
      </c>
      <c r="Q238" s="26">
        <f t="shared" si="8"/>
        <v>8</v>
      </c>
      <c r="R238" s="26">
        <f t="shared" si="8"/>
        <v>8</v>
      </c>
      <c r="S238" s="26">
        <f t="shared" si="8"/>
        <v>8</v>
      </c>
      <c r="T238" s="26">
        <f t="shared" si="8"/>
        <v>8</v>
      </c>
      <c r="U238" s="26">
        <f t="shared" si="8"/>
        <v>8</v>
      </c>
    </row>
    <row r="239" spans="1:21" x14ac:dyDescent="0.25">
      <c r="A239" s="25" t="str">
        <f t="shared" si="7"/>
        <v>REN</v>
      </c>
      <c r="B239" s="26">
        <f t="shared" si="8"/>
        <v>8</v>
      </c>
      <c r="C239" s="26">
        <f t="shared" si="8"/>
        <v>8</v>
      </c>
      <c r="D239" s="26">
        <f t="shared" si="8"/>
        <v>8</v>
      </c>
      <c r="E239" s="26">
        <f t="shared" si="8"/>
        <v>8</v>
      </c>
      <c r="F239" s="26">
        <f t="shared" si="8"/>
        <v>8</v>
      </c>
      <c r="G239" s="26">
        <f t="shared" si="8"/>
        <v>10</v>
      </c>
      <c r="H239" s="26">
        <f t="shared" si="8"/>
        <v>10</v>
      </c>
      <c r="I239" s="26">
        <f t="shared" si="8"/>
        <v>11</v>
      </c>
      <c r="J239" s="26">
        <f t="shared" si="8"/>
        <v>0</v>
      </c>
      <c r="K239" s="26">
        <f t="shared" si="8"/>
        <v>11</v>
      </c>
      <c r="L239" s="26">
        <f t="shared" si="8"/>
        <v>8</v>
      </c>
      <c r="M239" s="26">
        <f t="shared" si="8"/>
        <v>8</v>
      </c>
      <c r="N239" s="26">
        <f t="shared" si="8"/>
        <v>8</v>
      </c>
      <c r="O239" s="26">
        <f t="shared" si="8"/>
        <v>8</v>
      </c>
      <c r="P239" s="26">
        <f t="shared" si="8"/>
        <v>8</v>
      </c>
      <c r="Q239" s="26">
        <f t="shared" si="8"/>
        <v>8</v>
      </c>
      <c r="R239" s="26">
        <f t="shared" si="8"/>
        <v>8</v>
      </c>
      <c r="S239" s="26">
        <f t="shared" si="8"/>
        <v>8</v>
      </c>
      <c r="T239" s="26">
        <f t="shared" si="8"/>
        <v>8</v>
      </c>
      <c r="U239" s="26">
        <f t="shared" si="8"/>
        <v>8</v>
      </c>
    </row>
    <row r="240" spans="1:21" x14ac:dyDescent="0.25">
      <c r="A240" s="32" t="str">
        <f t="shared" si="7"/>
        <v>TEW</v>
      </c>
      <c r="B240" s="30">
        <f t="shared" si="8"/>
        <v>8</v>
      </c>
      <c r="C240" s="30">
        <f t="shared" si="8"/>
        <v>8</v>
      </c>
      <c r="D240" s="30">
        <f t="shared" si="8"/>
        <v>8</v>
      </c>
      <c r="E240" s="30">
        <f t="shared" si="8"/>
        <v>8</v>
      </c>
      <c r="F240" s="30">
        <f t="shared" si="8"/>
        <v>8</v>
      </c>
      <c r="G240" s="30">
        <f t="shared" si="8"/>
        <v>10</v>
      </c>
      <c r="H240" s="30">
        <f t="shared" si="8"/>
        <v>10</v>
      </c>
      <c r="I240" s="30">
        <f t="shared" si="8"/>
        <v>11</v>
      </c>
      <c r="J240" s="30">
        <f t="shared" si="8"/>
        <v>11</v>
      </c>
      <c r="K240" s="30">
        <f t="shared" si="8"/>
        <v>0</v>
      </c>
      <c r="L240" s="30">
        <f t="shared" si="8"/>
        <v>8</v>
      </c>
      <c r="M240" s="30">
        <f t="shared" si="8"/>
        <v>8</v>
      </c>
      <c r="N240" s="30">
        <f t="shared" si="8"/>
        <v>8</v>
      </c>
      <c r="O240" s="30">
        <f t="shared" si="8"/>
        <v>8</v>
      </c>
      <c r="P240" s="30">
        <f t="shared" si="8"/>
        <v>8</v>
      </c>
      <c r="Q240" s="30">
        <f t="shared" si="8"/>
        <v>8</v>
      </c>
      <c r="R240" s="30">
        <f t="shared" si="8"/>
        <v>8</v>
      </c>
      <c r="S240" s="30">
        <f t="shared" si="8"/>
        <v>8</v>
      </c>
      <c r="T240" s="30">
        <f t="shared" si="8"/>
        <v>8</v>
      </c>
      <c r="U240" s="30">
        <f t="shared" si="8"/>
        <v>8</v>
      </c>
    </row>
    <row r="241" spans="1:21" x14ac:dyDescent="0.25">
      <c r="A241" s="25" t="str">
        <f t="shared" si="7"/>
        <v>DIG</v>
      </c>
      <c r="B241" s="26">
        <f t="shared" si="8"/>
        <v>8</v>
      </c>
      <c r="C241" s="26">
        <f t="shared" si="8"/>
        <v>8</v>
      </c>
      <c r="D241" s="26">
        <f t="shared" si="8"/>
        <v>8</v>
      </c>
      <c r="E241" s="26">
        <f t="shared" si="8"/>
        <v>8</v>
      </c>
      <c r="F241" s="26">
        <f t="shared" si="8"/>
        <v>8</v>
      </c>
      <c r="G241" s="26">
        <f t="shared" si="8"/>
        <v>8</v>
      </c>
      <c r="H241" s="26">
        <f t="shared" si="8"/>
        <v>8</v>
      </c>
      <c r="I241" s="26">
        <f t="shared" si="8"/>
        <v>8</v>
      </c>
      <c r="J241" s="26">
        <f t="shared" si="8"/>
        <v>8</v>
      </c>
      <c r="K241" s="26">
        <f t="shared" si="8"/>
        <v>8</v>
      </c>
      <c r="L241" s="26">
        <f t="shared" si="8"/>
        <v>0</v>
      </c>
      <c r="M241" s="26">
        <f t="shared" si="8"/>
        <v>11</v>
      </c>
      <c r="N241" s="26">
        <f t="shared" si="8"/>
        <v>10</v>
      </c>
      <c r="O241" s="26">
        <f t="shared" si="8"/>
        <v>11</v>
      </c>
      <c r="P241" s="26">
        <f t="shared" si="8"/>
        <v>10</v>
      </c>
      <c r="Q241" s="26">
        <f t="shared" si="8"/>
        <v>8</v>
      </c>
      <c r="R241" s="26">
        <f t="shared" si="8"/>
        <v>8</v>
      </c>
      <c r="S241" s="26">
        <f t="shared" si="8"/>
        <v>8</v>
      </c>
      <c r="T241" s="26">
        <f t="shared" si="8"/>
        <v>8</v>
      </c>
      <c r="U241" s="26">
        <f t="shared" si="8"/>
        <v>8</v>
      </c>
    </row>
    <row r="242" spans="1:21" x14ac:dyDescent="0.25">
      <c r="A242" s="25" t="str">
        <f t="shared" si="7"/>
        <v>FFR</v>
      </c>
      <c r="B242" s="26">
        <f t="shared" si="8"/>
        <v>8</v>
      </c>
      <c r="C242" s="26">
        <f t="shared" si="8"/>
        <v>8</v>
      </c>
      <c r="D242" s="26">
        <f t="shared" si="8"/>
        <v>8</v>
      </c>
      <c r="E242" s="26">
        <f t="shared" si="8"/>
        <v>8</v>
      </c>
      <c r="F242" s="26">
        <f t="shared" si="8"/>
        <v>8</v>
      </c>
      <c r="G242" s="26">
        <f t="shared" si="8"/>
        <v>8</v>
      </c>
      <c r="H242" s="26">
        <f t="shared" si="8"/>
        <v>8</v>
      </c>
      <c r="I242" s="26">
        <f t="shared" si="8"/>
        <v>8</v>
      </c>
      <c r="J242" s="26">
        <f t="shared" si="8"/>
        <v>8</v>
      </c>
      <c r="K242" s="26">
        <f t="shared" si="8"/>
        <v>8</v>
      </c>
      <c r="L242" s="26">
        <f t="shared" si="8"/>
        <v>11</v>
      </c>
      <c r="M242" s="26">
        <f t="shared" si="8"/>
        <v>0</v>
      </c>
      <c r="N242" s="26">
        <f t="shared" si="8"/>
        <v>10</v>
      </c>
      <c r="O242" s="26">
        <f t="shared" si="8"/>
        <v>10</v>
      </c>
      <c r="P242" s="26">
        <f t="shared" si="8"/>
        <v>11</v>
      </c>
      <c r="Q242" s="26">
        <f t="shared" si="8"/>
        <v>8</v>
      </c>
      <c r="R242" s="26">
        <f t="shared" si="8"/>
        <v>8</v>
      </c>
      <c r="S242" s="26">
        <f t="shared" si="8"/>
        <v>8</v>
      </c>
      <c r="T242" s="26">
        <f t="shared" si="8"/>
        <v>8</v>
      </c>
      <c r="U242" s="26">
        <f t="shared" si="8"/>
        <v>8</v>
      </c>
    </row>
    <row r="243" spans="1:21" x14ac:dyDescent="0.25">
      <c r="A243" s="25" t="str">
        <f t="shared" si="7"/>
        <v>NNN</v>
      </c>
      <c r="B243" s="26">
        <f t="shared" si="8"/>
        <v>8</v>
      </c>
      <c r="C243" s="26">
        <f t="shared" si="8"/>
        <v>8</v>
      </c>
      <c r="D243" s="26">
        <f t="shared" si="8"/>
        <v>8</v>
      </c>
      <c r="E243" s="26">
        <f t="shared" si="8"/>
        <v>8</v>
      </c>
      <c r="F243" s="26">
        <f t="shared" si="8"/>
        <v>8</v>
      </c>
      <c r="G243" s="26">
        <f t="shared" si="8"/>
        <v>8</v>
      </c>
      <c r="H243" s="26">
        <f t="shared" si="8"/>
        <v>8</v>
      </c>
      <c r="I243" s="26">
        <f t="shared" si="8"/>
        <v>8</v>
      </c>
      <c r="J243" s="26">
        <f t="shared" si="8"/>
        <v>8</v>
      </c>
      <c r="K243" s="26">
        <f t="shared" si="8"/>
        <v>8</v>
      </c>
      <c r="L243" s="26">
        <f t="shared" si="8"/>
        <v>10</v>
      </c>
      <c r="M243" s="26">
        <f t="shared" si="8"/>
        <v>10</v>
      </c>
      <c r="N243" s="26">
        <f t="shared" si="8"/>
        <v>0</v>
      </c>
      <c r="O243" s="26">
        <f t="shared" si="8"/>
        <v>11</v>
      </c>
      <c r="P243" s="26">
        <f t="shared" si="8"/>
        <v>11</v>
      </c>
      <c r="Q243" s="26">
        <f t="shared" si="8"/>
        <v>8</v>
      </c>
      <c r="R243" s="26">
        <f t="shared" si="8"/>
        <v>8</v>
      </c>
      <c r="S243" s="26">
        <f t="shared" si="8"/>
        <v>8</v>
      </c>
      <c r="T243" s="26">
        <f t="shared" si="8"/>
        <v>8</v>
      </c>
      <c r="U243" s="26">
        <f t="shared" si="8"/>
        <v>8</v>
      </c>
    </row>
    <row r="244" spans="1:21" x14ac:dyDescent="0.25">
      <c r="A244" s="25" t="str">
        <f t="shared" si="7"/>
        <v>OKO</v>
      </c>
      <c r="B244" s="26">
        <f t="shared" si="8"/>
        <v>8</v>
      </c>
      <c r="C244" s="26">
        <f t="shared" si="8"/>
        <v>8</v>
      </c>
      <c r="D244" s="26">
        <f t="shared" si="8"/>
        <v>8</v>
      </c>
      <c r="E244" s="26">
        <f t="shared" si="8"/>
        <v>8</v>
      </c>
      <c r="F244" s="26">
        <f t="shared" si="8"/>
        <v>8</v>
      </c>
      <c r="G244" s="26">
        <f t="shared" si="8"/>
        <v>8</v>
      </c>
      <c r="H244" s="26">
        <f t="shared" si="8"/>
        <v>8</v>
      </c>
      <c r="I244" s="26">
        <f t="shared" si="8"/>
        <v>8</v>
      </c>
      <c r="J244" s="26">
        <f t="shared" si="8"/>
        <v>8</v>
      </c>
      <c r="K244" s="26">
        <f t="shared" si="8"/>
        <v>8</v>
      </c>
      <c r="L244" s="26">
        <f t="shared" si="8"/>
        <v>11</v>
      </c>
      <c r="M244" s="26">
        <f t="shared" si="8"/>
        <v>10</v>
      </c>
      <c r="N244" s="26">
        <f t="shared" si="8"/>
        <v>11</v>
      </c>
      <c r="O244" s="26">
        <f t="shared" si="8"/>
        <v>0</v>
      </c>
      <c r="P244" s="26">
        <f t="shared" si="8"/>
        <v>10</v>
      </c>
      <c r="Q244" s="26">
        <f>Q204+Q224</f>
        <v>8</v>
      </c>
      <c r="R244" s="26">
        <f>R204+R224</f>
        <v>8</v>
      </c>
      <c r="S244" s="26">
        <f>S204+S224</f>
        <v>8</v>
      </c>
      <c r="T244" s="26">
        <f>T204+T224</f>
        <v>8</v>
      </c>
      <c r="U244" s="26">
        <f>U204+U224</f>
        <v>8</v>
      </c>
    </row>
    <row r="245" spans="1:21" x14ac:dyDescent="0.25">
      <c r="A245" s="32" t="str">
        <f t="shared" si="7"/>
        <v>RMO</v>
      </c>
      <c r="B245" s="30">
        <f t="shared" ref="B245:U250" si="9">B205+B225</f>
        <v>8</v>
      </c>
      <c r="C245" s="30">
        <f t="shared" si="9"/>
        <v>8</v>
      </c>
      <c r="D245" s="30">
        <f t="shared" si="9"/>
        <v>8</v>
      </c>
      <c r="E245" s="30">
        <f t="shared" si="9"/>
        <v>8</v>
      </c>
      <c r="F245" s="30">
        <f t="shared" si="9"/>
        <v>8</v>
      </c>
      <c r="G245" s="30">
        <f t="shared" si="9"/>
        <v>8</v>
      </c>
      <c r="H245" s="30">
        <f t="shared" si="9"/>
        <v>8</v>
      </c>
      <c r="I245" s="30">
        <f t="shared" si="9"/>
        <v>8</v>
      </c>
      <c r="J245" s="30">
        <f t="shared" si="9"/>
        <v>8</v>
      </c>
      <c r="K245" s="30">
        <f t="shared" si="9"/>
        <v>8</v>
      </c>
      <c r="L245" s="30">
        <f t="shared" si="9"/>
        <v>10</v>
      </c>
      <c r="M245" s="30">
        <f t="shared" si="9"/>
        <v>11</v>
      </c>
      <c r="N245" s="30">
        <f t="shared" si="9"/>
        <v>11</v>
      </c>
      <c r="O245" s="30">
        <f t="shared" si="9"/>
        <v>10</v>
      </c>
      <c r="P245" s="30">
        <f t="shared" si="9"/>
        <v>0</v>
      </c>
      <c r="Q245" s="30">
        <f t="shared" si="9"/>
        <v>8</v>
      </c>
      <c r="R245" s="30">
        <f t="shared" si="9"/>
        <v>8</v>
      </c>
      <c r="S245" s="30">
        <f t="shared" si="9"/>
        <v>8</v>
      </c>
      <c r="T245" s="30">
        <f t="shared" si="9"/>
        <v>8</v>
      </c>
      <c r="U245" s="30">
        <f t="shared" si="9"/>
        <v>8</v>
      </c>
    </row>
    <row r="246" spans="1:21" x14ac:dyDescent="0.25">
      <c r="A246" s="25" t="str">
        <f t="shared" si="7"/>
        <v>BRK</v>
      </c>
      <c r="B246" s="26">
        <f t="shared" si="9"/>
        <v>8</v>
      </c>
      <c r="C246" s="26">
        <f t="shared" si="9"/>
        <v>8</v>
      </c>
      <c r="D246" s="26">
        <f t="shared" si="9"/>
        <v>8</v>
      </c>
      <c r="E246" s="26">
        <f t="shared" si="9"/>
        <v>8</v>
      </c>
      <c r="F246" s="26">
        <f t="shared" si="9"/>
        <v>8</v>
      </c>
      <c r="G246" s="26">
        <f t="shared" si="9"/>
        <v>8</v>
      </c>
      <c r="H246" s="26">
        <f t="shared" si="9"/>
        <v>8</v>
      </c>
      <c r="I246" s="26">
        <f t="shared" si="9"/>
        <v>8</v>
      </c>
      <c r="J246" s="26">
        <f t="shared" si="9"/>
        <v>8</v>
      </c>
      <c r="K246" s="26">
        <f t="shared" si="9"/>
        <v>8</v>
      </c>
      <c r="L246" s="26">
        <f t="shared" si="9"/>
        <v>8</v>
      </c>
      <c r="M246" s="26">
        <f t="shared" si="9"/>
        <v>8</v>
      </c>
      <c r="N246" s="26">
        <f t="shared" si="9"/>
        <v>8</v>
      </c>
      <c r="O246" s="26">
        <f t="shared" si="9"/>
        <v>8</v>
      </c>
      <c r="P246" s="26">
        <f t="shared" si="9"/>
        <v>8</v>
      </c>
      <c r="Q246" s="26">
        <f t="shared" si="9"/>
        <v>0</v>
      </c>
      <c r="R246" s="26">
        <f t="shared" si="9"/>
        <v>11</v>
      </c>
      <c r="S246" s="26">
        <f t="shared" si="9"/>
        <v>10</v>
      </c>
      <c r="T246" s="26">
        <f t="shared" si="9"/>
        <v>11</v>
      </c>
      <c r="U246" s="26">
        <f t="shared" si="9"/>
        <v>10</v>
      </c>
    </row>
    <row r="247" spans="1:21" x14ac:dyDescent="0.25">
      <c r="A247" s="25" t="str">
        <f t="shared" si="7"/>
        <v>CBB</v>
      </c>
      <c r="B247" s="26">
        <f t="shared" si="9"/>
        <v>8</v>
      </c>
      <c r="C247" s="26">
        <f t="shared" si="9"/>
        <v>8</v>
      </c>
      <c r="D247" s="26">
        <f t="shared" si="9"/>
        <v>8</v>
      </c>
      <c r="E247" s="26">
        <f t="shared" si="9"/>
        <v>8</v>
      </c>
      <c r="F247" s="26">
        <f t="shared" si="9"/>
        <v>8</v>
      </c>
      <c r="G247" s="26">
        <f t="shared" si="9"/>
        <v>8</v>
      </c>
      <c r="H247" s="26">
        <f t="shared" si="9"/>
        <v>8</v>
      </c>
      <c r="I247" s="26">
        <f t="shared" si="9"/>
        <v>8</v>
      </c>
      <c r="J247" s="26">
        <f t="shared" si="9"/>
        <v>8</v>
      </c>
      <c r="K247" s="26">
        <f t="shared" si="9"/>
        <v>8</v>
      </c>
      <c r="L247" s="26">
        <f t="shared" si="9"/>
        <v>8</v>
      </c>
      <c r="M247" s="26">
        <f t="shared" si="9"/>
        <v>8</v>
      </c>
      <c r="N247" s="26">
        <f t="shared" si="9"/>
        <v>8</v>
      </c>
      <c r="O247" s="26">
        <f t="shared" si="9"/>
        <v>8</v>
      </c>
      <c r="P247" s="26">
        <f t="shared" si="9"/>
        <v>8</v>
      </c>
      <c r="Q247" s="26">
        <f t="shared" si="9"/>
        <v>11</v>
      </c>
      <c r="R247" s="26">
        <f t="shared" si="9"/>
        <v>0</v>
      </c>
      <c r="S247" s="26">
        <f t="shared" si="9"/>
        <v>10</v>
      </c>
      <c r="T247" s="26">
        <f t="shared" si="9"/>
        <v>10</v>
      </c>
      <c r="U247" s="26">
        <f t="shared" si="9"/>
        <v>11</v>
      </c>
    </row>
    <row r="248" spans="1:21" x14ac:dyDescent="0.25">
      <c r="A248" s="25" t="str">
        <f t="shared" si="7"/>
        <v>HAR</v>
      </c>
      <c r="B248" s="26">
        <f t="shared" si="9"/>
        <v>8</v>
      </c>
      <c r="C248" s="26">
        <f t="shared" si="9"/>
        <v>8</v>
      </c>
      <c r="D248" s="26">
        <f t="shared" si="9"/>
        <v>8</v>
      </c>
      <c r="E248" s="26">
        <f t="shared" si="9"/>
        <v>8</v>
      </c>
      <c r="F248" s="26">
        <f t="shared" si="9"/>
        <v>8</v>
      </c>
      <c r="G248" s="26">
        <f t="shared" si="9"/>
        <v>8</v>
      </c>
      <c r="H248" s="26">
        <f t="shared" si="9"/>
        <v>8</v>
      </c>
      <c r="I248" s="26">
        <f t="shared" si="9"/>
        <v>8</v>
      </c>
      <c r="J248" s="26">
        <f t="shared" si="9"/>
        <v>8</v>
      </c>
      <c r="K248" s="26">
        <f t="shared" si="9"/>
        <v>8</v>
      </c>
      <c r="L248" s="26">
        <f t="shared" si="9"/>
        <v>8</v>
      </c>
      <c r="M248" s="26">
        <f t="shared" si="9"/>
        <v>8</v>
      </c>
      <c r="N248" s="26">
        <f t="shared" si="9"/>
        <v>8</v>
      </c>
      <c r="O248" s="26">
        <f t="shared" si="9"/>
        <v>8</v>
      </c>
      <c r="P248" s="26">
        <f t="shared" si="9"/>
        <v>8</v>
      </c>
      <c r="Q248" s="26">
        <f t="shared" si="9"/>
        <v>10</v>
      </c>
      <c r="R248" s="26">
        <f t="shared" si="9"/>
        <v>10</v>
      </c>
      <c r="S248" s="26">
        <f t="shared" si="9"/>
        <v>0</v>
      </c>
      <c r="T248" s="26">
        <f t="shared" si="9"/>
        <v>11</v>
      </c>
      <c r="U248" s="26">
        <f t="shared" si="9"/>
        <v>11</v>
      </c>
    </row>
    <row r="249" spans="1:21" x14ac:dyDescent="0.25">
      <c r="A249" s="25" t="str">
        <f t="shared" si="7"/>
        <v>NYD</v>
      </c>
      <c r="B249" s="26">
        <f t="shared" si="9"/>
        <v>8</v>
      </c>
      <c r="C249" s="26">
        <f t="shared" si="9"/>
        <v>8</v>
      </c>
      <c r="D249" s="26">
        <f t="shared" si="9"/>
        <v>8</v>
      </c>
      <c r="E249" s="26">
        <f t="shared" si="9"/>
        <v>8</v>
      </c>
      <c r="F249" s="26">
        <f t="shared" si="9"/>
        <v>8</v>
      </c>
      <c r="G249" s="26">
        <f t="shared" si="9"/>
        <v>8</v>
      </c>
      <c r="H249" s="26">
        <f t="shared" si="9"/>
        <v>8</v>
      </c>
      <c r="I249" s="26">
        <f t="shared" si="9"/>
        <v>8</v>
      </c>
      <c r="J249" s="26">
        <f t="shared" si="9"/>
        <v>8</v>
      </c>
      <c r="K249" s="26">
        <f t="shared" si="9"/>
        <v>8</v>
      </c>
      <c r="L249" s="26">
        <f t="shared" si="9"/>
        <v>8</v>
      </c>
      <c r="M249" s="26">
        <f t="shared" si="9"/>
        <v>8</v>
      </c>
      <c r="N249" s="26">
        <f t="shared" si="9"/>
        <v>8</v>
      </c>
      <c r="O249" s="26">
        <f t="shared" si="9"/>
        <v>8</v>
      </c>
      <c r="P249" s="26">
        <f t="shared" si="9"/>
        <v>8</v>
      </c>
      <c r="Q249" s="26">
        <f t="shared" si="9"/>
        <v>11</v>
      </c>
      <c r="R249" s="26">
        <f t="shared" si="9"/>
        <v>10</v>
      </c>
      <c r="S249" s="26">
        <f t="shared" si="9"/>
        <v>11</v>
      </c>
      <c r="T249" s="26">
        <f t="shared" si="9"/>
        <v>0</v>
      </c>
      <c r="U249" s="26">
        <f t="shared" si="9"/>
        <v>10</v>
      </c>
    </row>
    <row r="250" spans="1:21" x14ac:dyDescent="0.25">
      <c r="A250" s="32" t="str">
        <f t="shared" si="7"/>
        <v>PHI</v>
      </c>
      <c r="B250" s="30">
        <f t="shared" si="9"/>
        <v>8</v>
      </c>
      <c r="C250" s="30">
        <f t="shared" si="9"/>
        <v>8</v>
      </c>
      <c r="D250" s="30">
        <f t="shared" si="9"/>
        <v>8</v>
      </c>
      <c r="E250" s="30">
        <f t="shared" si="9"/>
        <v>8</v>
      </c>
      <c r="F250" s="30">
        <f t="shared" si="9"/>
        <v>8</v>
      </c>
      <c r="G250" s="30">
        <f t="shared" si="9"/>
        <v>8</v>
      </c>
      <c r="H250" s="30">
        <f t="shared" si="9"/>
        <v>8</v>
      </c>
      <c r="I250" s="30">
        <f t="shared" si="9"/>
        <v>8</v>
      </c>
      <c r="J250" s="30">
        <f t="shared" si="9"/>
        <v>8</v>
      </c>
      <c r="K250" s="30">
        <f t="shared" si="9"/>
        <v>8</v>
      </c>
      <c r="L250" s="30">
        <f t="shared" si="9"/>
        <v>8</v>
      </c>
      <c r="M250" s="30">
        <f t="shared" si="9"/>
        <v>8</v>
      </c>
      <c r="N250" s="30">
        <f t="shared" si="9"/>
        <v>8</v>
      </c>
      <c r="O250" s="30">
        <f t="shared" si="9"/>
        <v>8</v>
      </c>
      <c r="P250" s="30">
        <f t="shared" si="9"/>
        <v>8</v>
      </c>
      <c r="Q250" s="30">
        <f t="shared" si="9"/>
        <v>10</v>
      </c>
      <c r="R250" s="30">
        <f t="shared" si="9"/>
        <v>11</v>
      </c>
      <c r="S250" s="30">
        <f t="shared" si="9"/>
        <v>11</v>
      </c>
      <c r="T250" s="30">
        <f t="shared" si="9"/>
        <v>10</v>
      </c>
      <c r="U250" s="30">
        <f t="shared" si="9"/>
        <v>0</v>
      </c>
    </row>
  </sheetData>
  <mergeCells count="6">
    <mergeCell ref="A188:U188"/>
    <mergeCell ref="B1:U1"/>
    <mergeCell ref="B3:F3"/>
    <mergeCell ref="G3:K3"/>
    <mergeCell ref="L3:P3"/>
    <mergeCell ref="Q3:U3"/>
  </mergeCells>
  <conditionalFormatting sqref="Q241:U245 G231:U235 L236:U240 G241:K245 B236:F245 B246:P250">
    <cfRule type="cellIs" dxfId="3" priority="1" stopIfTrue="1" operator="notEqual">
      <formula>8</formula>
    </cfRule>
  </conditionalFormatting>
  <conditionalFormatting sqref="G191:U195 B196:F200 L196:U200 B201:K205 Q201:U205 B206:P210 G211:U215 B216:F220 L216:U220 B221:K230 L226:P230 Q221:U225">
    <cfRule type="cellIs" dxfId="2" priority="2" stopIfTrue="1" operator="notEqual">
      <formula>4</formula>
    </cfRule>
  </conditionalFormatting>
  <conditionalFormatting sqref="Q226:U230 G196:K200 L201:P205 Q206:U210 B211:F215 G216:K220 L221:P225 B191:F195">
    <cfRule type="cellIs" dxfId="1" priority="3" stopIfTrue="1" operator="notBetween">
      <formula>5</formula>
      <formula>6</formula>
    </cfRule>
  </conditionalFormatting>
  <conditionalFormatting sqref="B5:U186">
    <cfRule type="expression" dxfId="0" priority="4" stopIfTrue="1">
      <formula>ISNA(B5)</formula>
    </cfRule>
  </conditionalFormatting>
  <printOptions horizontalCentered="1"/>
  <pageMargins left="0.25" right="0.25" top="0.25" bottom="0" header="0.3" footer="0.3"/>
  <pageSetup scale="50" fitToHeight="2" orientation="portrait" horizontalDpi="300" verticalDpi="300" r:id="rId1"/>
  <headerFooter alignWithMargins="0"/>
  <rowBreaks count="1" manualBreakCount="1">
    <brk id="88" max="16383" man="1"/>
  </rowBreaks>
  <ignoredErrors>
    <ignoredError sqref="G9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621"/>
  <sheetViews>
    <sheetView zoomScale="85" workbookViewId="0">
      <pane ySplit="1" topLeftCell="A1556" activePane="bottomLeft" state="frozen"/>
      <selection pane="bottomLeft" activeCell="C1601" sqref="C1601"/>
    </sheetView>
    <sheetView tabSelected="1" topLeftCell="A958" workbookViewId="1">
      <selection activeCell="F992" sqref="F992:G992"/>
    </sheetView>
  </sheetViews>
  <sheetFormatPr defaultColWidth="0" defaultRowHeight="12.75" x14ac:dyDescent="0.2"/>
  <cols>
    <col min="1" max="1" width="12.42578125" style="1" bestFit="1" customWidth="1"/>
    <col min="2" max="2" width="12" style="1" bestFit="1" customWidth="1"/>
    <col min="3" max="3" width="5.5703125" style="1" customWidth="1"/>
    <col min="4" max="4" width="10.7109375" style="1" customWidth="1"/>
    <col min="5" max="5" width="3.85546875" style="1" bestFit="1" customWidth="1"/>
    <col min="6" max="6" width="3.42578125" style="1" bestFit="1" customWidth="1"/>
    <col min="7" max="7" width="5.42578125" style="1" bestFit="1" customWidth="1"/>
    <col min="8" max="8" width="4.5703125" style="1" bestFit="1" customWidth="1"/>
    <col min="9" max="9" width="5.85546875" style="1" bestFit="1" customWidth="1"/>
    <col min="10" max="10" width="4.85546875" style="1" bestFit="1" customWidth="1"/>
    <col min="11" max="11" width="6.5703125" style="1" bestFit="1" customWidth="1"/>
    <col min="12" max="12" width="25.7109375" style="1" bestFit="1" customWidth="1"/>
    <col min="13" max="13" width="4" style="1" customWidth="1"/>
    <col min="14" max="14" width="5.7109375" style="1" customWidth="1"/>
    <col min="15" max="15" width="4.42578125" style="1" customWidth="1"/>
    <col min="16" max="16384" width="0" style="1" hidden="1"/>
  </cols>
  <sheetData>
    <row r="1" spans="1:15" x14ac:dyDescent="0.2">
      <c r="A1" s="14" t="s">
        <v>17</v>
      </c>
      <c r="B1" s="14" t="s">
        <v>18</v>
      </c>
      <c r="C1" s="15" t="s">
        <v>19</v>
      </c>
      <c r="D1" s="15" t="s">
        <v>20</v>
      </c>
      <c r="E1" s="15" t="s">
        <v>25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21</v>
      </c>
      <c r="K1" s="15" t="s">
        <v>22</v>
      </c>
      <c r="L1" s="3" t="s">
        <v>51</v>
      </c>
      <c r="M1" s="15" t="s">
        <v>26</v>
      </c>
      <c r="N1" s="16" t="s">
        <v>12</v>
      </c>
      <c r="O1" s="15" t="s">
        <v>27</v>
      </c>
    </row>
    <row r="2" spans="1:15" x14ac:dyDescent="0.2">
      <c r="A2" s="1" t="str">
        <f t="shared" ref="A2:A65" si="0">D2&amp;G2</f>
        <v>380822</v>
      </c>
      <c r="B2" s="1" t="str">
        <f t="shared" ref="B2:B65" si="1">D2&amp;F2</f>
        <v>380824</v>
      </c>
      <c r="C2" s="1">
        <v>1</v>
      </c>
      <c r="D2" s="4">
        <v>38082</v>
      </c>
      <c r="E2" s="1">
        <v>0</v>
      </c>
      <c r="F2" s="1">
        <v>4</v>
      </c>
      <c r="G2" s="1">
        <v>2</v>
      </c>
      <c r="H2" s="1">
        <v>2</v>
      </c>
      <c r="I2" s="1">
        <v>0</v>
      </c>
      <c r="J2" s="2" t="str">
        <f t="shared" ref="J2:J65" si="2">VLOOKUP(F2,$M$2:$N$21,2,0)</f>
        <v>NNN</v>
      </c>
      <c r="K2" s="2" t="str">
        <f t="shared" ref="K2:K65" si="3">"@"&amp;VLOOKUP(G2,$M$2:$N$21,2,0)</f>
        <v>@NEP</v>
      </c>
      <c r="L2" s="1" t="str">
        <f t="shared" ref="L2:L65" si="4">C2&amp;","&amp;MONTH(D2)&amp;"/"&amp;DAY(D2)&amp;"/"&amp;YEAR(D2)&amp;","&amp;E2&amp;","&amp;F2&amp;","&amp;G2&amp;","&amp;H2&amp;","&amp;I2</f>
        <v>1,4/5/2004,0,4,2,2,0</v>
      </c>
      <c r="M2" s="5">
        <v>13</v>
      </c>
      <c r="N2" s="6" t="s">
        <v>5</v>
      </c>
      <c r="O2" s="7">
        <v>1</v>
      </c>
    </row>
    <row r="3" spans="1:15" x14ac:dyDescent="0.2">
      <c r="A3" s="1" t="str">
        <f t="shared" si="0"/>
        <v>380823</v>
      </c>
      <c r="B3" s="1" t="str">
        <f t="shared" si="1"/>
        <v>380825</v>
      </c>
      <c r="C3" s="1">
        <v>2</v>
      </c>
      <c r="D3" s="4">
        <v>38082</v>
      </c>
      <c r="E3" s="1">
        <v>0</v>
      </c>
      <c r="F3" s="1">
        <v>5</v>
      </c>
      <c r="G3" s="1">
        <v>3</v>
      </c>
      <c r="H3" s="1">
        <v>2</v>
      </c>
      <c r="I3" s="1">
        <v>0</v>
      </c>
      <c r="J3" s="2" t="str">
        <f t="shared" si="2"/>
        <v>OKO</v>
      </c>
      <c r="K3" s="2" t="str">
        <f t="shared" si="3"/>
        <v>@TEW</v>
      </c>
      <c r="L3" s="1" t="str">
        <f t="shared" si="4"/>
        <v>2,4/5/2004,0,5,3,2,0</v>
      </c>
      <c r="M3" s="8">
        <v>7</v>
      </c>
      <c r="N3" s="9" t="s">
        <v>7</v>
      </c>
      <c r="O3" s="10">
        <v>1</v>
      </c>
    </row>
    <row r="4" spans="1:15" x14ac:dyDescent="0.2">
      <c r="A4" s="1" t="str">
        <f t="shared" si="0"/>
        <v>380827</v>
      </c>
      <c r="B4" s="1" t="str">
        <f t="shared" si="1"/>
        <v>3808224</v>
      </c>
      <c r="C4" s="1">
        <v>3</v>
      </c>
      <c r="D4" s="4">
        <v>38082</v>
      </c>
      <c r="E4" s="1">
        <v>0</v>
      </c>
      <c r="F4" s="1">
        <v>24</v>
      </c>
      <c r="G4" s="1">
        <v>7</v>
      </c>
      <c r="H4" s="1">
        <v>2</v>
      </c>
      <c r="I4" s="1">
        <v>0</v>
      </c>
      <c r="J4" s="2" t="str">
        <f t="shared" si="2"/>
        <v>PHI</v>
      </c>
      <c r="K4" s="2" t="str">
        <f t="shared" si="3"/>
        <v>@BAR</v>
      </c>
      <c r="L4" s="1" t="str">
        <f t="shared" si="4"/>
        <v>3,4/5/2004,0,24,7,2,0</v>
      </c>
      <c r="M4" s="8">
        <v>8</v>
      </c>
      <c r="N4" s="9" t="s">
        <v>3</v>
      </c>
      <c r="O4" s="10">
        <v>1</v>
      </c>
    </row>
    <row r="5" spans="1:15" x14ac:dyDescent="0.2">
      <c r="A5" s="1" t="str">
        <f t="shared" si="0"/>
        <v>380828</v>
      </c>
      <c r="B5" s="1" t="str">
        <f t="shared" si="1"/>
        <v>3808221</v>
      </c>
      <c r="C5" s="1">
        <v>4</v>
      </c>
      <c r="D5" s="4">
        <v>38082</v>
      </c>
      <c r="E5" s="1">
        <v>0</v>
      </c>
      <c r="F5" s="1">
        <v>21</v>
      </c>
      <c r="G5" s="1">
        <v>8</v>
      </c>
      <c r="H5" s="1">
        <v>2</v>
      </c>
      <c r="I5" s="1">
        <v>0</v>
      </c>
      <c r="J5" s="2" t="str">
        <f t="shared" si="2"/>
        <v>NYD</v>
      </c>
      <c r="K5" s="2" t="str">
        <f t="shared" si="3"/>
        <v>@CTW</v>
      </c>
      <c r="L5" s="1" t="str">
        <f t="shared" si="4"/>
        <v>4,4/5/2004,0,21,8,2,0</v>
      </c>
      <c r="M5" s="8">
        <v>9</v>
      </c>
      <c r="N5" s="9" t="s">
        <v>4</v>
      </c>
      <c r="O5" s="10">
        <v>1</v>
      </c>
    </row>
    <row r="6" spans="1:15" x14ac:dyDescent="0.2">
      <c r="A6" s="1" t="str">
        <f t="shared" si="0"/>
        <v>380829</v>
      </c>
      <c r="B6" s="1" t="str">
        <f t="shared" si="1"/>
        <v>3808211</v>
      </c>
      <c r="C6" s="1">
        <v>5</v>
      </c>
      <c r="D6" s="4">
        <v>38082</v>
      </c>
      <c r="E6" s="1">
        <v>0</v>
      </c>
      <c r="F6" s="1">
        <v>11</v>
      </c>
      <c r="G6" s="1">
        <v>9</v>
      </c>
      <c r="H6" s="1">
        <v>2</v>
      </c>
      <c r="I6" s="1">
        <v>0</v>
      </c>
      <c r="J6" s="2" t="str">
        <f t="shared" si="2"/>
        <v>HAR</v>
      </c>
      <c r="K6" s="2" t="str">
        <f t="shared" si="3"/>
        <v>@CIN</v>
      </c>
      <c r="L6" s="1" t="str">
        <f t="shared" si="4"/>
        <v>5,4/5/2004,0,11,9,2,0</v>
      </c>
      <c r="M6" s="11">
        <v>17</v>
      </c>
      <c r="N6" s="12" t="s">
        <v>56</v>
      </c>
      <c r="O6" s="13">
        <v>1</v>
      </c>
    </row>
    <row r="7" spans="1:15" x14ac:dyDescent="0.2">
      <c r="A7" s="1" t="str">
        <f t="shared" si="0"/>
        <v>3808210</v>
      </c>
      <c r="B7" s="1" t="str">
        <f t="shared" si="1"/>
        <v>3808216</v>
      </c>
      <c r="C7" s="1">
        <v>6</v>
      </c>
      <c r="D7" s="4">
        <v>38082</v>
      </c>
      <c r="E7" s="1">
        <v>0</v>
      </c>
      <c r="F7" s="1">
        <v>16</v>
      </c>
      <c r="G7" s="1">
        <v>10</v>
      </c>
      <c r="H7" s="1">
        <v>2</v>
      </c>
      <c r="I7" s="1">
        <v>0</v>
      </c>
      <c r="J7" s="2" t="str">
        <f t="shared" si="2"/>
        <v>DIG</v>
      </c>
      <c r="K7" s="2" t="str">
        <f t="shared" si="3"/>
        <v>@REN</v>
      </c>
      <c r="L7" s="1" t="str">
        <f t="shared" si="4"/>
        <v>6,4/5/2004,0,16,10,2,0</v>
      </c>
      <c r="M7" s="1">
        <v>14</v>
      </c>
      <c r="N7" s="1" t="s">
        <v>6</v>
      </c>
      <c r="O7" s="1">
        <v>2</v>
      </c>
    </row>
    <row r="8" spans="1:15" x14ac:dyDescent="0.2">
      <c r="A8" s="1" t="str">
        <f t="shared" si="0"/>
        <v>3808213</v>
      </c>
      <c r="B8" s="1" t="str">
        <f t="shared" si="1"/>
        <v>3808222</v>
      </c>
      <c r="C8" s="1">
        <v>7</v>
      </c>
      <c r="D8" s="4">
        <v>38082</v>
      </c>
      <c r="E8" s="1">
        <v>0</v>
      </c>
      <c r="F8" s="1">
        <v>22</v>
      </c>
      <c r="G8" s="1">
        <v>13</v>
      </c>
      <c r="H8" s="1">
        <v>2</v>
      </c>
      <c r="I8" s="1">
        <v>0</v>
      </c>
      <c r="J8" s="2" t="str">
        <f t="shared" si="2"/>
        <v>CBB</v>
      </c>
      <c r="K8" s="2" t="str">
        <f t="shared" si="3"/>
        <v>@BBG</v>
      </c>
      <c r="L8" s="1" t="str">
        <f t="shared" si="4"/>
        <v>7,4/5/2004,0,22,13,2,0</v>
      </c>
      <c r="M8" s="1">
        <v>20</v>
      </c>
      <c r="N8" s="1" t="s">
        <v>0</v>
      </c>
      <c r="O8" s="1">
        <v>2</v>
      </c>
    </row>
    <row r="9" spans="1:15" x14ac:dyDescent="0.2">
      <c r="A9" s="1" t="str">
        <f t="shared" si="0"/>
        <v>3808214</v>
      </c>
      <c r="B9" s="1" t="str">
        <f t="shared" si="1"/>
        <v>3808212</v>
      </c>
      <c r="C9" s="1">
        <v>8</v>
      </c>
      <c r="D9" s="4">
        <v>38082</v>
      </c>
      <c r="E9" s="1">
        <v>0</v>
      </c>
      <c r="F9" s="1">
        <v>12</v>
      </c>
      <c r="G9" s="1">
        <v>14</v>
      </c>
      <c r="H9" s="1">
        <v>2</v>
      </c>
      <c r="I9" s="1">
        <v>0</v>
      </c>
      <c r="J9" s="2" t="str">
        <f t="shared" si="2"/>
        <v>RMO</v>
      </c>
      <c r="K9" s="2" t="str">
        <f t="shared" si="3"/>
        <v>@CEN</v>
      </c>
      <c r="L9" s="1" t="str">
        <f t="shared" si="4"/>
        <v>8,4/5/2004,0,12,14,2,0</v>
      </c>
      <c r="M9" s="1">
        <v>2</v>
      </c>
      <c r="N9" s="1" t="s">
        <v>1</v>
      </c>
      <c r="O9" s="1">
        <v>2</v>
      </c>
    </row>
    <row r="10" spans="1:15" x14ac:dyDescent="0.2">
      <c r="A10" s="1" t="str">
        <f t="shared" si="0"/>
        <v>3808217</v>
      </c>
      <c r="B10" s="1" t="str">
        <f t="shared" si="1"/>
        <v>3808223</v>
      </c>
      <c r="C10" s="1">
        <v>9</v>
      </c>
      <c r="D10" s="4">
        <v>38082</v>
      </c>
      <c r="E10" s="1">
        <v>0</v>
      </c>
      <c r="F10" s="1">
        <v>23</v>
      </c>
      <c r="G10" s="1">
        <v>17</v>
      </c>
      <c r="H10" s="1">
        <v>2</v>
      </c>
      <c r="I10" s="1">
        <v>0</v>
      </c>
      <c r="J10" s="2" t="str">
        <f t="shared" si="2"/>
        <v>BRK</v>
      </c>
      <c r="K10" s="2" t="str">
        <f t="shared" si="3"/>
        <v>@GAR</v>
      </c>
      <c r="L10" s="1" t="str">
        <f t="shared" si="4"/>
        <v>9,4/5/2004,0,23,17,2,0</v>
      </c>
      <c r="M10" s="1">
        <v>10</v>
      </c>
      <c r="N10" s="1" t="s">
        <v>57</v>
      </c>
      <c r="O10" s="1">
        <v>2</v>
      </c>
    </row>
    <row r="11" spans="1:15" x14ac:dyDescent="0.2">
      <c r="A11" s="1" t="str">
        <f t="shared" si="0"/>
        <v>3808220</v>
      </c>
      <c r="B11" s="1" t="str">
        <f t="shared" si="1"/>
        <v>380821</v>
      </c>
      <c r="C11" s="1">
        <v>10</v>
      </c>
      <c r="D11" s="4">
        <v>38082</v>
      </c>
      <c r="E11" s="1">
        <v>0</v>
      </c>
      <c r="F11" s="1">
        <v>1</v>
      </c>
      <c r="G11" s="1">
        <v>20</v>
      </c>
      <c r="H11" s="1">
        <v>2</v>
      </c>
      <c r="I11" s="1">
        <v>0</v>
      </c>
      <c r="J11" s="2" t="str">
        <f t="shared" si="2"/>
        <v>FFR</v>
      </c>
      <c r="K11" s="2" t="str">
        <f t="shared" si="3"/>
        <v>@FDH</v>
      </c>
      <c r="L11" s="1" t="str">
        <f t="shared" si="4"/>
        <v>10,4/5/2004,0,1,20,2,0</v>
      </c>
      <c r="M11" s="1">
        <v>3</v>
      </c>
      <c r="N11" s="1" t="s">
        <v>2</v>
      </c>
      <c r="O11" s="1">
        <v>2</v>
      </c>
    </row>
    <row r="12" spans="1:15" x14ac:dyDescent="0.2">
      <c r="A12" s="1" t="str">
        <f t="shared" si="0"/>
        <v>380832</v>
      </c>
      <c r="B12" s="1" t="str">
        <f t="shared" si="1"/>
        <v>380834</v>
      </c>
      <c r="C12" s="1">
        <v>11</v>
      </c>
      <c r="D12" s="4">
        <v>38083</v>
      </c>
      <c r="E12" s="1">
        <v>0</v>
      </c>
      <c r="F12" s="1">
        <v>4</v>
      </c>
      <c r="G12" s="1">
        <v>2</v>
      </c>
      <c r="H12" s="1">
        <v>2</v>
      </c>
      <c r="I12" s="1">
        <v>0</v>
      </c>
      <c r="J12" s="2" t="str">
        <f t="shared" si="2"/>
        <v>NNN</v>
      </c>
      <c r="K12" s="2" t="str">
        <f t="shared" si="3"/>
        <v>@NEP</v>
      </c>
      <c r="L12" s="1" t="str">
        <f t="shared" si="4"/>
        <v>11,4/6/2004,0,4,2,2,0</v>
      </c>
      <c r="M12" s="5">
        <v>16</v>
      </c>
      <c r="N12" s="6" t="s">
        <v>58</v>
      </c>
      <c r="O12" s="7">
        <v>3</v>
      </c>
    </row>
    <row r="13" spans="1:15" x14ac:dyDescent="0.2">
      <c r="A13" s="1" t="str">
        <f t="shared" si="0"/>
        <v>380833</v>
      </c>
      <c r="B13" s="1" t="str">
        <f t="shared" si="1"/>
        <v>380835</v>
      </c>
      <c r="C13" s="1">
        <v>12</v>
      </c>
      <c r="D13" s="4">
        <v>38083</v>
      </c>
      <c r="E13" s="1">
        <v>0</v>
      </c>
      <c r="F13" s="1">
        <v>5</v>
      </c>
      <c r="G13" s="1">
        <v>3</v>
      </c>
      <c r="H13" s="1">
        <v>2</v>
      </c>
      <c r="I13" s="1">
        <v>0</v>
      </c>
      <c r="J13" s="2" t="str">
        <f t="shared" si="2"/>
        <v>OKO</v>
      </c>
      <c r="K13" s="2" t="str">
        <f t="shared" si="3"/>
        <v>@TEW</v>
      </c>
      <c r="L13" s="1" t="str">
        <f t="shared" si="4"/>
        <v>12,4/6/2004,0,5,3,2,0</v>
      </c>
      <c r="M13" s="8">
        <v>1</v>
      </c>
      <c r="N13" s="9" t="s">
        <v>16</v>
      </c>
      <c r="O13" s="10">
        <v>3</v>
      </c>
    </row>
    <row r="14" spans="1:15" x14ac:dyDescent="0.2">
      <c r="A14" s="1" t="str">
        <f t="shared" si="0"/>
        <v>380837</v>
      </c>
      <c r="B14" s="1" t="str">
        <f t="shared" si="1"/>
        <v>3808324</v>
      </c>
      <c r="C14" s="1">
        <v>13</v>
      </c>
      <c r="D14" s="4">
        <v>38083</v>
      </c>
      <c r="E14" s="1">
        <v>0</v>
      </c>
      <c r="F14" s="1">
        <v>24</v>
      </c>
      <c r="G14" s="1">
        <v>7</v>
      </c>
      <c r="H14" s="1">
        <v>2</v>
      </c>
      <c r="I14" s="1">
        <v>0</v>
      </c>
      <c r="J14" s="2" t="str">
        <f t="shared" si="2"/>
        <v>PHI</v>
      </c>
      <c r="K14" s="2" t="str">
        <f t="shared" si="3"/>
        <v>@BAR</v>
      </c>
      <c r="L14" s="1" t="str">
        <f t="shared" si="4"/>
        <v>13,4/6/2004,0,24,7,2,0</v>
      </c>
      <c r="M14" s="8">
        <v>4</v>
      </c>
      <c r="N14" s="9" t="s">
        <v>59</v>
      </c>
      <c r="O14" s="10">
        <v>3</v>
      </c>
    </row>
    <row r="15" spans="1:15" x14ac:dyDescent="0.2">
      <c r="A15" s="1" t="str">
        <f t="shared" si="0"/>
        <v>380838</v>
      </c>
      <c r="B15" s="1" t="str">
        <f t="shared" si="1"/>
        <v>3808321</v>
      </c>
      <c r="C15" s="1">
        <v>14</v>
      </c>
      <c r="D15" s="4">
        <v>38083</v>
      </c>
      <c r="E15" s="1">
        <v>0</v>
      </c>
      <c r="F15" s="1">
        <v>21</v>
      </c>
      <c r="G15" s="1">
        <v>8</v>
      </c>
      <c r="H15" s="1">
        <v>2</v>
      </c>
      <c r="I15" s="1">
        <v>0</v>
      </c>
      <c r="J15" s="2" t="str">
        <f t="shared" si="2"/>
        <v>NYD</v>
      </c>
      <c r="K15" s="2" t="str">
        <f t="shared" si="3"/>
        <v>@CTW</v>
      </c>
      <c r="L15" s="1" t="str">
        <f t="shared" si="4"/>
        <v>14,4/6/2004,0,21,8,2,0</v>
      </c>
      <c r="M15" s="8">
        <v>5</v>
      </c>
      <c r="N15" s="9" t="s">
        <v>14</v>
      </c>
      <c r="O15" s="10">
        <v>3</v>
      </c>
    </row>
    <row r="16" spans="1:15" x14ac:dyDescent="0.2">
      <c r="A16" s="1" t="str">
        <f t="shared" si="0"/>
        <v>380839</v>
      </c>
      <c r="B16" s="1" t="str">
        <f t="shared" si="1"/>
        <v>3808311</v>
      </c>
      <c r="C16" s="1">
        <v>15</v>
      </c>
      <c r="D16" s="4">
        <v>38083</v>
      </c>
      <c r="E16" s="1">
        <v>0</v>
      </c>
      <c r="F16" s="1">
        <v>11</v>
      </c>
      <c r="G16" s="1">
        <v>9</v>
      </c>
      <c r="H16" s="1">
        <v>2</v>
      </c>
      <c r="I16" s="1">
        <v>0</v>
      </c>
      <c r="J16" s="2" t="str">
        <f t="shared" si="2"/>
        <v>HAR</v>
      </c>
      <c r="K16" s="2" t="str">
        <f t="shared" si="3"/>
        <v>@CIN</v>
      </c>
      <c r="L16" s="1" t="str">
        <f t="shared" si="4"/>
        <v>15,4/6/2004,0,11,9,2,0</v>
      </c>
      <c r="M16" s="11">
        <v>12</v>
      </c>
      <c r="N16" s="12" t="s">
        <v>15</v>
      </c>
      <c r="O16" s="13">
        <v>3</v>
      </c>
    </row>
    <row r="17" spans="1:15" x14ac:dyDescent="0.2">
      <c r="A17" s="1" t="str">
        <f t="shared" si="0"/>
        <v>3808310</v>
      </c>
      <c r="B17" s="1" t="str">
        <f t="shared" si="1"/>
        <v>3808316</v>
      </c>
      <c r="C17" s="1">
        <v>16</v>
      </c>
      <c r="D17" s="4">
        <v>38083</v>
      </c>
      <c r="E17" s="1">
        <v>0</v>
      </c>
      <c r="F17" s="1">
        <v>16</v>
      </c>
      <c r="G17" s="1">
        <v>10</v>
      </c>
      <c r="H17" s="1">
        <v>2</v>
      </c>
      <c r="I17" s="1">
        <v>0</v>
      </c>
      <c r="J17" s="2" t="str">
        <f t="shared" si="2"/>
        <v>DIG</v>
      </c>
      <c r="K17" s="2" t="str">
        <f t="shared" si="3"/>
        <v>@REN</v>
      </c>
      <c r="L17" s="1" t="str">
        <f t="shared" si="4"/>
        <v>16,4/6/2004,0,16,10,2,0</v>
      </c>
      <c r="M17" s="1">
        <v>23</v>
      </c>
      <c r="N17" s="1" t="s">
        <v>60</v>
      </c>
      <c r="O17" s="1">
        <v>4</v>
      </c>
    </row>
    <row r="18" spans="1:15" x14ac:dyDescent="0.2">
      <c r="A18" s="1" t="str">
        <f t="shared" si="0"/>
        <v>3808313</v>
      </c>
      <c r="B18" s="1" t="str">
        <f t="shared" si="1"/>
        <v>3808322</v>
      </c>
      <c r="C18" s="1">
        <v>17</v>
      </c>
      <c r="D18" s="4">
        <v>38083</v>
      </c>
      <c r="E18" s="1">
        <v>0</v>
      </c>
      <c r="F18" s="1">
        <v>22</v>
      </c>
      <c r="G18" s="1">
        <v>13</v>
      </c>
      <c r="H18" s="1">
        <v>2</v>
      </c>
      <c r="I18" s="1">
        <v>0</v>
      </c>
      <c r="J18" s="2" t="str">
        <f t="shared" si="2"/>
        <v>CBB</v>
      </c>
      <c r="K18" s="2" t="str">
        <f t="shared" si="3"/>
        <v>@BBG</v>
      </c>
      <c r="L18" s="1" t="str">
        <f t="shared" si="4"/>
        <v>17,4/6/2004,0,22,13,2,0</v>
      </c>
      <c r="M18" s="1">
        <v>22</v>
      </c>
      <c r="N18" s="1" t="s">
        <v>61</v>
      </c>
      <c r="O18" s="1">
        <v>4</v>
      </c>
    </row>
    <row r="19" spans="1:15" x14ac:dyDescent="0.2">
      <c r="A19" s="1" t="str">
        <f t="shared" si="0"/>
        <v>3808314</v>
      </c>
      <c r="B19" s="1" t="str">
        <f t="shared" si="1"/>
        <v>3808312</v>
      </c>
      <c r="C19" s="1">
        <v>18</v>
      </c>
      <c r="D19" s="4">
        <v>38083</v>
      </c>
      <c r="E19" s="1">
        <v>0</v>
      </c>
      <c r="F19" s="1">
        <v>12</v>
      </c>
      <c r="G19" s="1">
        <v>14</v>
      </c>
      <c r="H19" s="1">
        <v>2</v>
      </c>
      <c r="I19" s="1">
        <v>0</v>
      </c>
      <c r="J19" s="2" t="str">
        <f t="shared" si="2"/>
        <v>RMO</v>
      </c>
      <c r="K19" s="2" t="str">
        <f t="shared" si="3"/>
        <v>@CEN</v>
      </c>
      <c r="L19" s="1" t="str">
        <f t="shared" si="4"/>
        <v>18,4/6/2004,0,12,14,2,0</v>
      </c>
      <c r="M19" s="1">
        <v>11</v>
      </c>
      <c r="N19" s="1" t="s">
        <v>62</v>
      </c>
      <c r="O19" s="1">
        <v>4</v>
      </c>
    </row>
    <row r="20" spans="1:15" x14ac:dyDescent="0.2">
      <c r="A20" s="1" t="str">
        <f t="shared" si="0"/>
        <v>3808317</v>
      </c>
      <c r="B20" s="1" t="str">
        <f t="shared" si="1"/>
        <v>3808323</v>
      </c>
      <c r="C20" s="1">
        <v>19</v>
      </c>
      <c r="D20" s="4">
        <v>38083</v>
      </c>
      <c r="E20" s="1">
        <v>0</v>
      </c>
      <c r="F20" s="1">
        <v>23</v>
      </c>
      <c r="G20" s="1">
        <v>17</v>
      </c>
      <c r="H20" s="1">
        <v>2</v>
      </c>
      <c r="I20" s="1">
        <v>0</v>
      </c>
      <c r="J20" s="2" t="str">
        <f t="shared" si="2"/>
        <v>BRK</v>
      </c>
      <c r="K20" s="2" t="str">
        <f t="shared" si="3"/>
        <v>@GAR</v>
      </c>
      <c r="L20" s="1" t="str">
        <f t="shared" si="4"/>
        <v>19,4/6/2004,0,23,17,2,0</v>
      </c>
      <c r="M20" s="1">
        <v>21</v>
      </c>
      <c r="N20" s="1" t="s">
        <v>63</v>
      </c>
      <c r="O20" s="1">
        <v>4</v>
      </c>
    </row>
    <row r="21" spans="1:15" x14ac:dyDescent="0.2">
      <c r="A21" s="1" t="str">
        <f t="shared" si="0"/>
        <v>3808320</v>
      </c>
      <c r="B21" s="1" t="str">
        <f t="shared" si="1"/>
        <v>380831</v>
      </c>
      <c r="C21" s="1">
        <v>20</v>
      </c>
      <c r="D21" s="4">
        <v>38083</v>
      </c>
      <c r="E21" s="1">
        <v>0</v>
      </c>
      <c r="F21" s="1">
        <v>1</v>
      </c>
      <c r="G21" s="1">
        <v>20</v>
      </c>
      <c r="H21" s="1">
        <v>2</v>
      </c>
      <c r="I21" s="1">
        <v>0</v>
      </c>
      <c r="J21" s="2" t="str">
        <f t="shared" si="2"/>
        <v>FFR</v>
      </c>
      <c r="K21" s="2" t="str">
        <f t="shared" si="3"/>
        <v>@FDH</v>
      </c>
      <c r="L21" s="1" t="str">
        <f t="shared" si="4"/>
        <v>20,4/6/2004,0,1,20,2,0</v>
      </c>
      <c r="M21" s="1">
        <v>24</v>
      </c>
      <c r="N21" s="1" t="s">
        <v>64</v>
      </c>
      <c r="O21" s="1">
        <v>4</v>
      </c>
    </row>
    <row r="22" spans="1:15" x14ac:dyDescent="0.2">
      <c r="A22" s="1" t="str">
        <f t="shared" si="0"/>
        <v>380842</v>
      </c>
      <c r="B22" s="1" t="str">
        <f t="shared" si="1"/>
        <v>380844</v>
      </c>
      <c r="C22" s="1">
        <v>21</v>
      </c>
      <c r="D22" s="4">
        <v>38084</v>
      </c>
      <c r="E22" s="1">
        <v>0</v>
      </c>
      <c r="F22" s="1">
        <v>4</v>
      </c>
      <c r="G22" s="1">
        <v>2</v>
      </c>
      <c r="H22" s="1">
        <v>2</v>
      </c>
      <c r="I22" s="1">
        <v>0</v>
      </c>
      <c r="J22" s="2" t="str">
        <f t="shared" si="2"/>
        <v>NNN</v>
      </c>
      <c r="K22" s="2" t="str">
        <f t="shared" si="3"/>
        <v>@NEP</v>
      </c>
      <c r="L22" s="1" t="str">
        <f t="shared" si="4"/>
        <v>21,4/7/2004,0,4,2,2,0</v>
      </c>
    </row>
    <row r="23" spans="1:15" x14ac:dyDescent="0.2">
      <c r="A23" s="1" t="str">
        <f t="shared" si="0"/>
        <v>380843</v>
      </c>
      <c r="B23" s="1" t="str">
        <f t="shared" si="1"/>
        <v>380845</v>
      </c>
      <c r="C23" s="1">
        <v>22</v>
      </c>
      <c r="D23" s="4">
        <v>38084</v>
      </c>
      <c r="E23" s="1">
        <v>0</v>
      </c>
      <c r="F23" s="1">
        <v>5</v>
      </c>
      <c r="G23" s="1">
        <v>3</v>
      </c>
      <c r="H23" s="1">
        <v>2</v>
      </c>
      <c r="I23" s="1">
        <v>0</v>
      </c>
      <c r="J23" s="2" t="str">
        <f t="shared" si="2"/>
        <v>OKO</v>
      </c>
      <c r="K23" s="2" t="str">
        <f t="shared" si="3"/>
        <v>@TEW</v>
      </c>
      <c r="L23" s="1" t="str">
        <f t="shared" si="4"/>
        <v>22,4/7/2004,0,5,3,2,0</v>
      </c>
    </row>
    <row r="24" spans="1:15" x14ac:dyDescent="0.2">
      <c r="A24" s="1" t="str">
        <f t="shared" si="0"/>
        <v>380847</v>
      </c>
      <c r="B24" s="1" t="str">
        <f t="shared" si="1"/>
        <v>3808424</v>
      </c>
      <c r="C24" s="1">
        <v>23</v>
      </c>
      <c r="D24" s="4">
        <v>38084</v>
      </c>
      <c r="E24" s="1">
        <v>0</v>
      </c>
      <c r="F24" s="1">
        <v>24</v>
      </c>
      <c r="G24" s="1">
        <v>7</v>
      </c>
      <c r="H24" s="1">
        <v>2</v>
      </c>
      <c r="I24" s="1">
        <v>0</v>
      </c>
      <c r="J24" s="2" t="str">
        <f t="shared" si="2"/>
        <v>PHI</v>
      </c>
      <c r="K24" s="2" t="str">
        <f t="shared" si="3"/>
        <v>@BAR</v>
      </c>
      <c r="L24" s="1" t="str">
        <f t="shared" si="4"/>
        <v>23,4/7/2004,0,24,7,2,0</v>
      </c>
      <c r="M24" s="9"/>
      <c r="N24" s="9"/>
      <c r="O24" s="9"/>
    </row>
    <row r="25" spans="1:15" x14ac:dyDescent="0.2">
      <c r="A25" s="1" t="str">
        <f t="shared" si="0"/>
        <v>380848</v>
      </c>
      <c r="B25" s="1" t="str">
        <f t="shared" si="1"/>
        <v>3808421</v>
      </c>
      <c r="C25" s="1">
        <v>24</v>
      </c>
      <c r="D25" s="4">
        <v>38084</v>
      </c>
      <c r="E25" s="1">
        <v>0</v>
      </c>
      <c r="F25" s="1">
        <v>21</v>
      </c>
      <c r="G25" s="1">
        <v>8</v>
      </c>
      <c r="H25" s="1">
        <v>2</v>
      </c>
      <c r="I25" s="1">
        <v>0</v>
      </c>
      <c r="J25" s="2" t="str">
        <f t="shared" si="2"/>
        <v>NYD</v>
      </c>
      <c r="K25" s="2" t="str">
        <f t="shared" si="3"/>
        <v>@CTW</v>
      </c>
      <c r="L25" s="1" t="str">
        <f t="shared" si="4"/>
        <v>24,4/7/2004,0,21,8,2,0</v>
      </c>
      <c r="M25" s="9"/>
      <c r="N25" s="17"/>
      <c r="O25" s="9"/>
    </row>
    <row r="26" spans="1:15" x14ac:dyDescent="0.2">
      <c r="A26" s="1" t="str">
        <f t="shared" si="0"/>
        <v>380849</v>
      </c>
      <c r="B26" s="1" t="str">
        <f t="shared" si="1"/>
        <v>3808411</v>
      </c>
      <c r="C26" s="1">
        <v>25</v>
      </c>
      <c r="D26" s="4">
        <v>38084</v>
      </c>
      <c r="E26" s="1">
        <v>0</v>
      </c>
      <c r="F26" s="1">
        <v>11</v>
      </c>
      <c r="G26" s="1">
        <v>9</v>
      </c>
      <c r="H26" s="1">
        <v>2</v>
      </c>
      <c r="I26" s="1">
        <v>0</v>
      </c>
      <c r="J26" s="2" t="str">
        <f t="shared" si="2"/>
        <v>HAR</v>
      </c>
      <c r="K26" s="2" t="str">
        <f t="shared" si="3"/>
        <v>@CIN</v>
      </c>
      <c r="L26" s="1" t="str">
        <f t="shared" si="4"/>
        <v>25,4/7/2004,0,11,9,2,0</v>
      </c>
      <c r="M26" s="9"/>
      <c r="N26" s="17"/>
      <c r="O26" s="9"/>
    </row>
    <row r="27" spans="1:15" x14ac:dyDescent="0.2">
      <c r="A27" s="1" t="str">
        <f t="shared" si="0"/>
        <v>3808410</v>
      </c>
      <c r="B27" s="1" t="str">
        <f t="shared" si="1"/>
        <v>3808416</v>
      </c>
      <c r="C27" s="1">
        <v>26</v>
      </c>
      <c r="D27" s="4">
        <v>38084</v>
      </c>
      <c r="E27" s="1">
        <v>0</v>
      </c>
      <c r="F27" s="1">
        <v>16</v>
      </c>
      <c r="G27" s="1">
        <v>10</v>
      </c>
      <c r="H27" s="1">
        <v>2</v>
      </c>
      <c r="I27" s="1">
        <v>0</v>
      </c>
      <c r="J27" s="2" t="str">
        <f t="shared" si="2"/>
        <v>DIG</v>
      </c>
      <c r="K27" s="2" t="str">
        <f t="shared" si="3"/>
        <v>@REN</v>
      </c>
      <c r="L27" s="1" t="str">
        <f t="shared" si="4"/>
        <v>26,4/7/2004,0,16,10,2,0</v>
      </c>
      <c r="M27" s="9"/>
      <c r="N27" s="9"/>
      <c r="O27" s="9"/>
    </row>
    <row r="28" spans="1:15" x14ac:dyDescent="0.2">
      <c r="A28" s="1" t="str">
        <f t="shared" si="0"/>
        <v>3808413</v>
      </c>
      <c r="B28" s="1" t="str">
        <f t="shared" si="1"/>
        <v>3808422</v>
      </c>
      <c r="C28" s="1">
        <v>27</v>
      </c>
      <c r="D28" s="4">
        <v>38084</v>
      </c>
      <c r="E28" s="1">
        <v>0</v>
      </c>
      <c r="F28" s="1">
        <v>22</v>
      </c>
      <c r="G28" s="1">
        <v>13</v>
      </c>
      <c r="H28" s="1">
        <v>2</v>
      </c>
      <c r="I28" s="1">
        <v>0</v>
      </c>
      <c r="J28" s="2" t="str">
        <f t="shared" si="2"/>
        <v>CBB</v>
      </c>
      <c r="K28" s="2" t="str">
        <f t="shared" si="3"/>
        <v>@BBG</v>
      </c>
      <c r="L28" s="1" t="str">
        <f t="shared" si="4"/>
        <v>27,4/7/2004,0,22,13,2,0</v>
      </c>
      <c r="M28" s="9"/>
      <c r="N28" s="9"/>
      <c r="O28" s="9"/>
    </row>
    <row r="29" spans="1:15" x14ac:dyDescent="0.2">
      <c r="A29" s="1" t="str">
        <f t="shared" si="0"/>
        <v>3808414</v>
      </c>
      <c r="B29" s="1" t="str">
        <f t="shared" si="1"/>
        <v>3808412</v>
      </c>
      <c r="C29" s="1">
        <v>28</v>
      </c>
      <c r="D29" s="4">
        <v>38084</v>
      </c>
      <c r="E29" s="1">
        <v>0</v>
      </c>
      <c r="F29" s="1">
        <v>12</v>
      </c>
      <c r="G29" s="1">
        <v>14</v>
      </c>
      <c r="H29" s="1">
        <v>2</v>
      </c>
      <c r="I29" s="1">
        <v>0</v>
      </c>
      <c r="J29" s="2" t="str">
        <f t="shared" si="2"/>
        <v>RMO</v>
      </c>
      <c r="K29" s="2" t="str">
        <f t="shared" si="3"/>
        <v>@CEN</v>
      </c>
      <c r="L29" s="1" t="str">
        <f t="shared" si="4"/>
        <v>28,4/7/2004,0,12,14,2,0</v>
      </c>
      <c r="M29" s="9"/>
      <c r="N29" s="9"/>
      <c r="O29" s="9"/>
    </row>
    <row r="30" spans="1:15" x14ac:dyDescent="0.2">
      <c r="A30" s="1" t="str">
        <f t="shared" si="0"/>
        <v>3808417</v>
      </c>
      <c r="B30" s="1" t="str">
        <f t="shared" si="1"/>
        <v>3808423</v>
      </c>
      <c r="C30" s="1">
        <v>29</v>
      </c>
      <c r="D30" s="4">
        <v>38084</v>
      </c>
      <c r="E30" s="1">
        <v>0</v>
      </c>
      <c r="F30" s="1">
        <v>23</v>
      </c>
      <c r="G30" s="1">
        <v>17</v>
      </c>
      <c r="H30" s="1">
        <v>2</v>
      </c>
      <c r="I30" s="1">
        <v>0</v>
      </c>
      <c r="J30" s="2" t="str">
        <f t="shared" si="2"/>
        <v>BRK</v>
      </c>
      <c r="K30" s="2" t="str">
        <f t="shared" si="3"/>
        <v>@GAR</v>
      </c>
      <c r="L30" s="1" t="str">
        <f t="shared" si="4"/>
        <v>29,4/7/2004,0,23,17,2,0</v>
      </c>
      <c r="M30" s="9"/>
      <c r="N30" s="9"/>
      <c r="O30" s="9"/>
    </row>
    <row r="31" spans="1:15" x14ac:dyDescent="0.2">
      <c r="A31" s="1" t="str">
        <f t="shared" si="0"/>
        <v>3808420</v>
      </c>
      <c r="B31" s="1" t="str">
        <f t="shared" si="1"/>
        <v>380841</v>
      </c>
      <c r="C31" s="1">
        <v>30</v>
      </c>
      <c r="D31" s="4">
        <v>38084</v>
      </c>
      <c r="E31" s="1">
        <v>0</v>
      </c>
      <c r="F31" s="1">
        <v>1</v>
      </c>
      <c r="G31" s="1">
        <v>20</v>
      </c>
      <c r="H31" s="1">
        <v>2</v>
      </c>
      <c r="I31" s="1">
        <v>0</v>
      </c>
      <c r="J31" s="2" t="str">
        <f t="shared" si="2"/>
        <v>FFR</v>
      </c>
      <c r="K31" s="2" t="str">
        <f t="shared" si="3"/>
        <v>@FDH</v>
      </c>
      <c r="L31" s="1" t="str">
        <f t="shared" si="4"/>
        <v>30,4/7/2004,0,1,20,2,0</v>
      </c>
      <c r="M31" s="9"/>
      <c r="N31" s="9"/>
      <c r="O31" s="9"/>
    </row>
    <row r="32" spans="1:15" x14ac:dyDescent="0.2">
      <c r="A32" s="1" t="str">
        <f t="shared" si="0"/>
        <v>380852</v>
      </c>
      <c r="B32" s="1" t="str">
        <f t="shared" si="1"/>
        <v>380854</v>
      </c>
      <c r="C32" s="1">
        <v>31</v>
      </c>
      <c r="D32" s="4">
        <v>38085</v>
      </c>
      <c r="E32" s="1">
        <v>0</v>
      </c>
      <c r="F32" s="1">
        <v>4</v>
      </c>
      <c r="G32" s="1">
        <v>2</v>
      </c>
      <c r="H32" s="1">
        <v>2</v>
      </c>
      <c r="I32" s="1">
        <v>0</v>
      </c>
      <c r="J32" s="2" t="str">
        <f t="shared" si="2"/>
        <v>NNN</v>
      </c>
      <c r="K32" s="2" t="str">
        <f t="shared" si="3"/>
        <v>@NEP</v>
      </c>
      <c r="L32" s="1" t="str">
        <f t="shared" si="4"/>
        <v>31,4/8/2004,0,4,2,2,0</v>
      </c>
      <c r="M32" s="9">
        <v>25</v>
      </c>
      <c r="N32" s="9"/>
      <c r="O32" s="9"/>
    </row>
    <row r="33" spans="1:15" x14ac:dyDescent="0.2">
      <c r="A33" s="1" t="str">
        <f t="shared" si="0"/>
        <v>380853</v>
      </c>
      <c r="B33" s="1" t="str">
        <f t="shared" si="1"/>
        <v>380855</v>
      </c>
      <c r="C33" s="1">
        <v>32</v>
      </c>
      <c r="D33" s="4">
        <v>38085</v>
      </c>
      <c r="E33" s="1">
        <v>0</v>
      </c>
      <c r="F33" s="1">
        <v>5</v>
      </c>
      <c r="G33" s="1">
        <v>3</v>
      </c>
      <c r="H33" s="1">
        <v>2</v>
      </c>
      <c r="I33" s="1">
        <v>0</v>
      </c>
      <c r="J33" s="2" t="str">
        <f t="shared" si="2"/>
        <v>OKO</v>
      </c>
      <c r="K33" s="2" t="str">
        <f t="shared" si="3"/>
        <v>@TEW</v>
      </c>
      <c r="L33" s="1" t="str">
        <f t="shared" si="4"/>
        <v>32,4/8/2004,0,5,3,2,0</v>
      </c>
      <c r="M33" s="9"/>
      <c r="N33" s="9"/>
      <c r="O33" s="9"/>
    </row>
    <row r="34" spans="1:15" x14ac:dyDescent="0.2">
      <c r="A34" s="1" t="str">
        <f t="shared" si="0"/>
        <v>380857</v>
      </c>
      <c r="B34" s="1" t="str">
        <f t="shared" si="1"/>
        <v>3808524</v>
      </c>
      <c r="C34" s="1">
        <v>33</v>
      </c>
      <c r="D34" s="4">
        <v>38085</v>
      </c>
      <c r="E34" s="1">
        <v>0</v>
      </c>
      <c r="F34" s="1">
        <v>24</v>
      </c>
      <c r="G34" s="1">
        <v>7</v>
      </c>
      <c r="H34" s="1">
        <v>2</v>
      </c>
      <c r="I34" s="1">
        <v>0</v>
      </c>
      <c r="J34" s="2" t="str">
        <f t="shared" si="2"/>
        <v>PHI</v>
      </c>
      <c r="K34" s="2" t="str">
        <f t="shared" si="3"/>
        <v>@BAR</v>
      </c>
      <c r="L34" s="1" t="str">
        <f t="shared" si="4"/>
        <v>33,4/8/2004,0,24,7,2,0</v>
      </c>
      <c r="M34" s="9"/>
      <c r="N34" s="9"/>
      <c r="O34" s="9"/>
    </row>
    <row r="35" spans="1:15" x14ac:dyDescent="0.2">
      <c r="A35" s="1" t="str">
        <f t="shared" si="0"/>
        <v>380858</v>
      </c>
      <c r="B35" s="1" t="str">
        <f t="shared" si="1"/>
        <v>3808521</v>
      </c>
      <c r="C35" s="1">
        <v>34</v>
      </c>
      <c r="D35" s="4">
        <v>38085</v>
      </c>
      <c r="E35" s="1">
        <v>0</v>
      </c>
      <c r="F35" s="1">
        <v>21</v>
      </c>
      <c r="G35" s="1">
        <v>8</v>
      </c>
      <c r="H35" s="1">
        <v>2</v>
      </c>
      <c r="I35" s="1">
        <v>0</v>
      </c>
      <c r="J35" s="2" t="str">
        <f t="shared" si="2"/>
        <v>NYD</v>
      </c>
      <c r="K35" s="2" t="str">
        <f t="shared" si="3"/>
        <v>@CTW</v>
      </c>
      <c r="L35" s="1" t="str">
        <f t="shared" si="4"/>
        <v>34,4/8/2004,0,21,8,2,0</v>
      </c>
      <c r="M35" s="9"/>
      <c r="N35" s="9"/>
      <c r="O35" s="9"/>
    </row>
    <row r="36" spans="1:15" x14ac:dyDescent="0.2">
      <c r="A36" s="1" t="str">
        <f t="shared" si="0"/>
        <v>380859</v>
      </c>
      <c r="B36" s="1" t="str">
        <f t="shared" si="1"/>
        <v>3808511</v>
      </c>
      <c r="C36" s="1">
        <v>35</v>
      </c>
      <c r="D36" s="4">
        <v>38085</v>
      </c>
      <c r="E36" s="1">
        <v>0</v>
      </c>
      <c r="F36" s="1">
        <v>11</v>
      </c>
      <c r="G36" s="1">
        <v>9</v>
      </c>
      <c r="H36" s="1">
        <v>2</v>
      </c>
      <c r="I36" s="1">
        <v>0</v>
      </c>
      <c r="J36" s="2" t="str">
        <f t="shared" si="2"/>
        <v>HAR</v>
      </c>
      <c r="K36" s="2" t="str">
        <f t="shared" si="3"/>
        <v>@CIN</v>
      </c>
      <c r="L36" s="1" t="str">
        <f t="shared" si="4"/>
        <v>35,4/8/2004,0,11,9,2,0</v>
      </c>
      <c r="M36" s="9"/>
      <c r="N36" s="9"/>
      <c r="O36" s="9"/>
    </row>
    <row r="37" spans="1:15" x14ac:dyDescent="0.2">
      <c r="A37" s="1" t="str">
        <f t="shared" si="0"/>
        <v>3808510</v>
      </c>
      <c r="B37" s="1" t="str">
        <f t="shared" si="1"/>
        <v>3808516</v>
      </c>
      <c r="C37" s="1">
        <v>36</v>
      </c>
      <c r="D37" s="4">
        <v>38085</v>
      </c>
      <c r="E37" s="1">
        <v>0</v>
      </c>
      <c r="F37" s="1">
        <v>16</v>
      </c>
      <c r="G37" s="1">
        <v>10</v>
      </c>
      <c r="H37" s="1">
        <v>2</v>
      </c>
      <c r="I37" s="1">
        <v>0</v>
      </c>
      <c r="J37" s="2" t="str">
        <f t="shared" si="2"/>
        <v>DIG</v>
      </c>
      <c r="K37" s="2" t="str">
        <f t="shared" si="3"/>
        <v>@REN</v>
      </c>
      <c r="L37" s="1" t="str">
        <f t="shared" si="4"/>
        <v>36,4/8/2004,0,16,10,2,0</v>
      </c>
      <c r="M37" s="9"/>
      <c r="N37" s="9"/>
      <c r="O37" s="9"/>
    </row>
    <row r="38" spans="1:15" x14ac:dyDescent="0.2">
      <c r="A38" s="1" t="str">
        <f t="shared" si="0"/>
        <v>3808513</v>
      </c>
      <c r="B38" s="1" t="str">
        <f t="shared" si="1"/>
        <v>3808522</v>
      </c>
      <c r="C38" s="1">
        <v>37</v>
      </c>
      <c r="D38" s="4">
        <v>38085</v>
      </c>
      <c r="E38" s="1">
        <v>0</v>
      </c>
      <c r="F38" s="1">
        <v>22</v>
      </c>
      <c r="G38" s="1">
        <v>13</v>
      </c>
      <c r="H38" s="1">
        <v>2</v>
      </c>
      <c r="I38" s="1">
        <v>0</v>
      </c>
      <c r="J38" s="2" t="str">
        <f t="shared" si="2"/>
        <v>CBB</v>
      </c>
      <c r="K38" s="2" t="str">
        <f t="shared" si="3"/>
        <v>@BBG</v>
      </c>
      <c r="L38" s="1" t="str">
        <f t="shared" si="4"/>
        <v>37,4/8/2004,0,22,13,2,0</v>
      </c>
      <c r="M38" s="9"/>
      <c r="N38" s="9"/>
      <c r="O38" s="9"/>
    </row>
    <row r="39" spans="1:15" x14ac:dyDescent="0.2">
      <c r="A39" s="1" t="str">
        <f t="shared" si="0"/>
        <v>3808514</v>
      </c>
      <c r="B39" s="1" t="str">
        <f t="shared" si="1"/>
        <v>3808512</v>
      </c>
      <c r="C39" s="1">
        <v>38</v>
      </c>
      <c r="D39" s="4">
        <v>38085</v>
      </c>
      <c r="E39" s="1">
        <v>0</v>
      </c>
      <c r="F39" s="1">
        <v>12</v>
      </c>
      <c r="G39" s="1">
        <v>14</v>
      </c>
      <c r="H39" s="1">
        <v>2</v>
      </c>
      <c r="I39" s="1">
        <v>0</v>
      </c>
      <c r="J39" s="2" t="str">
        <f t="shared" si="2"/>
        <v>RMO</v>
      </c>
      <c r="K39" s="2" t="str">
        <f t="shared" si="3"/>
        <v>@CEN</v>
      </c>
      <c r="L39" s="1" t="str">
        <f t="shared" si="4"/>
        <v>38,4/8/2004,0,12,14,2,0</v>
      </c>
      <c r="M39" s="9"/>
      <c r="N39" s="9"/>
      <c r="O39" s="9"/>
    </row>
    <row r="40" spans="1:15" x14ac:dyDescent="0.2">
      <c r="A40" s="1" t="str">
        <f t="shared" si="0"/>
        <v>3808517</v>
      </c>
      <c r="B40" s="1" t="str">
        <f t="shared" si="1"/>
        <v>3808523</v>
      </c>
      <c r="C40" s="1">
        <v>39</v>
      </c>
      <c r="D40" s="4">
        <v>38085</v>
      </c>
      <c r="E40" s="1">
        <v>0</v>
      </c>
      <c r="F40" s="1">
        <v>23</v>
      </c>
      <c r="G40" s="1">
        <v>17</v>
      </c>
      <c r="H40" s="1">
        <v>2</v>
      </c>
      <c r="I40" s="1">
        <v>0</v>
      </c>
      <c r="J40" s="2" t="str">
        <f t="shared" si="2"/>
        <v>BRK</v>
      </c>
      <c r="K40" s="2" t="str">
        <f t="shared" si="3"/>
        <v>@GAR</v>
      </c>
      <c r="L40" s="1" t="str">
        <f t="shared" si="4"/>
        <v>39,4/8/2004,0,23,17,2,0</v>
      </c>
      <c r="M40" s="9"/>
      <c r="N40" s="9"/>
      <c r="O40" s="9"/>
    </row>
    <row r="41" spans="1:15" x14ac:dyDescent="0.2">
      <c r="A41" s="1" t="str">
        <f t="shared" si="0"/>
        <v>3808520</v>
      </c>
      <c r="B41" s="1" t="str">
        <f t="shared" si="1"/>
        <v>380851</v>
      </c>
      <c r="C41" s="1">
        <v>40</v>
      </c>
      <c r="D41" s="4">
        <v>38085</v>
      </c>
      <c r="E41" s="1">
        <v>0</v>
      </c>
      <c r="F41" s="1">
        <v>1</v>
      </c>
      <c r="G41" s="1">
        <v>20</v>
      </c>
      <c r="H41" s="1">
        <v>2</v>
      </c>
      <c r="I41" s="1">
        <v>0</v>
      </c>
      <c r="J41" s="2" t="str">
        <f t="shared" si="2"/>
        <v>FFR</v>
      </c>
      <c r="K41" s="2" t="str">
        <f t="shared" si="3"/>
        <v>@FDH</v>
      </c>
      <c r="L41" s="1" t="str">
        <f t="shared" si="4"/>
        <v>40,4/8/2004,0,1,20,2,0</v>
      </c>
      <c r="M41" s="9"/>
      <c r="N41" s="9"/>
      <c r="O41" s="9"/>
    </row>
    <row r="42" spans="1:15" x14ac:dyDescent="0.2">
      <c r="A42" s="1" t="str">
        <f t="shared" si="0"/>
        <v>3808622</v>
      </c>
      <c r="B42" s="1" t="str">
        <f t="shared" si="1"/>
        <v>3808624</v>
      </c>
      <c r="C42" s="1">
        <v>41</v>
      </c>
      <c r="D42" s="4">
        <v>38086</v>
      </c>
      <c r="E42" s="1">
        <v>0</v>
      </c>
      <c r="F42" s="1">
        <v>24</v>
      </c>
      <c r="G42" s="1">
        <v>22</v>
      </c>
      <c r="H42" s="1">
        <v>2</v>
      </c>
      <c r="I42" s="1">
        <v>0</v>
      </c>
      <c r="J42" s="2" t="str">
        <f t="shared" si="2"/>
        <v>PHI</v>
      </c>
      <c r="K42" s="2" t="str">
        <f t="shared" si="3"/>
        <v>@CBB</v>
      </c>
      <c r="L42" s="1" t="str">
        <f t="shared" si="4"/>
        <v>41,4/9/2004,0,24,22,2,0</v>
      </c>
      <c r="M42" s="9"/>
      <c r="N42" s="9"/>
      <c r="O42" s="9"/>
    </row>
    <row r="43" spans="1:15" x14ac:dyDescent="0.2">
      <c r="A43" s="1" t="str">
        <f t="shared" si="0"/>
        <v>380863</v>
      </c>
      <c r="B43" s="1" t="str">
        <f t="shared" si="1"/>
        <v>3808613</v>
      </c>
      <c r="C43" s="1">
        <v>42</v>
      </c>
      <c r="D43" s="4">
        <v>38086</v>
      </c>
      <c r="E43" s="1">
        <v>0</v>
      </c>
      <c r="F43" s="1">
        <v>13</v>
      </c>
      <c r="G43" s="1">
        <v>3</v>
      </c>
      <c r="H43" s="1">
        <v>2</v>
      </c>
      <c r="I43" s="1">
        <v>0</v>
      </c>
      <c r="J43" s="2" t="str">
        <f t="shared" si="2"/>
        <v>BBG</v>
      </c>
      <c r="K43" s="2" t="str">
        <f t="shared" si="3"/>
        <v>@TEW</v>
      </c>
      <c r="L43" s="1" t="str">
        <f t="shared" si="4"/>
        <v>42,4/9/2004,0,13,3,2,0</v>
      </c>
      <c r="M43" s="9"/>
      <c r="N43" s="9"/>
      <c r="O43" s="9"/>
    </row>
    <row r="44" spans="1:15" x14ac:dyDescent="0.2">
      <c r="A44" s="1" t="str">
        <f t="shared" si="0"/>
        <v>380865</v>
      </c>
      <c r="B44" s="1" t="str">
        <f t="shared" si="1"/>
        <v>3808612</v>
      </c>
      <c r="C44" s="1">
        <v>43</v>
      </c>
      <c r="D44" s="4">
        <v>38086</v>
      </c>
      <c r="E44" s="1">
        <v>0</v>
      </c>
      <c r="F44" s="1">
        <v>12</v>
      </c>
      <c r="G44" s="1">
        <v>5</v>
      </c>
      <c r="H44" s="1">
        <v>2</v>
      </c>
      <c r="I44" s="1">
        <v>0</v>
      </c>
      <c r="J44" s="2" t="str">
        <f t="shared" si="2"/>
        <v>RMO</v>
      </c>
      <c r="K44" s="2" t="str">
        <f t="shared" si="3"/>
        <v>@OKO</v>
      </c>
      <c r="L44" s="1" t="str">
        <f t="shared" si="4"/>
        <v>43,4/9/2004,0,12,5,2,0</v>
      </c>
    </row>
    <row r="45" spans="1:15" x14ac:dyDescent="0.2">
      <c r="A45" s="1" t="str">
        <f t="shared" si="0"/>
        <v>380867</v>
      </c>
      <c r="B45" s="1" t="str">
        <f t="shared" si="1"/>
        <v>380868</v>
      </c>
      <c r="C45" s="1">
        <v>44</v>
      </c>
      <c r="D45" s="4">
        <v>38086</v>
      </c>
      <c r="E45" s="1">
        <v>0</v>
      </c>
      <c r="F45" s="1">
        <v>8</v>
      </c>
      <c r="G45" s="1">
        <v>7</v>
      </c>
      <c r="H45" s="1">
        <v>2</v>
      </c>
      <c r="I45" s="1">
        <v>0</v>
      </c>
      <c r="J45" s="2" t="str">
        <f t="shared" si="2"/>
        <v>CTW</v>
      </c>
      <c r="K45" s="2" t="str">
        <f t="shared" si="3"/>
        <v>@BAR</v>
      </c>
      <c r="L45" s="1" t="str">
        <f t="shared" si="4"/>
        <v>44,4/9/2004,0,8,7,2,0</v>
      </c>
    </row>
    <row r="46" spans="1:15" x14ac:dyDescent="0.2">
      <c r="A46" s="1" t="str">
        <f t="shared" si="0"/>
        <v>380869</v>
      </c>
      <c r="B46" s="1" t="str">
        <f t="shared" si="1"/>
        <v>3808617</v>
      </c>
      <c r="C46" s="1">
        <v>45</v>
      </c>
      <c r="D46" s="4">
        <v>38086</v>
      </c>
      <c r="E46" s="1">
        <v>0</v>
      </c>
      <c r="F46" s="1">
        <v>17</v>
      </c>
      <c r="G46" s="1">
        <v>9</v>
      </c>
      <c r="H46" s="1">
        <v>2</v>
      </c>
      <c r="I46" s="1">
        <v>0</v>
      </c>
      <c r="J46" s="2" t="str">
        <f t="shared" si="2"/>
        <v>GAR</v>
      </c>
      <c r="K46" s="2" t="str">
        <f t="shared" si="3"/>
        <v>@CIN</v>
      </c>
      <c r="L46" s="1" t="str">
        <f t="shared" si="4"/>
        <v>45,4/9/2004,0,17,9,2,0</v>
      </c>
    </row>
    <row r="47" spans="1:15" x14ac:dyDescent="0.2">
      <c r="A47" s="1" t="str">
        <f t="shared" si="0"/>
        <v>3808611</v>
      </c>
      <c r="B47" s="1" t="str">
        <f t="shared" si="1"/>
        <v>380861</v>
      </c>
      <c r="C47" s="1">
        <v>46</v>
      </c>
      <c r="D47" s="4">
        <v>38086</v>
      </c>
      <c r="E47" s="1">
        <v>0</v>
      </c>
      <c r="F47" s="1">
        <v>1</v>
      </c>
      <c r="G47" s="1">
        <v>11</v>
      </c>
      <c r="H47" s="1">
        <v>2</v>
      </c>
      <c r="I47" s="1">
        <v>0</v>
      </c>
      <c r="J47" s="2" t="str">
        <f t="shared" si="2"/>
        <v>FFR</v>
      </c>
      <c r="K47" s="2" t="str">
        <f t="shared" si="3"/>
        <v>@HAR</v>
      </c>
      <c r="L47" s="1" t="str">
        <f t="shared" si="4"/>
        <v>46,4/9/2004,0,1,11,2,0</v>
      </c>
    </row>
    <row r="48" spans="1:15" x14ac:dyDescent="0.2">
      <c r="A48" s="1" t="str">
        <f t="shared" si="0"/>
        <v>3808614</v>
      </c>
      <c r="B48" s="1" t="str">
        <f t="shared" si="1"/>
        <v>380862</v>
      </c>
      <c r="C48" s="1">
        <v>47</v>
      </c>
      <c r="D48" s="4">
        <v>38086</v>
      </c>
      <c r="E48" s="1">
        <v>0</v>
      </c>
      <c r="F48" s="1">
        <v>2</v>
      </c>
      <c r="G48" s="1">
        <v>14</v>
      </c>
      <c r="H48" s="1">
        <v>2</v>
      </c>
      <c r="I48" s="1">
        <v>0</v>
      </c>
      <c r="J48" s="2" t="str">
        <f t="shared" si="2"/>
        <v>NEP</v>
      </c>
      <c r="K48" s="2" t="str">
        <f t="shared" si="3"/>
        <v>@CEN</v>
      </c>
      <c r="L48" s="1" t="str">
        <f t="shared" si="4"/>
        <v>47,4/9/2004,0,2,14,2,0</v>
      </c>
    </row>
    <row r="49" spans="1:12" x14ac:dyDescent="0.2">
      <c r="A49" s="1" t="str">
        <f t="shared" si="0"/>
        <v>3808616</v>
      </c>
      <c r="B49" s="1" t="str">
        <f t="shared" si="1"/>
        <v>380864</v>
      </c>
      <c r="C49" s="1">
        <v>48</v>
      </c>
      <c r="D49" s="4">
        <v>38086</v>
      </c>
      <c r="E49" s="1">
        <v>0</v>
      </c>
      <c r="F49" s="1">
        <v>4</v>
      </c>
      <c r="G49" s="1">
        <v>16</v>
      </c>
      <c r="H49" s="1">
        <v>2</v>
      </c>
      <c r="I49" s="1">
        <v>0</v>
      </c>
      <c r="J49" s="2" t="str">
        <f t="shared" si="2"/>
        <v>NNN</v>
      </c>
      <c r="K49" s="2" t="str">
        <f t="shared" si="3"/>
        <v>@DIG</v>
      </c>
      <c r="L49" s="1" t="str">
        <f t="shared" si="4"/>
        <v>48,4/9/2004,0,4,16,2,0</v>
      </c>
    </row>
    <row r="50" spans="1:12" x14ac:dyDescent="0.2">
      <c r="A50" s="1" t="str">
        <f t="shared" si="0"/>
        <v>3808620</v>
      </c>
      <c r="B50" s="1" t="str">
        <f t="shared" si="1"/>
        <v>3808610</v>
      </c>
      <c r="C50" s="1">
        <v>49</v>
      </c>
      <c r="D50" s="4">
        <v>38086</v>
      </c>
      <c r="E50" s="1">
        <v>0</v>
      </c>
      <c r="F50" s="1">
        <v>10</v>
      </c>
      <c r="G50" s="1">
        <v>20</v>
      </c>
      <c r="H50" s="1">
        <v>2</v>
      </c>
      <c r="I50" s="1">
        <v>0</v>
      </c>
      <c r="J50" s="2" t="str">
        <f t="shared" si="2"/>
        <v>REN</v>
      </c>
      <c r="K50" s="2" t="str">
        <f t="shared" si="3"/>
        <v>@FDH</v>
      </c>
      <c r="L50" s="1" t="str">
        <f t="shared" si="4"/>
        <v>49,4/9/2004,0,10,20,2,0</v>
      </c>
    </row>
    <row r="51" spans="1:12" x14ac:dyDescent="0.2">
      <c r="A51" s="1" t="str">
        <f t="shared" si="0"/>
        <v>3808623</v>
      </c>
      <c r="B51" s="1" t="str">
        <f t="shared" si="1"/>
        <v>3808621</v>
      </c>
      <c r="C51" s="1">
        <v>50</v>
      </c>
      <c r="D51" s="4">
        <v>38086</v>
      </c>
      <c r="E51" s="1">
        <v>0</v>
      </c>
      <c r="F51" s="1">
        <v>21</v>
      </c>
      <c r="G51" s="1">
        <v>23</v>
      </c>
      <c r="H51" s="1">
        <v>2</v>
      </c>
      <c r="I51" s="1">
        <v>0</v>
      </c>
      <c r="J51" s="2" t="str">
        <f t="shared" si="2"/>
        <v>NYD</v>
      </c>
      <c r="K51" s="2" t="str">
        <f t="shared" si="3"/>
        <v>@BRK</v>
      </c>
      <c r="L51" s="1" t="str">
        <f t="shared" si="4"/>
        <v>50,4/9/2004,0,21,23,2,0</v>
      </c>
    </row>
    <row r="52" spans="1:12" x14ac:dyDescent="0.2">
      <c r="A52" s="1" t="str">
        <f t="shared" si="0"/>
        <v>380873</v>
      </c>
      <c r="B52" s="1" t="str">
        <f t="shared" si="1"/>
        <v>3808713</v>
      </c>
      <c r="C52" s="1">
        <v>51</v>
      </c>
      <c r="D52" s="4">
        <v>38087</v>
      </c>
      <c r="E52" s="1">
        <v>0</v>
      </c>
      <c r="F52" s="1">
        <v>13</v>
      </c>
      <c r="G52" s="1">
        <v>3</v>
      </c>
      <c r="H52" s="1">
        <v>2</v>
      </c>
      <c r="I52" s="1">
        <v>0</v>
      </c>
      <c r="J52" s="2" t="str">
        <f t="shared" si="2"/>
        <v>BBG</v>
      </c>
      <c r="K52" s="2" t="str">
        <f t="shared" si="3"/>
        <v>@TEW</v>
      </c>
      <c r="L52" s="1" t="str">
        <f t="shared" si="4"/>
        <v>51,4/10/2004,0,13,3,2,0</v>
      </c>
    </row>
    <row r="53" spans="1:12" x14ac:dyDescent="0.2">
      <c r="A53" s="1" t="str">
        <f t="shared" si="0"/>
        <v>380875</v>
      </c>
      <c r="B53" s="1" t="str">
        <f t="shared" si="1"/>
        <v>3808712</v>
      </c>
      <c r="C53" s="1">
        <v>52</v>
      </c>
      <c r="D53" s="4">
        <v>38087</v>
      </c>
      <c r="E53" s="1">
        <v>0</v>
      </c>
      <c r="F53" s="1">
        <v>12</v>
      </c>
      <c r="G53" s="1">
        <v>5</v>
      </c>
      <c r="H53" s="1">
        <v>2</v>
      </c>
      <c r="I53" s="1">
        <v>0</v>
      </c>
      <c r="J53" s="2" t="str">
        <f t="shared" si="2"/>
        <v>RMO</v>
      </c>
      <c r="K53" s="2" t="str">
        <f t="shared" si="3"/>
        <v>@OKO</v>
      </c>
      <c r="L53" s="1" t="str">
        <f t="shared" si="4"/>
        <v>52,4/10/2004,0,12,5,2,0</v>
      </c>
    </row>
    <row r="54" spans="1:12" x14ac:dyDescent="0.2">
      <c r="A54" s="1" t="str">
        <f t="shared" si="0"/>
        <v>380877</v>
      </c>
      <c r="B54" s="1" t="str">
        <f t="shared" si="1"/>
        <v>380878</v>
      </c>
      <c r="C54" s="1">
        <v>53</v>
      </c>
      <c r="D54" s="4">
        <v>38087</v>
      </c>
      <c r="E54" s="1">
        <v>0</v>
      </c>
      <c r="F54" s="1">
        <v>8</v>
      </c>
      <c r="G54" s="1">
        <v>7</v>
      </c>
      <c r="H54" s="1">
        <v>2</v>
      </c>
      <c r="I54" s="1">
        <v>0</v>
      </c>
      <c r="J54" s="2" t="str">
        <f t="shared" si="2"/>
        <v>CTW</v>
      </c>
      <c r="K54" s="2" t="str">
        <f t="shared" si="3"/>
        <v>@BAR</v>
      </c>
      <c r="L54" s="1" t="str">
        <f t="shared" si="4"/>
        <v>53,4/10/2004,0,8,7,2,0</v>
      </c>
    </row>
    <row r="55" spans="1:12" x14ac:dyDescent="0.2">
      <c r="A55" s="1" t="str">
        <f t="shared" si="0"/>
        <v>380879</v>
      </c>
      <c r="B55" s="1" t="str">
        <f t="shared" si="1"/>
        <v>3808717</v>
      </c>
      <c r="C55" s="1">
        <v>54</v>
      </c>
      <c r="D55" s="4">
        <v>38087</v>
      </c>
      <c r="E55" s="1">
        <v>0</v>
      </c>
      <c r="F55" s="1">
        <v>17</v>
      </c>
      <c r="G55" s="1">
        <v>9</v>
      </c>
      <c r="H55" s="1">
        <v>2</v>
      </c>
      <c r="I55" s="1">
        <v>0</v>
      </c>
      <c r="J55" s="2" t="str">
        <f t="shared" si="2"/>
        <v>GAR</v>
      </c>
      <c r="K55" s="2" t="str">
        <f t="shared" si="3"/>
        <v>@CIN</v>
      </c>
      <c r="L55" s="1" t="str">
        <f t="shared" si="4"/>
        <v>54,4/10/2004,0,17,9,2,0</v>
      </c>
    </row>
    <row r="56" spans="1:12" x14ac:dyDescent="0.2">
      <c r="A56" s="1" t="str">
        <f t="shared" si="0"/>
        <v>3808711</v>
      </c>
      <c r="B56" s="1" t="str">
        <f t="shared" si="1"/>
        <v>380871</v>
      </c>
      <c r="C56" s="1">
        <v>55</v>
      </c>
      <c r="D56" s="4">
        <v>38087</v>
      </c>
      <c r="E56" s="1">
        <v>0</v>
      </c>
      <c r="F56" s="1">
        <v>1</v>
      </c>
      <c r="G56" s="1">
        <v>11</v>
      </c>
      <c r="H56" s="1">
        <v>2</v>
      </c>
      <c r="I56" s="1">
        <v>0</v>
      </c>
      <c r="J56" s="2" t="str">
        <f t="shared" si="2"/>
        <v>FFR</v>
      </c>
      <c r="K56" s="2" t="str">
        <f t="shared" si="3"/>
        <v>@HAR</v>
      </c>
      <c r="L56" s="1" t="str">
        <f t="shared" si="4"/>
        <v>55,4/10/2004,0,1,11,2,0</v>
      </c>
    </row>
    <row r="57" spans="1:12" x14ac:dyDescent="0.2">
      <c r="A57" s="1" t="str">
        <f t="shared" si="0"/>
        <v>3808714</v>
      </c>
      <c r="B57" s="1" t="str">
        <f t="shared" si="1"/>
        <v>380872</v>
      </c>
      <c r="C57" s="1">
        <v>56</v>
      </c>
      <c r="D57" s="4">
        <v>38087</v>
      </c>
      <c r="E57" s="1">
        <v>0</v>
      </c>
      <c r="F57" s="1">
        <v>2</v>
      </c>
      <c r="G57" s="1">
        <v>14</v>
      </c>
      <c r="H57" s="1">
        <v>2</v>
      </c>
      <c r="I57" s="1">
        <v>0</v>
      </c>
      <c r="J57" s="2" t="str">
        <f t="shared" si="2"/>
        <v>NEP</v>
      </c>
      <c r="K57" s="2" t="str">
        <f t="shared" si="3"/>
        <v>@CEN</v>
      </c>
      <c r="L57" s="1" t="str">
        <f t="shared" si="4"/>
        <v>56,4/10/2004,0,2,14,2,0</v>
      </c>
    </row>
    <row r="58" spans="1:12" x14ac:dyDescent="0.2">
      <c r="A58" s="1" t="str">
        <f t="shared" si="0"/>
        <v>3808716</v>
      </c>
      <c r="B58" s="1" t="str">
        <f t="shared" si="1"/>
        <v>380874</v>
      </c>
      <c r="C58" s="1">
        <v>57</v>
      </c>
      <c r="D58" s="4">
        <v>38087</v>
      </c>
      <c r="E58" s="1">
        <v>0</v>
      </c>
      <c r="F58" s="1">
        <v>4</v>
      </c>
      <c r="G58" s="1">
        <v>16</v>
      </c>
      <c r="H58" s="1">
        <v>2</v>
      </c>
      <c r="I58" s="1">
        <v>0</v>
      </c>
      <c r="J58" s="2" t="str">
        <f t="shared" si="2"/>
        <v>NNN</v>
      </c>
      <c r="K58" s="2" t="str">
        <f t="shared" si="3"/>
        <v>@DIG</v>
      </c>
      <c r="L58" s="1" t="str">
        <f t="shared" si="4"/>
        <v>57,4/10/2004,0,4,16,2,0</v>
      </c>
    </row>
    <row r="59" spans="1:12" x14ac:dyDescent="0.2">
      <c r="A59" s="1" t="str">
        <f t="shared" si="0"/>
        <v>3808720</v>
      </c>
      <c r="B59" s="1" t="str">
        <f t="shared" si="1"/>
        <v>3808710</v>
      </c>
      <c r="C59" s="1">
        <v>58</v>
      </c>
      <c r="D59" s="4">
        <v>38087</v>
      </c>
      <c r="E59" s="1">
        <v>0</v>
      </c>
      <c r="F59" s="1">
        <v>10</v>
      </c>
      <c r="G59" s="1">
        <v>20</v>
      </c>
      <c r="H59" s="1">
        <v>2</v>
      </c>
      <c r="I59" s="1">
        <v>0</v>
      </c>
      <c r="J59" s="2" t="str">
        <f t="shared" si="2"/>
        <v>REN</v>
      </c>
      <c r="K59" s="2" t="str">
        <f t="shared" si="3"/>
        <v>@FDH</v>
      </c>
      <c r="L59" s="1" t="str">
        <f t="shared" si="4"/>
        <v>58,4/10/2004,0,10,20,2,0</v>
      </c>
    </row>
    <row r="60" spans="1:12" x14ac:dyDescent="0.2">
      <c r="A60" s="1" t="str">
        <f t="shared" si="0"/>
        <v>3808722</v>
      </c>
      <c r="B60" s="1" t="str">
        <f t="shared" si="1"/>
        <v>3808724</v>
      </c>
      <c r="C60" s="1">
        <v>59</v>
      </c>
      <c r="D60" s="4">
        <v>38087</v>
      </c>
      <c r="E60" s="1">
        <v>0</v>
      </c>
      <c r="F60" s="1">
        <v>24</v>
      </c>
      <c r="G60" s="1">
        <v>22</v>
      </c>
      <c r="H60" s="1">
        <v>2</v>
      </c>
      <c r="I60" s="1">
        <v>0</v>
      </c>
      <c r="J60" s="2" t="str">
        <f t="shared" si="2"/>
        <v>PHI</v>
      </c>
      <c r="K60" s="2" t="str">
        <f t="shared" si="3"/>
        <v>@CBB</v>
      </c>
      <c r="L60" s="1" t="str">
        <f t="shared" si="4"/>
        <v>59,4/10/2004,0,24,22,2,0</v>
      </c>
    </row>
    <row r="61" spans="1:12" x14ac:dyDescent="0.2">
      <c r="A61" s="1" t="str">
        <f t="shared" si="0"/>
        <v>3808723</v>
      </c>
      <c r="B61" s="1" t="str">
        <f t="shared" si="1"/>
        <v>3808721</v>
      </c>
      <c r="C61" s="1">
        <v>60</v>
      </c>
      <c r="D61" s="4">
        <v>38087</v>
      </c>
      <c r="E61" s="1">
        <v>0</v>
      </c>
      <c r="F61" s="1">
        <v>21</v>
      </c>
      <c r="G61" s="1">
        <v>23</v>
      </c>
      <c r="H61" s="1">
        <v>2</v>
      </c>
      <c r="I61" s="1">
        <v>0</v>
      </c>
      <c r="J61" s="2" t="str">
        <f t="shared" si="2"/>
        <v>NYD</v>
      </c>
      <c r="K61" s="2" t="str">
        <f t="shared" si="3"/>
        <v>@BRK</v>
      </c>
      <c r="L61" s="1" t="str">
        <f t="shared" si="4"/>
        <v>60,4/10/2004,0,21,23,2,0</v>
      </c>
    </row>
    <row r="62" spans="1:12" x14ac:dyDescent="0.2">
      <c r="A62" s="1" t="str">
        <f t="shared" si="0"/>
        <v>380883</v>
      </c>
      <c r="B62" s="1" t="str">
        <f t="shared" si="1"/>
        <v>3808813</v>
      </c>
      <c r="C62" s="1">
        <v>61</v>
      </c>
      <c r="D62" s="4">
        <v>38088</v>
      </c>
      <c r="E62" s="1">
        <v>0</v>
      </c>
      <c r="F62" s="1">
        <v>13</v>
      </c>
      <c r="G62" s="1">
        <v>3</v>
      </c>
      <c r="H62" s="1">
        <v>2</v>
      </c>
      <c r="I62" s="1">
        <v>0</v>
      </c>
      <c r="J62" s="2" t="str">
        <f t="shared" si="2"/>
        <v>BBG</v>
      </c>
      <c r="K62" s="2" t="str">
        <f t="shared" si="3"/>
        <v>@TEW</v>
      </c>
      <c r="L62" s="1" t="str">
        <f t="shared" si="4"/>
        <v>61,4/11/2004,0,13,3,2,0</v>
      </c>
    </row>
    <row r="63" spans="1:12" x14ac:dyDescent="0.2">
      <c r="A63" s="1" t="str">
        <f t="shared" si="0"/>
        <v>380887</v>
      </c>
      <c r="B63" s="1" t="str">
        <f t="shared" si="1"/>
        <v>380888</v>
      </c>
      <c r="C63" s="1">
        <v>62</v>
      </c>
      <c r="D63" s="4">
        <v>38088</v>
      </c>
      <c r="E63" s="1">
        <v>0</v>
      </c>
      <c r="F63" s="1">
        <v>8</v>
      </c>
      <c r="G63" s="1">
        <v>7</v>
      </c>
      <c r="H63" s="1">
        <v>2</v>
      </c>
      <c r="I63" s="1">
        <v>0</v>
      </c>
      <c r="J63" s="2" t="str">
        <f t="shared" si="2"/>
        <v>CTW</v>
      </c>
      <c r="K63" s="2" t="str">
        <f t="shared" si="3"/>
        <v>@BAR</v>
      </c>
      <c r="L63" s="1" t="str">
        <f t="shared" si="4"/>
        <v>62,4/11/2004,0,8,7,2,0</v>
      </c>
    </row>
    <row r="64" spans="1:12" x14ac:dyDescent="0.2">
      <c r="A64" s="1" t="str">
        <f t="shared" si="0"/>
        <v>380889</v>
      </c>
      <c r="B64" s="1" t="str">
        <f t="shared" si="1"/>
        <v>3808817</v>
      </c>
      <c r="C64" s="1">
        <v>63</v>
      </c>
      <c r="D64" s="4">
        <v>38088</v>
      </c>
      <c r="E64" s="1">
        <v>0</v>
      </c>
      <c r="F64" s="1">
        <v>17</v>
      </c>
      <c r="G64" s="1">
        <v>9</v>
      </c>
      <c r="H64" s="1">
        <v>2</v>
      </c>
      <c r="I64" s="1">
        <v>0</v>
      </c>
      <c r="J64" s="2" t="str">
        <f t="shared" si="2"/>
        <v>GAR</v>
      </c>
      <c r="K64" s="2" t="str">
        <f t="shared" si="3"/>
        <v>@CIN</v>
      </c>
      <c r="L64" s="1" t="str">
        <f t="shared" si="4"/>
        <v>63,4/11/2004,0,17,9,2,0</v>
      </c>
    </row>
    <row r="65" spans="1:12" x14ac:dyDescent="0.2">
      <c r="A65" s="1" t="str">
        <f t="shared" si="0"/>
        <v>3808811</v>
      </c>
      <c r="B65" s="1" t="str">
        <f t="shared" si="1"/>
        <v>380881</v>
      </c>
      <c r="C65" s="1">
        <v>64</v>
      </c>
      <c r="D65" s="4">
        <v>38088</v>
      </c>
      <c r="E65" s="1">
        <v>0</v>
      </c>
      <c r="F65" s="1">
        <v>1</v>
      </c>
      <c r="G65" s="1">
        <v>11</v>
      </c>
      <c r="H65" s="1">
        <v>2</v>
      </c>
      <c r="I65" s="1">
        <v>0</v>
      </c>
      <c r="J65" s="2" t="str">
        <f t="shared" si="2"/>
        <v>FFR</v>
      </c>
      <c r="K65" s="2" t="str">
        <f t="shared" si="3"/>
        <v>@HAR</v>
      </c>
      <c r="L65" s="1" t="str">
        <f t="shared" si="4"/>
        <v>64,4/11/2004,0,1,11,2,0</v>
      </c>
    </row>
    <row r="66" spans="1:12" x14ac:dyDescent="0.2">
      <c r="A66" s="1" t="str">
        <f t="shared" ref="A66:A129" si="5">D66&amp;G66</f>
        <v>3808820</v>
      </c>
      <c r="B66" s="1" t="str">
        <f t="shared" ref="B66:B129" si="6">D66&amp;F66</f>
        <v>3808810</v>
      </c>
      <c r="C66" s="1">
        <v>65</v>
      </c>
      <c r="D66" s="4">
        <v>38088</v>
      </c>
      <c r="E66" s="1">
        <v>0</v>
      </c>
      <c r="F66" s="1">
        <v>10</v>
      </c>
      <c r="G66" s="1">
        <v>20</v>
      </c>
      <c r="H66" s="1">
        <v>2</v>
      </c>
      <c r="I66" s="1">
        <v>0</v>
      </c>
      <c r="J66" s="2" t="str">
        <f t="shared" ref="J66:J129" si="7">VLOOKUP(F66,$M$2:$N$21,2,0)</f>
        <v>REN</v>
      </c>
      <c r="K66" s="2" t="str">
        <f t="shared" ref="K66:K129" si="8">"@"&amp;VLOOKUP(G66,$M$2:$N$21,2,0)</f>
        <v>@FDH</v>
      </c>
      <c r="L66" s="1" t="str">
        <f t="shared" ref="L66:L129" si="9">C66&amp;","&amp;MONTH(D66)&amp;"/"&amp;DAY(D66)&amp;"/"&amp;YEAR(D66)&amp;","&amp;E66&amp;","&amp;F66&amp;","&amp;G66&amp;","&amp;H66&amp;","&amp;I66</f>
        <v>65,4/11/2004,0,10,20,2,0</v>
      </c>
    </row>
    <row r="67" spans="1:12" x14ac:dyDescent="0.2">
      <c r="A67" s="1" t="str">
        <f t="shared" si="5"/>
        <v>380885</v>
      </c>
      <c r="B67" s="1" t="str">
        <f t="shared" si="6"/>
        <v>3808812</v>
      </c>
      <c r="C67" s="1">
        <v>66</v>
      </c>
      <c r="D67" s="4">
        <v>38088</v>
      </c>
      <c r="E67" s="1">
        <v>0</v>
      </c>
      <c r="F67" s="1">
        <v>12</v>
      </c>
      <c r="G67" s="1">
        <v>5</v>
      </c>
      <c r="H67" s="1">
        <v>2</v>
      </c>
      <c r="I67" s="1">
        <v>0</v>
      </c>
      <c r="J67" s="2" t="str">
        <f t="shared" si="7"/>
        <v>RMO</v>
      </c>
      <c r="K67" s="2" t="str">
        <f t="shared" si="8"/>
        <v>@OKO</v>
      </c>
      <c r="L67" s="1" t="str">
        <f t="shared" si="9"/>
        <v>66,4/11/2004,0,12,5,2,0</v>
      </c>
    </row>
    <row r="68" spans="1:12" x14ac:dyDescent="0.2">
      <c r="A68" s="1" t="str">
        <f t="shared" si="5"/>
        <v>3808814</v>
      </c>
      <c r="B68" s="1" t="str">
        <f t="shared" si="6"/>
        <v>380882</v>
      </c>
      <c r="C68" s="1">
        <v>67</v>
      </c>
      <c r="D68" s="4">
        <v>38088</v>
      </c>
      <c r="E68" s="1">
        <v>0</v>
      </c>
      <c r="F68" s="1">
        <v>2</v>
      </c>
      <c r="G68" s="1">
        <v>14</v>
      </c>
      <c r="H68" s="1">
        <v>2</v>
      </c>
      <c r="I68" s="1">
        <v>0</v>
      </c>
      <c r="J68" s="2" t="str">
        <f t="shared" si="7"/>
        <v>NEP</v>
      </c>
      <c r="K68" s="2" t="str">
        <f t="shared" si="8"/>
        <v>@CEN</v>
      </c>
      <c r="L68" s="1" t="str">
        <f t="shared" si="9"/>
        <v>67,4/11/2004,0,2,14,2,0</v>
      </c>
    </row>
    <row r="69" spans="1:12" x14ac:dyDescent="0.2">
      <c r="A69" s="1" t="str">
        <f t="shared" si="5"/>
        <v>3808816</v>
      </c>
      <c r="B69" s="1" t="str">
        <f t="shared" si="6"/>
        <v>380884</v>
      </c>
      <c r="C69" s="1">
        <v>68</v>
      </c>
      <c r="D69" s="4">
        <v>38088</v>
      </c>
      <c r="E69" s="1">
        <v>0</v>
      </c>
      <c r="F69" s="1">
        <v>4</v>
      </c>
      <c r="G69" s="1">
        <v>16</v>
      </c>
      <c r="H69" s="1">
        <v>2</v>
      </c>
      <c r="I69" s="1">
        <v>0</v>
      </c>
      <c r="J69" s="2" t="str">
        <f t="shared" si="7"/>
        <v>NNN</v>
      </c>
      <c r="K69" s="2" t="str">
        <f t="shared" si="8"/>
        <v>@DIG</v>
      </c>
      <c r="L69" s="1" t="str">
        <f t="shared" si="9"/>
        <v>68,4/11/2004,0,4,16,2,0</v>
      </c>
    </row>
    <row r="70" spans="1:12" x14ac:dyDescent="0.2">
      <c r="A70" s="1" t="str">
        <f t="shared" si="5"/>
        <v>3808822</v>
      </c>
      <c r="B70" s="1" t="str">
        <f t="shared" si="6"/>
        <v>3808824</v>
      </c>
      <c r="C70" s="1">
        <v>69</v>
      </c>
      <c r="D70" s="4">
        <v>38088</v>
      </c>
      <c r="E70" s="1">
        <v>0</v>
      </c>
      <c r="F70" s="1">
        <v>24</v>
      </c>
      <c r="G70" s="1">
        <v>22</v>
      </c>
      <c r="H70" s="1">
        <v>2</v>
      </c>
      <c r="I70" s="1">
        <v>0</v>
      </c>
      <c r="J70" s="2" t="str">
        <f t="shared" si="7"/>
        <v>PHI</v>
      </c>
      <c r="K70" s="2" t="str">
        <f t="shared" si="8"/>
        <v>@CBB</v>
      </c>
      <c r="L70" s="1" t="str">
        <f t="shared" si="9"/>
        <v>69,4/11/2004,0,24,22,2,0</v>
      </c>
    </row>
    <row r="71" spans="1:12" x14ac:dyDescent="0.2">
      <c r="A71" s="1" t="str">
        <f t="shared" si="5"/>
        <v>3808823</v>
      </c>
      <c r="B71" s="1" t="str">
        <f t="shared" si="6"/>
        <v>3808821</v>
      </c>
      <c r="C71" s="1">
        <v>70</v>
      </c>
      <c r="D71" s="4">
        <v>38088</v>
      </c>
      <c r="E71" s="1">
        <v>0</v>
      </c>
      <c r="F71" s="1">
        <v>21</v>
      </c>
      <c r="G71" s="1">
        <v>23</v>
      </c>
      <c r="H71" s="1">
        <v>2</v>
      </c>
      <c r="I71" s="1">
        <v>0</v>
      </c>
      <c r="J71" s="2" t="str">
        <f t="shared" si="7"/>
        <v>NYD</v>
      </c>
      <c r="K71" s="2" t="str">
        <f t="shared" si="8"/>
        <v>@BRK</v>
      </c>
      <c r="L71" s="1" t="str">
        <f t="shared" si="9"/>
        <v>70,4/11/2004,0,21,23,2,0</v>
      </c>
    </row>
    <row r="72" spans="1:12" x14ac:dyDescent="0.2">
      <c r="A72" s="1" t="str">
        <f t="shared" si="5"/>
        <v>380893</v>
      </c>
      <c r="B72" s="1" t="str">
        <f t="shared" si="6"/>
        <v>3808913</v>
      </c>
      <c r="C72" s="1">
        <v>71</v>
      </c>
      <c r="D72" s="4">
        <v>38089</v>
      </c>
      <c r="E72" s="1">
        <v>0</v>
      </c>
      <c r="F72" s="1">
        <v>13</v>
      </c>
      <c r="G72" s="1">
        <v>3</v>
      </c>
      <c r="H72" s="1">
        <v>2</v>
      </c>
      <c r="I72" s="1">
        <v>0</v>
      </c>
      <c r="J72" s="2" t="str">
        <f t="shared" si="7"/>
        <v>BBG</v>
      </c>
      <c r="K72" s="2" t="str">
        <f t="shared" si="8"/>
        <v>@TEW</v>
      </c>
      <c r="L72" s="1" t="str">
        <f t="shared" si="9"/>
        <v>71,4/12/2004,0,13,3,2,0</v>
      </c>
    </row>
    <row r="73" spans="1:12" x14ac:dyDescent="0.2">
      <c r="A73" s="1" t="str">
        <f t="shared" si="5"/>
        <v>3808911</v>
      </c>
      <c r="B73" s="1" t="str">
        <f t="shared" si="6"/>
        <v>380891</v>
      </c>
      <c r="C73" s="1">
        <v>72</v>
      </c>
      <c r="D73" s="4">
        <v>38089</v>
      </c>
      <c r="E73" s="1">
        <v>0</v>
      </c>
      <c r="F73" s="1">
        <v>1</v>
      </c>
      <c r="G73" s="1">
        <v>11</v>
      </c>
      <c r="H73" s="1">
        <v>2</v>
      </c>
      <c r="I73" s="1">
        <v>0</v>
      </c>
      <c r="J73" s="2" t="str">
        <f t="shared" si="7"/>
        <v>FFR</v>
      </c>
      <c r="K73" s="2" t="str">
        <f t="shared" si="8"/>
        <v>@HAR</v>
      </c>
      <c r="L73" s="1" t="str">
        <f t="shared" si="9"/>
        <v>72,4/12/2004,0,1,11,2,0</v>
      </c>
    </row>
    <row r="74" spans="1:12" x14ac:dyDescent="0.2">
      <c r="A74" s="1" t="str">
        <f t="shared" si="5"/>
        <v>380902</v>
      </c>
      <c r="B74" s="1" t="str">
        <f t="shared" si="6"/>
        <v>3809012</v>
      </c>
      <c r="C74" s="1">
        <v>73</v>
      </c>
      <c r="D74" s="4">
        <v>38090</v>
      </c>
      <c r="E74" s="1">
        <v>0</v>
      </c>
      <c r="F74" s="1">
        <v>12</v>
      </c>
      <c r="G74" s="1">
        <v>2</v>
      </c>
      <c r="H74" s="1">
        <v>2</v>
      </c>
      <c r="I74" s="1">
        <v>0</v>
      </c>
      <c r="J74" s="2" t="str">
        <f t="shared" si="7"/>
        <v>RMO</v>
      </c>
      <c r="K74" s="2" t="str">
        <f t="shared" si="8"/>
        <v>@NEP</v>
      </c>
      <c r="L74" s="1" t="str">
        <f t="shared" si="9"/>
        <v>73,4/13/2004,0,12,2,2,0</v>
      </c>
    </row>
    <row r="75" spans="1:12" x14ac:dyDescent="0.2">
      <c r="A75" s="1" t="str">
        <f t="shared" si="5"/>
        <v>380903</v>
      </c>
      <c r="B75" s="1" t="str">
        <f t="shared" si="6"/>
        <v>380901</v>
      </c>
      <c r="C75" s="1">
        <v>74</v>
      </c>
      <c r="D75" s="4">
        <v>38090</v>
      </c>
      <c r="E75" s="1">
        <v>0</v>
      </c>
      <c r="F75" s="1">
        <v>1</v>
      </c>
      <c r="G75" s="1">
        <v>3</v>
      </c>
      <c r="H75" s="1">
        <v>2</v>
      </c>
      <c r="I75" s="1">
        <v>0</v>
      </c>
      <c r="J75" s="2" t="str">
        <f t="shared" si="7"/>
        <v>FFR</v>
      </c>
      <c r="K75" s="2" t="str">
        <f t="shared" si="8"/>
        <v>@TEW</v>
      </c>
      <c r="L75" s="1" t="str">
        <f t="shared" si="9"/>
        <v>74,4/13/2004,0,1,3,2,0</v>
      </c>
    </row>
    <row r="76" spans="1:12" x14ac:dyDescent="0.2">
      <c r="A76" s="1" t="str">
        <f t="shared" si="5"/>
        <v>380907</v>
      </c>
      <c r="B76" s="1" t="str">
        <f t="shared" si="6"/>
        <v>3809022</v>
      </c>
      <c r="C76" s="1">
        <v>75</v>
      </c>
      <c r="D76" s="4">
        <v>38090</v>
      </c>
      <c r="E76" s="1">
        <v>0</v>
      </c>
      <c r="F76" s="1">
        <v>22</v>
      </c>
      <c r="G76" s="1">
        <v>7</v>
      </c>
      <c r="H76" s="1">
        <v>2</v>
      </c>
      <c r="I76" s="1">
        <v>0</v>
      </c>
      <c r="J76" s="2" t="str">
        <f t="shared" si="7"/>
        <v>CBB</v>
      </c>
      <c r="K76" s="2" t="str">
        <f t="shared" si="8"/>
        <v>@BAR</v>
      </c>
      <c r="L76" s="1" t="str">
        <f t="shared" si="9"/>
        <v>75,4/13/2004,0,22,7,2,0</v>
      </c>
    </row>
    <row r="77" spans="1:12" x14ac:dyDescent="0.2">
      <c r="A77" s="1" t="str">
        <f t="shared" si="5"/>
        <v>380908</v>
      </c>
      <c r="B77" s="1" t="str">
        <f t="shared" si="6"/>
        <v>3809024</v>
      </c>
      <c r="C77" s="1">
        <v>76</v>
      </c>
      <c r="D77" s="4">
        <v>38090</v>
      </c>
      <c r="E77" s="1">
        <v>0</v>
      </c>
      <c r="F77" s="1">
        <v>24</v>
      </c>
      <c r="G77" s="1">
        <v>8</v>
      </c>
      <c r="H77" s="1">
        <v>2</v>
      </c>
      <c r="I77" s="1">
        <v>0</v>
      </c>
      <c r="J77" s="2" t="str">
        <f t="shared" si="7"/>
        <v>PHI</v>
      </c>
      <c r="K77" s="2" t="str">
        <f t="shared" si="8"/>
        <v>@CTW</v>
      </c>
      <c r="L77" s="1" t="str">
        <f t="shared" si="9"/>
        <v>76,4/13/2004,0,24,8,2,0</v>
      </c>
    </row>
    <row r="78" spans="1:12" x14ac:dyDescent="0.2">
      <c r="A78" s="1" t="str">
        <f t="shared" si="5"/>
        <v>380909</v>
      </c>
      <c r="B78" s="1" t="str">
        <f t="shared" si="6"/>
        <v>3809023</v>
      </c>
      <c r="C78" s="1">
        <v>77</v>
      </c>
      <c r="D78" s="4">
        <v>38090</v>
      </c>
      <c r="E78" s="1">
        <v>0</v>
      </c>
      <c r="F78" s="1">
        <v>23</v>
      </c>
      <c r="G78" s="1">
        <v>9</v>
      </c>
      <c r="H78" s="1">
        <v>2</v>
      </c>
      <c r="I78" s="1">
        <v>0</v>
      </c>
      <c r="J78" s="2" t="str">
        <f t="shared" si="7"/>
        <v>BRK</v>
      </c>
      <c r="K78" s="2" t="str">
        <f t="shared" si="8"/>
        <v>@CIN</v>
      </c>
      <c r="L78" s="1" t="str">
        <f t="shared" si="9"/>
        <v>77,4/13/2004,0,23,9,2,0</v>
      </c>
    </row>
    <row r="79" spans="1:12" x14ac:dyDescent="0.2">
      <c r="A79" s="1" t="str">
        <f t="shared" si="5"/>
        <v>3809010</v>
      </c>
      <c r="B79" s="1" t="str">
        <f t="shared" si="6"/>
        <v>380904</v>
      </c>
      <c r="C79" s="1">
        <v>78</v>
      </c>
      <c r="D79" s="4">
        <v>38090</v>
      </c>
      <c r="E79" s="1">
        <v>0</v>
      </c>
      <c r="F79" s="1">
        <v>4</v>
      </c>
      <c r="G79" s="1">
        <v>10</v>
      </c>
      <c r="H79" s="1">
        <v>2</v>
      </c>
      <c r="I79" s="1">
        <v>0</v>
      </c>
      <c r="J79" s="2" t="str">
        <f t="shared" si="7"/>
        <v>NNN</v>
      </c>
      <c r="K79" s="2" t="str">
        <f t="shared" si="8"/>
        <v>@REN</v>
      </c>
      <c r="L79" s="1" t="str">
        <f t="shared" si="9"/>
        <v>78,4/13/2004,0,4,10,2,0</v>
      </c>
    </row>
    <row r="80" spans="1:12" x14ac:dyDescent="0.2">
      <c r="A80" s="1" t="str">
        <f t="shared" si="5"/>
        <v>3809013</v>
      </c>
      <c r="B80" s="1" t="str">
        <f t="shared" si="6"/>
        <v>3809011</v>
      </c>
      <c r="C80" s="1">
        <v>79</v>
      </c>
      <c r="D80" s="4">
        <v>38090</v>
      </c>
      <c r="E80" s="1">
        <v>0</v>
      </c>
      <c r="F80" s="1">
        <v>11</v>
      </c>
      <c r="G80" s="1">
        <v>13</v>
      </c>
      <c r="H80" s="1">
        <v>2</v>
      </c>
      <c r="I80" s="1">
        <v>0</v>
      </c>
      <c r="J80" s="2" t="str">
        <f t="shared" si="7"/>
        <v>HAR</v>
      </c>
      <c r="K80" s="2" t="str">
        <f t="shared" si="8"/>
        <v>@BBG</v>
      </c>
      <c r="L80" s="1" t="str">
        <f t="shared" si="9"/>
        <v>79,4/13/2004,0,11,13,2,0</v>
      </c>
    </row>
    <row r="81" spans="1:12" x14ac:dyDescent="0.2">
      <c r="A81" s="1" t="str">
        <f t="shared" si="5"/>
        <v>3809014</v>
      </c>
      <c r="B81" s="1" t="str">
        <f t="shared" si="6"/>
        <v>380905</v>
      </c>
      <c r="C81" s="1">
        <v>80</v>
      </c>
      <c r="D81" s="4">
        <v>38090</v>
      </c>
      <c r="E81" s="1">
        <v>0</v>
      </c>
      <c r="F81" s="1">
        <v>5</v>
      </c>
      <c r="G81" s="1">
        <v>14</v>
      </c>
      <c r="H81" s="1">
        <v>2</v>
      </c>
      <c r="I81" s="1">
        <v>0</v>
      </c>
      <c r="J81" s="2" t="str">
        <f t="shared" si="7"/>
        <v>OKO</v>
      </c>
      <c r="K81" s="2" t="str">
        <f t="shared" si="8"/>
        <v>@CEN</v>
      </c>
      <c r="L81" s="1" t="str">
        <f t="shared" si="9"/>
        <v>80,4/13/2004,0,5,14,2,0</v>
      </c>
    </row>
    <row r="82" spans="1:12" x14ac:dyDescent="0.2">
      <c r="A82" s="1" t="str">
        <f t="shared" si="5"/>
        <v>3809017</v>
      </c>
      <c r="B82" s="1" t="str">
        <f t="shared" si="6"/>
        <v>3809021</v>
      </c>
      <c r="C82" s="1">
        <v>81</v>
      </c>
      <c r="D82" s="4">
        <v>38090</v>
      </c>
      <c r="E82" s="1">
        <v>0</v>
      </c>
      <c r="F82" s="1">
        <v>21</v>
      </c>
      <c r="G82" s="1">
        <v>17</v>
      </c>
      <c r="H82" s="1">
        <v>2</v>
      </c>
      <c r="I82" s="1">
        <v>0</v>
      </c>
      <c r="J82" s="2" t="str">
        <f t="shared" si="7"/>
        <v>NYD</v>
      </c>
      <c r="K82" s="2" t="str">
        <f t="shared" si="8"/>
        <v>@GAR</v>
      </c>
      <c r="L82" s="1" t="str">
        <f t="shared" si="9"/>
        <v>81,4/13/2004,0,21,17,2,0</v>
      </c>
    </row>
    <row r="83" spans="1:12" x14ac:dyDescent="0.2">
      <c r="A83" s="1" t="str">
        <f t="shared" si="5"/>
        <v>3809020</v>
      </c>
      <c r="B83" s="1" t="str">
        <f t="shared" si="6"/>
        <v>3809016</v>
      </c>
      <c r="C83" s="1">
        <v>82</v>
      </c>
      <c r="D83" s="4">
        <v>38090</v>
      </c>
      <c r="E83" s="1">
        <v>0</v>
      </c>
      <c r="F83" s="1">
        <v>16</v>
      </c>
      <c r="G83" s="1">
        <v>20</v>
      </c>
      <c r="H83" s="1">
        <v>2</v>
      </c>
      <c r="I83" s="1">
        <v>0</v>
      </c>
      <c r="J83" s="2" t="str">
        <f t="shared" si="7"/>
        <v>DIG</v>
      </c>
      <c r="K83" s="2" t="str">
        <f t="shared" si="8"/>
        <v>@FDH</v>
      </c>
      <c r="L83" s="1" t="str">
        <f t="shared" si="9"/>
        <v>82,4/13/2004,0,16,20,2,0</v>
      </c>
    </row>
    <row r="84" spans="1:12" x14ac:dyDescent="0.2">
      <c r="A84" s="1" t="str">
        <f t="shared" si="5"/>
        <v>380912</v>
      </c>
      <c r="B84" s="1" t="str">
        <f t="shared" si="6"/>
        <v>3809112</v>
      </c>
      <c r="C84" s="1">
        <v>83</v>
      </c>
      <c r="D84" s="4">
        <v>38091</v>
      </c>
      <c r="E84" s="1">
        <v>0</v>
      </c>
      <c r="F84" s="1">
        <v>12</v>
      </c>
      <c r="G84" s="1">
        <v>2</v>
      </c>
      <c r="H84" s="1">
        <v>2</v>
      </c>
      <c r="I84" s="1">
        <v>0</v>
      </c>
      <c r="J84" s="2" t="str">
        <f t="shared" si="7"/>
        <v>RMO</v>
      </c>
      <c r="K84" s="2" t="str">
        <f t="shared" si="8"/>
        <v>@NEP</v>
      </c>
      <c r="L84" s="1" t="str">
        <f t="shared" si="9"/>
        <v>83,4/14/2004,0,12,2,2,0</v>
      </c>
    </row>
    <row r="85" spans="1:12" x14ac:dyDescent="0.2">
      <c r="A85" s="1" t="str">
        <f t="shared" si="5"/>
        <v>380913</v>
      </c>
      <c r="B85" s="1" t="str">
        <f t="shared" si="6"/>
        <v>380911</v>
      </c>
      <c r="C85" s="1">
        <v>84</v>
      </c>
      <c r="D85" s="4">
        <v>38091</v>
      </c>
      <c r="E85" s="1">
        <v>0</v>
      </c>
      <c r="F85" s="1">
        <v>1</v>
      </c>
      <c r="G85" s="1">
        <v>3</v>
      </c>
      <c r="H85" s="1">
        <v>2</v>
      </c>
      <c r="I85" s="1">
        <v>0</v>
      </c>
      <c r="J85" s="2" t="str">
        <f t="shared" si="7"/>
        <v>FFR</v>
      </c>
      <c r="K85" s="2" t="str">
        <f t="shared" si="8"/>
        <v>@TEW</v>
      </c>
      <c r="L85" s="1" t="str">
        <f t="shared" si="9"/>
        <v>84,4/14/2004,0,1,3,2,0</v>
      </c>
    </row>
    <row r="86" spans="1:12" x14ac:dyDescent="0.2">
      <c r="A86" s="1" t="str">
        <f t="shared" si="5"/>
        <v>380917</v>
      </c>
      <c r="B86" s="1" t="str">
        <f t="shared" si="6"/>
        <v>3809122</v>
      </c>
      <c r="C86" s="1">
        <v>85</v>
      </c>
      <c r="D86" s="4">
        <v>38091</v>
      </c>
      <c r="E86" s="1">
        <v>0</v>
      </c>
      <c r="F86" s="1">
        <v>22</v>
      </c>
      <c r="G86" s="1">
        <v>7</v>
      </c>
      <c r="H86" s="1">
        <v>2</v>
      </c>
      <c r="I86" s="1">
        <v>0</v>
      </c>
      <c r="J86" s="2" t="str">
        <f t="shared" si="7"/>
        <v>CBB</v>
      </c>
      <c r="K86" s="2" t="str">
        <f t="shared" si="8"/>
        <v>@BAR</v>
      </c>
      <c r="L86" s="1" t="str">
        <f t="shared" si="9"/>
        <v>85,4/14/2004,0,22,7,2,0</v>
      </c>
    </row>
    <row r="87" spans="1:12" x14ac:dyDescent="0.2">
      <c r="A87" s="1" t="str">
        <f t="shared" si="5"/>
        <v>380918</v>
      </c>
      <c r="B87" s="1" t="str">
        <f t="shared" si="6"/>
        <v>3809124</v>
      </c>
      <c r="C87" s="1">
        <v>86</v>
      </c>
      <c r="D87" s="4">
        <v>38091</v>
      </c>
      <c r="E87" s="1">
        <v>0</v>
      </c>
      <c r="F87" s="1">
        <v>24</v>
      </c>
      <c r="G87" s="1">
        <v>8</v>
      </c>
      <c r="H87" s="1">
        <v>2</v>
      </c>
      <c r="I87" s="1">
        <v>0</v>
      </c>
      <c r="J87" s="2" t="str">
        <f t="shared" si="7"/>
        <v>PHI</v>
      </c>
      <c r="K87" s="2" t="str">
        <f t="shared" si="8"/>
        <v>@CTW</v>
      </c>
      <c r="L87" s="1" t="str">
        <f t="shared" si="9"/>
        <v>86,4/14/2004,0,24,8,2,0</v>
      </c>
    </row>
    <row r="88" spans="1:12" x14ac:dyDescent="0.2">
      <c r="A88" s="1" t="str">
        <f t="shared" si="5"/>
        <v>380919</v>
      </c>
      <c r="B88" s="1" t="str">
        <f t="shared" si="6"/>
        <v>3809123</v>
      </c>
      <c r="C88" s="1">
        <v>87</v>
      </c>
      <c r="D88" s="4">
        <v>38091</v>
      </c>
      <c r="E88" s="1">
        <v>0</v>
      </c>
      <c r="F88" s="1">
        <v>23</v>
      </c>
      <c r="G88" s="1">
        <v>9</v>
      </c>
      <c r="H88" s="1">
        <v>2</v>
      </c>
      <c r="I88" s="1">
        <v>0</v>
      </c>
      <c r="J88" s="2" t="str">
        <f t="shared" si="7"/>
        <v>BRK</v>
      </c>
      <c r="K88" s="2" t="str">
        <f t="shared" si="8"/>
        <v>@CIN</v>
      </c>
      <c r="L88" s="1" t="str">
        <f t="shared" si="9"/>
        <v>87,4/14/2004,0,23,9,2,0</v>
      </c>
    </row>
    <row r="89" spans="1:12" x14ac:dyDescent="0.2">
      <c r="A89" s="1" t="str">
        <f t="shared" si="5"/>
        <v>3809110</v>
      </c>
      <c r="B89" s="1" t="str">
        <f t="shared" si="6"/>
        <v>380914</v>
      </c>
      <c r="C89" s="1">
        <v>88</v>
      </c>
      <c r="D89" s="4">
        <v>38091</v>
      </c>
      <c r="E89" s="1">
        <v>0</v>
      </c>
      <c r="F89" s="1">
        <v>4</v>
      </c>
      <c r="G89" s="1">
        <v>10</v>
      </c>
      <c r="H89" s="1">
        <v>2</v>
      </c>
      <c r="I89" s="1">
        <v>0</v>
      </c>
      <c r="J89" s="2" t="str">
        <f t="shared" si="7"/>
        <v>NNN</v>
      </c>
      <c r="K89" s="2" t="str">
        <f t="shared" si="8"/>
        <v>@REN</v>
      </c>
      <c r="L89" s="1" t="str">
        <f t="shared" si="9"/>
        <v>88,4/14/2004,0,4,10,2,0</v>
      </c>
    </row>
    <row r="90" spans="1:12" x14ac:dyDescent="0.2">
      <c r="A90" s="1" t="str">
        <f t="shared" si="5"/>
        <v>3809113</v>
      </c>
      <c r="B90" s="1" t="str">
        <f t="shared" si="6"/>
        <v>3809111</v>
      </c>
      <c r="C90" s="1">
        <v>89</v>
      </c>
      <c r="D90" s="4">
        <v>38091</v>
      </c>
      <c r="E90" s="1">
        <v>0</v>
      </c>
      <c r="F90" s="1">
        <v>11</v>
      </c>
      <c r="G90" s="1">
        <v>13</v>
      </c>
      <c r="H90" s="1">
        <v>2</v>
      </c>
      <c r="I90" s="1">
        <v>0</v>
      </c>
      <c r="J90" s="2" t="str">
        <f t="shared" si="7"/>
        <v>HAR</v>
      </c>
      <c r="K90" s="2" t="str">
        <f t="shared" si="8"/>
        <v>@BBG</v>
      </c>
      <c r="L90" s="1" t="str">
        <f t="shared" si="9"/>
        <v>89,4/14/2004,0,11,13,2,0</v>
      </c>
    </row>
    <row r="91" spans="1:12" x14ac:dyDescent="0.2">
      <c r="A91" s="1" t="str">
        <f t="shared" si="5"/>
        <v>3809114</v>
      </c>
      <c r="B91" s="1" t="str">
        <f t="shared" si="6"/>
        <v>380915</v>
      </c>
      <c r="C91" s="1">
        <v>90</v>
      </c>
      <c r="D91" s="4">
        <v>38091</v>
      </c>
      <c r="E91" s="1">
        <v>0</v>
      </c>
      <c r="F91" s="1">
        <v>5</v>
      </c>
      <c r="G91" s="1">
        <v>14</v>
      </c>
      <c r="H91" s="1">
        <v>2</v>
      </c>
      <c r="I91" s="1">
        <v>0</v>
      </c>
      <c r="J91" s="2" t="str">
        <f t="shared" si="7"/>
        <v>OKO</v>
      </c>
      <c r="K91" s="2" t="str">
        <f t="shared" si="8"/>
        <v>@CEN</v>
      </c>
      <c r="L91" s="1" t="str">
        <f t="shared" si="9"/>
        <v>90,4/14/2004,0,5,14,2,0</v>
      </c>
    </row>
    <row r="92" spans="1:12" x14ac:dyDescent="0.2">
      <c r="A92" s="1" t="str">
        <f t="shared" si="5"/>
        <v>3809117</v>
      </c>
      <c r="B92" s="1" t="str">
        <f t="shared" si="6"/>
        <v>3809121</v>
      </c>
      <c r="C92" s="1">
        <v>91</v>
      </c>
      <c r="D92" s="4">
        <v>38091</v>
      </c>
      <c r="E92" s="1">
        <v>0</v>
      </c>
      <c r="F92" s="1">
        <v>21</v>
      </c>
      <c r="G92" s="1">
        <v>17</v>
      </c>
      <c r="H92" s="1">
        <v>2</v>
      </c>
      <c r="I92" s="1">
        <v>0</v>
      </c>
      <c r="J92" s="2" t="str">
        <f t="shared" si="7"/>
        <v>NYD</v>
      </c>
      <c r="K92" s="2" t="str">
        <f t="shared" si="8"/>
        <v>@GAR</v>
      </c>
      <c r="L92" s="1" t="str">
        <f t="shared" si="9"/>
        <v>91,4/14/2004,0,21,17,2,0</v>
      </c>
    </row>
    <row r="93" spans="1:12" x14ac:dyDescent="0.2">
      <c r="A93" s="1" t="str">
        <f t="shared" si="5"/>
        <v>3809120</v>
      </c>
      <c r="B93" s="1" t="str">
        <f t="shared" si="6"/>
        <v>3809116</v>
      </c>
      <c r="C93" s="1">
        <v>92</v>
      </c>
      <c r="D93" s="4">
        <v>38091</v>
      </c>
      <c r="E93" s="1">
        <v>0</v>
      </c>
      <c r="F93" s="1">
        <v>16</v>
      </c>
      <c r="G93" s="1">
        <v>20</v>
      </c>
      <c r="H93" s="1">
        <v>2</v>
      </c>
      <c r="I93" s="1">
        <v>0</v>
      </c>
      <c r="J93" s="2" t="str">
        <f t="shared" si="7"/>
        <v>DIG</v>
      </c>
      <c r="K93" s="2" t="str">
        <f t="shared" si="8"/>
        <v>@FDH</v>
      </c>
      <c r="L93" s="1" t="str">
        <f t="shared" si="9"/>
        <v>92,4/14/2004,0,16,20,2,0</v>
      </c>
    </row>
    <row r="94" spans="1:12" x14ac:dyDescent="0.2">
      <c r="A94" s="1" t="str">
        <f t="shared" si="5"/>
        <v>380922</v>
      </c>
      <c r="B94" s="1" t="str">
        <f t="shared" si="6"/>
        <v>3809212</v>
      </c>
      <c r="C94" s="1">
        <v>93</v>
      </c>
      <c r="D94" s="4">
        <v>38092</v>
      </c>
      <c r="E94" s="1">
        <v>0</v>
      </c>
      <c r="F94" s="1">
        <v>12</v>
      </c>
      <c r="G94" s="1">
        <v>2</v>
      </c>
      <c r="H94" s="1">
        <v>2</v>
      </c>
      <c r="I94" s="1">
        <v>0</v>
      </c>
      <c r="J94" s="2" t="str">
        <f t="shared" si="7"/>
        <v>RMO</v>
      </c>
      <c r="K94" s="2" t="str">
        <f t="shared" si="8"/>
        <v>@NEP</v>
      </c>
      <c r="L94" s="1" t="str">
        <f t="shared" si="9"/>
        <v>93,4/15/2004,0,12,2,2,0</v>
      </c>
    </row>
    <row r="95" spans="1:12" x14ac:dyDescent="0.2">
      <c r="A95" s="1" t="str">
        <f t="shared" si="5"/>
        <v>380923</v>
      </c>
      <c r="B95" s="1" t="str">
        <f t="shared" si="6"/>
        <v>380921</v>
      </c>
      <c r="C95" s="1">
        <v>94</v>
      </c>
      <c r="D95" s="4">
        <v>38092</v>
      </c>
      <c r="E95" s="1">
        <v>0</v>
      </c>
      <c r="F95" s="1">
        <v>1</v>
      </c>
      <c r="G95" s="1">
        <v>3</v>
      </c>
      <c r="H95" s="1">
        <v>2</v>
      </c>
      <c r="I95" s="1">
        <v>0</v>
      </c>
      <c r="J95" s="2" t="str">
        <f t="shared" si="7"/>
        <v>FFR</v>
      </c>
      <c r="K95" s="2" t="str">
        <f t="shared" si="8"/>
        <v>@TEW</v>
      </c>
      <c r="L95" s="1" t="str">
        <f t="shared" si="9"/>
        <v>94,4/15/2004,0,1,3,2,0</v>
      </c>
    </row>
    <row r="96" spans="1:12" x14ac:dyDescent="0.2">
      <c r="A96" s="1" t="str">
        <f t="shared" si="5"/>
        <v>380927</v>
      </c>
      <c r="B96" s="1" t="str">
        <f t="shared" si="6"/>
        <v>3809222</v>
      </c>
      <c r="C96" s="1">
        <v>95</v>
      </c>
      <c r="D96" s="4">
        <v>38092</v>
      </c>
      <c r="E96" s="1">
        <v>0</v>
      </c>
      <c r="F96" s="1">
        <v>22</v>
      </c>
      <c r="G96" s="1">
        <v>7</v>
      </c>
      <c r="H96" s="1">
        <v>2</v>
      </c>
      <c r="I96" s="1">
        <v>0</v>
      </c>
      <c r="J96" s="2" t="str">
        <f t="shared" si="7"/>
        <v>CBB</v>
      </c>
      <c r="K96" s="2" t="str">
        <f t="shared" si="8"/>
        <v>@BAR</v>
      </c>
      <c r="L96" s="1" t="str">
        <f t="shared" si="9"/>
        <v>95,4/15/2004,0,22,7,2,0</v>
      </c>
    </row>
    <row r="97" spans="1:12" x14ac:dyDescent="0.2">
      <c r="A97" s="1" t="str">
        <f t="shared" si="5"/>
        <v>380928</v>
      </c>
      <c r="B97" s="1" t="str">
        <f t="shared" si="6"/>
        <v>3809224</v>
      </c>
      <c r="C97" s="1">
        <v>96</v>
      </c>
      <c r="D97" s="4">
        <v>38092</v>
      </c>
      <c r="E97" s="1">
        <v>0</v>
      </c>
      <c r="F97" s="1">
        <v>24</v>
      </c>
      <c r="G97" s="1">
        <v>8</v>
      </c>
      <c r="H97" s="1">
        <v>2</v>
      </c>
      <c r="I97" s="1">
        <v>0</v>
      </c>
      <c r="J97" s="2" t="str">
        <f t="shared" si="7"/>
        <v>PHI</v>
      </c>
      <c r="K97" s="2" t="str">
        <f t="shared" si="8"/>
        <v>@CTW</v>
      </c>
      <c r="L97" s="1" t="str">
        <f t="shared" si="9"/>
        <v>96,4/15/2004,0,24,8,2,0</v>
      </c>
    </row>
    <row r="98" spans="1:12" x14ac:dyDescent="0.2">
      <c r="A98" s="1" t="str">
        <f t="shared" si="5"/>
        <v>380929</v>
      </c>
      <c r="B98" s="1" t="str">
        <f t="shared" si="6"/>
        <v>3809223</v>
      </c>
      <c r="C98" s="1">
        <v>97</v>
      </c>
      <c r="D98" s="4">
        <v>38092</v>
      </c>
      <c r="E98" s="1">
        <v>0</v>
      </c>
      <c r="F98" s="1">
        <v>23</v>
      </c>
      <c r="G98" s="1">
        <v>9</v>
      </c>
      <c r="H98" s="1">
        <v>2</v>
      </c>
      <c r="I98" s="1">
        <v>0</v>
      </c>
      <c r="J98" s="2" t="str">
        <f t="shared" si="7"/>
        <v>BRK</v>
      </c>
      <c r="K98" s="2" t="str">
        <f t="shared" si="8"/>
        <v>@CIN</v>
      </c>
      <c r="L98" s="1" t="str">
        <f t="shared" si="9"/>
        <v>97,4/15/2004,0,23,9,2,0</v>
      </c>
    </row>
    <row r="99" spans="1:12" x14ac:dyDescent="0.2">
      <c r="A99" s="1" t="str">
        <f t="shared" si="5"/>
        <v>3809210</v>
      </c>
      <c r="B99" s="1" t="str">
        <f t="shared" si="6"/>
        <v>380924</v>
      </c>
      <c r="C99" s="1">
        <v>98</v>
      </c>
      <c r="D99" s="4">
        <v>38092</v>
      </c>
      <c r="E99" s="1">
        <v>0</v>
      </c>
      <c r="F99" s="1">
        <v>4</v>
      </c>
      <c r="G99" s="1">
        <v>10</v>
      </c>
      <c r="H99" s="1">
        <v>2</v>
      </c>
      <c r="I99" s="1">
        <v>0</v>
      </c>
      <c r="J99" s="2" t="str">
        <f t="shared" si="7"/>
        <v>NNN</v>
      </c>
      <c r="K99" s="2" t="str">
        <f t="shared" si="8"/>
        <v>@REN</v>
      </c>
      <c r="L99" s="1" t="str">
        <f t="shared" si="9"/>
        <v>98,4/15/2004,0,4,10,2,0</v>
      </c>
    </row>
    <row r="100" spans="1:12" x14ac:dyDescent="0.2">
      <c r="A100" s="1" t="str">
        <f t="shared" si="5"/>
        <v>3809213</v>
      </c>
      <c r="B100" s="1" t="str">
        <f t="shared" si="6"/>
        <v>3809211</v>
      </c>
      <c r="C100" s="1">
        <v>99</v>
      </c>
      <c r="D100" s="4">
        <v>38092</v>
      </c>
      <c r="E100" s="1">
        <v>0</v>
      </c>
      <c r="F100" s="1">
        <v>11</v>
      </c>
      <c r="G100" s="1">
        <v>13</v>
      </c>
      <c r="H100" s="1">
        <v>2</v>
      </c>
      <c r="I100" s="1">
        <v>0</v>
      </c>
      <c r="J100" s="2" t="str">
        <f t="shared" si="7"/>
        <v>HAR</v>
      </c>
      <c r="K100" s="2" t="str">
        <f t="shared" si="8"/>
        <v>@BBG</v>
      </c>
      <c r="L100" s="1" t="str">
        <f t="shared" si="9"/>
        <v>99,4/15/2004,0,11,13,2,0</v>
      </c>
    </row>
    <row r="101" spans="1:12" x14ac:dyDescent="0.2">
      <c r="A101" s="1" t="str">
        <f t="shared" si="5"/>
        <v>3809214</v>
      </c>
      <c r="B101" s="1" t="str">
        <f t="shared" si="6"/>
        <v>380925</v>
      </c>
      <c r="C101" s="1">
        <v>100</v>
      </c>
      <c r="D101" s="4">
        <v>38092</v>
      </c>
      <c r="E101" s="1">
        <v>0</v>
      </c>
      <c r="F101" s="1">
        <v>5</v>
      </c>
      <c r="G101" s="1">
        <v>14</v>
      </c>
      <c r="H101" s="1">
        <v>2</v>
      </c>
      <c r="I101" s="1">
        <v>0</v>
      </c>
      <c r="J101" s="2" t="str">
        <f t="shared" si="7"/>
        <v>OKO</v>
      </c>
      <c r="K101" s="2" t="str">
        <f t="shared" si="8"/>
        <v>@CEN</v>
      </c>
      <c r="L101" s="1" t="str">
        <f t="shared" si="9"/>
        <v>100,4/15/2004,0,5,14,2,0</v>
      </c>
    </row>
    <row r="102" spans="1:12" x14ac:dyDescent="0.2">
      <c r="A102" s="1" t="str">
        <f t="shared" si="5"/>
        <v>3809217</v>
      </c>
      <c r="B102" s="1" t="str">
        <f t="shared" si="6"/>
        <v>3809221</v>
      </c>
      <c r="C102" s="1">
        <v>101</v>
      </c>
      <c r="D102" s="4">
        <v>38092</v>
      </c>
      <c r="E102" s="1">
        <v>0</v>
      </c>
      <c r="F102" s="1">
        <v>21</v>
      </c>
      <c r="G102" s="1">
        <v>17</v>
      </c>
      <c r="H102" s="1">
        <v>2</v>
      </c>
      <c r="I102" s="1">
        <v>0</v>
      </c>
      <c r="J102" s="2" t="str">
        <f t="shared" si="7"/>
        <v>NYD</v>
      </c>
      <c r="K102" s="2" t="str">
        <f t="shared" si="8"/>
        <v>@GAR</v>
      </c>
      <c r="L102" s="1" t="str">
        <f t="shared" si="9"/>
        <v>101,4/15/2004,0,21,17,2,0</v>
      </c>
    </row>
    <row r="103" spans="1:12" x14ac:dyDescent="0.2">
      <c r="A103" s="1" t="str">
        <f t="shared" si="5"/>
        <v>3809220</v>
      </c>
      <c r="B103" s="1" t="str">
        <f t="shared" si="6"/>
        <v>3809216</v>
      </c>
      <c r="C103" s="1">
        <v>102</v>
      </c>
      <c r="D103" s="4">
        <v>38092</v>
      </c>
      <c r="E103" s="1">
        <v>0</v>
      </c>
      <c r="F103" s="1">
        <v>16</v>
      </c>
      <c r="G103" s="1">
        <v>20</v>
      </c>
      <c r="H103" s="1">
        <v>2</v>
      </c>
      <c r="I103" s="1">
        <v>0</v>
      </c>
      <c r="J103" s="2" t="str">
        <f t="shared" si="7"/>
        <v>DIG</v>
      </c>
      <c r="K103" s="2" t="str">
        <f t="shared" si="8"/>
        <v>@FDH</v>
      </c>
      <c r="L103" s="1" t="str">
        <f t="shared" si="9"/>
        <v>102,4/15/2004,0,16,20,2,0</v>
      </c>
    </row>
    <row r="104" spans="1:12" x14ac:dyDescent="0.2">
      <c r="A104" s="1" t="str">
        <f t="shared" si="5"/>
        <v>380932</v>
      </c>
      <c r="B104" s="1" t="str">
        <f t="shared" si="6"/>
        <v>3809312</v>
      </c>
      <c r="C104" s="1">
        <v>103</v>
      </c>
      <c r="D104" s="4">
        <v>38093</v>
      </c>
      <c r="E104" s="1">
        <v>0</v>
      </c>
      <c r="F104" s="1">
        <v>12</v>
      </c>
      <c r="G104" s="1">
        <v>2</v>
      </c>
      <c r="H104" s="1">
        <v>2</v>
      </c>
      <c r="I104" s="1">
        <v>0</v>
      </c>
      <c r="J104" s="2" t="str">
        <f t="shared" si="7"/>
        <v>RMO</v>
      </c>
      <c r="K104" s="2" t="str">
        <f t="shared" si="8"/>
        <v>@NEP</v>
      </c>
      <c r="L104" s="1" t="str">
        <f t="shared" si="9"/>
        <v>103,4/16/2004,0,12,2,2,0</v>
      </c>
    </row>
    <row r="105" spans="1:12" x14ac:dyDescent="0.2">
      <c r="A105" s="1" t="str">
        <f t="shared" si="5"/>
        <v>380933</v>
      </c>
      <c r="B105" s="1" t="str">
        <f t="shared" si="6"/>
        <v>380931</v>
      </c>
      <c r="C105" s="1">
        <v>104</v>
      </c>
      <c r="D105" s="4">
        <v>38093</v>
      </c>
      <c r="E105" s="1">
        <v>0</v>
      </c>
      <c r="F105" s="1">
        <v>1</v>
      </c>
      <c r="G105" s="1">
        <v>3</v>
      </c>
      <c r="H105" s="1">
        <v>2</v>
      </c>
      <c r="I105" s="1">
        <v>0</v>
      </c>
      <c r="J105" s="2" t="str">
        <f t="shared" si="7"/>
        <v>FFR</v>
      </c>
      <c r="K105" s="2" t="str">
        <f t="shared" si="8"/>
        <v>@TEW</v>
      </c>
      <c r="L105" s="1" t="str">
        <f t="shared" si="9"/>
        <v>104,4/16/2004,0,1,3,2,0</v>
      </c>
    </row>
    <row r="106" spans="1:12" x14ac:dyDescent="0.2">
      <c r="A106" s="1" t="str">
        <f t="shared" si="5"/>
        <v>380937</v>
      </c>
      <c r="B106" s="1" t="str">
        <f t="shared" si="6"/>
        <v>3809322</v>
      </c>
      <c r="C106" s="1">
        <v>105</v>
      </c>
      <c r="D106" s="4">
        <v>38093</v>
      </c>
      <c r="E106" s="1">
        <v>0</v>
      </c>
      <c r="F106" s="1">
        <v>22</v>
      </c>
      <c r="G106" s="1">
        <v>7</v>
      </c>
      <c r="H106" s="1">
        <v>2</v>
      </c>
      <c r="I106" s="1">
        <v>0</v>
      </c>
      <c r="J106" s="2" t="str">
        <f t="shared" si="7"/>
        <v>CBB</v>
      </c>
      <c r="K106" s="2" t="str">
        <f t="shared" si="8"/>
        <v>@BAR</v>
      </c>
      <c r="L106" s="1" t="str">
        <f t="shared" si="9"/>
        <v>105,4/16/2004,0,22,7,2,0</v>
      </c>
    </row>
    <row r="107" spans="1:12" x14ac:dyDescent="0.2">
      <c r="A107" s="1" t="str">
        <f t="shared" si="5"/>
        <v>380938</v>
      </c>
      <c r="B107" s="1" t="str">
        <f t="shared" si="6"/>
        <v>3809324</v>
      </c>
      <c r="C107" s="1">
        <v>106</v>
      </c>
      <c r="D107" s="4">
        <v>38093</v>
      </c>
      <c r="E107" s="1">
        <v>0</v>
      </c>
      <c r="F107" s="1">
        <v>24</v>
      </c>
      <c r="G107" s="1">
        <v>8</v>
      </c>
      <c r="H107" s="1">
        <v>2</v>
      </c>
      <c r="I107" s="1">
        <v>0</v>
      </c>
      <c r="J107" s="2" t="str">
        <f t="shared" si="7"/>
        <v>PHI</v>
      </c>
      <c r="K107" s="2" t="str">
        <f t="shared" si="8"/>
        <v>@CTW</v>
      </c>
      <c r="L107" s="1" t="str">
        <f t="shared" si="9"/>
        <v>106,4/16/2004,0,24,8,2,0</v>
      </c>
    </row>
    <row r="108" spans="1:12" x14ac:dyDescent="0.2">
      <c r="A108" s="1" t="str">
        <f t="shared" si="5"/>
        <v>380939</v>
      </c>
      <c r="B108" s="1" t="str">
        <f t="shared" si="6"/>
        <v>3809323</v>
      </c>
      <c r="C108" s="1">
        <v>107</v>
      </c>
      <c r="D108" s="4">
        <v>38093</v>
      </c>
      <c r="E108" s="1">
        <v>0</v>
      </c>
      <c r="F108" s="1">
        <v>23</v>
      </c>
      <c r="G108" s="1">
        <v>9</v>
      </c>
      <c r="H108" s="1">
        <v>2</v>
      </c>
      <c r="I108" s="1">
        <v>0</v>
      </c>
      <c r="J108" s="2" t="str">
        <f t="shared" si="7"/>
        <v>BRK</v>
      </c>
      <c r="K108" s="2" t="str">
        <f t="shared" si="8"/>
        <v>@CIN</v>
      </c>
      <c r="L108" s="1" t="str">
        <f t="shared" si="9"/>
        <v>107,4/16/2004,0,23,9,2,0</v>
      </c>
    </row>
    <row r="109" spans="1:12" x14ac:dyDescent="0.2">
      <c r="A109" s="1" t="str">
        <f t="shared" si="5"/>
        <v>3809310</v>
      </c>
      <c r="B109" s="1" t="str">
        <f t="shared" si="6"/>
        <v>380934</v>
      </c>
      <c r="C109" s="1">
        <v>108</v>
      </c>
      <c r="D109" s="4">
        <v>38093</v>
      </c>
      <c r="E109" s="1">
        <v>0</v>
      </c>
      <c r="F109" s="1">
        <v>4</v>
      </c>
      <c r="G109" s="1">
        <v>10</v>
      </c>
      <c r="H109" s="1">
        <v>2</v>
      </c>
      <c r="I109" s="1">
        <v>0</v>
      </c>
      <c r="J109" s="2" t="str">
        <f t="shared" si="7"/>
        <v>NNN</v>
      </c>
      <c r="K109" s="2" t="str">
        <f t="shared" si="8"/>
        <v>@REN</v>
      </c>
      <c r="L109" s="1" t="str">
        <f t="shared" si="9"/>
        <v>108,4/16/2004,0,4,10,2,0</v>
      </c>
    </row>
    <row r="110" spans="1:12" x14ac:dyDescent="0.2">
      <c r="A110" s="1" t="str">
        <f t="shared" si="5"/>
        <v>3809313</v>
      </c>
      <c r="B110" s="1" t="str">
        <f t="shared" si="6"/>
        <v>3809311</v>
      </c>
      <c r="C110" s="1">
        <v>109</v>
      </c>
      <c r="D110" s="4">
        <v>38093</v>
      </c>
      <c r="E110" s="1">
        <v>0</v>
      </c>
      <c r="F110" s="1">
        <v>11</v>
      </c>
      <c r="G110" s="1">
        <v>13</v>
      </c>
      <c r="H110" s="1">
        <v>2</v>
      </c>
      <c r="I110" s="1">
        <v>0</v>
      </c>
      <c r="J110" s="2" t="str">
        <f t="shared" si="7"/>
        <v>HAR</v>
      </c>
      <c r="K110" s="2" t="str">
        <f t="shared" si="8"/>
        <v>@BBG</v>
      </c>
      <c r="L110" s="1" t="str">
        <f t="shared" si="9"/>
        <v>109,4/16/2004,0,11,13,2,0</v>
      </c>
    </row>
    <row r="111" spans="1:12" x14ac:dyDescent="0.2">
      <c r="A111" s="1" t="str">
        <f t="shared" si="5"/>
        <v>3809314</v>
      </c>
      <c r="B111" s="1" t="str">
        <f t="shared" si="6"/>
        <v>380935</v>
      </c>
      <c r="C111" s="1">
        <v>110</v>
      </c>
      <c r="D111" s="4">
        <v>38093</v>
      </c>
      <c r="E111" s="1">
        <v>0</v>
      </c>
      <c r="F111" s="1">
        <v>5</v>
      </c>
      <c r="G111" s="1">
        <v>14</v>
      </c>
      <c r="H111" s="1">
        <v>2</v>
      </c>
      <c r="I111" s="1">
        <v>0</v>
      </c>
      <c r="J111" s="2" t="str">
        <f t="shared" si="7"/>
        <v>OKO</v>
      </c>
      <c r="K111" s="2" t="str">
        <f t="shared" si="8"/>
        <v>@CEN</v>
      </c>
      <c r="L111" s="1" t="str">
        <f t="shared" si="9"/>
        <v>110,4/16/2004,0,5,14,2,0</v>
      </c>
    </row>
    <row r="112" spans="1:12" x14ac:dyDescent="0.2">
      <c r="A112" s="1" t="str">
        <f t="shared" si="5"/>
        <v>3809317</v>
      </c>
      <c r="B112" s="1" t="str">
        <f t="shared" si="6"/>
        <v>3809321</v>
      </c>
      <c r="C112" s="1">
        <v>111</v>
      </c>
      <c r="D112" s="4">
        <v>38093</v>
      </c>
      <c r="E112" s="1">
        <v>0</v>
      </c>
      <c r="F112" s="1">
        <v>21</v>
      </c>
      <c r="G112" s="1">
        <v>17</v>
      </c>
      <c r="H112" s="1">
        <v>2</v>
      </c>
      <c r="I112" s="1">
        <v>0</v>
      </c>
      <c r="J112" s="2" t="str">
        <f t="shared" si="7"/>
        <v>NYD</v>
      </c>
      <c r="K112" s="2" t="str">
        <f t="shared" si="8"/>
        <v>@GAR</v>
      </c>
      <c r="L112" s="1" t="str">
        <f t="shared" si="9"/>
        <v>111,4/16/2004,0,21,17,2,0</v>
      </c>
    </row>
    <row r="113" spans="1:12" x14ac:dyDescent="0.2">
      <c r="A113" s="1" t="str">
        <f t="shared" si="5"/>
        <v>3809320</v>
      </c>
      <c r="B113" s="1" t="str">
        <f t="shared" si="6"/>
        <v>3809316</v>
      </c>
      <c r="C113" s="1">
        <v>112</v>
      </c>
      <c r="D113" s="4">
        <v>38093</v>
      </c>
      <c r="E113" s="1">
        <v>0</v>
      </c>
      <c r="F113" s="1">
        <v>16</v>
      </c>
      <c r="G113" s="1">
        <v>20</v>
      </c>
      <c r="H113" s="1">
        <v>2</v>
      </c>
      <c r="I113" s="1">
        <v>0</v>
      </c>
      <c r="J113" s="2" t="str">
        <f t="shared" si="7"/>
        <v>DIG</v>
      </c>
      <c r="K113" s="2" t="str">
        <f t="shared" si="8"/>
        <v>@FDH</v>
      </c>
      <c r="L113" s="1" t="str">
        <f t="shared" si="9"/>
        <v>112,4/16/2004,0,16,20,2,0</v>
      </c>
    </row>
    <row r="114" spans="1:12" x14ac:dyDescent="0.2">
      <c r="A114" s="1" t="str">
        <f t="shared" si="5"/>
        <v>380944</v>
      </c>
      <c r="B114" s="1" t="str">
        <f t="shared" si="6"/>
        <v>3809424</v>
      </c>
      <c r="C114" s="1">
        <v>113</v>
      </c>
      <c r="D114" s="4">
        <v>38094</v>
      </c>
      <c r="E114" s="1">
        <v>0</v>
      </c>
      <c r="F114" s="1">
        <v>24</v>
      </c>
      <c r="G114" s="1">
        <v>4</v>
      </c>
      <c r="H114" s="1">
        <v>2</v>
      </c>
      <c r="I114" s="1">
        <v>0</v>
      </c>
      <c r="J114" s="2" t="str">
        <f t="shared" si="7"/>
        <v>PHI</v>
      </c>
      <c r="K114" s="2" t="str">
        <f t="shared" si="8"/>
        <v>@NNN</v>
      </c>
      <c r="L114" s="1" t="str">
        <f t="shared" si="9"/>
        <v>113,4/17/2004,0,24,4,2,0</v>
      </c>
    </row>
    <row r="115" spans="1:12" x14ac:dyDescent="0.2">
      <c r="A115" s="1" t="str">
        <f t="shared" si="5"/>
        <v>380945</v>
      </c>
      <c r="B115" s="1" t="str">
        <f t="shared" si="6"/>
        <v>3809411</v>
      </c>
      <c r="C115" s="1">
        <v>114</v>
      </c>
      <c r="D115" s="4">
        <v>38094</v>
      </c>
      <c r="E115" s="1">
        <v>0</v>
      </c>
      <c r="F115" s="1">
        <v>11</v>
      </c>
      <c r="G115" s="1">
        <v>5</v>
      </c>
      <c r="H115" s="1">
        <v>2</v>
      </c>
      <c r="I115" s="1">
        <v>0</v>
      </c>
      <c r="J115" s="2" t="str">
        <f t="shared" si="7"/>
        <v>HAR</v>
      </c>
      <c r="K115" s="2" t="str">
        <f t="shared" si="8"/>
        <v>@OKO</v>
      </c>
      <c r="L115" s="1" t="str">
        <f t="shared" si="9"/>
        <v>114,4/17/2004,0,11,5,2,0</v>
      </c>
    </row>
    <row r="116" spans="1:12" x14ac:dyDescent="0.2">
      <c r="A116" s="1" t="str">
        <f t="shared" si="5"/>
        <v>380947</v>
      </c>
      <c r="B116" s="1" t="str">
        <f t="shared" si="6"/>
        <v>380943</v>
      </c>
      <c r="C116" s="1">
        <v>115</v>
      </c>
      <c r="D116" s="4">
        <v>38094</v>
      </c>
      <c r="E116" s="1">
        <v>0</v>
      </c>
      <c r="F116" s="1">
        <v>3</v>
      </c>
      <c r="G116" s="1">
        <v>7</v>
      </c>
      <c r="H116" s="1">
        <v>2</v>
      </c>
      <c r="I116" s="1">
        <v>0</v>
      </c>
      <c r="J116" s="2" t="str">
        <f t="shared" si="7"/>
        <v>TEW</v>
      </c>
      <c r="K116" s="2" t="str">
        <f t="shared" si="8"/>
        <v>@BAR</v>
      </c>
      <c r="L116" s="1" t="str">
        <f t="shared" si="9"/>
        <v>115,4/17/2004,0,3,7,2,0</v>
      </c>
    </row>
    <row r="117" spans="1:12" x14ac:dyDescent="0.2">
      <c r="A117" s="1" t="str">
        <f t="shared" si="5"/>
        <v>380948</v>
      </c>
      <c r="B117" s="1" t="str">
        <f t="shared" si="6"/>
        <v>3809414</v>
      </c>
      <c r="C117" s="1">
        <v>116</v>
      </c>
      <c r="D117" s="4">
        <v>38094</v>
      </c>
      <c r="E117" s="1">
        <v>0</v>
      </c>
      <c r="F117" s="1">
        <v>14</v>
      </c>
      <c r="G117" s="1">
        <v>8</v>
      </c>
      <c r="H117" s="1">
        <v>2</v>
      </c>
      <c r="I117" s="1">
        <v>0</v>
      </c>
      <c r="J117" s="2" t="str">
        <f t="shared" si="7"/>
        <v>CEN</v>
      </c>
      <c r="K117" s="2" t="str">
        <f t="shared" si="8"/>
        <v>@CTW</v>
      </c>
      <c r="L117" s="1" t="str">
        <f t="shared" si="9"/>
        <v>116,4/17/2004,0,14,8,2,0</v>
      </c>
    </row>
    <row r="118" spans="1:12" x14ac:dyDescent="0.2">
      <c r="A118" s="1" t="str">
        <f t="shared" si="5"/>
        <v>3809412</v>
      </c>
      <c r="B118" s="1" t="str">
        <f t="shared" si="6"/>
        <v>3809422</v>
      </c>
      <c r="C118" s="1">
        <v>117</v>
      </c>
      <c r="D118" s="4">
        <v>38094</v>
      </c>
      <c r="E118" s="1">
        <v>0</v>
      </c>
      <c r="F118" s="1">
        <v>22</v>
      </c>
      <c r="G118" s="1">
        <v>12</v>
      </c>
      <c r="H118" s="1">
        <v>2</v>
      </c>
      <c r="I118" s="1">
        <v>0</v>
      </c>
      <c r="J118" s="2" t="str">
        <f t="shared" si="7"/>
        <v>CBB</v>
      </c>
      <c r="K118" s="2" t="str">
        <f t="shared" si="8"/>
        <v>@RMO</v>
      </c>
      <c r="L118" s="1" t="str">
        <f t="shared" si="9"/>
        <v>117,4/17/2004,0,22,12,2,0</v>
      </c>
    </row>
    <row r="119" spans="1:12" x14ac:dyDescent="0.2">
      <c r="A119" s="1" t="str">
        <f t="shared" si="5"/>
        <v>3809413</v>
      </c>
      <c r="B119" s="1" t="str">
        <f t="shared" si="6"/>
        <v>3809420</v>
      </c>
      <c r="C119" s="1">
        <v>118</v>
      </c>
      <c r="D119" s="4">
        <v>38094</v>
      </c>
      <c r="E119" s="1">
        <v>0</v>
      </c>
      <c r="F119" s="1">
        <v>20</v>
      </c>
      <c r="G119" s="1">
        <v>13</v>
      </c>
      <c r="H119" s="1">
        <v>2</v>
      </c>
      <c r="I119" s="1">
        <v>0</v>
      </c>
      <c r="J119" s="2" t="str">
        <f t="shared" si="7"/>
        <v>FDH</v>
      </c>
      <c r="K119" s="2" t="str">
        <f t="shared" si="8"/>
        <v>@BBG</v>
      </c>
      <c r="L119" s="1" t="str">
        <f t="shared" si="9"/>
        <v>118,4/17/2004,0,20,13,2,0</v>
      </c>
    </row>
    <row r="120" spans="1:12" x14ac:dyDescent="0.2">
      <c r="A120" s="1" t="str">
        <f t="shared" si="5"/>
        <v>3809416</v>
      </c>
      <c r="B120" s="1" t="str">
        <f t="shared" si="6"/>
        <v>3809421</v>
      </c>
      <c r="C120" s="1">
        <v>119</v>
      </c>
      <c r="D120" s="4">
        <v>38094</v>
      </c>
      <c r="E120" s="1">
        <v>0</v>
      </c>
      <c r="F120" s="1">
        <v>21</v>
      </c>
      <c r="G120" s="1">
        <v>16</v>
      </c>
      <c r="H120" s="1">
        <v>2</v>
      </c>
      <c r="I120" s="1">
        <v>0</v>
      </c>
      <c r="J120" s="2" t="str">
        <f t="shared" si="7"/>
        <v>NYD</v>
      </c>
      <c r="K120" s="2" t="str">
        <f t="shared" si="8"/>
        <v>@DIG</v>
      </c>
      <c r="L120" s="1" t="str">
        <f t="shared" si="9"/>
        <v>119,4/17/2004,0,21,16,2,0</v>
      </c>
    </row>
    <row r="121" spans="1:12" x14ac:dyDescent="0.2">
      <c r="A121" s="1" t="str">
        <f t="shared" si="5"/>
        <v>380941</v>
      </c>
      <c r="B121" s="1" t="str">
        <f t="shared" si="6"/>
        <v>3809423</v>
      </c>
      <c r="C121" s="1">
        <v>120</v>
      </c>
      <c r="D121" s="4">
        <v>38094</v>
      </c>
      <c r="E121" s="1">
        <v>0</v>
      </c>
      <c r="F121" s="1">
        <v>23</v>
      </c>
      <c r="G121" s="1">
        <v>1</v>
      </c>
      <c r="H121" s="1">
        <v>2</v>
      </c>
      <c r="I121" s="1">
        <v>0</v>
      </c>
      <c r="J121" s="2" t="str">
        <f t="shared" si="7"/>
        <v>BRK</v>
      </c>
      <c r="K121" s="2" t="str">
        <f t="shared" si="8"/>
        <v>@FFR</v>
      </c>
      <c r="L121" s="1" t="str">
        <f t="shared" si="9"/>
        <v>120,4/17/2004,0,23,1,2,0</v>
      </c>
    </row>
    <row r="122" spans="1:12" x14ac:dyDescent="0.2">
      <c r="A122" s="1" t="str">
        <f t="shared" si="5"/>
        <v>380949</v>
      </c>
      <c r="B122" s="1" t="str">
        <f t="shared" si="6"/>
        <v>3809410</v>
      </c>
      <c r="C122" s="1">
        <v>121</v>
      </c>
      <c r="D122" s="4">
        <v>38094</v>
      </c>
      <c r="E122" s="1">
        <v>0</v>
      </c>
      <c r="F122" s="1">
        <v>10</v>
      </c>
      <c r="G122" s="1">
        <v>9</v>
      </c>
      <c r="H122" s="1">
        <v>2</v>
      </c>
      <c r="I122" s="1">
        <v>0</v>
      </c>
      <c r="J122" s="2" t="str">
        <f t="shared" si="7"/>
        <v>REN</v>
      </c>
      <c r="K122" s="2" t="str">
        <f t="shared" si="8"/>
        <v>@CIN</v>
      </c>
      <c r="L122" s="1" t="str">
        <f t="shared" si="9"/>
        <v>121,4/17/2004,0,10,9,2,0</v>
      </c>
    </row>
    <row r="123" spans="1:12" x14ac:dyDescent="0.2">
      <c r="A123" s="1" t="str">
        <f t="shared" si="5"/>
        <v>3809417</v>
      </c>
      <c r="B123" s="1" t="str">
        <f t="shared" si="6"/>
        <v>380942</v>
      </c>
      <c r="C123" s="1">
        <v>122</v>
      </c>
      <c r="D123" s="4">
        <v>38094</v>
      </c>
      <c r="E123" s="1">
        <v>0</v>
      </c>
      <c r="F123" s="1">
        <v>2</v>
      </c>
      <c r="G123" s="1">
        <v>17</v>
      </c>
      <c r="H123" s="1">
        <v>2</v>
      </c>
      <c r="I123" s="1">
        <v>0</v>
      </c>
      <c r="J123" s="2" t="str">
        <f t="shared" si="7"/>
        <v>NEP</v>
      </c>
      <c r="K123" s="2" t="str">
        <f t="shared" si="8"/>
        <v>@GAR</v>
      </c>
      <c r="L123" s="1" t="str">
        <f t="shared" si="9"/>
        <v>122,4/17/2004,0,2,17,2,0</v>
      </c>
    </row>
    <row r="124" spans="1:12" x14ac:dyDescent="0.2">
      <c r="A124" s="1" t="str">
        <f t="shared" si="5"/>
        <v>380951</v>
      </c>
      <c r="B124" s="1" t="str">
        <f t="shared" si="6"/>
        <v>3809523</v>
      </c>
      <c r="C124" s="1">
        <v>123</v>
      </c>
      <c r="D124" s="4">
        <v>38095</v>
      </c>
      <c r="E124" s="1">
        <v>0</v>
      </c>
      <c r="F124" s="1">
        <v>23</v>
      </c>
      <c r="G124" s="1">
        <v>1</v>
      </c>
      <c r="H124" s="1">
        <v>2</v>
      </c>
      <c r="I124" s="1">
        <v>0</v>
      </c>
      <c r="J124" s="2" t="str">
        <f t="shared" si="7"/>
        <v>BRK</v>
      </c>
      <c r="K124" s="2" t="str">
        <f t="shared" si="8"/>
        <v>@FFR</v>
      </c>
      <c r="L124" s="1" t="str">
        <f t="shared" si="9"/>
        <v>123,4/18/2004,0,23,1,2,0</v>
      </c>
    </row>
    <row r="125" spans="1:12" x14ac:dyDescent="0.2">
      <c r="A125" s="1" t="str">
        <f t="shared" si="5"/>
        <v>380954</v>
      </c>
      <c r="B125" s="1" t="str">
        <f t="shared" si="6"/>
        <v>3809524</v>
      </c>
      <c r="C125" s="1">
        <v>124</v>
      </c>
      <c r="D125" s="4">
        <v>38095</v>
      </c>
      <c r="E125" s="1">
        <v>0</v>
      </c>
      <c r="F125" s="1">
        <v>24</v>
      </c>
      <c r="G125" s="1">
        <v>4</v>
      </c>
      <c r="H125" s="1">
        <v>2</v>
      </c>
      <c r="I125" s="1">
        <v>0</v>
      </c>
      <c r="J125" s="2" t="str">
        <f t="shared" si="7"/>
        <v>PHI</v>
      </c>
      <c r="K125" s="2" t="str">
        <f t="shared" si="8"/>
        <v>@NNN</v>
      </c>
      <c r="L125" s="1" t="str">
        <f t="shared" si="9"/>
        <v>124,4/18/2004,0,24,4,2,0</v>
      </c>
    </row>
    <row r="126" spans="1:12" x14ac:dyDescent="0.2">
      <c r="A126" s="1" t="str">
        <f t="shared" si="5"/>
        <v>380955</v>
      </c>
      <c r="B126" s="1" t="str">
        <f t="shared" si="6"/>
        <v>3809511</v>
      </c>
      <c r="C126" s="1">
        <v>125</v>
      </c>
      <c r="D126" s="4">
        <v>38095</v>
      </c>
      <c r="E126" s="1">
        <v>0</v>
      </c>
      <c r="F126" s="1">
        <v>11</v>
      </c>
      <c r="G126" s="1">
        <v>5</v>
      </c>
      <c r="H126" s="1">
        <v>2</v>
      </c>
      <c r="I126" s="1">
        <v>0</v>
      </c>
      <c r="J126" s="2" t="str">
        <f t="shared" si="7"/>
        <v>HAR</v>
      </c>
      <c r="K126" s="2" t="str">
        <f t="shared" si="8"/>
        <v>@OKO</v>
      </c>
      <c r="L126" s="1" t="str">
        <f t="shared" si="9"/>
        <v>125,4/18/2004,0,11,5,2,0</v>
      </c>
    </row>
    <row r="127" spans="1:12" x14ac:dyDescent="0.2">
      <c r="A127" s="1" t="str">
        <f t="shared" si="5"/>
        <v>380957</v>
      </c>
      <c r="B127" s="1" t="str">
        <f t="shared" si="6"/>
        <v>380953</v>
      </c>
      <c r="C127" s="1">
        <v>126</v>
      </c>
      <c r="D127" s="4">
        <v>38095</v>
      </c>
      <c r="E127" s="1">
        <v>0</v>
      </c>
      <c r="F127" s="1">
        <v>3</v>
      </c>
      <c r="G127" s="1">
        <v>7</v>
      </c>
      <c r="H127" s="1">
        <v>2</v>
      </c>
      <c r="I127" s="1">
        <v>0</v>
      </c>
      <c r="J127" s="2" t="str">
        <f t="shared" si="7"/>
        <v>TEW</v>
      </c>
      <c r="K127" s="2" t="str">
        <f t="shared" si="8"/>
        <v>@BAR</v>
      </c>
      <c r="L127" s="1" t="str">
        <f t="shared" si="9"/>
        <v>126,4/18/2004,0,3,7,2,0</v>
      </c>
    </row>
    <row r="128" spans="1:12" x14ac:dyDescent="0.2">
      <c r="A128" s="1" t="str">
        <f t="shared" si="5"/>
        <v>380958</v>
      </c>
      <c r="B128" s="1" t="str">
        <f t="shared" si="6"/>
        <v>3809514</v>
      </c>
      <c r="C128" s="1">
        <v>127</v>
      </c>
      <c r="D128" s="4">
        <v>38095</v>
      </c>
      <c r="E128" s="1">
        <v>0</v>
      </c>
      <c r="F128" s="1">
        <v>14</v>
      </c>
      <c r="G128" s="1">
        <v>8</v>
      </c>
      <c r="H128" s="1">
        <v>2</v>
      </c>
      <c r="I128" s="1">
        <v>0</v>
      </c>
      <c r="J128" s="2" t="str">
        <f t="shared" si="7"/>
        <v>CEN</v>
      </c>
      <c r="K128" s="2" t="str">
        <f t="shared" si="8"/>
        <v>@CTW</v>
      </c>
      <c r="L128" s="1" t="str">
        <f t="shared" si="9"/>
        <v>127,4/18/2004,0,14,8,2,0</v>
      </c>
    </row>
    <row r="129" spans="1:12" x14ac:dyDescent="0.2">
      <c r="A129" s="1" t="str">
        <f t="shared" si="5"/>
        <v>380959</v>
      </c>
      <c r="B129" s="1" t="str">
        <f t="shared" si="6"/>
        <v>3809510</v>
      </c>
      <c r="C129" s="1">
        <v>128</v>
      </c>
      <c r="D129" s="4">
        <v>38095</v>
      </c>
      <c r="E129" s="1">
        <v>0</v>
      </c>
      <c r="F129" s="1">
        <v>10</v>
      </c>
      <c r="G129" s="1">
        <v>9</v>
      </c>
      <c r="H129" s="1">
        <v>2</v>
      </c>
      <c r="I129" s="1">
        <v>0</v>
      </c>
      <c r="J129" s="2" t="str">
        <f t="shared" si="7"/>
        <v>REN</v>
      </c>
      <c r="K129" s="2" t="str">
        <f t="shared" si="8"/>
        <v>@CIN</v>
      </c>
      <c r="L129" s="1" t="str">
        <f t="shared" si="9"/>
        <v>128,4/18/2004,0,10,9,2,0</v>
      </c>
    </row>
    <row r="130" spans="1:12" x14ac:dyDescent="0.2">
      <c r="A130" s="1" t="str">
        <f t="shared" ref="A130:A174" si="10">D130&amp;G130</f>
        <v>3809512</v>
      </c>
      <c r="B130" s="1" t="str">
        <f t="shared" ref="B130:B174" si="11">D130&amp;F130</f>
        <v>3809522</v>
      </c>
      <c r="C130" s="1">
        <v>129</v>
      </c>
      <c r="D130" s="4">
        <v>38095</v>
      </c>
      <c r="E130" s="1">
        <v>0</v>
      </c>
      <c r="F130" s="1">
        <v>22</v>
      </c>
      <c r="G130" s="1">
        <v>12</v>
      </c>
      <c r="H130" s="1">
        <v>2</v>
      </c>
      <c r="I130" s="1">
        <v>0</v>
      </c>
      <c r="J130" s="2" t="str">
        <f t="shared" ref="J130:J193" si="12">VLOOKUP(F130,$M$2:$N$21,2,0)</f>
        <v>CBB</v>
      </c>
      <c r="K130" s="2" t="str">
        <f t="shared" ref="K130:K193" si="13">"@"&amp;VLOOKUP(G130,$M$2:$N$21,2,0)</f>
        <v>@RMO</v>
      </c>
      <c r="L130" s="1" t="str">
        <f t="shared" ref="L130:L193" si="14">C130&amp;","&amp;MONTH(D130)&amp;"/"&amp;DAY(D130)&amp;"/"&amp;YEAR(D130)&amp;","&amp;E130&amp;","&amp;F130&amp;","&amp;G130&amp;","&amp;H130&amp;","&amp;I130</f>
        <v>129,4/18/2004,0,22,12,2,0</v>
      </c>
    </row>
    <row r="131" spans="1:12" x14ac:dyDescent="0.2">
      <c r="A131" s="1" t="str">
        <f t="shared" si="10"/>
        <v>3809513</v>
      </c>
      <c r="B131" s="1" t="str">
        <f t="shared" si="11"/>
        <v>3809520</v>
      </c>
      <c r="C131" s="1">
        <v>130</v>
      </c>
      <c r="D131" s="4">
        <v>38095</v>
      </c>
      <c r="E131" s="1">
        <v>0</v>
      </c>
      <c r="F131" s="1">
        <v>20</v>
      </c>
      <c r="G131" s="1">
        <v>13</v>
      </c>
      <c r="H131" s="1">
        <v>2</v>
      </c>
      <c r="I131" s="1">
        <v>0</v>
      </c>
      <c r="J131" s="2" t="str">
        <f t="shared" si="12"/>
        <v>FDH</v>
      </c>
      <c r="K131" s="2" t="str">
        <f t="shared" si="13"/>
        <v>@BBG</v>
      </c>
      <c r="L131" s="1" t="str">
        <f t="shared" si="14"/>
        <v>130,4/18/2004,0,20,13,2,0</v>
      </c>
    </row>
    <row r="132" spans="1:12" x14ac:dyDescent="0.2">
      <c r="A132" s="1" t="str">
        <f t="shared" si="10"/>
        <v>3809516</v>
      </c>
      <c r="B132" s="1" t="str">
        <f t="shared" si="11"/>
        <v>3809521</v>
      </c>
      <c r="C132" s="1">
        <v>131</v>
      </c>
      <c r="D132" s="4">
        <v>38095</v>
      </c>
      <c r="E132" s="1">
        <v>0</v>
      </c>
      <c r="F132" s="1">
        <v>21</v>
      </c>
      <c r="G132" s="1">
        <v>16</v>
      </c>
      <c r="H132" s="1">
        <v>2</v>
      </c>
      <c r="I132" s="1">
        <v>0</v>
      </c>
      <c r="J132" s="2" t="str">
        <f t="shared" si="12"/>
        <v>NYD</v>
      </c>
      <c r="K132" s="2" t="str">
        <f t="shared" si="13"/>
        <v>@DIG</v>
      </c>
      <c r="L132" s="1" t="str">
        <f t="shared" si="14"/>
        <v>131,4/18/2004,0,21,16,2,0</v>
      </c>
    </row>
    <row r="133" spans="1:12" x14ac:dyDescent="0.2">
      <c r="A133" s="1" t="str">
        <f t="shared" si="10"/>
        <v>3809517</v>
      </c>
      <c r="B133" s="1" t="str">
        <f t="shared" si="11"/>
        <v>380952</v>
      </c>
      <c r="C133" s="1">
        <v>132</v>
      </c>
      <c r="D133" s="4">
        <v>38095</v>
      </c>
      <c r="E133" s="1">
        <v>0</v>
      </c>
      <c r="F133" s="1">
        <v>2</v>
      </c>
      <c r="G133" s="1">
        <v>17</v>
      </c>
      <c r="H133" s="1">
        <v>2</v>
      </c>
      <c r="I133" s="1">
        <v>0</v>
      </c>
      <c r="J133" s="2" t="str">
        <f t="shared" si="12"/>
        <v>NEP</v>
      </c>
      <c r="K133" s="2" t="str">
        <f t="shared" si="13"/>
        <v>@GAR</v>
      </c>
      <c r="L133" s="1" t="str">
        <f t="shared" si="14"/>
        <v>132,4/18/2004,0,2,17,2,0</v>
      </c>
    </row>
    <row r="134" spans="1:12" x14ac:dyDescent="0.2">
      <c r="A134" s="1" t="str">
        <f t="shared" si="10"/>
        <v>380961</v>
      </c>
      <c r="B134" s="1" t="str">
        <f t="shared" si="11"/>
        <v>3809623</v>
      </c>
      <c r="C134" s="1">
        <v>133</v>
      </c>
      <c r="D134" s="4">
        <v>38096</v>
      </c>
      <c r="E134" s="1">
        <v>0</v>
      </c>
      <c r="F134" s="1">
        <v>23</v>
      </c>
      <c r="G134" s="1">
        <v>1</v>
      </c>
      <c r="H134" s="1">
        <v>2</v>
      </c>
      <c r="I134" s="1">
        <v>0</v>
      </c>
      <c r="J134" s="2" t="str">
        <f t="shared" si="12"/>
        <v>BRK</v>
      </c>
      <c r="K134" s="2" t="str">
        <f t="shared" si="13"/>
        <v>@FFR</v>
      </c>
      <c r="L134" s="1" t="str">
        <f t="shared" si="14"/>
        <v>133,4/19/2004,0,23,1,2,0</v>
      </c>
    </row>
    <row r="135" spans="1:12" x14ac:dyDescent="0.2">
      <c r="A135" s="1" t="str">
        <f t="shared" si="10"/>
        <v>380964</v>
      </c>
      <c r="B135" s="1" t="str">
        <f t="shared" si="11"/>
        <v>3809624</v>
      </c>
      <c r="C135" s="1">
        <v>134</v>
      </c>
      <c r="D135" s="4">
        <v>38096</v>
      </c>
      <c r="E135" s="1">
        <v>0</v>
      </c>
      <c r="F135" s="1">
        <v>24</v>
      </c>
      <c r="G135" s="1">
        <v>4</v>
      </c>
      <c r="H135" s="1">
        <v>2</v>
      </c>
      <c r="I135" s="1">
        <v>0</v>
      </c>
      <c r="J135" s="2" t="str">
        <f t="shared" si="12"/>
        <v>PHI</v>
      </c>
      <c r="K135" s="2" t="str">
        <f t="shared" si="13"/>
        <v>@NNN</v>
      </c>
      <c r="L135" s="1" t="str">
        <f t="shared" si="14"/>
        <v>134,4/19/2004,0,24,4,2,0</v>
      </c>
    </row>
    <row r="136" spans="1:12" x14ac:dyDescent="0.2">
      <c r="A136" s="1" t="str">
        <f t="shared" si="10"/>
        <v>380965</v>
      </c>
      <c r="B136" s="1" t="str">
        <f t="shared" si="11"/>
        <v>3809611</v>
      </c>
      <c r="C136" s="1">
        <v>135</v>
      </c>
      <c r="D136" s="4">
        <v>38096</v>
      </c>
      <c r="E136" s="1">
        <v>0</v>
      </c>
      <c r="F136" s="1">
        <v>11</v>
      </c>
      <c r="G136" s="1">
        <v>5</v>
      </c>
      <c r="H136" s="1">
        <v>2</v>
      </c>
      <c r="I136" s="1">
        <v>0</v>
      </c>
      <c r="J136" s="2" t="str">
        <f t="shared" si="12"/>
        <v>HAR</v>
      </c>
      <c r="K136" s="2" t="str">
        <f t="shared" si="13"/>
        <v>@OKO</v>
      </c>
      <c r="L136" s="1" t="str">
        <f t="shared" si="14"/>
        <v>135,4/19/2004,0,11,5,2,0</v>
      </c>
    </row>
    <row r="137" spans="1:12" x14ac:dyDescent="0.2">
      <c r="A137" s="1" t="str">
        <f t="shared" si="10"/>
        <v>380967</v>
      </c>
      <c r="B137" s="1" t="str">
        <f t="shared" si="11"/>
        <v>380963</v>
      </c>
      <c r="C137" s="1">
        <v>136</v>
      </c>
      <c r="D137" s="4">
        <v>38096</v>
      </c>
      <c r="E137" s="1">
        <v>0</v>
      </c>
      <c r="F137" s="1">
        <v>3</v>
      </c>
      <c r="G137" s="1">
        <v>7</v>
      </c>
      <c r="H137" s="1">
        <v>2</v>
      </c>
      <c r="I137" s="1">
        <v>0</v>
      </c>
      <c r="J137" s="2" t="str">
        <f t="shared" si="12"/>
        <v>TEW</v>
      </c>
      <c r="K137" s="2" t="str">
        <f t="shared" si="13"/>
        <v>@BAR</v>
      </c>
      <c r="L137" s="1" t="str">
        <f t="shared" si="14"/>
        <v>136,4/19/2004,0,3,7,2,0</v>
      </c>
    </row>
    <row r="138" spans="1:12" x14ac:dyDescent="0.2">
      <c r="A138" s="1" t="str">
        <f t="shared" si="10"/>
        <v>380968</v>
      </c>
      <c r="B138" s="1" t="str">
        <f t="shared" si="11"/>
        <v>3809614</v>
      </c>
      <c r="C138" s="1">
        <v>137</v>
      </c>
      <c r="D138" s="4">
        <v>38096</v>
      </c>
      <c r="E138" s="1">
        <v>0</v>
      </c>
      <c r="F138" s="1">
        <v>14</v>
      </c>
      <c r="G138" s="1">
        <v>8</v>
      </c>
      <c r="H138" s="1">
        <v>2</v>
      </c>
      <c r="I138" s="1">
        <v>0</v>
      </c>
      <c r="J138" s="2" t="str">
        <f t="shared" si="12"/>
        <v>CEN</v>
      </c>
      <c r="K138" s="2" t="str">
        <f t="shared" si="13"/>
        <v>@CTW</v>
      </c>
      <c r="L138" s="1" t="str">
        <f t="shared" si="14"/>
        <v>137,4/19/2004,0,14,8,2,0</v>
      </c>
    </row>
    <row r="139" spans="1:12" x14ac:dyDescent="0.2">
      <c r="A139" s="1" t="str">
        <f t="shared" si="10"/>
        <v>380969</v>
      </c>
      <c r="B139" s="1" t="str">
        <f t="shared" si="11"/>
        <v>3809610</v>
      </c>
      <c r="C139" s="1">
        <v>138</v>
      </c>
      <c r="D139" s="4">
        <v>38096</v>
      </c>
      <c r="E139" s="1">
        <v>0</v>
      </c>
      <c r="F139" s="1">
        <v>10</v>
      </c>
      <c r="G139" s="1">
        <v>9</v>
      </c>
      <c r="H139" s="1">
        <v>2</v>
      </c>
      <c r="I139" s="1">
        <v>0</v>
      </c>
      <c r="J139" s="2" t="str">
        <f t="shared" si="12"/>
        <v>REN</v>
      </c>
      <c r="K139" s="2" t="str">
        <f t="shared" si="13"/>
        <v>@CIN</v>
      </c>
      <c r="L139" s="1" t="str">
        <f t="shared" si="14"/>
        <v>138,4/19/2004,0,10,9,2,0</v>
      </c>
    </row>
    <row r="140" spans="1:12" x14ac:dyDescent="0.2">
      <c r="A140" s="1" t="str">
        <f t="shared" si="10"/>
        <v>3809612</v>
      </c>
      <c r="B140" s="1" t="str">
        <f t="shared" si="11"/>
        <v>3809622</v>
      </c>
      <c r="C140" s="1">
        <v>139</v>
      </c>
      <c r="D140" s="4">
        <v>38096</v>
      </c>
      <c r="E140" s="1">
        <v>0</v>
      </c>
      <c r="F140" s="1">
        <v>22</v>
      </c>
      <c r="G140" s="1">
        <v>12</v>
      </c>
      <c r="H140" s="1">
        <v>2</v>
      </c>
      <c r="I140" s="1">
        <v>0</v>
      </c>
      <c r="J140" s="2" t="str">
        <f t="shared" si="12"/>
        <v>CBB</v>
      </c>
      <c r="K140" s="2" t="str">
        <f t="shared" si="13"/>
        <v>@RMO</v>
      </c>
      <c r="L140" s="1" t="str">
        <f t="shared" si="14"/>
        <v>139,4/19/2004,0,22,12,2,0</v>
      </c>
    </row>
    <row r="141" spans="1:12" x14ac:dyDescent="0.2">
      <c r="A141" s="1" t="str">
        <f t="shared" si="10"/>
        <v>3809613</v>
      </c>
      <c r="B141" s="1" t="str">
        <f t="shared" si="11"/>
        <v>3809620</v>
      </c>
      <c r="C141" s="1">
        <v>140</v>
      </c>
      <c r="D141" s="4">
        <v>38096</v>
      </c>
      <c r="E141" s="1">
        <v>0</v>
      </c>
      <c r="F141" s="1">
        <v>20</v>
      </c>
      <c r="G141" s="1">
        <v>13</v>
      </c>
      <c r="H141" s="1">
        <v>2</v>
      </c>
      <c r="I141" s="1">
        <v>0</v>
      </c>
      <c r="J141" s="2" t="str">
        <f t="shared" si="12"/>
        <v>FDH</v>
      </c>
      <c r="K141" s="2" t="str">
        <f t="shared" si="13"/>
        <v>@BBG</v>
      </c>
      <c r="L141" s="1" t="str">
        <f t="shared" si="14"/>
        <v>140,4/19/2004,0,20,13,2,0</v>
      </c>
    </row>
    <row r="142" spans="1:12" x14ac:dyDescent="0.2">
      <c r="A142" s="1" t="str">
        <f t="shared" si="10"/>
        <v>3809616</v>
      </c>
      <c r="B142" s="1" t="str">
        <f t="shared" si="11"/>
        <v>3809621</v>
      </c>
      <c r="C142" s="1">
        <v>141</v>
      </c>
      <c r="D142" s="4">
        <v>38096</v>
      </c>
      <c r="E142" s="1">
        <v>0</v>
      </c>
      <c r="F142" s="1">
        <v>21</v>
      </c>
      <c r="G142" s="1">
        <v>16</v>
      </c>
      <c r="H142" s="1">
        <v>2</v>
      </c>
      <c r="I142" s="1">
        <v>0</v>
      </c>
      <c r="J142" s="2" t="str">
        <f t="shared" si="12"/>
        <v>NYD</v>
      </c>
      <c r="K142" s="2" t="str">
        <f t="shared" si="13"/>
        <v>@DIG</v>
      </c>
      <c r="L142" s="1" t="str">
        <f t="shared" si="14"/>
        <v>141,4/19/2004,0,21,16,2,0</v>
      </c>
    </row>
    <row r="143" spans="1:12" x14ac:dyDescent="0.2">
      <c r="A143" s="1" t="str">
        <f t="shared" si="10"/>
        <v>3809617</v>
      </c>
      <c r="B143" s="1" t="str">
        <f t="shared" si="11"/>
        <v>380962</v>
      </c>
      <c r="C143" s="1">
        <v>142</v>
      </c>
      <c r="D143" s="4">
        <v>38096</v>
      </c>
      <c r="E143" s="1">
        <v>0</v>
      </c>
      <c r="F143" s="1">
        <v>2</v>
      </c>
      <c r="G143" s="1">
        <v>17</v>
      </c>
      <c r="H143" s="1">
        <v>2</v>
      </c>
      <c r="I143" s="1">
        <v>0</v>
      </c>
      <c r="J143" s="2" t="str">
        <f t="shared" si="12"/>
        <v>NEP</v>
      </c>
      <c r="K143" s="2" t="str">
        <f t="shared" si="13"/>
        <v>@GAR</v>
      </c>
      <c r="L143" s="1" t="str">
        <f t="shared" si="14"/>
        <v>142,4/19/2004,0,2,17,2,0</v>
      </c>
    </row>
    <row r="144" spans="1:12" x14ac:dyDescent="0.2">
      <c r="A144" s="1" t="str">
        <f t="shared" si="10"/>
        <v>380971</v>
      </c>
      <c r="B144" s="1" t="str">
        <f t="shared" si="11"/>
        <v>3809723</v>
      </c>
      <c r="C144" s="1">
        <v>143</v>
      </c>
      <c r="D144" s="4">
        <v>38097</v>
      </c>
      <c r="E144" s="1">
        <v>0</v>
      </c>
      <c r="F144" s="1">
        <v>23</v>
      </c>
      <c r="G144" s="1">
        <v>1</v>
      </c>
      <c r="H144" s="1">
        <v>2</v>
      </c>
      <c r="I144" s="1">
        <v>0</v>
      </c>
      <c r="J144" s="2" t="str">
        <f t="shared" si="12"/>
        <v>BRK</v>
      </c>
      <c r="K144" s="2" t="str">
        <f t="shared" si="13"/>
        <v>@FFR</v>
      </c>
      <c r="L144" s="1" t="str">
        <f t="shared" si="14"/>
        <v>143,4/20/2004,0,23,1,2,0</v>
      </c>
    </row>
    <row r="145" spans="1:12" x14ac:dyDescent="0.2">
      <c r="A145" s="1" t="str">
        <f t="shared" si="10"/>
        <v>380974</v>
      </c>
      <c r="B145" s="1" t="str">
        <f t="shared" si="11"/>
        <v>3809724</v>
      </c>
      <c r="C145" s="1">
        <v>144</v>
      </c>
      <c r="D145" s="4">
        <v>38097</v>
      </c>
      <c r="E145" s="1">
        <v>0</v>
      </c>
      <c r="F145" s="1">
        <v>24</v>
      </c>
      <c r="G145" s="1">
        <v>4</v>
      </c>
      <c r="H145" s="1">
        <v>2</v>
      </c>
      <c r="I145" s="1">
        <v>0</v>
      </c>
      <c r="J145" s="2" t="str">
        <f t="shared" si="12"/>
        <v>PHI</v>
      </c>
      <c r="K145" s="2" t="str">
        <f t="shared" si="13"/>
        <v>@NNN</v>
      </c>
      <c r="L145" s="1" t="str">
        <f t="shared" si="14"/>
        <v>144,4/20/2004,0,24,4,2,0</v>
      </c>
    </row>
    <row r="146" spans="1:12" x14ac:dyDescent="0.2">
      <c r="A146" s="1" t="str">
        <f t="shared" si="10"/>
        <v>380975</v>
      </c>
      <c r="B146" s="1" t="str">
        <f t="shared" si="11"/>
        <v>3809711</v>
      </c>
      <c r="C146" s="1">
        <v>145</v>
      </c>
      <c r="D146" s="4">
        <v>38097</v>
      </c>
      <c r="E146" s="1">
        <v>0</v>
      </c>
      <c r="F146" s="1">
        <v>11</v>
      </c>
      <c r="G146" s="1">
        <v>5</v>
      </c>
      <c r="H146" s="1">
        <v>2</v>
      </c>
      <c r="I146" s="1">
        <v>0</v>
      </c>
      <c r="J146" s="2" t="str">
        <f t="shared" si="12"/>
        <v>HAR</v>
      </c>
      <c r="K146" s="2" t="str">
        <f t="shared" si="13"/>
        <v>@OKO</v>
      </c>
      <c r="L146" s="1" t="str">
        <f t="shared" si="14"/>
        <v>145,4/20/2004,0,11,5,2,0</v>
      </c>
    </row>
    <row r="147" spans="1:12" x14ac:dyDescent="0.2">
      <c r="A147" s="1" t="str">
        <f t="shared" si="10"/>
        <v>380977</v>
      </c>
      <c r="B147" s="1" t="str">
        <f t="shared" si="11"/>
        <v>380973</v>
      </c>
      <c r="C147" s="1">
        <v>146</v>
      </c>
      <c r="D147" s="4">
        <v>38097</v>
      </c>
      <c r="E147" s="1">
        <v>0</v>
      </c>
      <c r="F147" s="1">
        <v>3</v>
      </c>
      <c r="G147" s="1">
        <v>7</v>
      </c>
      <c r="H147" s="1">
        <v>2</v>
      </c>
      <c r="I147" s="1">
        <v>0</v>
      </c>
      <c r="J147" s="2" t="str">
        <f t="shared" si="12"/>
        <v>TEW</v>
      </c>
      <c r="K147" s="2" t="str">
        <f t="shared" si="13"/>
        <v>@BAR</v>
      </c>
      <c r="L147" s="1" t="str">
        <f t="shared" si="14"/>
        <v>146,4/20/2004,0,3,7,2,0</v>
      </c>
    </row>
    <row r="148" spans="1:12" x14ac:dyDescent="0.2">
      <c r="A148" s="1" t="str">
        <f t="shared" si="10"/>
        <v>380978</v>
      </c>
      <c r="B148" s="1" t="str">
        <f t="shared" si="11"/>
        <v>3809714</v>
      </c>
      <c r="C148" s="1">
        <v>147</v>
      </c>
      <c r="D148" s="4">
        <v>38097</v>
      </c>
      <c r="E148" s="1">
        <v>0</v>
      </c>
      <c r="F148" s="1">
        <v>14</v>
      </c>
      <c r="G148" s="1">
        <v>8</v>
      </c>
      <c r="H148" s="1">
        <v>2</v>
      </c>
      <c r="I148" s="1">
        <v>0</v>
      </c>
      <c r="J148" s="2" t="str">
        <f t="shared" si="12"/>
        <v>CEN</v>
      </c>
      <c r="K148" s="2" t="str">
        <f t="shared" si="13"/>
        <v>@CTW</v>
      </c>
      <c r="L148" s="1" t="str">
        <f t="shared" si="14"/>
        <v>147,4/20/2004,0,14,8,2,0</v>
      </c>
    </row>
    <row r="149" spans="1:12" x14ac:dyDescent="0.2">
      <c r="A149" s="1" t="str">
        <f t="shared" si="10"/>
        <v>380979</v>
      </c>
      <c r="B149" s="1" t="str">
        <f t="shared" si="11"/>
        <v>3809710</v>
      </c>
      <c r="C149" s="1">
        <v>148</v>
      </c>
      <c r="D149" s="4">
        <v>38097</v>
      </c>
      <c r="E149" s="1">
        <v>0</v>
      </c>
      <c r="F149" s="1">
        <v>10</v>
      </c>
      <c r="G149" s="1">
        <v>9</v>
      </c>
      <c r="H149" s="1">
        <v>2</v>
      </c>
      <c r="I149" s="1">
        <v>0</v>
      </c>
      <c r="J149" s="2" t="str">
        <f t="shared" si="12"/>
        <v>REN</v>
      </c>
      <c r="K149" s="2" t="str">
        <f t="shared" si="13"/>
        <v>@CIN</v>
      </c>
      <c r="L149" s="1" t="str">
        <f t="shared" si="14"/>
        <v>148,4/20/2004,0,10,9,2,0</v>
      </c>
    </row>
    <row r="150" spans="1:12" x14ac:dyDescent="0.2">
      <c r="A150" s="1" t="str">
        <f t="shared" si="10"/>
        <v>3809712</v>
      </c>
      <c r="B150" s="1" t="str">
        <f t="shared" si="11"/>
        <v>3809722</v>
      </c>
      <c r="C150" s="1">
        <v>149</v>
      </c>
      <c r="D150" s="4">
        <v>38097</v>
      </c>
      <c r="E150" s="1">
        <v>0</v>
      </c>
      <c r="F150" s="1">
        <v>22</v>
      </c>
      <c r="G150" s="1">
        <v>12</v>
      </c>
      <c r="H150" s="1">
        <v>2</v>
      </c>
      <c r="I150" s="1">
        <v>0</v>
      </c>
      <c r="J150" s="2" t="str">
        <f t="shared" si="12"/>
        <v>CBB</v>
      </c>
      <c r="K150" s="2" t="str">
        <f t="shared" si="13"/>
        <v>@RMO</v>
      </c>
      <c r="L150" s="1" t="str">
        <f t="shared" si="14"/>
        <v>149,4/20/2004,0,22,12,2,0</v>
      </c>
    </row>
    <row r="151" spans="1:12" x14ac:dyDescent="0.2">
      <c r="A151" s="1" t="str">
        <f t="shared" si="10"/>
        <v>3809713</v>
      </c>
      <c r="B151" s="1" t="str">
        <f t="shared" si="11"/>
        <v>3809720</v>
      </c>
      <c r="C151" s="1">
        <v>150</v>
      </c>
      <c r="D151" s="4">
        <v>38097</v>
      </c>
      <c r="E151" s="1">
        <v>0</v>
      </c>
      <c r="F151" s="1">
        <v>20</v>
      </c>
      <c r="G151" s="1">
        <v>13</v>
      </c>
      <c r="H151" s="1">
        <v>2</v>
      </c>
      <c r="I151" s="1">
        <v>0</v>
      </c>
      <c r="J151" s="2" t="str">
        <f t="shared" si="12"/>
        <v>FDH</v>
      </c>
      <c r="K151" s="2" t="str">
        <f t="shared" si="13"/>
        <v>@BBG</v>
      </c>
      <c r="L151" s="1" t="str">
        <f t="shared" si="14"/>
        <v>150,4/20/2004,0,20,13,2,0</v>
      </c>
    </row>
    <row r="152" spans="1:12" x14ac:dyDescent="0.2">
      <c r="A152" s="1" t="str">
        <f t="shared" si="10"/>
        <v>3809716</v>
      </c>
      <c r="B152" s="1" t="str">
        <f t="shared" si="11"/>
        <v>3809721</v>
      </c>
      <c r="C152" s="1">
        <v>151</v>
      </c>
      <c r="D152" s="4">
        <v>38097</v>
      </c>
      <c r="E152" s="1">
        <v>0</v>
      </c>
      <c r="F152" s="1">
        <v>21</v>
      </c>
      <c r="G152" s="1">
        <v>16</v>
      </c>
      <c r="H152" s="1">
        <v>2</v>
      </c>
      <c r="I152" s="1">
        <v>0</v>
      </c>
      <c r="J152" s="2" t="str">
        <f t="shared" si="12"/>
        <v>NYD</v>
      </c>
      <c r="K152" s="2" t="str">
        <f t="shared" si="13"/>
        <v>@DIG</v>
      </c>
      <c r="L152" s="1" t="str">
        <f t="shared" si="14"/>
        <v>151,4/20/2004,0,21,16,2,0</v>
      </c>
    </row>
    <row r="153" spans="1:12" x14ac:dyDescent="0.2">
      <c r="A153" s="1" t="str">
        <f t="shared" si="10"/>
        <v>3809717</v>
      </c>
      <c r="B153" s="1" t="str">
        <f t="shared" si="11"/>
        <v>380972</v>
      </c>
      <c r="C153" s="1">
        <v>152</v>
      </c>
      <c r="D153" s="4">
        <v>38097</v>
      </c>
      <c r="E153" s="1">
        <v>0</v>
      </c>
      <c r="F153" s="1">
        <v>2</v>
      </c>
      <c r="G153" s="1">
        <v>17</v>
      </c>
      <c r="H153" s="1">
        <v>2</v>
      </c>
      <c r="I153" s="1">
        <v>0</v>
      </c>
      <c r="J153" s="2" t="str">
        <f t="shared" si="12"/>
        <v>NEP</v>
      </c>
      <c r="K153" s="2" t="str">
        <f t="shared" si="13"/>
        <v>@GAR</v>
      </c>
      <c r="L153" s="1" t="str">
        <f t="shared" si="14"/>
        <v>152,4/20/2004,0,2,17,2,0</v>
      </c>
    </row>
    <row r="154" spans="1:12" x14ac:dyDescent="0.2">
      <c r="A154" s="1" t="str">
        <f t="shared" si="10"/>
        <v>380981</v>
      </c>
      <c r="B154" s="1" t="str">
        <f t="shared" si="11"/>
        <v>3809821</v>
      </c>
      <c r="C154" s="1">
        <v>153</v>
      </c>
      <c r="D154" s="4">
        <v>38098</v>
      </c>
      <c r="E154" s="1">
        <v>0</v>
      </c>
      <c r="F154" s="1">
        <v>21</v>
      </c>
      <c r="G154" s="1">
        <v>1</v>
      </c>
      <c r="H154" s="1">
        <v>2</v>
      </c>
      <c r="I154" s="1">
        <v>0</v>
      </c>
      <c r="J154" s="2" t="str">
        <f t="shared" si="12"/>
        <v>NYD</v>
      </c>
      <c r="K154" s="2" t="str">
        <f t="shared" si="13"/>
        <v>@FFR</v>
      </c>
      <c r="L154" s="1" t="str">
        <f t="shared" si="14"/>
        <v>153,4/21/2004,0,21,1,2,0</v>
      </c>
    </row>
    <row r="155" spans="1:12" x14ac:dyDescent="0.2">
      <c r="A155" s="1" t="str">
        <f t="shared" si="10"/>
        <v>380984</v>
      </c>
      <c r="B155" s="1" t="str">
        <f t="shared" si="11"/>
        <v>3809822</v>
      </c>
      <c r="C155" s="1">
        <v>154</v>
      </c>
      <c r="D155" s="4">
        <v>38098</v>
      </c>
      <c r="E155" s="1">
        <v>0</v>
      </c>
      <c r="F155" s="1">
        <v>22</v>
      </c>
      <c r="G155" s="1">
        <v>4</v>
      </c>
      <c r="H155" s="1">
        <v>2</v>
      </c>
      <c r="I155" s="1">
        <v>0</v>
      </c>
      <c r="J155" s="2" t="str">
        <f t="shared" si="12"/>
        <v>CBB</v>
      </c>
      <c r="K155" s="2" t="str">
        <f t="shared" si="13"/>
        <v>@NNN</v>
      </c>
      <c r="L155" s="1" t="str">
        <f t="shared" si="14"/>
        <v>154,4/21/2004,0,22,4,2,0</v>
      </c>
    </row>
    <row r="156" spans="1:12" x14ac:dyDescent="0.2">
      <c r="A156" s="1" t="str">
        <f t="shared" si="10"/>
        <v>380985</v>
      </c>
      <c r="B156" s="1" t="str">
        <f t="shared" si="11"/>
        <v>3809823</v>
      </c>
      <c r="C156" s="1">
        <v>155</v>
      </c>
      <c r="D156" s="4">
        <v>38098</v>
      </c>
      <c r="E156" s="1">
        <v>0</v>
      </c>
      <c r="F156" s="1">
        <v>23</v>
      </c>
      <c r="G156" s="1">
        <v>5</v>
      </c>
      <c r="H156" s="1">
        <v>2</v>
      </c>
      <c r="I156" s="1">
        <v>0</v>
      </c>
      <c r="J156" s="2" t="str">
        <f t="shared" si="12"/>
        <v>BRK</v>
      </c>
      <c r="K156" s="2" t="str">
        <f t="shared" si="13"/>
        <v>@OKO</v>
      </c>
      <c r="L156" s="1" t="str">
        <f t="shared" si="14"/>
        <v>155,4/21/2004,0,23,5,2,0</v>
      </c>
    </row>
    <row r="157" spans="1:12" x14ac:dyDescent="0.2">
      <c r="A157" s="1" t="str">
        <f t="shared" si="10"/>
        <v>380987</v>
      </c>
      <c r="B157" s="1" t="str">
        <f t="shared" si="11"/>
        <v>3809820</v>
      </c>
      <c r="C157" s="1">
        <v>156</v>
      </c>
      <c r="D157" s="4">
        <v>38098</v>
      </c>
      <c r="E157" s="1">
        <v>0</v>
      </c>
      <c r="F157" s="1">
        <v>20</v>
      </c>
      <c r="G157" s="1">
        <v>7</v>
      </c>
      <c r="H157" s="1">
        <v>2</v>
      </c>
      <c r="I157" s="1">
        <v>0</v>
      </c>
      <c r="J157" s="2" t="str">
        <f t="shared" si="12"/>
        <v>FDH</v>
      </c>
      <c r="K157" s="2" t="str">
        <f t="shared" si="13"/>
        <v>@BAR</v>
      </c>
      <c r="L157" s="1" t="str">
        <f t="shared" si="14"/>
        <v>156,4/21/2004,0,20,7,2,0</v>
      </c>
    </row>
    <row r="158" spans="1:12" x14ac:dyDescent="0.2">
      <c r="A158" s="1" t="str">
        <f t="shared" si="10"/>
        <v>380988</v>
      </c>
      <c r="B158" s="1" t="str">
        <f t="shared" si="11"/>
        <v>380983</v>
      </c>
      <c r="C158" s="1">
        <v>157</v>
      </c>
      <c r="D158" s="4">
        <v>38098</v>
      </c>
      <c r="E158" s="1">
        <v>0</v>
      </c>
      <c r="F158" s="1">
        <v>3</v>
      </c>
      <c r="G158" s="1">
        <v>8</v>
      </c>
      <c r="H158" s="1">
        <v>2</v>
      </c>
      <c r="I158" s="1">
        <v>0</v>
      </c>
      <c r="J158" s="2" t="str">
        <f t="shared" si="12"/>
        <v>TEW</v>
      </c>
      <c r="K158" s="2" t="str">
        <f t="shared" si="13"/>
        <v>@CTW</v>
      </c>
      <c r="L158" s="1" t="str">
        <f t="shared" si="14"/>
        <v>157,4/21/2004,0,3,8,2,0</v>
      </c>
    </row>
    <row r="159" spans="1:12" x14ac:dyDescent="0.2">
      <c r="A159" s="1" t="str">
        <f t="shared" si="10"/>
        <v>380989</v>
      </c>
      <c r="B159" s="1" t="str">
        <f t="shared" si="11"/>
        <v>380982</v>
      </c>
      <c r="C159" s="1">
        <v>158</v>
      </c>
      <c r="D159" s="4">
        <v>38098</v>
      </c>
      <c r="E159" s="1">
        <v>0</v>
      </c>
      <c r="F159" s="1">
        <v>2</v>
      </c>
      <c r="G159" s="1">
        <v>9</v>
      </c>
      <c r="H159" s="1">
        <v>2</v>
      </c>
      <c r="I159" s="1">
        <v>0</v>
      </c>
      <c r="J159" s="2" t="str">
        <f t="shared" si="12"/>
        <v>NEP</v>
      </c>
      <c r="K159" s="2" t="str">
        <f t="shared" si="13"/>
        <v>@CIN</v>
      </c>
      <c r="L159" s="1" t="str">
        <f t="shared" si="14"/>
        <v>158,4/21/2004,0,2,9,2,0</v>
      </c>
    </row>
    <row r="160" spans="1:12" x14ac:dyDescent="0.2">
      <c r="A160" s="1" t="str">
        <f t="shared" si="10"/>
        <v>3809812</v>
      </c>
      <c r="B160" s="1" t="str">
        <f t="shared" si="11"/>
        <v>3809811</v>
      </c>
      <c r="C160" s="1">
        <v>159</v>
      </c>
      <c r="D160" s="4">
        <v>38098</v>
      </c>
      <c r="E160" s="1">
        <v>0</v>
      </c>
      <c r="F160" s="1">
        <v>11</v>
      </c>
      <c r="G160" s="1">
        <v>12</v>
      </c>
      <c r="H160" s="1">
        <v>2</v>
      </c>
      <c r="I160" s="1">
        <v>0</v>
      </c>
      <c r="J160" s="2" t="str">
        <f t="shared" si="12"/>
        <v>HAR</v>
      </c>
      <c r="K160" s="2" t="str">
        <f t="shared" si="13"/>
        <v>@RMO</v>
      </c>
      <c r="L160" s="1" t="str">
        <f t="shared" si="14"/>
        <v>159,4/21/2004,0,11,12,2,0</v>
      </c>
    </row>
    <row r="161" spans="1:12" x14ac:dyDescent="0.2">
      <c r="A161" s="1" t="str">
        <f t="shared" si="10"/>
        <v>3809813</v>
      </c>
      <c r="B161" s="1" t="str">
        <f t="shared" si="11"/>
        <v>3809810</v>
      </c>
      <c r="C161" s="1">
        <v>160</v>
      </c>
      <c r="D161" s="4">
        <v>38098</v>
      </c>
      <c r="E161" s="1">
        <v>0</v>
      </c>
      <c r="F161" s="1">
        <v>10</v>
      </c>
      <c r="G161" s="1">
        <v>13</v>
      </c>
      <c r="H161" s="1">
        <v>2</v>
      </c>
      <c r="I161" s="1">
        <v>0</v>
      </c>
      <c r="J161" s="2" t="str">
        <f t="shared" si="12"/>
        <v>REN</v>
      </c>
      <c r="K161" s="2" t="str">
        <f t="shared" si="13"/>
        <v>@BBG</v>
      </c>
      <c r="L161" s="1" t="str">
        <f t="shared" si="14"/>
        <v>160,4/21/2004,0,10,13,2,0</v>
      </c>
    </row>
    <row r="162" spans="1:12" x14ac:dyDescent="0.2">
      <c r="A162" s="1" t="str">
        <f t="shared" si="10"/>
        <v>3809816</v>
      </c>
      <c r="B162" s="1" t="str">
        <f t="shared" si="11"/>
        <v>3809824</v>
      </c>
      <c r="C162" s="1">
        <v>161</v>
      </c>
      <c r="D162" s="4">
        <v>38098</v>
      </c>
      <c r="E162" s="1">
        <v>0</v>
      </c>
      <c r="F162" s="1">
        <v>24</v>
      </c>
      <c r="G162" s="1">
        <v>16</v>
      </c>
      <c r="H162" s="1">
        <v>2</v>
      </c>
      <c r="I162" s="1">
        <v>0</v>
      </c>
      <c r="J162" s="2" t="str">
        <f t="shared" si="12"/>
        <v>PHI</v>
      </c>
      <c r="K162" s="2" t="str">
        <f t="shared" si="13"/>
        <v>@DIG</v>
      </c>
      <c r="L162" s="1" t="str">
        <f t="shared" si="14"/>
        <v>161,4/21/2004,0,24,16,2,0</v>
      </c>
    </row>
    <row r="163" spans="1:12" x14ac:dyDescent="0.2">
      <c r="A163" s="1" t="str">
        <f t="shared" si="10"/>
        <v>3809817</v>
      </c>
      <c r="B163" s="1" t="str">
        <f t="shared" si="11"/>
        <v>3809814</v>
      </c>
      <c r="C163" s="1">
        <v>162</v>
      </c>
      <c r="D163" s="4">
        <v>38098</v>
      </c>
      <c r="E163" s="1">
        <v>0</v>
      </c>
      <c r="F163" s="1">
        <v>14</v>
      </c>
      <c r="G163" s="1">
        <v>17</v>
      </c>
      <c r="H163" s="1">
        <v>2</v>
      </c>
      <c r="I163" s="1">
        <v>0</v>
      </c>
      <c r="J163" s="2" t="str">
        <f t="shared" si="12"/>
        <v>CEN</v>
      </c>
      <c r="K163" s="2" t="str">
        <f t="shared" si="13"/>
        <v>@GAR</v>
      </c>
      <c r="L163" s="1" t="str">
        <f t="shared" si="14"/>
        <v>162,4/21/2004,0,14,17,2,0</v>
      </c>
    </row>
    <row r="164" spans="1:12" x14ac:dyDescent="0.2">
      <c r="A164" s="1" t="str">
        <f t="shared" si="10"/>
        <v>380991</v>
      </c>
      <c r="B164" s="1" t="str">
        <f t="shared" si="11"/>
        <v>3809921</v>
      </c>
      <c r="C164" s="1">
        <v>163</v>
      </c>
      <c r="D164" s="4">
        <v>38099</v>
      </c>
      <c r="E164" s="1">
        <v>0</v>
      </c>
      <c r="F164" s="1">
        <v>21</v>
      </c>
      <c r="G164" s="1">
        <v>1</v>
      </c>
      <c r="H164" s="1">
        <v>2</v>
      </c>
      <c r="I164" s="1">
        <v>0</v>
      </c>
      <c r="J164" s="2" t="str">
        <f t="shared" si="12"/>
        <v>NYD</v>
      </c>
      <c r="K164" s="2" t="str">
        <f t="shared" si="13"/>
        <v>@FFR</v>
      </c>
      <c r="L164" s="1" t="str">
        <f t="shared" si="14"/>
        <v>163,4/22/2004,0,21,1,2,0</v>
      </c>
    </row>
    <row r="165" spans="1:12" x14ac:dyDescent="0.2">
      <c r="A165" s="1" t="str">
        <f t="shared" si="10"/>
        <v>380994</v>
      </c>
      <c r="B165" s="1" t="str">
        <f t="shared" si="11"/>
        <v>3809922</v>
      </c>
      <c r="C165" s="1">
        <v>164</v>
      </c>
      <c r="D165" s="4">
        <v>38099</v>
      </c>
      <c r="E165" s="1">
        <v>0</v>
      </c>
      <c r="F165" s="1">
        <v>22</v>
      </c>
      <c r="G165" s="1">
        <v>4</v>
      </c>
      <c r="H165" s="1">
        <v>2</v>
      </c>
      <c r="I165" s="1">
        <v>0</v>
      </c>
      <c r="J165" s="2" t="str">
        <f t="shared" si="12"/>
        <v>CBB</v>
      </c>
      <c r="K165" s="2" t="str">
        <f t="shared" si="13"/>
        <v>@NNN</v>
      </c>
      <c r="L165" s="1" t="str">
        <f t="shared" si="14"/>
        <v>164,4/22/2004,0,22,4,2,0</v>
      </c>
    </row>
    <row r="166" spans="1:12" x14ac:dyDescent="0.2">
      <c r="A166" s="1" t="str">
        <f t="shared" si="10"/>
        <v>380995</v>
      </c>
      <c r="B166" s="1" t="str">
        <f t="shared" si="11"/>
        <v>3809923</v>
      </c>
      <c r="C166" s="1">
        <v>165</v>
      </c>
      <c r="D166" s="4">
        <v>38099</v>
      </c>
      <c r="E166" s="1">
        <v>0</v>
      </c>
      <c r="F166" s="1">
        <v>23</v>
      </c>
      <c r="G166" s="1">
        <v>5</v>
      </c>
      <c r="H166" s="1">
        <v>2</v>
      </c>
      <c r="I166" s="1">
        <v>0</v>
      </c>
      <c r="J166" s="2" t="str">
        <f t="shared" si="12"/>
        <v>BRK</v>
      </c>
      <c r="K166" s="2" t="str">
        <f t="shared" si="13"/>
        <v>@OKO</v>
      </c>
      <c r="L166" s="1" t="str">
        <f t="shared" si="14"/>
        <v>165,4/22/2004,0,23,5,2,0</v>
      </c>
    </row>
    <row r="167" spans="1:12" x14ac:dyDescent="0.2">
      <c r="A167" s="1" t="str">
        <f t="shared" si="10"/>
        <v>380997</v>
      </c>
      <c r="B167" s="1" t="str">
        <f t="shared" si="11"/>
        <v>3809920</v>
      </c>
      <c r="C167" s="1">
        <v>166</v>
      </c>
      <c r="D167" s="4">
        <v>38099</v>
      </c>
      <c r="E167" s="1">
        <v>0</v>
      </c>
      <c r="F167" s="1">
        <v>20</v>
      </c>
      <c r="G167" s="1">
        <v>7</v>
      </c>
      <c r="H167" s="1">
        <v>2</v>
      </c>
      <c r="I167" s="1">
        <v>0</v>
      </c>
      <c r="J167" s="2" t="str">
        <f t="shared" si="12"/>
        <v>FDH</v>
      </c>
      <c r="K167" s="2" t="str">
        <f t="shared" si="13"/>
        <v>@BAR</v>
      </c>
      <c r="L167" s="1" t="str">
        <f t="shared" si="14"/>
        <v>166,4/22/2004,0,20,7,2,0</v>
      </c>
    </row>
    <row r="168" spans="1:12" x14ac:dyDescent="0.2">
      <c r="A168" s="1" t="str">
        <f t="shared" si="10"/>
        <v>380998</v>
      </c>
      <c r="B168" s="1" t="str">
        <f t="shared" si="11"/>
        <v>380993</v>
      </c>
      <c r="C168" s="1">
        <v>167</v>
      </c>
      <c r="D168" s="4">
        <v>38099</v>
      </c>
      <c r="E168" s="1">
        <v>0</v>
      </c>
      <c r="F168" s="1">
        <v>3</v>
      </c>
      <c r="G168" s="1">
        <v>8</v>
      </c>
      <c r="H168" s="1">
        <v>2</v>
      </c>
      <c r="I168" s="1">
        <v>0</v>
      </c>
      <c r="J168" s="2" t="str">
        <f t="shared" si="12"/>
        <v>TEW</v>
      </c>
      <c r="K168" s="2" t="str">
        <f t="shared" si="13"/>
        <v>@CTW</v>
      </c>
      <c r="L168" s="1" t="str">
        <f t="shared" si="14"/>
        <v>167,4/22/2004,0,3,8,2,0</v>
      </c>
    </row>
    <row r="169" spans="1:12" x14ac:dyDescent="0.2">
      <c r="A169" s="1" t="str">
        <f t="shared" si="10"/>
        <v>380999</v>
      </c>
      <c r="B169" s="1" t="str">
        <f t="shared" si="11"/>
        <v>380992</v>
      </c>
      <c r="C169" s="1">
        <v>168</v>
      </c>
      <c r="D169" s="4">
        <v>38099</v>
      </c>
      <c r="E169" s="1">
        <v>0</v>
      </c>
      <c r="F169" s="1">
        <v>2</v>
      </c>
      <c r="G169" s="1">
        <v>9</v>
      </c>
      <c r="H169" s="1">
        <v>2</v>
      </c>
      <c r="I169" s="1">
        <v>0</v>
      </c>
      <c r="J169" s="2" t="str">
        <f t="shared" si="12"/>
        <v>NEP</v>
      </c>
      <c r="K169" s="2" t="str">
        <f t="shared" si="13"/>
        <v>@CIN</v>
      </c>
      <c r="L169" s="1" t="str">
        <f t="shared" si="14"/>
        <v>168,4/22/2004,0,2,9,2,0</v>
      </c>
    </row>
    <row r="170" spans="1:12" x14ac:dyDescent="0.2">
      <c r="A170" s="1" t="str">
        <f t="shared" si="10"/>
        <v>3809912</v>
      </c>
      <c r="B170" s="1" t="str">
        <f t="shared" si="11"/>
        <v>3809911</v>
      </c>
      <c r="C170" s="1">
        <v>169</v>
      </c>
      <c r="D170" s="4">
        <v>38099</v>
      </c>
      <c r="E170" s="1">
        <v>0</v>
      </c>
      <c r="F170" s="1">
        <v>11</v>
      </c>
      <c r="G170" s="1">
        <v>12</v>
      </c>
      <c r="H170" s="1">
        <v>2</v>
      </c>
      <c r="I170" s="1">
        <v>0</v>
      </c>
      <c r="J170" s="2" t="str">
        <f t="shared" si="12"/>
        <v>HAR</v>
      </c>
      <c r="K170" s="2" t="str">
        <f t="shared" si="13"/>
        <v>@RMO</v>
      </c>
      <c r="L170" s="1" t="str">
        <f t="shared" si="14"/>
        <v>169,4/22/2004,0,11,12,2,0</v>
      </c>
    </row>
    <row r="171" spans="1:12" x14ac:dyDescent="0.2">
      <c r="A171" s="1" t="str">
        <f t="shared" si="10"/>
        <v>3809913</v>
      </c>
      <c r="B171" s="1" t="str">
        <f t="shared" si="11"/>
        <v>3809910</v>
      </c>
      <c r="C171" s="1">
        <v>170</v>
      </c>
      <c r="D171" s="4">
        <v>38099</v>
      </c>
      <c r="E171" s="1">
        <v>0</v>
      </c>
      <c r="F171" s="1">
        <v>10</v>
      </c>
      <c r="G171" s="1">
        <v>13</v>
      </c>
      <c r="H171" s="1">
        <v>2</v>
      </c>
      <c r="I171" s="1">
        <v>0</v>
      </c>
      <c r="J171" s="2" t="str">
        <f t="shared" si="12"/>
        <v>REN</v>
      </c>
      <c r="K171" s="2" t="str">
        <f t="shared" si="13"/>
        <v>@BBG</v>
      </c>
      <c r="L171" s="1" t="str">
        <f t="shared" si="14"/>
        <v>170,4/22/2004,0,10,13,2,0</v>
      </c>
    </row>
    <row r="172" spans="1:12" x14ac:dyDescent="0.2">
      <c r="A172" s="1" t="str">
        <f t="shared" si="10"/>
        <v>3809916</v>
      </c>
      <c r="B172" s="1" t="str">
        <f t="shared" si="11"/>
        <v>3809924</v>
      </c>
      <c r="C172" s="1">
        <v>171</v>
      </c>
      <c r="D172" s="4">
        <v>38099</v>
      </c>
      <c r="E172" s="1">
        <v>0</v>
      </c>
      <c r="F172" s="1">
        <v>24</v>
      </c>
      <c r="G172" s="1">
        <v>16</v>
      </c>
      <c r="H172" s="1">
        <v>2</v>
      </c>
      <c r="I172" s="1">
        <v>0</v>
      </c>
      <c r="J172" s="2" t="str">
        <f t="shared" si="12"/>
        <v>PHI</v>
      </c>
      <c r="K172" s="2" t="str">
        <f t="shared" si="13"/>
        <v>@DIG</v>
      </c>
      <c r="L172" s="1" t="str">
        <f t="shared" si="14"/>
        <v>171,4/22/2004,0,24,16,2,0</v>
      </c>
    </row>
    <row r="173" spans="1:12" x14ac:dyDescent="0.2">
      <c r="A173" s="1" t="str">
        <f t="shared" si="10"/>
        <v>3809917</v>
      </c>
      <c r="B173" s="1" t="str">
        <f t="shared" si="11"/>
        <v>3809914</v>
      </c>
      <c r="C173" s="1">
        <v>172</v>
      </c>
      <c r="D173" s="4">
        <v>38099</v>
      </c>
      <c r="E173" s="1">
        <v>0</v>
      </c>
      <c r="F173" s="1">
        <v>14</v>
      </c>
      <c r="G173" s="1">
        <v>17</v>
      </c>
      <c r="H173" s="1">
        <v>2</v>
      </c>
      <c r="I173" s="1">
        <v>0</v>
      </c>
      <c r="J173" s="2" t="str">
        <f t="shared" si="12"/>
        <v>CEN</v>
      </c>
      <c r="K173" s="2" t="str">
        <f t="shared" si="13"/>
        <v>@GAR</v>
      </c>
      <c r="L173" s="1" t="str">
        <f t="shared" si="14"/>
        <v>172,4/22/2004,0,14,17,2,0</v>
      </c>
    </row>
    <row r="174" spans="1:12" x14ac:dyDescent="0.2">
      <c r="A174" s="1" t="str">
        <f t="shared" si="10"/>
        <v>381001</v>
      </c>
      <c r="B174" s="1" t="str">
        <f t="shared" si="11"/>
        <v>3810021</v>
      </c>
      <c r="C174" s="1">
        <v>173</v>
      </c>
      <c r="D174" s="4">
        <v>38100</v>
      </c>
      <c r="E174" s="1">
        <v>0</v>
      </c>
      <c r="F174" s="1">
        <v>21</v>
      </c>
      <c r="G174" s="1">
        <v>1</v>
      </c>
      <c r="H174" s="1">
        <v>2</v>
      </c>
      <c r="I174" s="1">
        <v>0</v>
      </c>
      <c r="J174" s="2" t="str">
        <f t="shared" si="12"/>
        <v>NYD</v>
      </c>
      <c r="K174" s="2" t="str">
        <f t="shared" si="13"/>
        <v>@FFR</v>
      </c>
      <c r="L174" s="1" t="str">
        <f t="shared" si="14"/>
        <v>173,4/23/2004,0,21,1,2,0</v>
      </c>
    </row>
    <row r="175" spans="1:12" x14ac:dyDescent="0.2">
      <c r="A175" s="1" t="str">
        <f t="shared" ref="A175:A196" si="15">D175&amp;G175</f>
        <v>381004</v>
      </c>
      <c r="B175" s="1" t="str">
        <f t="shared" ref="B175:B196" si="16">D175&amp;F175</f>
        <v>3810022</v>
      </c>
      <c r="C175" s="1">
        <v>174</v>
      </c>
      <c r="D175" s="4">
        <v>38100</v>
      </c>
      <c r="E175" s="1">
        <v>0</v>
      </c>
      <c r="F175" s="1">
        <v>22</v>
      </c>
      <c r="G175" s="1">
        <v>4</v>
      </c>
      <c r="H175" s="1">
        <v>2</v>
      </c>
      <c r="I175" s="1">
        <v>0</v>
      </c>
      <c r="J175" s="2" t="str">
        <f t="shared" si="12"/>
        <v>CBB</v>
      </c>
      <c r="K175" s="2" t="str">
        <f t="shared" si="13"/>
        <v>@NNN</v>
      </c>
      <c r="L175" s="1" t="str">
        <f t="shared" si="14"/>
        <v>174,4/23/2004,0,22,4,2,0</v>
      </c>
    </row>
    <row r="176" spans="1:12" x14ac:dyDescent="0.2">
      <c r="A176" s="1" t="str">
        <f t="shared" si="15"/>
        <v>381005</v>
      </c>
      <c r="B176" s="1" t="str">
        <f t="shared" si="16"/>
        <v>3810023</v>
      </c>
      <c r="C176" s="1">
        <v>175</v>
      </c>
      <c r="D176" s="4">
        <v>38100</v>
      </c>
      <c r="E176" s="1">
        <v>0</v>
      </c>
      <c r="F176" s="1">
        <v>23</v>
      </c>
      <c r="G176" s="1">
        <v>5</v>
      </c>
      <c r="H176" s="1">
        <v>2</v>
      </c>
      <c r="I176" s="1">
        <v>0</v>
      </c>
      <c r="J176" s="2" t="str">
        <f t="shared" si="12"/>
        <v>BRK</v>
      </c>
      <c r="K176" s="2" t="str">
        <f t="shared" si="13"/>
        <v>@OKO</v>
      </c>
      <c r="L176" s="1" t="str">
        <f t="shared" si="14"/>
        <v>175,4/23/2004,0,23,5,2,0</v>
      </c>
    </row>
    <row r="177" spans="1:12" x14ac:dyDescent="0.2">
      <c r="A177" s="1" t="str">
        <f t="shared" si="15"/>
        <v>381007</v>
      </c>
      <c r="B177" s="1" t="str">
        <f t="shared" si="16"/>
        <v>3810020</v>
      </c>
      <c r="C177" s="1">
        <v>176</v>
      </c>
      <c r="D177" s="4">
        <v>38100</v>
      </c>
      <c r="E177" s="1">
        <v>0</v>
      </c>
      <c r="F177" s="1">
        <v>20</v>
      </c>
      <c r="G177" s="1">
        <v>7</v>
      </c>
      <c r="H177" s="1">
        <v>2</v>
      </c>
      <c r="I177" s="1">
        <v>0</v>
      </c>
      <c r="J177" s="2" t="str">
        <f t="shared" si="12"/>
        <v>FDH</v>
      </c>
      <c r="K177" s="2" t="str">
        <f t="shared" si="13"/>
        <v>@BAR</v>
      </c>
      <c r="L177" s="1" t="str">
        <f t="shared" si="14"/>
        <v>176,4/23/2004,0,20,7,2,0</v>
      </c>
    </row>
    <row r="178" spans="1:12" x14ac:dyDescent="0.2">
      <c r="A178" s="1" t="str">
        <f t="shared" si="15"/>
        <v>381008</v>
      </c>
      <c r="B178" s="1" t="str">
        <f t="shared" si="16"/>
        <v>381003</v>
      </c>
      <c r="C178" s="1">
        <v>177</v>
      </c>
      <c r="D178" s="4">
        <v>38100</v>
      </c>
      <c r="E178" s="1">
        <v>0</v>
      </c>
      <c r="F178" s="1">
        <v>3</v>
      </c>
      <c r="G178" s="1">
        <v>8</v>
      </c>
      <c r="H178" s="1">
        <v>2</v>
      </c>
      <c r="I178" s="1">
        <v>0</v>
      </c>
      <c r="J178" s="2" t="str">
        <f t="shared" si="12"/>
        <v>TEW</v>
      </c>
      <c r="K178" s="2" t="str">
        <f t="shared" si="13"/>
        <v>@CTW</v>
      </c>
      <c r="L178" s="1" t="str">
        <f t="shared" si="14"/>
        <v>177,4/23/2004,0,3,8,2,0</v>
      </c>
    </row>
    <row r="179" spans="1:12" x14ac:dyDescent="0.2">
      <c r="A179" s="1" t="str">
        <f t="shared" si="15"/>
        <v>381009</v>
      </c>
      <c r="B179" s="1" t="str">
        <f t="shared" si="16"/>
        <v>381002</v>
      </c>
      <c r="C179" s="1">
        <v>178</v>
      </c>
      <c r="D179" s="4">
        <v>38100</v>
      </c>
      <c r="E179" s="1">
        <v>0</v>
      </c>
      <c r="F179" s="1">
        <v>2</v>
      </c>
      <c r="G179" s="1">
        <v>9</v>
      </c>
      <c r="H179" s="1">
        <v>2</v>
      </c>
      <c r="I179" s="1">
        <v>0</v>
      </c>
      <c r="J179" s="2" t="str">
        <f t="shared" si="12"/>
        <v>NEP</v>
      </c>
      <c r="K179" s="2" t="str">
        <f t="shared" si="13"/>
        <v>@CIN</v>
      </c>
      <c r="L179" s="1" t="str">
        <f t="shared" si="14"/>
        <v>178,4/23/2004,0,2,9,2,0</v>
      </c>
    </row>
    <row r="180" spans="1:12" x14ac:dyDescent="0.2">
      <c r="A180" s="1" t="str">
        <f t="shared" si="15"/>
        <v>3810012</v>
      </c>
      <c r="B180" s="1" t="str">
        <f t="shared" si="16"/>
        <v>3810011</v>
      </c>
      <c r="C180" s="1">
        <v>179</v>
      </c>
      <c r="D180" s="4">
        <v>38100</v>
      </c>
      <c r="E180" s="1">
        <v>0</v>
      </c>
      <c r="F180" s="1">
        <v>11</v>
      </c>
      <c r="G180" s="1">
        <v>12</v>
      </c>
      <c r="H180" s="1">
        <v>2</v>
      </c>
      <c r="I180" s="1">
        <v>0</v>
      </c>
      <c r="J180" s="2" t="str">
        <f t="shared" si="12"/>
        <v>HAR</v>
      </c>
      <c r="K180" s="2" t="str">
        <f t="shared" si="13"/>
        <v>@RMO</v>
      </c>
      <c r="L180" s="1" t="str">
        <f t="shared" si="14"/>
        <v>179,4/23/2004,0,11,12,2,0</v>
      </c>
    </row>
    <row r="181" spans="1:12" x14ac:dyDescent="0.2">
      <c r="A181" s="1" t="str">
        <f t="shared" si="15"/>
        <v>3810013</v>
      </c>
      <c r="B181" s="1" t="str">
        <f t="shared" si="16"/>
        <v>3810010</v>
      </c>
      <c r="C181" s="1">
        <v>180</v>
      </c>
      <c r="D181" s="4">
        <v>38100</v>
      </c>
      <c r="E181" s="1">
        <v>0</v>
      </c>
      <c r="F181" s="1">
        <v>10</v>
      </c>
      <c r="G181" s="1">
        <v>13</v>
      </c>
      <c r="H181" s="1">
        <v>2</v>
      </c>
      <c r="I181" s="1">
        <v>0</v>
      </c>
      <c r="J181" s="2" t="str">
        <f t="shared" si="12"/>
        <v>REN</v>
      </c>
      <c r="K181" s="2" t="str">
        <f t="shared" si="13"/>
        <v>@BBG</v>
      </c>
      <c r="L181" s="1" t="str">
        <f t="shared" si="14"/>
        <v>180,4/23/2004,0,10,13,2,0</v>
      </c>
    </row>
    <row r="182" spans="1:12" x14ac:dyDescent="0.2">
      <c r="A182" s="1" t="str">
        <f t="shared" si="15"/>
        <v>3810016</v>
      </c>
      <c r="B182" s="1" t="str">
        <f t="shared" si="16"/>
        <v>3810024</v>
      </c>
      <c r="C182" s="1">
        <v>181</v>
      </c>
      <c r="D182" s="4">
        <v>38100</v>
      </c>
      <c r="E182" s="1">
        <v>0</v>
      </c>
      <c r="F182" s="1">
        <v>24</v>
      </c>
      <c r="G182" s="1">
        <v>16</v>
      </c>
      <c r="H182" s="1">
        <v>2</v>
      </c>
      <c r="I182" s="1">
        <v>0</v>
      </c>
      <c r="J182" s="2" t="str">
        <f t="shared" si="12"/>
        <v>PHI</v>
      </c>
      <c r="K182" s="2" t="str">
        <f t="shared" si="13"/>
        <v>@DIG</v>
      </c>
      <c r="L182" s="1" t="str">
        <f t="shared" si="14"/>
        <v>181,4/23/2004,0,24,16,2,0</v>
      </c>
    </row>
    <row r="183" spans="1:12" x14ac:dyDescent="0.2">
      <c r="A183" s="1" t="str">
        <f t="shared" si="15"/>
        <v>3810017</v>
      </c>
      <c r="B183" s="1" t="str">
        <f t="shared" si="16"/>
        <v>3810014</v>
      </c>
      <c r="C183" s="1">
        <v>182</v>
      </c>
      <c r="D183" s="4">
        <v>38100</v>
      </c>
      <c r="E183" s="1">
        <v>0</v>
      </c>
      <c r="F183" s="1">
        <v>14</v>
      </c>
      <c r="G183" s="1">
        <v>17</v>
      </c>
      <c r="H183" s="1">
        <v>2</v>
      </c>
      <c r="I183" s="1">
        <v>0</v>
      </c>
      <c r="J183" s="2" t="str">
        <f t="shared" si="12"/>
        <v>CEN</v>
      </c>
      <c r="K183" s="2" t="str">
        <f t="shared" si="13"/>
        <v>@GAR</v>
      </c>
      <c r="L183" s="1" t="str">
        <f t="shared" si="14"/>
        <v>182,4/23/2004,0,14,17,2,0</v>
      </c>
    </row>
    <row r="184" spans="1:12" x14ac:dyDescent="0.2">
      <c r="A184" s="1" t="str">
        <f t="shared" si="15"/>
        <v>381011</v>
      </c>
      <c r="B184" s="1" t="str">
        <f t="shared" si="16"/>
        <v>3810121</v>
      </c>
      <c r="C184" s="1">
        <v>183</v>
      </c>
      <c r="D184" s="4">
        <v>38101</v>
      </c>
      <c r="E184" s="1">
        <v>0</v>
      </c>
      <c r="F184" s="1">
        <v>21</v>
      </c>
      <c r="G184" s="1">
        <v>1</v>
      </c>
      <c r="H184" s="1">
        <v>2</v>
      </c>
      <c r="I184" s="1">
        <v>0</v>
      </c>
      <c r="J184" s="2" t="str">
        <f t="shared" si="12"/>
        <v>NYD</v>
      </c>
      <c r="K184" s="2" t="str">
        <f t="shared" si="13"/>
        <v>@FFR</v>
      </c>
      <c r="L184" s="1" t="str">
        <f t="shared" si="14"/>
        <v>183,4/24/2004,0,21,1,2,0</v>
      </c>
    </row>
    <row r="185" spans="1:12" x14ac:dyDescent="0.2">
      <c r="A185" s="1" t="str">
        <f t="shared" si="15"/>
        <v>381014</v>
      </c>
      <c r="B185" s="1" t="str">
        <f t="shared" si="16"/>
        <v>3810122</v>
      </c>
      <c r="C185" s="1">
        <v>184</v>
      </c>
      <c r="D185" s="4">
        <v>38101</v>
      </c>
      <c r="E185" s="1">
        <v>0</v>
      </c>
      <c r="F185" s="1">
        <v>22</v>
      </c>
      <c r="G185" s="1">
        <v>4</v>
      </c>
      <c r="H185" s="1">
        <v>2</v>
      </c>
      <c r="I185" s="1">
        <v>0</v>
      </c>
      <c r="J185" s="2" t="str">
        <f t="shared" si="12"/>
        <v>CBB</v>
      </c>
      <c r="K185" s="2" t="str">
        <f t="shared" si="13"/>
        <v>@NNN</v>
      </c>
      <c r="L185" s="1" t="str">
        <f t="shared" si="14"/>
        <v>184,4/24/2004,0,22,4,2,0</v>
      </c>
    </row>
    <row r="186" spans="1:12" x14ac:dyDescent="0.2">
      <c r="A186" s="1" t="str">
        <f t="shared" si="15"/>
        <v>381015</v>
      </c>
      <c r="B186" s="1" t="str">
        <f t="shared" si="16"/>
        <v>3810123</v>
      </c>
      <c r="C186" s="1">
        <v>185</v>
      </c>
      <c r="D186" s="4">
        <v>38101</v>
      </c>
      <c r="E186" s="1">
        <v>0</v>
      </c>
      <c r="F186" s="1">
        <v>23</v>
      </c>
      <c r="G186" s="1">
        <v>5</v>
      </c>
      <c r="H186" s="1">
        <v>2</v>
      </c>
      <c r="I186" s="1">
        <v>0</v>
      </c>
      <c r="J186" s="2" t="str">
        <f t="shared" si="12"/>
        <v>BRK</v>
      </c>
      <c r="K186" s="2" t="str">
        <f t="shared" si="13"/>
        <v>@OKO</v>
      </c>
      <c r="L186" s="1" t="str">
        <f t="shared" si="14"/>
        <v>185,4/24/2004,0,23,5,2,0</v>
      </c>
    </row>
    <row r="187" spans="1:12" x14ac:dyDescent="0.2">
      <c r="A187" s="1" t="str">
        <f t="shared" si="15"/>
        <v>381017</v>
      </c>
      <c r="B187" s="1" t="str">
        <f t="shared" si="16"/>
        <v>3810120</v>
      </c>
      <c r="C187" s="1">
        <v>186</v>
      </c>
      <c r="D187" s="4">
        <v>38101</v>
      </c>
      <c r="E187" s="1">
        <v>0</v>
      </c>
      <c r="F187" s="1">
        <v>20</v>
      </c>
      <c r="G187" s="1">
        <v>7</v>
      </c>
      <c r="H187" s="1">
        <v>2</v>
      </c>
      <c r="I187" s="1">
        <v>0</v>
      </c>
      <c r="J187" s="2" t="str">
        <f t="shared" si="12"/>
        <v>FDH</v>
      </c>
      <c r="K187" s="2" t="str">
        <f t="shared" si="13"/>
        <v>@BAR</v>
      </c>
      <c r="L187" s="1" t="str">
        <f t="shared" si="14"/>
        <v>186,4/24/2004,0,20,7,2,0</v>
      </c>
    </row>
    <row r="188" spans="1:12" x14ac:dyDescent="0.2">
      <c r="A188" s="1" t="str">
        <f t="shared" si="15"/>
        <v>381018</v>
      </c>
      <c r="B188" s="1" t="str">
        <f t="shared" si="16"/>
        <v>381013</v>
      </c>
      <c r="C188" s="1">
        <v>187</v>
      </c>
      <c r="D188" s="4">
        <v>38101</v>
      </c>
      <c r="E188" s="1">
        <v>0</v>
      </c>
      <c r="F188" s="1">
        <v>3</v>
      </c>
      <c r="G188" s="1">
        <v>8</v>
      </c>
      <c r="H188" s="1">
        <v>2</v>
      </c>
      <c r="I188" s="1">
        <v>0</v>
      </c>
      <c r="J188" s="2" t="str">
        <f t="shared" si="12"/>
        <v>TEW</v>
      </c>
      <c r="K188" s="2" t="str">
        <f t="shared" si="13"/>
        <v>@CTW</v>
      </c>
      <c r="L188" s="1" t="str">
        <f t="shared" si="14"/>
        <v>187,4/24/2004,0,3,8,2,0</v>
      </c>
    </row>
    <row r="189" spans="1:12" x14ac:dyDescent="0.2">
      <c r="A189" s="1" t="str">
        <f t="shared" si="15"/>
        <v>381019</v>
      </c>
      <c r="B189" s="1" t="str">
        <f t="shared" si="16"/>
        <v>381012</v>
      </c>
      <c r="C189" s="1">
        <v>188</v>
      </c>
      <c r="D189" s="4">
        <v>38101</v>
      </c>
      <c r="E189" s="1">
        <v>0</v>
      </c>
      <c r="F189" s="1">
        <v>2</v>
      </c>
      <c r="G189" s="1">
        <v>9</v>
      </c>
      <c r="H189" s="1">
        <v>2</v>
      </c>
      <c r="I189" s="1">
        <v>0</v>
      </c>
      <c r="J189" s="2" t="str">
        <f t="shared" si="12"/>
        <v>NEP</v>
      </c>
      <c r="K189" s="2" t="str">
        <f t="shared" si="13"/>
        <v>@CIN</v>
      </c>
      <c r="L189" s="1" t="str">
        <f t="shared" si="14"/>
        <v>188,4/24/2004,0,2,9,2,0</v>
      </c>
    </row>
    <row r="190" spans="1:12" x14ac:dyDescent="0.2">
      <c r="A190" s="1" t="str">
        <f t="shared" si="15"/>
        <v>3810112</v>
      </c>
      <c r="B190" s="1" t="str">
        <f t="shared" si="16"/>
        <v>3810111</v>
      </c>
      <c r="C190" s="1">
        <v>189</v>
      </c>
      <c r="D190" s="4">
        <v>38101</v>
      </c>
      <c r="E190" s="1">
        <v>0</v>
      </c>
      <c r="F190" s="1">
        <v>11</v>
      </c>
      <c r="G190" s="1">
        <v>12</v>
      </c>
      <c r="H190" s="1">
        <v>2</v>
      </c>
      <c r="I190" s="1">
        <v>0</v>
      </c>
      <c r="J190" s="2" t="str">
        <f t="shared" si="12"/>
        <v>HAR</v>
      </c>
      <c r="K190" s="2" t="str">
        <f t="shared" si="13"/>
        <v>@RMO</v>
      </c>
      <c r="L190" s="1" t="str">
        <f t="shared" si="14"/>
        <v>189,4/24/2004,0,11,12,2,0</v>
      </c>
    </row>
    <row r="191" spans="1:12" x14ac:dyDescent="0.2">
      <c r="A191" s="1" t="str">
        <f t="shared" si="15"/>
        <v>3810113</v>
      </c>
      <c r="B191" s="1" t="str">
        <f t="shared" si="16"/>
        <v>3810110</v>
      </c>
      <c r="C191" s="1">
        <v>190</v>
      </c>
      <c r="D191" s="4">
        <v>38101</v>
      </c>
      <c r="E191" s="1">
        <v>0</v>
      </c>
      <c r="F191" s="1">
        <v>10</v>
      </c>
      <c r="G191" s="1">
        <v>13</v>
      </c>
      <c r="H191" s="1">
        <v>2</v>
      </c>
      <c r="I191" s="1">
        <v>0</v>
      </c>
      <c r="J191" s="2" t="str">
        <f t="shared" si="12"/>
        <v>REN</v>
      </c>
      <c r="K191" s="2" t="str">
        <f t="shared" si="13"/>
        <v>@BBG</v>
      </c>
      <c r="L191" s="1" t="str">
        <f t="shared" si="14"/>
        <v>190,4/24/2004,0,10,13,2,0</v>
      </c>
    </row>
    <row r="192" spans="1:12" x14ac:dyDescent="0.2">
      <c r="A192" s="1" t="str">
        <f t="shared" si="15"/>
        <v>3810116</v>
      </c>
      <c r="B192" s="1" t="str">
        <f t="shared" si="16"/>
        <v>3810124</v>
      </c>
      <c r="C192" s="1">
        <v>191</v>
      </c>
      <c r="D192" s="4">
        <v>38101</v>
      </c>
      <c r="E192" s="1">
        <v>0</v>
      </c>
      <c r="F192" s="1">
        <v>24</v>
      </c>
      <c r="G192" s="1">
        <v>16</v>
      </c>
      <c r="H192" s="1">
        <v>2</v>
      </c>
      <c r="I192" s="1">
        <v>0</v>
      </c>
      <c r="J192" s="2" t="str">
        <f t="shared" si="12"/>
        <v>PHI</v>
      </c>
      <c r="K192" s="2" t="str">
        <f t="shared" si="13"/>
        <v>@DIG</v>
      </c>
      <c r="L192" s="1" t="str">
        <f t="shared" si="14"/>
        <v>191,4/24/2004,0,24,16,2,0</v>
      </c>
    </row>
    <row r="193" spans="1:12" x14ac:dyDescent="0.2">
      <c r="A193" s="1" t="str">
        <f t="shared" si="15"/>
        <v>3810117</v>
      </c>
      <c r="B193" s="1" t="str">
        <f t="shared" si="16"/>
        <v>3810114</v>
      </c>
      <c r="C193" s="1">
        <v>192</v>
      </c>
      <c r="D193" s="4">
        <v>38101</v>
      </c>
      <c r="E193" s="1">
        <v>0</v>
      </c>
      <c r="F193" s="1">
        <v>14</v>
      </c>
      <c r="G193" s="1">
        <v>17</v>
      </c>
      <c r="H193" s="1">
        <v>2</v>
      </c>
      <c r="I193" s="1">
        <v>0</v>
      </c>
      <c r="J193" s="2" t="str">
        <f t="shared" si="12"/>
        <v>CEN</v>
      </c>
      <c r="K193" s="2" t="str">
        <f t="shared" si="13"/>
        <v>@GAR</v>
      </c>
      <c r="L193" s="1" t="str">
        <f t="shared" si="14"/>
        <v>192,4/24/2004,0,14,17,2,0</v>
      </c>
    </row>
    <row r="194" spans="1:12" x14ac:dyDescent="0.2">
      <c r="A194" s="1" t="str">
        <f t="shared" si="15"/>
        <v>381032</v>
      </c>
      <c r="B194" s="1" t="str">
        <f t="shared" si="16"/>
        <v>3810324</v>
      </c>
      <c r="C194" s="1">
        <v>193</v>
      </c>
      <c r="D194" s="4">
        <v>38103</v>
      </c>
      <c r="E194" s="1">
        <v>0</v>
      </c>
      <c r="F194" s="1">
        <v>24</v>
      </c>
      <c r="G194" s="1">
        <v>2</v>
      </c>
      <c r="H194" s="1">
        <v>2</v>
      </c>
      <c r="I194" s="1">
        <v>0</v>
      </c>
      <c r="J194" s="2" t="str">
        <f t="shared" ref="J194:J257" si="17">VLOOKUP(F194,$M$2:$N$21,2,0)</f>
        <v>PHI</v>
      </c>
      <c r="K194" s="2" t="str">
        <f t="shared" ref="K194:K257" si="18">"@"&amp;VLOOKUP(G194,$M$2:$N$21,2,0)</f>
        <v>@NEP</v>
      </c>
      <c r="L194" s="1" t="str">
        <f>C194&amp;","&amp;MONTH(D194)&amp;"/"&amp;DAY(D194)&amp;"/"&amp;YEAR(D194)&amp;","&amp;E194&amp;","&amp;F194&amp;","&amp;G194&amp;","&amp;H194&amp;","&amp;I194</f>
        <v>193,4/26/2004,0,24,2,2,0</v>
      </c>
    </row>
    <row r="195" spans="1:12" x14ac:dyDescent="0.2">
      <c r="A195" s="1" t="str">
        <f t="shared" si="15"/>
        <v>381033</v>
      </c>
      <c r="B195" s="1" t="str">
        <f t="shared" si="16"/>
        <v>3810311</v>
      </c>
      <c r="C195" s="1">
        <v>194</v>
      </c>
      <c r="D195" s="4">
        <v>38103</v>
      </c>
      <c r="E195" s="1">
        <v>0</v>
      </c>
      <c r="F195" s="1">
        <v>11</v>
      </c>
      <c r="G195" s="1">
        <v>3</v>
      </c>
      <c r="H195" s="1">
        <v>2</v>
      </c>
      <c r="I195" s="1">
        <v>0</v>
      </c>
      <c r="J195" s="2" t="str">
        <f t="shared" si="17"/>
        <v>HAR</v>
      </c>
      <c r="K195" s="2" t="str">
        <f t="shared" si="18"/>
        <v>@TEW</v>
      </c>
      <c r="L195" s="1" t="str">
        <f>C195&amp;","&amp;MONTH(D195)&amp;"/"&amp;DAY(D195)&amp;"/"&amp;YEAR(D195)&amp;","&amp;E195&amp;","&amp;F195&amp;","&amp;G195&amp;","&amp;H195&amp;","&amp;I195</f>
        <v>194,4/26/2004,0,11,3,2,0</v>
      </c>
    </row>
    <row r="196" spans="1:12" x14ac:dyDescent="0.2">
      <c r="A196" s="1" t="str">
        <f t="shared" si="15"/>
        <v>381037</v>
      </c>
      <c r="B196" s="1" t="str">
        <f t="shared" si="16"/>
        <v>381035</v>
      </c>
      <c r="C196" s="1">
        <v>195</v>
      </c>
      <c r="D196" s="4">
        <v>38103</v>
      </c>
      <c r="E196" s="1">
        <v>0</v>
      </c>
      <c r="F196" s="1">
        <v>5</v>
      </c>
      <c r="G196" s="1">
        <v>7</v>
      </c>
      <c r="H196" s="1">
        <v>2</v>
      </c>
      <c r="I196" s="1">
        <v>0</v>
      </c>
      <c r="J196" s="2" t="str">
        <f t="shared" si="17"/>
        <v>OKO</v>
      </c>
      <c r="K196" s="2" t="str">
        <f t="shared" si="18"/>
        <v>@BAR</v>
      </c>
      <c r="L196" s="1" t="str">
        <f>C196&amp;","&amp;MONTH(D196)&amp;"/"&amp;DAY(D196)&amp;"/"&amp;YEAR(D196)&amp;","&amp;E196&amp;","&amp;F196&amp;","&amp;G196&amp;","&amp;H196&amp;","&amp;I196</f>
        <v>195,4/26/2004,0,5,7,2,0</v>
      </c>
    </row>
    <row r="197" spans="1:12" x14ac:dyDescent="0.2">
      <c r="A197" s="1" t="str">
        <f t="shared" ref="A197:A257" si="19">D197&amp;G197</f>
        <v>381038</v>
      </c>
      <c r="B197" s="1" t="str">
        <f t="shared" ref="B197:B257" si="20">D197&amp;F197</f>
        <v>3810312</v>
      </c>
      <c r="C197" s="1">
        <v>196</v>
      </c>
      <c r="D197" s="4">
        <v>38103</v>
      </c>
      <c r="E197" s="1">
        <v>0</v>
      </c>
      <c r="F197" s="1">
        <v>12</v>
      </c>
      <c r="G197" s="1">
        <v>8</v>
      </c>
      <c r="H197" s="1">
        <v>2</v>
      </c>
      <c r="I197" s="1">
        <v>0</v>
      </c>
      <c r="J197" s="2" t="str">
        <f t="shared" si="17"/>
        <v>RMO</v>
      </c>
      <c r="K197" s="2" t="str">
        <f t="shared" si="18"/>
        <v>@CTW</v>
      </c>
      <c r="L197" s="1" t="str">
        <f t="shared" ref="L197:L257" si="21">C197&amp;","&amp;MONTH(D197)&amp;"/"&amp;DAY(D197)&amp;"/"&amp;YEAR(D197)&amp;","&amp;E197&amp;","&amp;F197&amp;","&amp;G197&amp;","&amp;H197&amp;","&amp;I197</f>
        <v>196,4/26/2004,0,12,8,2,0</v>
      </c>
    </row>
    <row r="198" spans="1:12" x14ac:dyDescent="0.2">
      <c r="A198" s="1" t="str">
        <f t="shared" si="19"/>
        <v>381039</v>
      </c>
      <c r="B198" s="1" t="str">
        <f t="shared" si="20"/>
        <v>3810316</v>
      </c>
      <c r="C198" s="1">
        <v>197</v>
      </c>
      <c r="D198" s="4">
        <v>38103</v>
      </c>
      <c r="E198" s="1">
        <v>0</v>
      </c>
      <c r="F198" s="1">
        <v>16</v>
      </c>
      <c r="G198" s="1">
        <v>9</v>
      </c>
      <c r="H198" s="1">
        <v>2</v>
      </c>
      <c r="I198" s="1">
        <v>0</v>
      </c>
      <c r="J198" s="2" t="str">
        <f t="shared" si="17"/>
        <v>DIG</v>
      </c>
      <c r="K198" s="2" t="str">
        <f t="shared" si="18"/>
        <v>@CIN</v>
      </c>
      <c r="L198" s="1" t="str">
        <f t="shared" si="21"/>
        <v>197,4/26/2004,0,16,9,2,0</v>
      </c>
    </row>
    <row r="199" spans="1:12" x14ac:dyDescent="0.2">
      <c r="A199" s="1" t="str">
        <f t="shared" si="19"/>
        <v>3810310</v>
      </c>
      <c r="B199" s="1" t="str">
        <f t="shared" si="20"/>
        <v>3810321</v>
      </c>
      <c r="C199" s="1">
        <v>198</v>
      </c>
      <c r="D199" s="4">
        <v>38103</v>
      </c>
      <c r="E199" s="1">
        <v>0</v>
      </c>
      <c r="F199" s="1">
        <v>21</v>
      </c>
      <c r="G199" s="1">
        <v>10</v>
      </c>
      <c r="H199" s="1">
        <v>2</v>
      </c>
      <c r="I199" s="1">
        <v>0</v>
      </c>
      <c r="J199" s="2" t="str">
        <f t="shared" si="17"/>
        <v>NYD</v>
      </c>
      <c r="K199" s="2" t="str">
        <f t="shared" si="18"/>
        <v>@REN</v>
      </c>
      <c r="L199" s="1" t="str">
        <f t="shared" si="21"/>
        <v>198,4/26/2004,0,21,10,2,0</v>
      </c>
    </row>
    <row r="200" spans="1:12" x14ac:dyDescent="0.2">
      <c r="A200" s="1" t="str">
        <f t="shared" si="19"/>
        <v>3810313</v>
      </c>
      <c r="B200" s="1" t="str">
        <f t="shared" si="20"/>
        <v>381031</v>
      </c>
      <c r="C200" s="1">
        <v>199</v>
      </c>
      <c r="D200" s="4">
        <v>38103</v>
      </c>
      <c r="E200" s="1">
        <v>0</v>
      </c>
      <c r="F200" s="1">
        <v>1</v>
      </c>
      <c r="G200" s="1">
        <v>13</v>
      </c>
      <c r="H200" s="1">
        <v>2</v>
      </c>
      <c r="I200" s="1">
        <v>0</v>
      </c>
      <c r="J200" s="2" t="str">
        <f t="shared" si="17"/>
        <v>FFR</v>
      </c>
      <c r="K200" s="2" t="str">
        <f t="shared" si="18"/>
        <v>@BBG</v>
      </c>
      <c r="L200" s="1" t="str">
        <f t="shared" si="21"/>
        <v>199,4/26/2004,0,1,13,2,0</v>
      </c>
    </row>
    <row r="201" spans="1:12" x14ac:dyDescent="0.2">
      <c r="A201" s="1" t="str">
        <f t="shared" si="19"/>
        <v>3810314</v>
      </c>
      <c r="B201" s="1" t="str">
        <f t="shared" si="20"/>
        <v>3810322</v>
      </c>
      <c r="C201" s="1">
        <v>200</v>
      </c>
      <c r="D201" s="4">
        <v>38103</v>
      </c>
      <c r="E201" s="1">
        <v>0</v>
      </c>
      <c r="F201" s="1">
        <v>22</v>
      </c>
      <c r="G201" s="1">
        <v>14</v>
      </c>
      <c r="H201" s="1">
        <v>2</v>
      </c>
      <c r="I201" s="1">
        <v>0</v>
      </c>
      <c r="J201" s="2" t="str">
        <f t="shared" si="17"/>
        <v>CBB</v>
      </c>
      <c r="K201" s="2" t="str">
        <f t="shared" si="18"/>
        <v>@CEN</v>
      </c>
      <c r="L201" s="1" t="str">
        <f t="shared" si="21"/>
        <v>200,4/26/2004,0,22,14,2,0</v>
      </c>
    </row>
    <row r="202" spans="1:12" x14ac:dyDescent="0.2">
      <c r="A202" s="1" t="str">
        <f t="shared" si="19"/>
        <v>3810317</v>
      </c>
      <c r="B202" s="1" t="str">
        <f t="shared" si="20"/>
        <v>381034</v>
      </c>
      <c r="C202" s="1">
        <v>201</v>
      </c>
      <c r="D202" s="4">
        <v>38103</v>
      </c>
      <c r="E202" s="1">
        <v>0</v>
      </c>
      <c r="F202" s="1">
        <v>4</v>
      </c>
      <c r="G202" s="1">
        <v>17</v>
      </c>
      <c r="H202" s="1">
        <v>2</v>
      </c>
      <c r="I202" s="1">
        <v>0</v>
      </c>
      <c r="J202" s="2" t="str">
        <f t="shared" si="17"/>
        <v>NNN</v>
      </c>
      <c r="K202" s="2" t="str">
        <f t="shared" si="18"/>
        <v>@GAR</v>
      </c>
      <c r="L202" s="1" t="str">
        <f t="shared" si="21"/>
        <v>201,4/26/2004,0,4,17,2,0</v>
      </c>
    </row>
    <row r="203" spans="1:12" x14ac:dyDescent="0.2">
      <c r="A203" s="1" t="str">
        <f t="shared" si="19"/>
        <v>3810320</v>
      </c>
      <c r="B203" s="1" t="str">
        <f t="shared" si="20"/>
        <v>3810323</v>
      </c>
      <c r="C203" s="1">
        <v>202</v>
      </c>
      <c r="D203" s="4">
        <v>38103</v>
      </c>
      <c r="E203" s="1">
        <v>0</v>
      </c>
      <c r="F203" s="1">
        <v>23</v>
      </c>
      <c r="G203" s="1">
        <v>20</v>
      </c>
      <c r="H203" s="1">
        <v>2</v>
      </c>
      <c r="I203" s="1">
        <v>0</v>
      </c>
      <c r="J203" s="2" t="str">
        <f t="shared" si="17"/>
        <v>BRK</v>
      </c>
      <c r="K203" s="2" t="str">
        <f t="shared" si="18"/>
        <v>@FDH</v>
      </c>
      <c r="L203" s="1" t="str">
        <f t="shared" si="21"/>
        <v>202,4/26/2004,0,23,20,2,0</v>
      </c>
    </row>
    <row r="204" spans="1:12" x14ac:dyDescent="0.2">
      <c r="A204" s="1" t="str">
        <f t="shared" si="19"/>
        <v>381042</v>
      </c>
      <c r="B204" s="1" t="str">
        <f t="shared" si="20"/>
        <v>3810424</v>
      </c>
      <c r="C204" s="1">
        <v>203</v>
      </c>
      <c r="D204" s="4">
        <v>38104</v>
      </c>
      <c r="E204" s="1">
        <v>0</v>
      </c>
      <c r="F204" s="1">
        <v>24</v>
      </c>
      <c r="G204" s="1">
        <v>2</v>
      </c>
      <c r="H204" s="1">
        <v>2</v>
      </c>
      <c r="I204" s="1">
        <v>0</v>
      </c>
      <c r="J204" s="2" t="str">
        <f t="shared" si="17"/>
        <v>PHI</v>
      </c>
      <c r="K204" s="2" t="str">
        <f t="shared" si="18"/>
        <v>@NEP</v>
      </c>
      <c r="L204" s="1" t="str">
        <f t="shared" si="21"/>
        <v>203,4/27/2004,0,24,2,2,0</v>
      </c>
    </row>
    <row r="205" spans="1:12" x14ac:dyDescent="0.2">
      <c r="A205" s="1" t="str">
        <f t="shared" si="19"/>
        <v>381043</v>
      </c>
      <c r="B205" s="1" t="str">
        <f t="shared" si="20"/>
        <v>3810411</v>
      </c>
      <c r="C205" s="1">
        <v>204</v>
      </c>
      <c r="D205" s="4">
        <v>38104</v>
      </c>
      <c r="E205" s="1">
        <v>0</v>
      </c>
      <c r="F205" s="1">
        <v>11</v>
      </c>
      <c r="G205" s="1">
        <v>3</v>
      </c>
      <c r="H205" s="1">
        <v>2</v>
      </c>
      <c r="I205" s="1">
        <v>0</v>
      </c>
      <c r="J205" s="2" t="str">
        <f t="shared" si="17"/>
        <v>HAR</v>
      </c>
      <c r="K205" s="2" t="str">
        <f t="shared" si="18"/>
        <v>@TEW</v>
      </c>
      <c r="L205" s="1" t="str">
        <f t="shared" si="21"/>
        <v>204,4/27/2004,0,11,3,2,0</v>
      </c>
    </row>
    <row r="206" spans="1:12" x14ac:dyDescent="0.2">
      <c r="A206" s="1" t="str">
        <f t="shared" si="19"/>
        <v>381047</v>
      </c>
      <c r="B206" s="1" t="str">
        <f t="shared" si="20"/>
        <v>381045</v>
      </c>
      <c r="C206" s="1">
        <v>205</v>
      </c>
      <c r="D206" s="4">
        <v>38104</v>
      </c>
      <c r="E206" s="1">
        <v>0</v>
      </c>
      <c r="F206" s="1">
        <v>5</v>
      </c>
      <c r="G206" s="1">
        <v>7</v>
      </c>
      <c r="H206" s="1">
        <v>2</v>
      </c>
      <c r="I206" s="1">
        <v>0</v>
      </c>
      <c r="J206" s="2" t="str">
        <f t="shared" si="17"/>
        <v>OKO</v>
      </c>
      <c r="K206" s="2" t="str">
        <f t="shared" si="18"/>
        <v>@BAR</v>
      </c>
      <c r="L206" s="1" t="str">
        <f t="shared" si="21"/>
        <v>205,4/27/2004,0,5,7,2,0</v>
      </c>
    </row>
    <row r="207" spans="1:12" x14ac:dyDescent="0.2">
      <c r="A207" s="1" t="str">
        <f t="shared" si="19"/>
        <v>381048</v>
      </c>
      <c r="B207" s="1" t="str">
        <f t="shared" si="20"/>
        <v>3810412</v>
      </c>
      <c r="C207" s="1">
        <v>206</v>
      </c>
      <c r="D207" s="4">
        <v>38104</v>
      </c>
      <c r="E207" s="1">
        <v>0</v>
      </c>
      <c r="F207" s="1">
        <v>12</v>
      </c>
      <c r="G207" s="1">
        <v>8</v>
      </c>
      <c r="H207" s="1">
        <v>2</v>
      </c>
      <c r="I207" s="1">
        <v>0</v>
      </c>
      <c r="J207" s="2" t="str">
        <f t="shared" si="17"/>
        <v>RMO</v>
      </c>
      <c r="K207" s="2" t="str">
        <f t="shared" si="18"/>
        <v>@CTW</v>
      </c>
      <c r="L207" s="1" t="str">
        <f t="shared" si="21"/>
        <v>206,4/27/2004,0,12,8,2,0</v>
      </c>
    </row>
    <row r="208" spans="1:12" x14ac:dyDescent="0.2">
      <c r="A208" s="1" t="str">
        <f t="shared" si="19"/>
        <v>381049</v>
      </c>
      <c r="B208" s="1" t="str">
        <f t="shared" si="20"/>
        <v>3810416</v>
      </c>
      <c r="C208" s="1">
        <v>207</v>
      </c>
      <c r="D208" s="4">
        <v>38104</v>
      </c>
      <c r="E208" s="1">
        <v>0</v>
      </c>
      <c r="F208" s="1">
        <v>16</v>
      </c>
      <c r="G208" s="1">
        <v>9</v>
      </c>
      <c r="H208" s="1">
        <v>2</v>
      </c>
      <c r="I208" s="1">
        <v>0</v>
      </c>
      <c r="J208" s="2" t="str">
        <f t="shared" si="17"/>
        <v>DIG</v>
      </c>
      <c r="K208" s="2" t="str">
        <f t="shared" si="18"/>
        <v>@CIN</v>
      </c>
      <c r="L208" s="1" t="str">
        <f t="shared" si="21"/>
        <v>207,4/27/2004,0,16,9,2,0</v>
      </c>
    </row>
    <row r="209" spans="1:12" x14ac:dyDescent="0.2">
      <c r="A209" s="1" t="str">
        <f t="shared" si="19"/>
        <v>3810410</v>
      </c>
      <c r="B209" s="1" t="str">
        <f t="shared" si="20"/>
        <v>3810421</v>
      </c>
      <c r="C209" s="1">
        <v>208</v>
      </c>
      <c r="D209" s="4">
        <v>38104</v>
      </c>
      <c r="E209" s="1">
        <v>0</v>
      </c>
      <c r="F209" s="1">
        <v>21</v>
      </c>
      <c r="G209" s="1">
        <v>10</v>
      </c>
      <c r="H209" s="1">
        <v>2</v>
      </c>
      <c r="I209" s="1">
        <v>0</v>
      </c>
      <c r="J209" s="2" t="str">
        <f t="shared" si="17"/>
        <v>NYD</v>
      </c>
      <c r="K209" s="2" t="str">
        <f t="shared" si="18"/>
        <v>@REN</v>
      </c>
      <c r="L209" s="1" t="str">
        <f t="shared" si="21"/>
        <v>208,4/27/2004,0,21,10,2,0</v>
      </c>
    </row>
    <row r="210" spans="1:12" x14ac:dyDescent="0.2">
      <c r="A210" s="1" t="str">
        <f t="shared" si="19"/>
        <v>3810413</v>
      </c>
      <c r="B210" s="1" t="str">
        <f t="shared" si="20"/>
        <v>381041</v>
      </c>
      <c r="C210" s="1">
        <v>209</v>
      </c>
      <c r="D210" s="4">
        <v>38104</v>
      </c>
      <c r="E210" s="1">
        <v>0</v>
      </c>
      <c r="F210" s="1">
        <v>1</v>
      </c>
      <c r="G210" s="1">
        <v>13</v>
      </c>
      <c r="H210" s="1">
        <v>2</v>
      </c>
      <c r="I210" s="1">
        <v>0</v>
      </c>
      <c r="J210" s="2" t="str">
        <f t="shared" si="17"/>
        <v>FFR</v>
      </c>
      <c r="K210" s="2" t="str">
        <f t="shared" si="18"/>
        <v>@BBG</v>
      </c>
      <c r="L210" s="1" t="str">
        <f t="shared" si="21"/>
        <v>209,4/27/2004,0,1,13,2,0</v>
      </c>
    </row>
    <row r="211" spans="1:12" x14ac:dyDescent="0.2">
      <c r="A211" s="1" t="str">
        <f t="shared" si="19"/>
        <v>3810414</v>
      </c>
      <c r="B211" s="1" t="str">
        <f t="shared" si="20"/>
        <v>3810422</v>
      </c>
      <c r="C211" s="1">
        <v>210</v>
      </c>
      <c r="D211" s="4">
        <v>38104</v>
      </c>
      <c r="E211" s="1">
        <v>0</v>
      </c>
      <c r="F211" s="1">
        <v>22</v>
      </c>
      <c r="G211" s="1">
        <v>14</v>
      </c>
      <c r="H211" s="1">
        <v>2</v>
      </c>
      <c r="I211" s="1">
        <v>0</v>
      </c>
      <c r="J211" s="2" t="str">
        <f t="shared" si="17"/>
        <v>CBB</v>
      </c>
      <c r="K211" s="2" t="str">
        <f t="shared" si="18"/>
        <v>@CEN</v>
      </c>
      <c r="L211" s="1" t="str">
        <f t="shared" si="21"/>
        <v>210,4/27/2004,0,22,14,2,0</v>
      </c>
    </row>
    <row r="212" spans="1:12" x14ac:dyDescent="0.2">
      <c r="A212" s="1" t="str">
        <f t="shared" si="19"/>
        <v>3810417</v>
      </c>
      <c r="B212" s="1" t="str">
        <f t="shared" si="20"/>
        <v>381044</v>
      </c>
      <c r="C212" s="1">
        <v>211</v>
      </c>
      <c r="D212" s="4">
        <v>38104</v>
      </c>
      <c r="E212" s="1">
        <v>0</v>
      </c>
      <c r="F212" s="1">
        <v>4</v>
      </c>
      <c r="G212" s="1">
        <v>17</v>
      </c>
      <c r="H212" s="1">
        <v>2</v>
      </c>
      <c r="I212" s="1">
        <v>0</v>
      </c>
      <c r="J212" s="2" t="str">
        <f t="shared" si="17"/>
        <v>NNN</v>
      </c>
      <c r="K212" s="2" t="str">
        <f t="shared" si="18"/>
        <v>@GAR</v>
      </c>
      <c r="L212" s="1" t="str">
        <f t="shared" si="21"/>
        <v>211,4/27/2004,0,4,17,2,0</v>
      </c>
    </row>
    <row r="213" spans="1:12" x14ac:dyDescent="0.2">
      <c r="A213" s="1" t="str">
        <f t="shared" si="19"/>
        <v>3810420</v>
      </c>
      <c r="B213" s="1" t="str">
        <f t="shared" si="20"/>
        <v>3810423</v>
      </c>
      <c r="C213" s="1">
        <v>212</v>
      </c>
      <c r="D213" s="4">
        <v>38104</v>
      </c>
      <c r="E213" s="1">
        <v>0</v>
      </c>
      <c r="F213" s="1">
        <v>23</v>
      </c>
      <c r="G213" s="1">
        <v>20</v>
      </c>
      <c r="H213" s="1">
        <v>2</v>
      </c>
      <c r="I213" s="1">
        <v>0</v>
      </c>
      <c r="J213" s="2" t="str">
        <f t="shared" si="17"/>
        <v>BRK</v>
      </c>
      <c r="K213" s="2" t="str">
        <f t="shared" si="18"/>
        <v>@FDH</v>
      </c>
      <c r="L213" s="1" t="str">
        <f t="shared" si="21"/>
        <v>212,4/27/2004,0,23,20,2,0</v>
      </c>
    </row>
    <row r="214" spans="1:12" x14ac:dyDescent="0.2">
      <c r="A214" s="1" t="str">
        <f t="shared" si="19"/>
        <v>381052</v>
      </c>
      <c r="B214" s="1" t="str">
        <f t="shared" si="20"/>
        <v>3810524</v>
      </c>
      <c r="C214" s="1">
        <v>213</v>
      </c>
      <c r="D214" s="4">
        <v>38105</v>
      </c>
      <c r="E214" s="1">
        <v>0</v>
      </c>
      <c r="F214" s="1">
        <v>24</v>
      </c>
      <c r="G214" s="1">
        <v>2</v>
      </c>
      <c r="H214" s="1">
        <v>2</v>
      </c>
      <c r="I214" s="1">
        <v>0</v>
      </c>
      <c r="J214" s="2" t="str">
        <f t="shared" si="17"/>
        <v>PHI</v>
      </c>
      <c r="K214" s="2" t="str">
        <f t="shared" si="18"/>
        <v>@NEP</v>
      </c>
      <c r="L214" s="1" t="str">
        <f t="shared" si="21"/>
        <v>213,4/28/2004,0,24,2,2,0</v>
      </c>
    </row>
    <row r="215" spans="1:12" x14ac:dyDescent="0.2">
      <c r="A215" s="1" t="str">
        <f t="shared" si="19"/>
        <v>381053</v>
      </c>
      <c r="B215" s="1" t="str">
        <f t="shared" si="20"/>
        <v>3810511</v>
      </c>
      <c r="C215" s="1">
        <v>214</v>
      </c>
      <c r="D215" s="4">
        <v>38105</v>
      </c>
      <c r="E215" s="1">
        <v>0</v>
      </c>
      <c r="F215" s="1">
        <v>11</v>
      </c>
      <c r="G215" s="1">
        <v>3</v>
      </c>
      <c r="H215" s="1">
        <v>2</v>
      </c>
      <c r="I215" s="1">
        <v>0</v>
      </c>
      <c r="J215" s="2" t="str">
        <f t="shared" si="17"/>
        <v>HAR</v>
      </c>
      <c r="K215" s="2" t="str">
        <f t="shared" si="18"/>
        <v>@TEW</v>
      </c>
      <c r="L215" s="1" t="str">
        <f t="shared" si="21"/>
        <v>214,4/28/2004,0,11,3,2,0</v>
      </c>
    </row>
    <row r="216" spans="1:12" x14ac:dyDescent="0.2">
      <c r="A216" s="1" t="str">
        <f t="shared" si="19"/>
        <v>381057</v>
      </c>
      <c r="B216" s="1" t="str">
        <f t="shared" si="20"/>
        <v>381055</v>
      </c>
      <c r="C216" s="1">
        <v>215</v>
      </c>
      <c r="D216" s="4">
        <v>38105</v>
      </c>
      <c r="E216" s="1">
        <v>0</v>
      </c>
      <c r="F216" s="1">
        <v>5</v>
      </c>
      <c r="G216" s="1">
        <v>7</v>
      </c>
      <c r="H216" s="1">
        <v>2</v>
      </c>
      <c r="I216" s="1">
        <v>0</v>
      </c>
      <c r="J216" s="2" t="str">
        <f t="shared" si="17"/>
        <v>OKO</v>
      </c>
      <c r="K216" s="2" t="str">
        <f t="shared" si="18"/>
        <v>@BAR</v>
      </c>
      <c r="L216" s="1" t="str">
        <f t="shared" si="21"/>
        <v>215,4/28/2004,0,5,7,2,0</v>
      </c>
    </row>
    <row r="217" spans="1:12" x14ac:dyDescent="0.2">
      <c r="A217" s="1" t="str">
        <f t="shared" si="19"/>
        <v>381058</v>
      </c>
      <c r="B217" s="1" t="str">
        <f t="shared" si="20"/>
        <v>3810512</v>
      </c>
      <c r="C217" s="1">
        <v>216</v>
      </c>
      <c r="D217" s="4">
        <v>38105</v>
      </c>
      <c r="E217" s="1">
        <v>0</v>
      </c>
      <c r="F217" s="1">
        <v>12</v>
      </c>
      <c r="G217" s="1">
        <v>8</v>
      </c>
      <c r="H217" s="1">
        <v>2</v>
      </c>
      <c r="I217" s="1">
        <v>0</v>
      </c>
      <c r="J217" s="2" t="str">
        <f t="shared" si="17"/>
        <v>RMO</v>
      </c>
      <c r="K217" s="2" t="str">
        <f t="shared" si="18"/>
        <v>@CTW</v>
      </c>
      <c r="L217" s="1" t="str">
        <f t="shared" si="21"/>
        <v>216,4/28/2004,0,12,8,2,0</v>
      </c>
    </row>
    <row r="218" spans="1:12" x14ac:dyDescent="0.2">
      <c r="A218" s="1" t="str">
        <f t="shared" si="19"/>
        <v>381059</v>
      </c>
      <c r="B218" s="1" t="str">
        <f t="shared" si="20"/>
        <v>3810516</v>
      </c>
      <c r="C218" s="1">
        <v>217</v>
      </c>
      <c r="D218" s="4">
        <v>38105</v>
      </c>
      <c r="E218" s="1">
        <v>0</v>
      </c>
      <c r="F218" s="1">
        <v>16</v>
      </c>
      <c r="G218" s="1">
        <v>9</v>
      </c>
      <c r="H218" s="1">
        <v>2</v>
      </c>
      <c r="I218" s="1">
        <v>0</v>
      </c>
      <c r="J218" s="2" t="str">
        <f t="shared" si="17"/>
        <v>DIG</v>
      </c>
      <c r="K218" s="2" t="str">
        <f t="shared" si="18"/>
        <v>@CIN</v>
      </c>
      <c r="L218" s="1" t="str">
        <f t="shared" si="21"/>
        <v>217,4/28/2004,0,16,9,2,0</v>
      </c>
    </row>
    <row r="219" spans="1:12" x14ac:dyDescent="0.2">
      <c r="A219" s="1" t="str">
        <f t="shared" si="19"/>
        <v>3810510</v>
      </c>
      <c r="B219" s="1" t="str">
        <f t="shared" si="20"/>
        <v>3810521</v>
      </c>
      <c r="C219" s="1">
        <v>218</v>
      </c>
      <c r="D219" s="4">
        <v>38105</v>
      </c>
      <c r="E219" s="1">
        <v>0</v>
      </c>
      <c r="F219" s="1">
        <v>21</v>
      </c>
      <c r="G219" s="1">
        <v>10</v>
      </c>
      <c r="H219" s="1">
        <v>2</v>
      </c>
      <c r="I219" s="1">
        <v>0</v>
      </c>
      <c r="J219" s="2" t="str">
        <f t="shared" si="17"/>
        <v>NYD</v>
      </c>
      <c r="K219" s="2" t="str">
        <f t="shared" si="18"/>
        <v>@REN</v>
      </c>
      <c r="L219" s="1" t="str">
        <f t="shared" si="21"/>
        <v>218,4/28/2004,0,21,10,2,0</v>
      </c>
    </row>
    <row r="220" spans="1:12" x14ac:dyDescent="0.2">
      <c r="A220" s="1" t="str">
        <f t="shared" si="19"/>
        <v>3810513</v>
      </c>
      <c r="B220" s="1" t="str">
        <f t="shared" si="20"/>
        <v>381051</v>
      </c>
      <c r="C220" s="1">
        <v>219</v>
      </c>
      <c r="D220" s="4">
        <v>38105</v>
      </c>
      <c r="E220" s="1">
        <v>0</v>
      </c>
      <c r="F220" s="1">
        <v>1</v>
      </c>
      <c r="G220" s="1">
        <v>13</v>
      </c>
      <c r="H220" s="1">
        <v>2</v>
      </c>
      <c r="I220" s="1">
        <v>0</v>
      </c>
      <c r="J220" s="2" t="str">
        <f t="shared" si="17"/>
        <v>FFR</v>
      </c>
      <c r="K220" s="2" t="str">
        <f t="shared" si="18"/>
        <v>@BBG</v>
      </c>
      <c r="L220" s="1" t="str">
        <f t="shared" si="21"/>
        <v>219,4/28/2004,0,1,13,2,0</v>
      </c>
    </row>
    <row r="221" spans="1:12" x14ac:dyDescent="0.2">
      <c r="A221" s="1" t="str">
        <f t="shared" si="19"/>
        <v>3810514</v>
      </c>
      <c r="B221" s="1" t="str">
        <f t="shared" si="20"/>
        <v>3810522</v>
      </c>
      <c r="C221" s="1">
        <v>220</v>
      </c>
      <c r="D221" s="4">
        <v>38105</v>
      </c>
      <c r="E221" s="1">
        <v>0</v>
      </c>
      <c r="F221" s="1">
        <v>22</v>
      </c>
      <c r="G221" s="1">
        <v>14</v>
      </c>
      <c r="H221" s="1">
        <v>2</v>
      </c>
      <c r="I221" s="1">
        <v>0</v>
      </c>
      <c r="J221" s="2" t="str">
        <f t="shared" si="17"/>
        <v>CBB</v>
      </c>
      <c r="K221" s="2" t="str">
        <f t="shared" si="18"/>
        <v>@CEN</v>
      </c>
      <c r="L221" s="1" t="str">
        <f t="shared" si="21"/>
        <v>220,4/28/2004,0,22,14,2,0</v>
      </c>
    </row>
    <row r="222" spans="1:12" x14ac:dyDescent="0.2">
      <c r="A222" s="1" t="str">
        <f t="shared" si="19"/>
        <v>3810517</v>
      </c>
      <c r="B222" s="1" t="str">
        <f t="shared" si="20"/>
        <v>381054</v>
      </c>
      <c r="C222" s="1">
        <v>221</v>
      </c>
      <c r="D222" s="4">
        <v>38105</v>
      </c>
      <c r="E222" s="1">
        <v>0</v>
      </c>
      <c r="F222" s="1">
        <v>4</v>
      </c>
      <c r="G222" s="1">
        <v>17</v>
      </c>
      <c r="H222" s="1">
        <v>2</v>
      </c>
      <c r="I222" s="1">
        <v>0</v>
      </c>
      <c r="J222" s="2" t="str">
        <f t="shared" si="17"/>
        <v>NNN</v>
      </c>
      <c r="K222" s="2" t="str">
        <f t="shared" si="18"/>
        <v>@GAR</v>
      </c>
      <c r="L222" s="1" t="str">
        <f t="shared" si="21"/>
        <v>221,4/28/2004,0,4,17,2,0</v>
      </c>
    </row>
    <row r="223" spans="1:12" x14ac:dyDescent="0.2">
      <c r="A223" s="1" t="str">
        <f t="shared" si="19"/>
        <v>3810520</v>
      </c>
      <c r="B223" s="1" t="str">
        <f t="shared" si="20"/>
        <v>3810523</v>
      </c>
      <c r="C223" s="1">
        <v>222</v>
      </c>
      <c r="D223" s="4">
        <v>38105</v>
      </c>
      <c r="E223" s="1">
        <v>0</v>
      </c>
      <c r="F223" s="1">
        <v>23</v>
      </c>
      <c r="G223" s="1">
        <v>20</v>
      </c>
      <c r="H223" s="1">
        <v>2</v>
      </c>
      <c r="I223" s="1">
        <v>0</v>
      </c>
      <c r="J223" s="2" t="str">
        <f t="shared" si="17"/>
        <v>BRK</v>
      </c>
      <c r="K223" s="2" t="str">
        <f t="shared" si="18"/>
        <v>@FDH</v>
      </c>
      <c r="L223" s="1" t="str">
        <f t="shared" si="21"/>
        <v>222,4/28/2004,0,23,20,2,0</v>
      </c>
    </row>
    <row r="224" spans="1:12" x14ac:dyDescent="0.2">
      <c r="A224" s="1" t="str">
        <f t="shared" si="19"/>
        <v>381062</v>
      </c>
      <c r="B224" s="1" t="str">
        <f t="shared" si="20"/>
        <v>3810624</v>
      </c>
      <c r="C224" s="1">
        <v>223</v>
      </c>
      <c r="D224" s="4">
        <v>38106</v>
      </c>
      <c r="E224" s="1">
        <v>0</v>
      </c>
      <c r="F224" s="1">
        <v>24</v>
      </c>
      <c r="G224" s="1">
        <v>2</v>
      </c>
      <c r="H224" s="1">
        <v>2</v>
      </c>
      <c r="I224" s="1">
        <v>0</v>
      </c>
      <c r="J224" s="2" t="str">
        <f t="shared" si="17"/>
        <v>PHI</v>
      </c>
      <c r="K224" s="2" t="str">
        <f t="shared" si="18"/>
        <v>@NEP</v>
      </c>
      <c r="L224" s="1" t="str">
        <f t="shared" si="21"/>
        <v>223,4/29/2004,0,24,2,2,0</v>
      </c>
    </row>
    <row r="225" spans="1:12" x14ac:dyDescent="0.2">
      <c r="A225" s="1" t="str">
        <f t="shared" si="19"/>
        <v>381063</v>
      </c>
      <c r="B225" s="1" t="str">
        <f t="shared" si="20"/>
        <v>3810611</v>
      </c>
      <c r="C225" s="1">
        <v>224</v>
      </c>
      <c r="D225" s="4">
        <v>38106</v>
      </c>
      <c r="E225" s="1">
        <v>0</v>
      </c>
      <c r="F225" s="1">
        <v>11</v>
      </c>
      <c r="G225" s="1">
        <v>3</v>
      </c>
      <c r="H225" s="1">
        <v>2</v>
      </c>
      <c r="I225" s="1">
        <v>0</v>
      </c>
      <c r="J225" s="2" t="str">
        <f t="shared" si="17"/>
        <v>HAR</v>
      </c>
      <c r="K225" s="2" t="str">
        <f t="shared" si="18"/>
        <v>@TEW</v>
      </c>
      <c r="L225" s="1" t="str">
        <f t="shared" si="21"/>
        <v>224,4/29/2004,0,11,3,2,0</v>
      </c>
    </row>
    <row r="226" spans="1:12" x14ac:dyDescent="0.2">
      <c r="A226" s="1" t="str">
        <f t="shared" si="19"/>
        <v>381067</v>
      </c>
      <c r="B226" s="1" t="str">
        <f t="shared" si="20"/>
        <v>381065</v>
      </c>
      <c r="C226" s="1">
        <v>225</v>
      </c>
      <c r="D226" s="4">
        <v>38106</v>
      </c>
      <c r="E226" s="1">
        <v>0</v>
      </c>
      <c r="F226" s="1">
        <v>5</v>
      </c>
      <c r="G226" s="1">
        <v>7</v>
      </c>
      <c r="H226" s="1">
        <v>2</v>
      </c>
      <c r="I226" s="1">
        <v>0</v>
      </c>
      <c r="J226" s="2" t="str">
        <f t="shared" si="17"/>
        <v>OKO</v>
      </c>
      <c r="K226" s="2" t="str">
        <f t="shared" si="18"/>
        <v>@BAR</v>
      </c>
      <c r="L226" s="1" t="str">
        <f t="shared" si="21"/>
        <v>225,4/29/2004,0,5,7,2,0</v>
      </c>
    </row>
    <row r="227" spans="1:12" x14ac:dyDescent="0.2">
      <c r="A227" s="1" t="str">
        <f t="shared" si="19"/>
        <v>381068</v>
      </c>
      <c r="B227" s="1" t="str">
        <f t="shared" si="20"/>
        <v>3810612</v>
      </c>
      <c r="C227" s="1">
        <v>226</v>
      </c>
      <c r="D227" s="4">
        <v>38106</v>
      </c>
      <c r="E227" s="1">
        <v>0</v>
      </c>
      <c r="F227" s="1">
        <v>12</v>
      </c>
      <c r="G227" s="1">
        <v>8</v>
      </c>
      <c r="H227" s="1">
        <v>2</v>
      </c>
      <c r="I227" s="1">
        <v>0</v>
      </c>
      <c r="J227" s="2" t="str">
        <f t="shared" si="17"/>
        <v>RMO</v>
      </c>
      <c r="K227" s="2" t="str">
        <f t="shared" si="18"/>
        <v>@CTW</v>
      </c>
      <c r="L227" s="1" t="str">
        <f t="shared" si="21"/>
        <v>226,4/29/2004,0,12,8,2,0</v>
      </c>
    </row>
    <row r="228" spans="1:12" x14ac:dyDescent="0.2">
      <c r="A228" s="1" t="str">
        <f t="shared" si="19"/>
        <v>381069</v>
      </c>
      <c r="B228" s="1" t="str">
        <f t="shared" si="20"/>
        <v>3810616</v>
      </c>
      <c r="C228" s="1">
        <v>227</v>
      </c>
      <c r="D228" s="4">
        <v>38106</v>
      </c>
      <c r="E228" s="1">
        <v>0</v>
      </c>
      <c r="F228" s="1">
        <v>16</v>
      </c>
      <c r="G228" s="1">
        <v>9</v>
      </c>
      <c r="H228" s="1">
        <v>2</v>
      </c>
      <c r="I228" s="1">
        <v>0</v>
      </c>
      <c r="J228" s="2" t="str">
        <f t="shared" si="17"/>
        <v>DIG</v>
      </c>
      <c r="K228" s="2" t="str">
        <f t="shared" si="18"/>
        <v>@CIN</v>
      </c>
      <c r="L228" s="1" t="str">
        <f t="shared" si="21"/>
        <v>227,4/29/2004,0,16,9,2,0</v>
      </c>
    </row>
    <row r="229" spans="1:12" x14ac:dyDescent="0.2">
      <c r="A229" s="1" t="str">
        <f t="shared" si="19"/>
        <v>3810610</v>
      </c>
      <c r="B229" s="1" t="str">
        <f t="shared" si="20"/>
        <v>3810621</v>
      </c>
      <c r="C229" s="1">
        <v>228</v>
      </c>
      <c r="D229" s="4">
        <v>38106</v>
      </c>
      <c r="E229" s="1">
        <v>0</v>
      </c>
      <c r="F229" s="1">
        <v>21</v>
      </c>
      <c r="G229" s="1">
        <v>10</v>
      </c>
      <c r="H229" s="1">
        <v>2</v>
      </c>
      <c r="I229" s="1">
        <v>0</v>
      </c>
      <c r="J229" s="2" t="str">
        <f t="shared" si="17"/>
        <v>NYD</v>
      </c>
      <c r="K229" s="2" t="str">
        <f t="shared" si="18"/>
        <v>@REN</v>
      </c>
      <c r="L229" s="1" t="str">
        <f t="shared" si="21"/>
        <v>228,4/29/2004,0,21,10,2,0</v>
      </c>
    </row>
    <row r="230" spans="1:12" x14ac:dyDescent="0.2">
      <c r="A230" s="1" t="str">
        <f t="shared" si="19"/>
        <v>3810613</v>
      </c>
      <c r="B230" s="1" t="str">
        <f t="shared" si="20"/>
        <v>381061</v>
      </c>
      <c r="C230" s="1">
        <v>229</v>
      </c>
      <c r="D230" s="4">
        <v>38106</v>
      </c>
      <c r="E230" s="1">
        <v>0</v>
      </c>
      <c r="F230" s="1">
        <v>1</v>
      </c>
      <c r="G230" s="1">
        <v>13</v>
      </c>
      <c r="H230" s="1">
        <v>2</v>
      </c>
      <c r="I230" s="1">
        <v>0</v>
      </c>
      <c r="J230" s="2" t="str">
        <f t="shared" si="17"/>
        <v>FFR</v>
      </c>
      <c r="K230" s="2" t="str">
        <f t="shared" si="18"/>
        <v>@BBG</v>
      </c>
      <c r="L230" s="1" t="str">
        <f t="shared" si="21"/>
        <v>229,4/29/2004,0,1,13,2,0</v>
      </c>
    </row>
    <row r="231" spans="1:12" x14ac:dyDescent="0.2">
      <c r="A231" s="1" t="str">
        <f t="shared" si="19"/>
        <v>3810614</v>
      </c>
      <c r="B231" s="1" t="str">
        <f t="shared" si="20"/>
        <v>3810622</v>
      </c>
      <c r="C231" s="1">
        <v>230</v>
      </c>
      <c r="D231" s="4">
        <v>38106</v>
      </c>
      <c r="E231" s="1">
        <v>0</v>
      </c>
      <c r="F231" s="1">
        <v>22</v>
      </c>
      <c r="G231" s="1">
        <v>14</v>
      </c>
      <c r="H231" s="1">
        <v>2</v>
      </c>
      <c r="I231" s="1">
        <v>0</v>
      </c>
      <c r="J231" s="2" t="str">
        <f t="shared" si="17"/>
        <v>CBB</v>
      </c>
      <c r="K231" s="2" t="str">
        <f t="shared" si="18"/>
        <v>@CEN</v>
      </c>
      <c r="L231" s="1" t="str">
        <f t="shared" si="21"/>
        <v>230,4/29/2004,0,22,14,2,0</v>
      </c>
    </row>
    <row r="232" spans="1:12" x14ac:dyDescent="0.2">
      <c r="A232" s="1" t="str">
        <f t="shared" si="19"/>
        <v>3810617</v>
      </c>
      <c r="B232" s="1" t="str">
        <f t="shared" si="20"/>
        <v>381064</v>
      </c>
      <c r="C232" s="1">
        <v>231</v>
      </c>
      <c r="D232" s="4">
        <v>38106</v>
      </c>
      <c r="E232" s="1">
        <v>0</v>
      </c>
      <c r="F232" s="1">
        <v>4</v>
      </c>
      <c r="G232" s="1">
        <v>17</v>
      </c>
      <c r="H232" s="1">
        <v>2</v>
      </c>
      <c r="I232" s="1">
        <v>0</v>
      </c>
      <c r="J232" s="2" t="str">
        <f t="shared" si="17"/>
        <v>NNN</v>
      </c>
      <c r="K232" s="2" t="str">
        <f t="shared" si="18"/>
        <v>@GAR</v>
      </c>
      <c r="L232" s="1" t="str">
        <f t="shared" si="21"/>
        <v>231,4/29/2004,0,4,17,2,0</v>
      </c>
    </row>
    <row r="233" spans="1:12" x14ac:dyDescent="0.2">
      <c r="A233" s="1" t="str">
        <f t="shared" si="19"/>
        <v>3810620</v>
      </c>
      <c r="B233" s="1" t="str">
        <f t="shared" si="20"/>
        <v>3810623</v>
      </c>
      <c r="C233" s="1">
        <v>232</v>
      </c>
      <c r="D233" s="4">
        <v>38106</v>
      </c>
      <c r="E233" s="1">
        <v>0</v>
      </c>
      <c r="F233" s="1">
        <v>23</v>
      </c>
      <c r="G233" s="1">
        <v>20</v>
      </c>
      <c r="H233" s="1">
        <v>2</v>
      </c>
      <c r="I233" s="1">
        <v>0</v>
      </c>
      <c r="J233" s="2" t="str">
        <f t="shared" si="17"/>
        <v>BRK</v>
      </c>
      <c r="K233" s="2" t="str">
        <f t="shared" si="18"/>
        <v>@FDH</v>
      </c>
      <c r="L233" s="1" t="str">
        <f t="shared" si="21"/>
        <v>232,4/29/2004,0,23,20,2,0</v>
      </c>
    </row>
    <row r="234" spans="1:12" x14ac:dyDescent="0.2">
      <c r="A234" s="1" t="str">
        <f t="shared" si="19"/>
        <v>381071</v>
      </c>
      <c r="B234" s="1" t="str">
        <f t="shared" si="20"/>
        <v>381072</v>
      </c>
      <c r="C234" s="1">
        <v>233</v>
      </c>
      <c r="D234" s="4">
        <v>38107</v>
      </c>
      <c r="E234" s="1">
        <v>0</v>
      </c>
      <c r="F234" s="1">
        <v>2</v>
      </c>
      <c r="G234" s="1">
        <v>1</v>
      </c>
      <c r="H234" s="1">
        <v>2</v>
      </c>
      <c r="I234" s="1">
        <v>0</v>
      </c>
      <c r="J234" s="2" t="str">
        <f t="shared" si="17"/>
        <v>NEP</v>
      </c>
      <c r="K234" s="2" t="str">
        <f t="shared" si="18"/>
        <v>@FFR</v>
      </c>
      <c r="L234" s="1" t="str">
        <f t="shared" si="21"/>
        <v>233,4/30/2004,0,2,1,2,0</v>
      </c>
    </row>
    <row r="235" spans="1:12" x14ac:dyDescent="0.2">
      <c r="A235" s="1" t="str">
        <f t="shared" si="19"/>
        <v>381074</v>
      </c>
      <c r="B235" s="1" t="str">
        <f t="shared" si="20"/>
        <v>381073</v>
      </c>
      <c r="C235" s="1">
        <v>234</v>
      </c>
      <c r="D235" s="4">
        <v>38107</v>
      </c>
      <c r="E235" s="1">
        <v>0</v>
      </c>
      <c r="F235" s="1">
        <v>3</v>
      </c>
      <c r="G235" s="1">
        <v>4</v>
      </c>
      <c r="H235" s="1">
        <v>2</v>
      </c>
      <c r="I235" s="1">
        <v>0</v>
      </c>
      <c r="J235" s="2" t="str">
        <f t="shared" si="17"/>
        <v>TEW</v>
      </c>
      <c r="K235" s="2" t="str">
        <f t="shared" si="18"/>
        <v>@NNN</v>
      </c>
      <c r="L235" s="1" t="str">
        <f t="shared" si="21"/>
        <v>234,4/30/2004,0,3,4,2,0</v>
      </c>
    </row>
    <row r="236" spans="1:12" x14ac:dyDescent="0.2">
      <c r="A236" s="1" t="str">
        <f t="shared" si="19"/>
        <v>381075</v>
      </c>
      <c r="B236" s="1" t="str">
        <f t="shared" si="20"/>
        <v>3810710</v>
      </c>
      <c r="C236" s="1">
        <v>235</v>
      </c>
      <c r="D236" s="4">
        <v>38107</v>
      </c>
      <c r="E236" s="1">
        <v>0</v>
      </c>
      <c r="F236" s="1">
        <v>10</v>
      </c>
      <c r="G236" s="1">
        <v>5</v>
      </c>
      <c r="H236" s="1">
        <v>2</v>
      </c>
      <c r="I236" s="1">
        <v>0</v>
      </c>
      <c r="J236" s="2" t="str">
        <f t="shared" si="17"/>
        <v>REN</v>
      </c>
      <c r="K236" s="2" t="str">
        <f t="shared" si="18"/>
        <v>@OKO</v>
      </c>
      <c r="L236" s="1" t="str">
        <f t="shared" si="21"/>
        <v>235,4/30/2004,0,10,5,2,0</v>
      </c>
    </row>
    <row r="237" spans="1:12" x14ac:dyDescent="0.2">
      <c r="A237" s="1" t="str">
        <f t="shared" si="19"/>
        <v>3810711</v>
      </c>
      <c r="B237" s="1" t="str">
        <f t="shared" si="20"/>
        <v>381078</v>
      </c>
      <c r="C237" s="1">
        <v>236</v>
      </c>
      <c r="D237" s="4">
        <v>38107</v>
      </c>
      <c r="E237" s="1">
        <v>0</v>
      </c>
      <c r="F237" s="1">
        <v>8</v>
      </c>
      <c r="G237" s="1">
        <v>11</v>
      </c>
      <c r="H237" s="1">
        <v>2</v>
      </c>
      <c r="I237" s="1">
        <v>0</v>
      </c>
      <c r="J237" s="2" t="str">
        <f t="shared" si="17"/>
        <v>CTW</v>
      </c>
      <c r="K237" s="2" t="str">
        <f t="shared" si="18"/>
        <v>@HAR</v>
      </c>
      <c r="L237" s="1" t="str">
        <f t="shared" si="21"/>
        <v>236,4/30/2004,0,8,11,2,0</v>
      </c>
    </row>
    <row r="238" spans="1:12" x14ac:dyDescent="0.2">
      <c r="A238" s="1" t="str">
        <f t="shared" si="19"/>
        <v>3810712</v>
      </c>
      <c r="B238" s="1" t="str">
        <f t="shared" si="20"/>
        <v>3810720</v>
      </c>
      <c r="C238" s="1">
        <v>237</v>
      </c>
      <c r="D238" s="4">
        <v>38107</v>
      </c>
      <c r="E238" s="1">
        <v>0</v>
      </c>
      <c r="F238" s="1">
        <v>20</v>
      </c>
      <c r="G238" s="1">
        <v>12</v>
      </c>
      <c r="H238" s="1">
        <v>2</v>
      </c>
      <c r="I238" s="1">
        <v>0</v>
      </c>
      <c r="J238" s="2" t="str">
        <f t="shared" si="17"/>
        <v>FDH</v>
      </c>
      <c r="K238" s="2" t="str">
        <f t="shared" si="18"/>
        <v>@RMO</v>
      </c>
      <c r="L238" s="1" t="str">
        <f t="shared" si="21"/>
        <v>237,4/30/2004,0,20,12,2,0</v>
      </c>
    </row>
    <row r="239" spans="1:12" x14ac:dyDescent="0.2">
      <c r="A239" s="1" t="str">
        <f t="shared" si="19"/>
        <v>3810716</v>
      </c>
      <c r="B239" s="1" t="str">
        <f t="shared" si="20"/>
        <v>3810714</v>
      </c>
      <c r="C239" s="1">
        <v>238</v>
      </c>
      <c r="D239" s="4">
        <v>38107</v>
      </c>
      <c r="E239" s="1">
        <v>0</v>
      </c>
      <c r="F239" s="1">
        <v>14</v>
      </c>
      <c r="G239" s="1">
        <v>16</v>
      </c>
      <c r="H239" s="1">
        <v>2</v>
      </c>
      <c r="I239" s="1">
        <v>0</v>
      </c>
      <c r="J239" s="2" t="str">
        <f t="shared" si="17"/>
        <v>CEN</v>
      </c>
      <c r="K239" s="2" t="str">
        <f t="shared" si="18"/>
        <v>@DIG</v>
      </c>
      <c r="L239" s="1" t="str">
        <f t="shared" si="21"/>
        <v>238,4/30/2004,0,14,16,2,0</v>
      </c>
    </row>
    <row r="240" spans="1:12" x14ac:dyDescent="0.2">
      <c r="A240" s="1" t="str">
        <f t="shared" si="19"/>
        <v>3810721</v>
      </c>
      <c r="B240" s="1" t="str">
        <f t="shared" si="20"/>
        <v>3810713</v>
      </c>
      <c r="C240" s="1">
        <v>239</v>
      </c>
      <c r="D240" s="4">
        <v>38107</v>
      </c>
      <c r="E240" s="1">
        <v>0</v>
      </c>
      <c r="F240" s="1">
        <v>13</v>
      </c>
      <c r="G240" s="1">
        <v>21</v>
      </c>
      <c r="H240" s="1">
        <v>2</v>
      </c>
      <c r="I240" s="1">
        <v>0</v>
      </c>
      <c r="J240" s="2" t="str">
        <f t="shared" si="17"/>
        <v>BBG</v>
      </c>
      <c r="K240" s="2" t="str">
        <f t="shared" si="18"/>
        <v>@NYD</v>
      </c>
      <c r="L240" s="1" t="str">
        <f t="shared" si="21"/>
        <v>239,4/30/2004,0,13,21,2,0</v>
      </c>
    </row>
    <row r="241" spans="1:12" x14ac:dyDescent="0.2">
      <c r="A241" s="1" t="str">
        <f t="shared" si="19"/>
        <v>3810722</v>
      </c>
      <c r="B241" s="1" t="str">
        <f t="shared" si="20"/>
        <v>3810717</v>
      </c>
      <c r="C241" s="1">
        <v>240</v>
      </c>
      <c r="D241" s="4">
        <v>38107</v>
      </c>
      <c r="E241" s="1">
        <v>0</v>
      </c>
      <c r="F241" s="1">
        <v>17</v>
      </c>
      <c r="G241" s="1">
        <v>22</v>
      </c>
      <c r="H241" s="1">
        <v>2</v>
      </c>
      <c r="I241" s="1">
        <v>0</v>
      </c>
      <c r="J241" s="2" t="str">
        <f t="shared" si="17"/>
        <v>GAR</v>
      </c>
      <c r="K241" s="2" t="str">
        <f t="shared" si="18"/>
        <v>@CBB</v>
      </c>
      <c r="L241" s="1" t="str">
        <f t="shared" si="21"/>
        <v>240,4/30/2004,0,17,22,2,0</v>
      </c>
    </row>
    <row r="242" spans="1:12" x14ac:dyDescent="0.2">
      <c r="A242" s="1" t="str">
        <f t="shared" si="19"/>
        <v>3810723</v>
      </c>
      <c r="B242" s="1" t="str">
        <f t="shared" si="20"/>
        <v>381077</v>
      </c>
      <c r="C242" s="1">
        <v>241</v>
      </c>
      <c r="D242" s="4">
        <v>38107</v>
      </c>
      <c r="E242" s="1">
        <v>0</v>
      </c>
      <c r="F242" s="1">
        <v>7</v>
      </c>
      <c r="G242" s="1">
        <v>23</v>
      </c>
      <c r="H242" s="1">
        <v>2</v>
      </c>
      <c r="I242" s="1">
        <v>0</v>
      </c>
      <c r="J242" s="2" t="str">
        <f t="shared" si="17"/>
        <v>BAR</v>
      </c>
      <c r="K242" s="2" t="str">
        <f t="shared" si="18"/>
        <v>@BRK</v>
      </c>
      <c r="L242" s="1" t="str">
        <f t="shared" si="21"/>
        <v>241,4/30/2004,0,7,23,2,0</v>
      </c>
    </row>
    <row r="243" spans="1:12" x14ac:dyDescent="0.2">
      <c r="A243" s="1" t="str">
        <f t="shared" si="19"/>
        <v>3810724</v>
      </c>
      <c r="B243" s="1" t="str">
        <f t="shared" si="20"/>
        <v>381079</v>
      </c>
      <c r="C243" s="1">
        <v>242</v>
      </c>
      <c r="D243" s="4">
        <v>38107</v>
      </c>
      <c r="E243" s="1">
        <v>0</v>
      </c>
      <c r="F243" s="1">
        <v>9</v>
      </c>
      <c r="G243" s="1">
        <v>24</v>
      </c>
      <c r="H243" s="1">
        <v>2</v>
      </c>
      <c r="I243" s="1">
        <v>0</v>
      </c>
      <c r="J243" s="2" t="str">
        <f t="shared" si="17"/>
        <v>CIN</v>
      </c>
      <c r="K243" s="2" t="str">
        <f t="shared" si="18"/>
        <v>@PHI</v>
      </c>
      <c r="L243" s="1" t="str">
        <f t="shared" si="21"/>
        <v>242,4/30/2004,0,9,24,2,0</v>
      </c>
    </row>
    <row r="244" spans="1:12" x14ac:dyDescent="0.2">
      <c r="A244" s="1" t="str">
        <f t="shared" si="19"/>
        <v>381081</v>
      </c>
      <c r="B244" s="1" t="str">
        <f t="shared" si="20"/>
        <v>381082</v>
      </c>
      <c r="C244" s="1">
        <v>243</v>
      </c>
      <c r="D244" s="4">
        <v>38108</v>
      </c>
      <c r="E244" s="1">
        <v>0</v>
      </c>
      <c r="F244" s="1">
        <v>2</v>
      </c>
      <c r="G244" s="1">
        <v>1</v>
      </c>
      <c r="H244" s="1">
        <v>2</v>
      </c>
      <c r="I244" s="1">
        <v>0</v>
      </c>
      <c r="J244" s="2" t="str">
        <f t="shared" si="17"/>
        <v>NEP</v>
      </c>
      <c r="K244" s="2" t="str">
        <f t="shared" si="18"/>
        <v>@FFR</v>
      </c>
      <c r="L244" s="1" t="str">
        <f t="shared" si="21"/>
        <v>243,5/1/2004,0,2,1,2,0</v>
      </c>
    </row>
    <row r="245" spans="1:12" x14ac:dyDescent="0.2">
      <c r="A245" s="1" t="str">
        <f t="shared" si="19"/>
        <v>381084</v>
      </c>
      <c r="B245" s="1" t="str">
        <f t="shared" si="20"/>
        <v>381083</v>
      </c>
      <c r="C245" s="1">
        <v>244</v>
      </c>
      <c r="D245" s="4">
        <v>38108</v>
      </c>
      <c r="E245" s="1">
        <v>0</v>
      </c>
      <c r="F245" s="1">
        <v>3</v>
      </c>
      <c r="G245" s="1">
        <v>4</v>
      </c>
      <c r="H245" s="1">
        <v>2</v>
      </c>
      <c r="I245" s="1">
        <v>0</v>
      </c>
      <c r="J245" s="2" t="str">
        <f t="shared" si="17"/>
        <v>TEW</v>
      </c>
      <c r="K245" s="2" t="str">
        <f t="shared" si="18"/>
        <v>@NNN</v>
      </c>
      <c r="L245" s="1" t="str">
        <f t="shared" si="21"/>
        <v>244,5/1/2004,0,3,4,2,0</v>
      </c>
    </row>
    <row r="246" spans="1:12" x14ac:dyDescent="0.2">
      <c r="A246" s="1" t="str">
        <f t="shared" si="19"/>
        <v>381085</v>
      </c>
      <c r="B246" s="1" t="str">
        <f t="shared" si="20"/>
        <v>3810810</v>
      </c>
      <c r="C246" s="1">
        <v>245</v>
      </c>
      <c r="D246" s="4">
        <v>38108</v>
      </c>
      <c r="E246" s="1">
        <v>0</v>
      </c>
      <c r="F246" s="1">
        <v>10</v>
      </c>
      <c r="G246" s="1">
        <v>5</v>
      </c>
      <c r="H246" s="1">
        <v>2</v>
      </c>
      <c r="I246" s="1">
        <v>0</v>
      </c>
      <c r="J246" s="2" t="str">
        <f t="shared" si="17"/>
        <v>REN</v>
      </c>
      <c r="K246" s="2" t="str">
        <f t="shared" si="18"/>
        <v>@OKO</v>
      </c>
      <c r="L246" s="1" t="str">
        <f t="shared" si="21"/>
        <v>245,5/1/2004,0,10,5,2,0</v>
      </c>
    </row>
    <row r="247" spans="1:12" x14ac:dyDescent="0.2">
      <c r="A247" s="1" t="str">
        <f t="shared" si="19"/>
        <v>3810811</v>
      </c>
      <c r="B247" s="1" t="str">
        <f t="shared" si="20"/>
        <v>381088</v>
      </c>
      <c r="C247" s="1">
        <v>246</v>
      </c>
      <c r="D247" s="4">
        <v>38108</v>
      </c>
      <c r="E247" s="1">
        <v>0</v>
      </c>
      <c r="F247" s="1">
        <v>8</v>
      </c>
      <c r="G247" s="1">
        <v>11</v>
      </c>
      <c r="H247" s="1">
        <v>2</v>
      </c>
      <c r="I247" s="1">
        <v>0</v>
      </c>
      <c r="J247" s="2" t="str">
        <f t="shared" si="17"/>
        <v>CTW</v>
      </c>
      <c r="K247" s="2" t="str">
        <f t="shared" si="18"/>
        <v>@HAR</v>
      </c>
      <c r="L247" s="1" t="str">
        <f t="shared" si="21"/>
        <v>246,5/1/2004,0,8,11,2,0</v>
      </c>
    </row>
    <row r="248" spans="1:12" x14ac:dyDescent="0.2">
      <c r="A248" s="1" t="str">
        <f t="shared" si="19"/>
        <v>3810812</v>
      </c>
      <c r="B248" s="1" t="str">
        <f t="shared" si="20"/>
        <v>3810820</v>
      </c>
      <c r="C248" s="1">
        <v>247</v>
      </c>
      <c r="D248" s="4">
        <v>38108</v>
      </c>
      <c r="E248" s="1">
        <v>0</v>
      </c>
      <c r="F248" s="1">
        <v>20</v>
      </c>
      <c r="G248" s="1">
        <v>12</v>
      </c>
      <c r="H248" s="1">
        <v>2</v>
      </c>
      <c r="I248" s="1">
        <v>0</v>
      </c>
      <c r="J248" s="2" t="str">
        <f t="shared" si="17"/>
        <v>FDH</v>
      </c>
      <c r="K248" s="2" t="str">
        <f t="shared" si="18"/>
        <v>@RMO</v>
      </c>
      <c r="L248" s="1" t="str">
        <f t="shared" si="21"/>
        <v>247,5/1/2004,0,20,12,2,0</v>
      </c>
    </row>
    <row r="249" spans="1:12" x14ac:dyDescent="0.2">
      <c r="A249" s="1" t="str">
        <f t="shared" si="19"/>
        <v>3810816</v>
      </c>
      <c r="B249" s="1" t="str">
        <f t="shared" si="20"/>
        <v>3810814</v>
      </c>
      <c r="C249" s="1">
        <v>248</v>
      </c>
      <c r="D249" s="4">
        <v>38108</v>
      </c>
      <c r="E249" s="1">
        <v>0</v>
      </c>
      <c r="F249" s="1">
        <v>14</v>
      </c>
      <c r="G249" s="1">
        <v>16</v>
      </c>
      <c r="H249" s="1">
        <v>2</v>
      </c>
      <c r="I249" s="1">
        <v>0</v>
      </c>
      <c r="J249" s="2" t="str">
        <f t="shared" si="17"/>
        <v>CEN</v>
      </c>
      <c r="K249" s="2" t="str">
        <f t="shared" si="18"/>
        <v>@DIG</v>
      </c>
      <c r="L249" s="1" t="str">
        <f t="shared" si="21"/>
        <v>248,5/1/2004,0,14,16,2,0</v>
      </c>
    </row>
    <row r="250" spans="1:12" x14ac:dyDescent="0.2">
      <c r="A250" s="1" t="str">
        <f t="shared" si="19"/>
        <v>3810821</v>
      </c>
      <c r="B250" s="1" t="str">
        <f t="shared" si="20"/>
        <v>3810813</v>
      </c>
      <c r="C250" s="1">
        <v>249</v>
      </c>
      <c r="D250" s="4">
        <v>38108</v>
      </c>
      <c r="E250" s="1">
        <v>0</v>
      </c>
      <c r="F250" s="1">
        <v>13</v>
      </c>
      <c r="G250" s="1">
        <v>21</v>
      </c>
      <c r="H250" s="1">
        <v>2</v>
      </c>
      <c r="I250" s="1">
        <v>0</v>
      </c>
      <c r="J250" s="2" t="str">
        <f t="shared" si="17"/>
        <v>BBG</v>
      </c>
      <c r="K250" s="2" t="str">
        <f t="shared" si="18"/>
        <v>@NYD</v>
      </c>
      <c r="L250" s="1" t="str">
        <f t="shared" si="21"/>
        <v>249,5/1/2004,0,13,21,2,0</v>
      </c>
    </row>
    <row r="251" spans="1:12" x14ac:dyDescent="0.2">
      <c r="A251" s="1" t="str">
        <f t="shared" si="19"/>
        <v>3810822</v>
      </c>
      <c r="B251" s="1" t="str">
        <f t="shared" si="20"/>
        <v>3810817</v>
      </c>
      <c r="C251" s="1">
        <v>250</v>
      </c>
      <c r="D251" s="4">
        <v>38108</v>
      </c>
      <c r="E251" s="1">
        <v>0</v>
      </c>
      <c r="F251" s="1">
        <v>17</v>
      </c>
      <c r="G251" s="1">
        <v>22</v>
      </c>
      <c r="H251" s="1">
        <v>2</v>
      </c>
      <c r="I251" s="1">
        <v>0</v>
      </c>
      <c r="J251" s="2" t="str">
        <f t="shared" si="17"/>
        <v>GAR</v>
      </c>
      <c r="K251" s="2" t="str">
        <f t="shared" si="18"/>
        <v>@CBB</v>
      </c>
      <c r="L251" s="1" t="str">
        <f t="shared" si="21"/>
        <v>250,5/1/2004,0,17,22,2,0</v>
      </c>
    </row>
    <row r="252" spans="1:12" x14ac:dyDescent="0.2">
      <c r="A252" s="1" t="str">
        <f t="shared" si="19"/>
        <v>3810823</v>
      </c>
      <c r="B252" s="1" t="str">
        <f t="shared" si="20"/>
        <v>381087</v>
      </c>
      <c r="C252" s="1">
        <v>251</v>
      </c>
      <c r="D252" s="4">
        <v>38108</v>
      </c>
      <c r="E252" s="1">
        <v>0</v>
      </c>
      <c r="F252" s="1">
        <v>7</v>
      </c>
      <c r="G252" s="1">
        <v>23</v>
      </c>
      <c r="H252" s="1">
        <v>2</v>
      </c>
      <c r="I252" s="1">
        <v>0</v>
      </c>
      <c r="J252" s="2" t="str">
        <f t="shared" si="17"/>
        <v>BAR</v>
      </c>
      <c r="K252" s="2" t="str">
        <f t="shared" si="18"/>
        <v>@BRK</v>
      </c>
      <c r="L252" s="1" t="str">
        <f t="shared" si="21"/>
        <v>251,5/1/2004,0,7,23,2,0</v>
      </c>
    </row>
    <row r="253" spans="1:12" x14ac:dyDescent="0.2">
      <c r="A253" s="1" t="str">
        <f t="shared" si="19"/>
        <v>3810824</v>
      </c>
      <c r="B253" s="1" t="str">
        <f t="shared" si="20"/>
        <v>381089</v>
      </c>
      <c r="C253" s="1">
        <v>252</v>
      </c>
      <c r="D253" s="4">
        <v>38108</v>
      </c>
      <c r="E253" s="1">
        <v>0</v>
      </c>
      <c r="F253" s="1">
        <v>9</v>
      </c>
      <c r="G253" s="1">
        <v>24</v>
      </c>
      <c r="H253" s="1">
        <v>2</v>
      </c>
      <c r="I253" s="1">
        <v>0</v>
      </c>
      <c r="J253" s="2" t="str">
        <f t="shared" si="17"/>
        <v>CIN</v>
      </c>
      <c r="K253" s="2" t="str">
        <f t="shared" si="18"/>
        <v>@PHI</v>
      </c>
      <c r="L253" s="1" t="str">
        <f t="shared" si="21"/>
        <v>252,5/1/2004,0,9,24,2,0</v>
      </c>
    </row>
    <row r="254" spans="1:12" x14ac:dyDescent="0.2">
      <c r="A254" s="1" t="str">
        <f t="shared" si="19"/>
        <v>381091</v>
      </c>
      <c r="B254" s="1" t="str">
        <f t="shared" si="20"/>
        <v>381092</v>
      </c>
      <c r="C254" s="1">
        <v>253</v>
      </c>
      <c r="D254" s="4">
        <v>38109</v>
      </c>
      <c r="E254" s="1">
        <v>0</v>
      </c>
      <c r="F254" s="1">
        <v>2</v>
      </c>
      <c r="G254" s="1">
        <v>1</v>
      </c>
      <c r="H254" s="1">
        <v>2</v>
      </c>
      <c r="I254" s="1">
        <v>0</v>
      </c>
      <c r="J254" s="2" t="str">
        <f t="shared" si="17"/>
        <v>NEP</v>
      </c>
      <c r="K254" s="2" t="str">
        <f t="shared" si="18"/>
        <v>@FFR</v>
      </c>
      <c r="L254" s="1" t="str">
        <f t="shared" si="21"/>
        <v>253,5/2/2004,0,2,1,2,0</v>
      </c>
    </row>
    <row r="255" spans="1:12" x14ac:dyDescent="0.2">
      <c r="A255" s="1" t="str">
        <f t="shared" si="19"/>
        <v>381094</v>
      </c>
      <c r="B255" s="1" t="str">
        <f t="shared" si="20"/>
        <v>381093</v>
      </c>
      <c r="C255" s="1">
        <v>254</v>
      </c>
      <c r="D255" s="4">
        <v>38109</v>
      </c>
      <c r="E255" s="1">
        <v>0</v>
      </c>
      <c r="F255" s="1">
        <v>3</v>
      </c>
      <c r="G255" s="1">
        <v>4</v>
      </c>
      <c r="H255" s="1">
        <v>2</v>
      </c>
      <c r="I255" s="1">
        <v>0</v>
      </c>
      <c r="J255" s="2" t="str">
        <f t="shared" si="17"/>
        <v>TEW</v>
      </c>
      <c r="K255" s="2" t="str">
        <f t="shared" si="18"/>
        <v>@NNN</v>
      </c>
      <c r="L255" s="1" t="str">
        <f t="shared" si="21"/>
        <v>254,5/2/2004,0,3,4,2,0</v>
      </c>
    </row>
    <row r="256" spans="1:12" x14ac:dyDescent="0.2">
      <c r="A256" s="1" t="str">
        <f t="shared" si="19"/>
        <v>381095</v>
      </c>
      <c r="B256" s="1" t="str">
        <f t="shared" si="20"/>
        <v>3810910</v>
      </c>
      <c r="C256" s="1">
        <v>255</v>
      </c>
      <c r="D256" s="4">
        <v>38109</v>
      </c>
      <c r="E256" s="1">
        <v>0</v>
      </c>
      <c r="F256" s="1">
        <v>10</v>
      </c>
      <c r="G256" s="1">
        <v>5</v>
      </c>
      <c r="H256" s="1">
        <v>2</v>
      </c>
      <c r="I256" s="1">
        <v>0</v>
      </c>
      <c r="J256" s="2" t="str">
        <f t="shared" si="17"/>
        <v>REN</v>
      </c>
      <c r="K256" s="2" t="str">
        <f t="shared" si="18"/>
        <v>@OKO</v>
      </c>
      <c r="L256" s="1" t="str">
        <f t="shared" si="21"/>
        <v>255,5/2/2004,0,10,5,2,0</v>
      </c>
    </row>
    <row r="257" spans="1:12" x14ac:dyDescent="0.2">
      <c r="A257" s="1" t="str">
        <f t="shared" si="19"/>
        <v>3810911</v>
      </c>
      <c r="B257" s="1" t="str">
        <f t="shared" si="20"/>
        <v>381098</v>
      </c>
      <c r="C257" s="1">
        <v>256</v>
      </c>
      <c r="D257" s="4">
        <v>38109</v>
      </c>
      <c r="E257" s="1">
        <v>0</v>
      </c>
      <c r="F257" s="1">
        <v>8</v>
      </c>
      <c r="G257" s="1">
        <v>11</v>
      </c>
      <c r="H257" s="1">
        <v>2</v>
      </c>
      <c r="I257" s="1">
        <v>0</v>
      </c>
      <c r="J257" s="2" t="str">
        <f t="shared" si="17"/>
        <v>CTW</v>
      </c>
      <c r="K257" s="2" t="str">
        <f t="shared" si="18"/>
        <v>@HAR</v>
      </c>
      <c r="L257" s="1" t="str">
        <f t="shared" si="21"/>
        <v>256,5/2/2004,0,8,11,2,0</v>
      </c>
    </row>
    <row r="258" spans="1:12" x14ac:dyDescent="0.2">
      <c r="A258" s="1" t="str">
        <f t="shared" ref="A258:A321" si="22">D258&amp;G258</f>
        <v>3810912</v>
      </c>
      <c r="B258" s="1" t="str">
        <f t="shared" ref="B258:B321" si="23">D258&amp;F258</f>
        <v>3810920</v>
      </c>
      <c r="C258" s="1">
        <v>257</v>
      </c>
      <c r="D258" s="4">
        <v>38109</v>
      </c>
      <c r="E258" s="1">
        <v>0</v>
      </c>
      <c r="F258" s="1">
        <v>20</v>
      </c>
      <c r="G258" s="1">
        <v>12</v>
      </c>
      <c r="H258" s="1">
        <v>2</v>
      </c>
      <c r="I258" s="1">
        <v>0</v>
      </c>
      <c r="J258" s="2" t="str">
        <f t="shared" ref="J258:J321" si="24">VLOOKUP(F258,$M$2:$N$21,2,0)</f>
        <v>FDH</v>
      </c>
      <c r="K258" s="2" t="str">
        <f t="shared" ref="K258:K321" si="25">"@"&amp;VLOOKUP(G258,$M$2:$N$21,2,0)</f>
        <v>@RMO</v>
      </c>
      <c r="L258" s="1" t="str">
        <f t="shared" ref="L258:L321" si="26">C258&amp;","&amp;MONTH(D258)&amp;"/"&amp;DAY(D258)&amp;"/"&amp;YEAR(D258)&amp;","&amp;E258&amp;","&amp;F258&amp;","&amp;G258&amp;","&amp;H258&amp;","&amp;I258</f>
        <v>257,5/2/2004,0,20,12,2,0</v>
      </c>
    </row>
    <row r="259" spans="1:12" x14ac:dyDescent="0.2">
      <c r="A259" s="1" t="str">
        <f t="shared" si="22"/>
        <v>3810916</v>
      </c>
      <c r="B259" s="1" t="str">
        <f t="shared" si="23"/>
        <v>3810914</v>
      </c>
      <c r="C259" s="1">
        <v>258</v>
      </c>
      <c r="D259" s="4">
        <v>38109</v>
      </c>
      <c r="E259" s="1">
        <v>0</v>
      </c>
      <c r="F259" s="1">
        <v>14</v>
      </c>
      <c r="G259" s="1">
        <v>16</v>
      </c>
      <c r="H259" s="1">
        <v>2</v>
      </c>
      <c r="I259" s="1">
        <v>0</v>
      </c>
      <c r="J259" s="2" t="str">
        <f t="shared" si="24"/>
        <v>CEN</v>
      </c>
      <c r="K259" s="2" t="str">
        <f t="shared" si="25"/>
        <v>@DIG</v>
      </c>
      <c r="L259" s="1" t="str">
        <f t="shared" si="26"/>
        <v>258,5/2/2004,0,14,16,2,0</v>
      </c>
    </row>
    <row r="260" spans="1:12" x14ac:dyDescent="0.2">
      <c r="A260" s="1" t="str">
        <f t="shared" si="22"/>
        <v>3810921</v>
      </c>
      <c r="B260" s="1" t="str">
        <f t="shared" si="23"/>
        <v>3810913</v>
      </c>
      <c r="C260" s="1">
        <v>259</v>
      </c>
      <c r="D260" s="4">
        <v>38109</v>
      </c>
      <c r="E260" s="1">
        <v>0</v>
      </c>
      <c r="F260" s="1">
        <v>13</v>
      </c>
      <c r="G260" s="1">
        <v>21</v>
      </c>
      <c r="H260" s="1">
        <v>2</v>
      </c>
      <c r="I260" s="1">
        <v>0</v>
      </c>
      <c r="J260" s="2" t="str">
        <f t="shared" si="24"/>
        <v>BBG</v>
      </c>
      <c r="K260" s="2" t="str">
        <f t="shared" si="25"/>
        <v>@NYD</v>
      </c>
      <c r="L260" s="1" t="str">
        <f t="shared" si="26"/>
        <v>259,5/2/2004,0,13,21,2,0</v>
      </c>
    </row>
    <row r="261" spans="1:12" x14ac:dyDescent="0.2">
      <c r="A261" s="1" t="str">
        <f t="shared" si="22"/>
        <v>3810922</v>
      </c>
      <c r="B261" s="1" t="str">
        <f t="shared" si="23"/>
        <v>3810917</v>
      </c>
      <c r="C261" s="1">
        <v>260</v>
      </c>
      <c r="D261" s="4">
        <v>38109</v>
      </c>
      <c r="E261" s="1">
        <v>0</v>
      </c>
      <c r="F261" s="1">
        <v>17</v>
      </c>
      <c r="G261" s="1">
        <v>22</v>
      </c>
      <c r="H261" s="1">
        <v>2</v>
      </c>
      <c r="I261" s="1">
        <v>0</v>
      </c>
      <c r="J261" s="2" t="str">
        <f t="shared" si="24"/>
        <v>GAR</v>
      </c>
      <c r="K261" s="2" t="str">
        <f t="shared" si="25"/>
        <v>@CBB</v>
      </c>
      <c r="L261" s="1" t="str">
        <f t="shared" si="26"/>
        <v>260,5/2/2004,0,17,22,2,0</v>
      </c>
    </row>
    <row r="262" spans="1:12" x14ac:dyDescent="0.2">
      <c r="A262" s="1" t="str">
        <f t="shared" si="22"/>
        <v>3810923</v>
      </c>
      <c r="B262" s="1" t="str">
        <f t="shared" si="23"/>
        <v>381097</v>
      </c>
      <c r="C262" s="1">
        <v>261</v>
      </c>
      <c r="D262" s="4">
        <v>38109</v>
      </c>
      <c r="E262" s="1">
        <v>0</v>
      </c>
      <c r="F262" s="1">
        <v>7</v>
      </c>
      <c r="G262" s="1">
        <v>23</v>
      </c>
      <c r="H262" s="1">
        <v>2</v>
      </c>
      <c r="I262" s="1">
        <v>0</v>
      </c>
      <c r="J262" s="2" t="str">
        <f t="shared" si="24"/>
        <v>BAR</v>
      </c>
      <c r="K262" s="2" t="str">
        <f t="shared" si="25"/>
        <v>@BRK</v>
      </c>
      <c r="L262" s="1" t="str">
        <f t="shared" si="26"/>
        <v>261,5/2/2004,0,7,23,2,0</v>
      </c>
    </row>
    <row r="263" spans="1:12" x14ac:dyDescent="0.2">
      <c r="A263" s="1" t="str">
        <f t="shared" si="22"/>
        <v>3810924</v>
      </c>
      <c r="B263" s="1" t="str">
        <f t="shared" si="23"/>
        <v>381099</v>
      </c>
      <c r="C263" s="1">
        <v>262</v>
      </c>
      <c r="D263" s="4">
        <v>38109</v>
      </c>
      <c r="E263" s="1">
        <v>0</v>
      </c>
      <c r="F263" s="1">
        <v>9</v>
      </c>
      <c r="G263" s="1">
        <v>24</v>
      </c>
      <c r="H263" s="1">
        <v>2</v>
      </c>
      <c r="I263" s="1">
        <v>0</v>
      </c>
      <c r="J263" s="2" t="str">
        <f t="shared" si="24"/>
        <v>CIN</v>
      </c>
      <c r="K263" s="2" t="str">
        <f t="shared" si="25"/>
        <v>@PHI</v>
      </c>
      <c r="L263" s="1" t="str">
        <f t="shared" si="26"/>
        <v>262,5/2/2004,0,9,24,2,0</v>
      </c>
    </row>
    <row r="264" spans="1:12" x14ac:dyDescent="0.2">
      <c r="A264" s="1" t="str">
        <f t="shared" si="22"/>
        <v>381101</v>
      </c>
      <c r="B264" s="1" t="str">
        <f t="shared" si="23"/>
        <v>381102</v>
      </c>
      <c r="C264" s="1">
        <v>263</v>
      </c>
      <c r="D264" s="4">
        <v>38110</v>
      </c>
      <c r="E264" s="1">
        <v>0</v>
      </c>
      <c r="F264" s="1">
        <v>2</v>
      </c>
      <c r="G264" s="1">
        <v>1</v>
      </c>
      <c r="H264" s="1">
        <v>2</v>
      </c>
      <c r="I264" s="1">
        <v>0</v>
      </c>
      <c r="J264" s="2" t="str">
        <f t="shared" si="24"/>
        <v>NEP</v>
      </c>
      <c r="K264" s="2" t="str">
        <f t="shared" si="25"/>
        <v>@FFR</v>
      </c>
      <c r="L264" s="1" t="str">
        <f t="shared" si="26"/>
        <v>263,5/3/2004,0,2,1,2,0</v>
      </c>
    </row>
    <row r="265" spans="1:12" x14ac:dyDescent="0.2">
      <c r="A265" s="1" t="str">
        <f t="shared" si="22"/>
        <v>3811011</v>
      </c>
      <c r="B265" s="1" t="str">
        <f t="shared" si="23"/>
        <v>381108</v>
      </c>
      <c r="C265" s="1">
        <v>264</v>
      </c>
      <c r="D265" s="4">
        <v>38110</v>
      </c>
      <c r="E265" s="1">
        <v>0</v>
      </c>
      <c r="F265" s="1">
        <v>8</v>
      </c>
      <c r="G265" s="1">
        <v>11</v>
      </c>
      <c r="H265" s="1">
        <v>2</v>
      </c>
      <c r="I265" s="1">
        <v>0</v>
      </c>
      <c r="J265" s="2" t="str">
        <f t="shared" si="24"/>
        <v>CTW</v>
      </c>
      <c r="K265" s="2" t="str">
        <f t="shared" si="25"/>
        <v>@HAR</v>
      </c>
      <c r="L265" s="1" t="str">
        <f t="shared" si="26"/>
        <v>264,5/3/2004,0,8,11,2,0</v>
      </c>
    </row>
    <row r="266" spans="1:12" x14ac:dyDescent="0.2">
      <c r="A266" s="1" t="str">
        <f t="shared" si="22"/>
        <v>3811012</v>
      </c>
      <c r="B266" s="1" t="str">
        <f t="shared" si="23"/>
        <v>3811020</v>
      </c>
      <c r="C266" s="1">
        <v>265</v>
      </c>
      <c r="D266" s="4">
        <v>38110</v>
      </c>
      <c r="E266" s="1">
        <v>0</v>
      </c>
      <c r="F266" s="1">
        <v>20</v>
      </c>
      <c r="G266" s="1">
        <v>12</v>
      </c>
      <c r="H266" s="1">
        <v>2</v>
      </c>
      <c r="I266" s="1">
        <v>0</v>
      </c>
      <c r="J266" s="2" t="str">
        <f t="shared" si="24"/>
        <v>FDH</v>
      </c>
      <c r="K266" s="2" t="str">
        <f t="shared" si="25"/>
        <v>@RMO</v>
      </c>
      <c r="L266" s="1" t="str">
        <f t="shared" si="26"/>
        <v>265,5/3/2004,0,20,12,2,0</v>
      </c>
    </row>
    <row r="267" spans="1:12" x14ac:dyDescent="0.2">
      <c r="A267" s="1" t="str">
        <f t="shared" si="22"/>
        <v>3811021</v>
      </c>
      <c r="B267" s="1" t="str">
        <f t="shared" si="23"/>
        <v>3811013</v>
      </c>
      <c r="C267" s="1">
        <v>266</v>
      </c>
      <c r="D267" s="4">
        <v>38110</v>
      </c>
      <c r="E267" s="1">
        <v>0</v>
      </c>
      <c r="F267" s="1">
        <v>13</v>
      </c>
      <c r="G267" s="1">
        <v>21</v>
      </c>
      <c r="H267" s="1">
        <v>2</v>
      </c>
      <c r="I267" s="1">
        <v>0</v>
      </c>
      <c r="J267" s="2" t="str">
        <f t="shared" si="24"/>
        <v>BBG</v>
      </c>
      <c r="K267" s="2" t="str">
        <f t="shared" si="25"/>
        <v>@NYD</v>
      </c>
      <c r="L267" s="1" t="str">
        <f t="shared" si="26"/>
        <v>266,5/3/2004,0,13,21,2,0</v>
      </c>
    </row>
    <row r="268" spans="1:12" x14ac:dyDescent="0.2">
      <c r="A268" s="1" t="str">
        <f t="shared" si="22"/>
        <v>3811023</v>
      </c>
      <c r="B268" s="1" t="str">
        <f t="shared" si="23"/>
        <v>381107</v>
      </c>
      <c r="C268" s="1">
        <v>267</v>
      </c>
      <c r="D268" s="4">
        <v>38110</v>
      </c>
      <c r="E268" s="1">
        <v>0</v>
      </c>
      <c r="F268" s="1">
        <v>7</v>
      </c>
      <c r="G268" s="1">
        <v>23</v>
      </c>
      <c r="H268" s="1">
        <v>2</v>
      </c>
      <c r="I268" s="1">
        <v>0</v>
      </c>
      <c r="J268" s="2" t="str">
        <f t="shared" si="24"/>
        <v>BAR</v>
      </c>
      <c r="K268" s="2" t="str">
        <f t="shared" si="25"/>
        <v>@BRK</v>
      </c>
      <c r="L268" s="1" t="str">
        <f t="shared" si="26"/>
        <v>267,5/3/2004,0,7,23,2,0</v>
      </c>
    </row>
    <row r="269" spans="1:12" x14ac:dyDescent="0.2">
      <c r="A269" s="1" t="str">
        <f t="shared" si="22"/>
        <v>3811024</v>
      </c>
      <c r="B269" s="1" t="str">
        <f t="shared" si="23"/>
        <v>381109</v>
      </c>
      <c r="C269" s="1">
        <v>268</v>
      </c>
      <c r="D269" s="4">
        <v>38110</v>
      </c>
      <c r="E269" s="1">
        <v>0</v>
      </c>
      <c r="F269" s="1">
        <v>9</v>
      </c>
      <c r="G269" s="1">
        <v>24</v>
      </c>
      <c r="H269" s="1">
        <v>2</v>
      </c>
      <c r="I269" s="1">
        <v>0</v>
      </c>
      <c r="J269" s="2" t="str">
        <f t="shared" si="24"/>
        <v>CIN</v>
      </c>
      <c r="K269" s="2" t="str">
        <f t="shared" si="25"/>
        <v>@PHI</v>
      </c>
      <c r="L269" s="1" t="str">
        <f t="shared" si="26"/>
        <v>268,5/3/2004,0,9,24,2,0</v>
      </c>
    </row>
    <row r="270" spans="1:12" x14ac:dyDescent="0.2">
      <c r="A270" s="1" t="str">
        <f t="shared" si="22"/>
        <v>381104</v>
      </c>
      <c r="B270" s="1" t="str">
        <f t="shared" si="23"/>
        <v>381103</v>
      </c>
      <c r="C270" s="1">
        <v>269</v>
      </c>
      <c r="D270" s="4">
        <v>38110</v>
      </c>
      <c r="E270" s="1">
        <v>0</v>
      </c>
      <c r="F270" s="1">
        <v>3</v>
      </c>
      <c r="G270" s="1">
        <v>4</v>
      </c>
      <c r="H270" s="1">
        <v>2</v>
      </c>
      <c r="I270" s="1">
        <v>0</v>
      </c>
      <c r="J270" s="2" t="str">
        <f t="shared" si="24"/>
        <v>TEW</v>
      </c>
      <c r="K270" s="2" t="str">
        <f t="shared" si="25"/>
        <v>@NNN</v>
      </c>
      <c r="L270" s="1" t="str">
        <f t="shared" si="26"/>
        <v>269,5/3/2004,0,3,4,2,0</v>
      </c>
    </row>
    <row r="271" spans="1:12" x14ac:dyDescent="0.2">
      <c r="A271" s="1" t="str">
        <f t="shared" si="22"/>
        <v>381105</v>
      </c>
      <c r="B271" s="1" t="str">
        <f t="shared" si="23"/>
        <v>3811010</v>
      </c>
      <c r="C271" s="1">
        <v>270</v>
      </c>
      <c r="D271" s="4">
        <v>38110</v>
      </c>
      <c r="E271" s="1">
        <v>0</v>
      </c>
      <c r="F271" s="1">
        <v>10</v>
      </c>
      <c r="G271" s="1">
        <v>5</v>
      </c>
      <c r="H271" s="1">
        <v>2</v>
      </c>
      <c r="I271" s="1">
        <v>0</v>
      </c>
      <c r="J271" s="2" t="str">
        <f t="shared" si="24"/>
        <v>REN</v>
      </c>
      <c r="K271" s="2" t="str">
        <f t="shared" si="25"/>
        <v>@OKO</v>
      </c>
      <c r="L271" s="1" t="str">
        <f t="shared" si="26"/>
        <v>270,5/3/2004,0,10,5,2,0</v>
      </c>
    </row>
    <row r="272" spans="1:12" x14ac:dyDescent="0.2">
      <c r="A272" s="1" t="str">
        <f t="shared" si="22"/>
        <v>3811016</v>
      </c>
      <c r="B272" s="1" t="str">
        <f t="shared" si="23"/>
        <v>3811014</v>
      </c>
      <c r="C272" s="1">
        <v>271</v>
      </c>
      <c r="D272" s="4">
        <v>38110</v>
      </c>
      <c r="E272" s="1">
        <v>0</v>
      </c>
      <c r="F272" s="1">
        <v>14</v>
      </c>
      <c r="G272" s="1">
        <v>16</v>
      </c>
      <c r="H272" s="1">
        <v>2</v>
      </c>
      <c r="I272" s="1">
        <v>0</v>
      </c>
      <c r="J272" s="2" t="str">
        <f t="shared" si="24"/>
        <v>CEN</v>
      </c>
      <c r="K272" s="2" t="str">
        <f t="shared" si="25"/>
        <v>@DIG</v>
      </c>
      <c r="L272" s="1" t="str">
        <f t="shared" si="26"/>
        <v>271,5/3/2004,0,14,16,2,0</v>
      </c>
    </row>
    <row r="273" spans="1:12" x14ac:dyDescent="0.2">
      <c r="A273" s="1" t="str">
        <f t="shared" si="22"/>
        <v>3811022</v>
      </c>
      <c r="B273" s="1" t="str">
        <f t="shared" si="23"/>
        <v>3811017</v>
      </c>
      <c r="C273" s="1">
        <v>272</v>
      </c>
      <c r="D273" s="4">
        <v>38110</v>
      </c>
      <c r="E273" s="1">
        <v>0</v>
      </c>
      <c r="F273" s="1">
        <v>17</v>
      </c>
      <c r="G273" s="1">
        <v>22</v>
      </c>
      <c r="H273" s="1">
        <v>2</v>
      </c>
      <c r="I273" s="1">
        <v>0</v>
      </c>
      <c r="J273" s="2" t="str">
        <f t="shared" si="24"/>
        <v>GAR</v>
      </c>
      <c r="K273" s="2" t="str">
        <f t="shared" si="25"/>
        <v>@CBB</v>
      </c>
      <c r="L273" s="1" t="str">
        <f t="shared" si="26"/>
        <v>272,5/3/2004,0,17,22,2,0</v>
      </c>
    </row>
    <row r="274" spans="1:12" x14ac:dyDescent="0.2">
      <c r="A274" s="1" t="str">
        <f t="shared" si="22"/>
        <v>381111</v>
      </c>
      <c r="B274" s="1" t="str">
        <f t="shared" si="23"/>
        <v>3811111</v>
      </c>
      <c r="C274" s="1">
        <v>273</v>
      </c>
      <c r="D274" s="4">
        <v>38111</v>
      </c>
      <c r="E274" s="1">
        <v>0</v>
      </c>
      <c r="F274" s="1">
        <v>11</v>
      </c>
      <c r="G274" s="1">
        <v>1</v>
      </c>
      <c r="H274" s="1">
        <v>2</v>
      </c>
      <c r="I274" s="1">
        <v>0</v>
      </c>
      <c r="J274" s="2" t="str">
        <f t="shared" si="24"/>
        <v>HAR</v>
      </c>
      <c r="K274" s="2" t="str">
        <f t="shared" si="25"/>
        <v>@FFR</v>
      </c>
      <c r="L274" s="1" t="str">
        <f t="shared" si="26"/>
        <v>273,5/4/2004,0,11,1,2,0</v>
      </c>
    </row>
    <row r="275" spans="1:12" x14ac:dyDescent="0.2">
      <c r="A275" s="1" t="str">
        <f t="shared" si="22"/>
        <v>381115</v>
      </c>
      <c r="B275" s="1" t="str">
        <f t="shared" si="23"/>
        <v>3811112</v>
      </c>
      <c r="C275" s="1">
        <v>274</v>
      </c>
      <c r="D275" s="4">
        <v>38111</v>
      </c>
      <c r="E275" s="1">
        <v>0</v>
      </c>
      <c r="F275" s="1">
        <v>12</v>
      </c>
      <c r="G275" s="1">
        <v>5</v>
      </c>
      <c r="H275" s="1">
        <v>2</v>
      </c>
      <c r="I275" s="1">
        <v>0</v>
      </c>
      <c r="J275" s="2" t="str">
        <f t="shared" si="24"/>
        <v>RMO</v>
      </c>
      <c r="K275" s="2" t="str">
        <f t="shared" si="25"/>
        <v>@OKO</v>
      </c>
      <c r="L275" s="1" t="str">
        <f t="shared" si="26"/>
        <v>274,5/4/2004,0,12,5,2,0</v>
      </c>
    </row>
    <row r="276" spans="1:12" x14ac:dyDescent="0.2">
      <c r="A276" s="1" t="str">
        <f t="shared" si="22"/>
        <v>381117</v>
      </c>
      <c r="B276" s="1" t="str">
        <f t="shared" si="23"/>
        <v>381118</v>
      </c>
      <c r="C276" s="1">
        <v>275</v>
      </c>
      <c r="D276" s="4">
        <v>38111</v>
      </c>
      <c r="E276" s="1">
        <v>0</v>
      </c>
      <c r="F276" s="1">
        <v>8</v>
      </c>
      <c r="G276" s="1">
        <v>7</v>
      </c>
      <c r="H276" s="1">
        <v>2</v>
      </c>
      <c r="I276" s="1">
        <v>0</v>
      </c>
      <c r="J276" s="2" t="str">
        <f t="shared" si="24"/>
        <v>CTW</v>
      </c>
      <c r="K276" s="2" t="str">
        <f t="shared" si="25"/>
        <v>@BAR</v>
      </c>
      <c r="L276" s="1" t="str">
        <f t="shared" si="26"/>
        <v>275,5/4/2004,0,8,7,2,0</v>
      </c>
    </row>
    <row r="277" spans="1:12" x14ac:dyDescent="0.2">
      <c r="A277" s="1" t="str">
        <f t="shared" si="22"/>
        <v>381119</v>
      </c>
      <c r="B277" s="1" t="str">
        <f t="shared" si="23"/>
        <v>3811117</v>
      </c>
      <c r="C277" s="1">
        <v>276</v>
      </c>
      <c r="D277" s="4">
        <v>38111</v>
      </c>
      <c r="E277" s="1">
        <v>0</v>
      </c>
      <c r="F277" s="1">
        <v>17</v>
      </c>
      <c r="G277" s="1">
        <v>9</v>
      </c>
      <c r="H277" s="1">
        <v>2</v>
      </c>
      <c r="I277" s="1">
        <v>0</v>
      </c>
      <c r="J277" s="2" t="str">
        <f t="shared" si="24"/>
        <v>GAR</v>
      </c>
      <c r="K277" s="2" t="str">
        <f t="shared" si="25"/>
        <v>@CIN</v>
      </c>
      <c r="L277" s="1" t="str">
        <f t="shared" si="26"/>
        <v>276,5/4/2004,0,17,9,2,0</v>
      </c>
    </row>
    <row r="278" spans="1:12" x14ac:dyDescent="0.2">
      <c r="A278" s="1" t="str">
        <f t="shared" si="22"/>
        <v>3811113</v>
      </c>
      <c r="B278" s="1" t="str">
        <f t="shared" si="23"/>
        <v>381113</v>
      </c>
      <c r="C278" s="1">
        <v>277</v>
      </c>
      <c r="D278" s="4">
        <v>38111</v>
      </c>
      <c r="E278" s="1">
        <v>0</v>
      </c>
      <c r="F278" s="1">
        <v>3</v>
      </c>
      <c r="G278" s="1">
        <v>13</v>
      </c>
      <c r="H278" s="1">
        <v>2</v>
      </c>
      <c r="I278" s="1">
        <v>0</v>
      </c>
      <c r="J278" s="2" t="str">
        <f t="shared" si="24"/>
        <v>TEW</v>
      </c>
      <c r="K278" s="2" t="str">
        <f t="shared" si="25"/>
        <v>@BBG</v>
      </c>
      <c r="L278" s="1" t="str">
        <f t="shared" si="26"/>
        <v>277,5/4/2004,0,3,13,2,0</v>
      </c>
    </row>
    <row r="279" spans="1:12" x14ac:dyDescent="0.2">
      <c r="A279" s="1" t="str">
        <f t="shared" si="22"/>
        <v>3811114</v>
      </c>
      <c r="B279" s="1" t="str">
        <f t="shared" si="23"/>
        <v>381112</v>
      </c>
      <c r="C279" s="1">
        <v>278</v>
      </c>
      <c r="D279" s="4">
        <v>38111</v>
      </c>
      <c r="E279" s="1">
        <v>0</v>
      </c>
      <c r="F279" s="1">
        <v>2</v>
      </c>
      <c r="G279" s="1">
        <v>14</v>
      </c>
      <c r="H279" s="1">
        <v>2</v>
      </c>
      <c r="I279" s="1">
        <v>0</v>
      </c>
      <c r="J279" s="2" t="str">
        <f t="shared" si="24"/>
        <v>NEP</v>
      </c>
      <c r="K279" s="2" t="str">
        <f t="shared" si="25"/>
        <v>@CEN</v>
      </c>
      <c r="L279" s="1" t="str">
        <f t="shared" si="26"/>
        <v>278,5/4/2004,0,2,14,2,0</v>
      </c>
    </row>
    <row r="280" spans="1:12" x14ac:dyDescent="0.2">
      <c r="A280" s="1" t="str">
        <f t="shared" si="22"/>
        <v>3811116</v>
      </c>
      <c r="B280" s="1" t="str">
        <f t="shared" si="23"/>
        <v>381114</v>
      </c>
      <c r="C280" s="1">
        <v>279</v>
      </c>
      <c r="D280" s="4">
        <v>38111</v>
      </c>
      <c r="E280" s="1">
        <v>0</v>
      </c>
      <c r="F280" s="1">
        <v>4</v>
      </c>
      <c r="G280" s="1">
        <v>16</v>
      </c>
      <c r="H280" s="1">
        <v>2</v>
      </c>
      <c r="I280" s="1">
        <v>0</v>
      </c>
      <c r="J280" s="2" t="str">
        <f t="shared" si="24"/>
        <v>NNN</v>
      </c>
      <c r="K280" s="2" t="str">
        <f t="shared" si="25"/>
        <v>@DIG</v>
      </c>
      <c r="L280" s="1" t="str">
        <f t="shared" si="26"/>
        <v>279,5/4/2004,0,4,16,2,0</v>
      </c>
    </row>
    <row r="281" spans="1:12" x14ac:dyDescent="0.2">
      <c r="A281" s="1" t="str">
        <f t="shared" si="22"/>
        <v>3811120</v>
      </c>
      <c r="B281" s="1" t="str">
        <f t="shared" si="23"/>
        <v>3811110</v>
      </c>
      <c r="C281" s="1">
        <v>280</v>
      </c>
      <c r="D281" s="4">
        <v>38111</v>
      </c>
      <c r="E281" s="1">
        <v>0</v>
      </c>
      <c r="F281" s="1">
        <v>10</v>
      </c>
      <c r="G281" s="1">
        <v>20</v>
      </c>
      <c r="H281" s="1">
        <v>2</v>
      </c>
      <c r="I281" s="1">
        <v>0</v>
      </c>
      <c r="J281" s="2" t="str">
        <f t="shared" si="24"/>
        <v>REN</v>
      </c>
      <c r="K281" s="2" t="str">
        <f t="shared" si="25"/>
        <v>@FDH</v>
      </c>
      <c r="L281" s="1" t="str">
        <f t="shared" si="26"/>
        <v>280,5/4/2004,0,10,20,2,0</v>
      </c>
    </row>
    <row r="282" spans="1:12" x14ac:dyDescent="0.2">
      <c r="A282" s="1" t="str">
        <f t="shared" si="22"/>
        <v>3811122</v>
      </c>
      <c r="B282" s="1" t="str">
        <f t="shared" si="23"/>
        <v>3811124</v>
      </c>
      <c r="C282" s="1">
        <v>281</v>
      </c>
      <c r="D282" s="4">
        <v>38111</v>
      </c>
      <c r="E282" s="1">
        <v>0</v>
      </c>
      <c r="F282" s="1">
        <v>24</v>
      </c>
      <c r="G282" s="1">
        <v>22</v>
      </c>
      <c r="H282" s="1">
        <v>2</v>
      </c>
      <c r="I282" s="1">
        <v>0</v>
      </c>
      <c r="J282" s="2" t="str">
        <f t="shared" si="24"/>
        <v>PHI</v>
      </c>
      <c r="K282" s="2" t="str">
        <f t="shared" si="25"/>
        <v>@CBB</v>
      </c>
      <c r="L282" s="1" t="str">
        <f t="shared" si="26"/>
        <v>281,5/4/2004,0,24,22,2,0</v>
      </c>
    </row>
    <row r="283" spans="1:12" x14ac:dyDescent="0.2">
      <c r="A283" s="1" t="str">
        <f t="shared" si="22"/>
        <v>3811123</v>
      </c>
      <c r="B283" s="1" t="str">
        <f t="shared" si="23"/>
        <v>3811121</v>
      </c>
      <c r="C283" s="1">
        <v>282</v>
      </c>
      <c r="D283" s="4">
        <v>38111</v>
      </c>
      <c r="E283" s="1">
        <v>0</v>
      </c>
      <c r="F283" s="1">
        <v>21</v>
      </c>
      <c r="G283" s="1">
        <v>23</v>
      </c>
      <c r="H283" s="1">
        <v>2</v>
      </c>
      <c r="I283" s="1">
        <v>0</v>
      </c>
      <c r="J283" s="2" t="str">
        <f t="shared" si="24"/>
        <v>NYD</v>
      </c>
      <c r="K283" s="2" t="str">
        <f t="shared" si="25"/>
        <v>@BRK</v>
      </c>
      <c r="L283" s="1" t="str">
        <f t="shared" si="26"/>
        <v>282,5/4/2004,0,21,23,2,0</v>
      </c>
    </row>
    <row r="284" spans="1:12" x14ac:dyDescent="0.2">
      <c r="A284" s="1" t="str">
        <f t="shared" si="22"/>
        <v>3811214</v>
      </c>
      <c r="B284" s="1" t="str">
        <f t="shared" si="23"/>
        <v>381122</v>
      </c>
      <c r="C284" s="1">
        <v>283</v>
      </c>
      <c r="D284" s="4">
        <v>38112</v>
      </c>
      <c r="E284" s="1">
        <v>0</v>
      </c>
      <c r="F284" s="1">
        <v>2</v>
      </c>
      <c r="G284" s="1">
        <v>14</v>
      </c>
      <c r="H284" s="1">
        <v>2</v>
      </c>
      <c r="I284" s="1">
        <v>0</v>
      </c>
      <c r="J284" s="2" t="str">
        <f t="shared" si="24"/>
        <v>NEP</v>
      </c>
      <c r="K284" s="2" t="str">
        <f t="shared" si="25"/>
        <v>@CEN</v>
      </c>
      <c r="L284" s="1" t="str">
        <f t="shared" si="26"/>
        <v>283,5/5/2004,0,2,14,2,0</v>
      </c>
    </row>
    <row r="285" spans="1:12" x14ac:dyDescent="0.2">
      <c r="A285" s="1" t="str">
        <f t="shared" si="22"/>
        <v>381121</v>
      </c>
      <c r="B285" s="1" t="str">
        <f t="shared" si="23"/>
        <v>3811211</v>
      </c>
      <c r="C285" s="1">
        <v>284</v>
      </c>
      <c r="D285" s="4">
        <v>38112</v>
      </c>
      <c r="E285" s="1">
        <v>0</v>
      </c>
      <c r="F285" s="1">
        <v>11</v>
      </c>
      <c r="G285" s="1">
        <v>1</v>
      </c>
      <c r="H285" s="1">
        <v>2</v>
      </c>
      <c r="I285" s="1">
        <v>0</v>
      </c>
      <c r="J285" s="2" t="str">
        <f t="shared" si="24"/>
        <v>HAR</v>
      </c>
      <c r="K285" s="2" t="str">
        <f t="shared" si="25"/>
        <v>@FFR</v>
      </c>
      <c r="L285" s="1" t="str">
        <f t="shared" si="26"/>
        <v>284,5/5/2004,0,11,1,2,0</v>
      </c>
    </row>
    <row r="286" spans="1:12" x14ac:dyDescent="0.2">
      <c r="A286" s="1" t="str">
        <f t="shared" si="22"/>
        <v>381125</v>
      </c>
      <c r="B286" s="1" t="str">
        <f t="shared" si="23"/>
        <v>3811212</v>
      </c>
      <c r="C286" s="1">
        <v>285</v>
      </c>
      <c r="D286" s="4">
        <v>38112</v>
      </c>
      <c r="E286" s="1">
        <v>0</v>
      </c>
      <c r="F286" s="1">
        <v>12</v>
      </c>
      <c r="G286" s="1">
        <v>5</v>
      </c>
      <c r="H286" s="1">
        <v>2</v>
      </c>
      <c r="I286" s="1">
        <v>0</v>
      </c>
      <c r="J286" s="2" t="str">
        <f t="shared" si="24"/>
        <v>RMO</v>
      </c>
      <c r="K286" s="2" t="str">
        <f t="shared" si="25"/>
        <v>@OKO</v>
      </c>
      <c r="L286" s="1" t="str">
        <f t="shared" si="26"/>
        <v>285,5/5/2004,0,12,5,2,0</v>
      </c>
    </row>
    <row r="287" spans="1:12" x14ac:dyDescent="0.2">
      <c r="A287" s="1" t="str">
        <f t="shared" si="22"/>
        <v>381127</v>
      </c>
      <c r="B287" s="1" t="str">
        <f t="shared" si="23"/>
        <v>381128</v>
      </c>
      <c r="C287" s="1">
        <v>286</v>
      </c>
      <c r="D287" s="4">
        <v>38112</v>
      </c>
      <c r="E287" s="1">
        <v>0</v>
      </c>
      <c r="F287" s="1">
        <v>8</v>
      </c>
      <c r="G287" s="1">
        <v>7</v>
      </c>
      <c r="H287" s="1">
        <v>2</v>
      </c>
      <c r="I287" s="1">
        <v>0</v>
      </c>
      <c r="J287" s="2" t="str">
        <f t="shared" si="24"/>
        <v>CTW</v>
      </c>
      <c r="K287" s="2" t="str">
        <f t="shared" si="25"/>
        <v>@BAR</v>
      </c>
      <c r="L287" s="1" t="str">
        <f t="shared" si="26"/>
        <v>286,5/5/2004,0,8,7,2,0</v>
      </c>
    </row>
    <row r="288" spans="1:12" x14ac:dyDescent="0.2">
      <c r="A288" s="1" t="str">
        <f t="shared" si="22"/>
        <v>381129</v>
      </c>
      <c r="B288" s="1" t="str">
        <f t="shared" si="23"/>
        <v>3811217</v>
      </c>
      <c r="C288" s="1">
        <v>287</v>
      </c>
      <c r="D288" s="4">
        <v>38112</v>
      </c>
      <c r="E288" s="1">
        <v>0</v>
      </c>
      <c r="F288" s="1">
        <v>17</v>
      </c>
      <c r="G288" s="1">
        <v>9</v>
      </c>
      <c r="H288" s="1">
        <v>2</v>
      </c>
      <c r="I288" s="1">
        <v>0</v>
      </c>
      <c r="J288" s="2" t="str">
        <f t="shared" si="24"/>
        <v>GAR</v>
      </c>
      <c r="K288" s="2" t="str">
        <f t="shared" si="25"/>
        <v>@CIN</v>
      </c>
      <c r="L288" s="1" t="str">
        <f t="shared" si="26"/>
        <v>287,5/5/2004,0,17,9,2,0</v>
      </c>
    </row>
    <row r="289" spans="1:12" x14ac:dyDescent="0.2">
      <c r="A289" s="1" t="str">
        <f t="shared" si="22"/>
        <v>3811213</v>
      </c>
      <c r="B289" s="1" t="str">
        <f t="shared" si="23"/>
        <v>381123</v>
      </c>
      <c r="C289" s="1">
        <v>288</v>
      </c>
      <c r="D289" s="4">
        <v>38112</v>
      </c>
      <c r="E289" s="1">
        <v>0</v>
      </c>
      <c r="F289" s="1">
        <v>3</v>
      </c>
      <c r="G289" s="1">
        <v>13</v>
      </c>
      <c r="H289" s="1">
        <v>2</v>
      </c>
      <c r="I289" s="1">
        <v>0</v>
      </c>
      <c r="J289" s="2" t="str">
        <f t="shared" si="24"/>
        <v>TEW</v>
      </c>
      <c r="K289" s="2" t="str">
        <f t="shared" si="25"/>
        <v>@BBG</v>
      </c>
      <c r="L289" s="1" t="str">
        <f t="shared" si="26"/>
        <v>288,5/5/2004,0,3,13,2,0</v>
      </c>
    </row>
    <row r="290" spans="1:12" x14ac:dyDescent="0.2">
      <c r="A290" s="1" t="str">
        <f t="shared" si="22"/>
        <v>3811216</v>
      </c>
      <c r="B290" s="1" t="str">
        <f t="shared" si="23"/>
        <v>381124</v>
      </c>
      <c r="C290" s="1">
        <v>289</v>
      </c>
      <c r="D290" s="4">
        <v>38112</v>
      </c>
      <c r="E290" s="1">
        <v>0</v>
      </c>
      <c r="F290" s="1">
        <v>4</v>
      </c>
      <c r="G290" s="1">
        <v>16</v>
      </c>
      <c r="H290" s="1">
        <v>2</v>
      </c>
      <c r="I290" s="1">
        <v>0</v>
      </c>
      <c r="J290" s="2" t="str">
        <f t="shared" si="24"/>
        <v>NNN</v>
      </c>
      <c r="K290" s="2" t="str">
        <f t="shared" si="25"/>
        <v>@DIG</v>
      </c>
      <c r="L290" s="1" t="str">
        <f t="shared" si="26"/>
        <v>289,5/5/2004,0,4,16,2,0</v>
      </c>
    </row>
    <row r="291" spans="1:12" x14ac:dyDescent="0.2">
      <c r="A291" s="1" t="str">
        <f t="shared" si="22"/>
        <v>3811220</v>
      </c>
      <c r="B291" s="1" t="str">
        <f t="shared" si="23"/>
        <v>3811210</v>
      </c>
      <c r="C291" s="1">
        <v>290</v>
      </c>
      <c r="D291" s="4">
        <v>38112</v>
      </c>
      <c r="E291" s="1">
        <v>0</v>
      </c>
      <c r="F291" s="1">
        <v>10</v>
      </c>
      <c r="G291" s="1">
        <v>20</v>
      </c>
      <c r="H291" s="1">
        <v>2</v>
      </c>
      <c r="I291" s="1">
        <v>0</v>
      </c>
      <c r="J291" s="2" t="str">
        <f t="shared" si="24"/>
        <v>REN</v>
      </c>
      <c r="K291" s="2" t="str">
        <f t="shared" si="25"/>
        <v>@FDH</v>
      </c>
      <c r="L291" s="1" t="str">
        <f t="shared" si="26"/>
        <v>290,5/5/2004,0,10,20,2,0</v>
      </c>
    </row>
    <row r="292" spans="1:12" x14ac:dyDescent="0.2">
      <c r="A292" s="1" t="str">
        <f t="shared" si="22"/>
        <v>3811222</v>
      </c>
      <c r="B292" s="1" t="str">
        <f t="shared" si="23"/>
        <v>3811224</v>
      </c>
      <c r="C292" s="1">
        <v>291</v>
      </c>
      <c r="D292" s="4">
        <v>38112</v>
      </c>
      <c r="E292" s="1">
        <v>0</v>
      </c>
      <c r="F292" s="1">
        <v>24</v>
      </c>
      <c r="G292" s="1">
        <v>22</v>
      </c>
      <c r="H292" s="1">
        <v>2</v>
      </c>
      <c r="I292" s="1">
        <v>0</v>
      </c>
      <c r="J292" s="2" t="str">
        <f t="shared" si="24"/>
        <v>PHI</v>
      </c>
      <c r="K292" s="2" t="str">
        <f t="shared" si="25"/>
        <v>@CBB</v>
      </c>
      <c r="L292" s="1" t="str">
        <f t="shared" si="26"/>
        <v>291,5/5/2004,0,24,22,2,0</v>
      </c>
    </row>
    <row r="293" spans="1:12" x14ac:dyDescent="0.2">
      <c r="A293" s="1" t="str">
        <f t="shared" si="22"/>
        <v>3811223</v>
      </c>
      <c r="B293" s="1" t="str">
        <f t="shared" si="23"/>
        <v>3811221</v>
      </c>
      <c r="C293" s="1">
        <v>292</v>
      </c>
      <c r="D293" s="4">
        <v>38112</v>
      </c>
      <c r="E293" s="1">
        <v>0</v>
      </c>
      <c r="F293" s="1">
        <v>21</v>
      </c>
      <c r="G293" s="1">
        <v>23</v>
      </c>
      <c r="H293" s="1">
        <v>2</v>
      </c>
      <c r="I293" s="1">
        <v>0</v>
      </c>
      <c r="J293" s="2" t="str">
        <f t="shared" si="24"/>
        <v>NYD</v>
      </c>
      <c r="K293" s="2" t="str">
        <f t="shared" si="25"/>
        <v>@BRK</v>
      </c>
      <c r="L293" s="1" t="str">
        <f t="shared" si="26"/>
        <v>292,5/5/2004,0,21,23,2,0</v>
      </c>
    </row>
    <row r="294" spans="1:12" x14ac:dyDescent="0.2">
      <c r="A294" s="1" t="str">
        <f t="shared" si="22"/>
        <v>3811323</v>
      </c>
      <c r="B294" s="1" t="str">
        <f t="shared" si="23"/>
        <v>3811321</v>
      </c>
      <c r="C294" s="1">
        <v>293</v>
      </c>
      <c r="D294" s="4">
        <v>38113</v>
      </c>
      <c r="E294" s="1">
        <v>0</v>
      </c>
      <c r="F294" s="1">
        <v>21</v>
      </c>
      <c r="G294" s="1">
        <v>23</v>
      </c>
      <c r="H294" s="1">
        <v>2</v>
      </c>
      <c r="I294" s="1">
        <v>0</v>
      </c>
      <c r="J294" s="2" t="str">
        <f t="shared" si="24"/>
        <v>NYD</v>
      </c>
      <c r="K294" s="2" t="str">
        <f t="shared" si="25"/>
        <v>@BRK</v>
      </c>
      <c r="L294" s="1" t="str">
        <f t="shared" si="26"/>
        <v>293,5/6/2004,0,21,23,2,0</v>
      </c>
    </row>
    <row r="295" spans="1:12" x14ac:dyDescent="0.2">
      <c r="A295" s="1" t="str">
        <f t="shared" si="22"/>
        <v>381142</v>
      </c>
      <c r="B295" s="1" t="str">
        <f t="shared" si="23"/>
        <v>3811413</v>
      </c>
      <c r="C295" s="1">
        <v>294</v>
      </c>
      <c r="D295" s="4">
        <v>38114</v>
      </c>
      <c r="E295" s="1">
        <v>0</v>
      </c>
      <c r="F295" s="1">
        <v>13</v>
      </c>
      <c r="G295" s="1">
        <v>2</v>
      </c>
      <c r="H295" s="1">
        <v>2</v>
      </c>
      <c r="I295" s="1">
        <v>0</v>
      </c>
      <c r="J295" s="2" t="str">
        <f t="shared" si="24"/>
        <v>BBG</v>
      </c>
      <c r="K295" s="2" t="str">
        <f t="shared" si="25"/>
        <v>@NEP</v>
      </c>
      <c r="L295" s="1" t="str">
        <f t="shared" si="26"/>
        <v>294,5/7/2004,0,13,2,2,0</v>
      </c>
    </row>
    <row r="296" spans="1:12" x14ac:dyDescent="0.2">
      <c r="A296" s="1" t="str">
        <f t="shared" si="22"/>
        <v>381143</v>
      </c>
      <c r="B296" s="1" t="str">
        <f t="shared" si="23"/>
        <v>3811417</v>
      </c>
      <c r="C296" s="1">
        <v>295</v>
      </c>
      <c r="D296" s="4">
        <v>38114</v>
      </c>
      <c r="E296" s="1">
        <v>0</v>
      </c>
      <c r="F296" s="1">
        <v>17</v>
      </c>
      <c r="G296" s="1">
        <v>3</v>
      </c>
      <c r="H296" s="1">
        <v>2</v>
      </c>
      <c r="I296" s="1">
        <v>0</v>
      </c>
      <c r="J296" s="2" t="str">
        <f t="shared" si="24"/>
        <v>GAR</v>
      </c>
      <c r="K296" s="2" t="str">
        <f t="shared" si="25"/>
        <v>@TEW</v>
      </c>
      <c r="L296" s="1" t="str">
        <f t="shared" si="26"/>
        <v>295,5/7/2004,0,17,3,2,0</v>
      </c>
    </row>
    <row r="297" spans="1:12" x14ac:dyDescent="0.2">
      <c r="A297" s="1" t="str">
        <f t="shared" si="22"/>
        <v>3811410</v>
      </c>
      <c r="B297" s="1" t="str">
        <f t="shared" si="23"/>
        <v>381147</v>
      </c>
      <c r="C297" s="1">
        <v>296</v>
      </c>
      <c r="D297" s="4">
        <v>38114</v>
      </c>
      <c r="E297" s="1">
        <v>0</v>
      </c>
      <c r="F297" s="1">
        <v>7</v>
      </c>
      <c r="G297" s="1">
        <v>10</v>
      </c>
      <c r="H297" s="1">
        <v>2</v>
      </c>
      <c r="I297" s="1">
        <v>0</v>
      </c>
      <c r="J297" s="2" t="str">
        <f t="shared" si="24"/>
        <v>BAR</v>
      </c>
      <c r="K297" s="2" t="str">
        <f t="shared" si="25"/>
        <v>@REN</v>
      </c>
      <c r="L297" s="1" t="str">
        <f t="shared" si="26"/>
        <v>296,5/7/2004,0,7,10,2,0</v>
      </c>
    </row>
    <row r="298" spans="1:12" x14ac:dyDescent="0.2">
      <c r="A298" s="1" t="str">
        <f t="shared" si="22"/>
        <v>3811411</v>
      </c>
      <c r="B298" s="1" t="str">
        <f t="shared" si="23"/>
        <v>381144</v>
      </c>
      <c r="C298" s="1">
        <v>297</v>
      </c>
      <c r="D298" s="4">
        <v>38114</v>
      </c>
      <c r="E298" s="1">
        <v>0</v>
      </c>
      <c r="F298" s="1">
        <v>4</v>
      </c>
      <c r="G298" s="1">
        <v>11</v>
      </c>
      <c r="H298" s="1">
        <v>2</v>
      </c>
      <c r="I298" s="1">
        <v>0</v>
      </c>
      <c r="J298" s="2" t="str">
        <f t="shared" si="24"/>
        <v>NNN</v>
      </c>
      <c r="K298" s="2" t="str">
        <f t="shared" si="25"/>
        <v>@HAR</v>
      </c>
      <c r="L298" s="1" t="str">
        <f t="shared" si="26"/>
        <v>297,5/7/2004,0,4,11,2,0</v>
      </c>
    </row>
    <row r="299" spans="1:12" x14ac:dyDescent="0.2">
      <c r="A299" s="1" t="str">
        <f t="shared" si="22"/>
        <v>3811414</v>
      </c>
      <c r="B299" s="1" t="str">
        <f t="shared" si="23"/>
        <v>381149</v>
      </c>
      <c r="C299" s="1">
        <v>298</v>
      </c>
      <c r="D299" s="4">
        <v>38114</v>
      </c>
      <c r="E299" s="1">
        <v>0</v>
      </c>
      <c r="F299" s="1">
        <v>9</v>
      </c>
      <c r="G299" s="1">
        <v>14</v>
      </c>
      <c r="H299" s="1">
        <v>2</v>
      </c>
      <c r="I299" s="1">
        <v>0</v>
      </c>
      <c r="J299" s="2" t="str">
        <f t="shared" si="24"/>
        <v>CIN</v>
      </c>
      <c r="K299" s="2" t="str">
        <f t="shared" si="25"/>
        <v>@CEN</v>
      </c>
      <c r="L299" s="1" t="str">
        <f t="shared" si="26"/>
        <v>298,5/7/2004,0,9,14,2,0</v>
      </c>
    </row>
    <row r="300" spans="1:12" x14ac:dyDescent="0.2">
      <c r="A300" s="1" t="str">
        <f t="shared" si="22"/>
        <v>3811420</v>
      </c>
      <c r="B300" s="1" t="str">
        <f t="shared" si="23"/>
        <v>381148</v>
      </c>
      <c r="C300" s="1">
        <v>299</v>
      </c>
      <c r="D300" s="4">
        <v>38114</v>
      </c>
      <c r="E300" s="1">
        <v>0</v>
      </c>
      <c r="F300" s="1">
        <v>8</v>
      </c>
      <c r="G300" s="1">
        <v>20</v>
      </c>
      <c r="H300" s="1">
        <v>2</v>
      </c>
      <c r="I300" s="1">
        <v>0</v>
      </c>
      <c r="J300" s="2" t="str">
        <f t="shared" si="24"/>
        <v>CTW</v>
      </c>
      <c r="K300" s="2" t="str">
        <f t="shared" si="25"/>
        <v>@FDH</v>
      </c>
      <c r="L300" s="1" t="str">
        <f t="shared" si="26"/>
        <v>299,5/7/2004,0,8,20,2,0</v>
      </c>
    </row>
    <row r="301" spans="1:12" x14ac:dyDescent="0.2">
      <c r="A301" s="1" t="str">
        <f t="shared" si="22"/>
        <v>3811421</v>
      </c>
      <c r="B301" s="1" t="str">
        <f t="shared" si="23"/>
        <v>381145</v>
      </c>
      <c r="C301" s="1">
        <v>300</v>
      </c>
      <c r="D301" s="4">
        <v>38114</v>
      </c>
      <c r="E301" s="1">
        <v>0</v>
      </c>
      <c r="F301" s="1">
        <v>5</v>
      </c>
      <c r="G301" s="1">
        <v>21</v>
      </c>
      <c r="H301" s="1">
        <v>2</v>
      </c>
      <c r="I301" s="1">
        <v>0</v>
      </c>
      <c r="J301" s="2" t="str">
        <f t="shared" si="24"/>
        <v>OKO</v>
      </c>
      <c r="K301" s="2" t="str">
        <f t="shared" si="25"/>
        <v>@NYD</v>
      </c>
      <c r="L301" s="1" t="str">
        <f t="shared" si="26"/>
        <v>300,5/7/2004,0,5,21,2,0</v>
      </c>
    </row>
    <row r="302" spans="1:12" x14ac:dyDescent="0.2">
      <c r="A302" s="1" t="str">
        <f t="shared" si="22"/>
        <v>3811422</v>
      </c>
      <c r="B302" s="1" t="str">
        <f t="shared" si="23"/>
        <v>3811416</v>
      </c>
      <c r="C302" s="1">
        <v>301</v>
      </c>
      <c r="D302" s="4">
        <v>38114</v>
      </c>
      <c r="E302" s="1">
        <v>0</v>
      </c>
      <c r="F302" s="1">
        <v>16</v>
      </c>
      <c r="G302" s="1">
        <v>22</v>
      </c>
      <c r="H302" s="1">
        <v>2</v>
      </c>
      <c r="I302" s="1">
        <v>0</v>
      </c>
      <c r="J302" s="2" t="str">
        <f t="shared" si="24"/>
        <v>DIG</v>
      </c>
      <c r="K302" s="2" t="str">
        <f t="shared" si="25"/>
        <v>@CBB</v>
      </c>
      <c r="L302" s="1" t="str">
        <f t="shared" si="26"/>
        <v>301,5/7/2004,0,16,22,2,0</v>
      </c>
    </row>
    <row r="303" spans="1:12" x14ac:dyDescent="0.2">
      <c r="A303" s="1" t="str">
        <f t="shared" si="22"/>
        <v>3811423</v>
      </c>
      <c r="B303" s="1" t="str">
        <f t="shared" si="23"/>
        <v>3811412</v>
      </c>
      <c r="C303" s="1">
        <v>302</v>
      </c>
      <c r="D303" s="4">
        <v>38114</v>
      </c>
      <c r="E303" s="1">
        <v>0</v>
      </c>
      <c r="F303" s="1">
        <v>12</v>
      </c>
      <c r="G303" s="1">
        <v>23</v>
      </c>
      <c r="H303" s="1">
        <v>2</v>
      </c>
      <c r="I303" s="1">
        <v>0</v>
      </c>
      <c r="J303" s="2" t="str">
        <f t="shared" si="24"/>
        <v>RMO</v>
      </c>
      <c r="K303" s="2" t="str">
        <f t="shared" si="25"/>
        <v>@BRK</v>
      </c>
      <c r="L303" s="1" t="str">
        <f t="shared" si="26"/>
        <v>302,5/7/2004,0,12,23,2,0</v>
      </c>
    </row>
    <row r="304" spans="1:12" x14ac:dyDescent="0.2">
      <c r="A304" s="1" t="str">
        <f t="shared" si="22"/>
        <v>3811424</v>
      </c>
      <c r="B304" s="1" t="str">
        <f t="shared" si="23"/>
        <v>381141</v>
      </c>
      <c r="C304" s="1">
        <v>303</v>
      </c>
      <c r="D304" s="4">
        <v>38114</v>
      </c>
      <c r="E304" s="1">
        <v>0</v>
      </c>
      <c r="F304" s="1">
        <v>1</v>
      </c>
      <c r="G304" s="1">
        <v>24</v>
      </c>
      <c r="H304" s="1">
        <v>2</v>
      </c>
      <c r="I304" s="1">
        <v>0</v>
      </c>
      <c r="J304" s="2" t="str">
        <f t="shared" si="24"/>
        <v>FFR</v>
      </c>
      <c r="K304" s="2" t="str">
        <f t="shared" si="25"/>
        <v>@PHI</v>
      </c>
      <c r="L304" s="1" t="str">
        <f t="shared" si="26"/>
        <v>303,5/7/2004,0,1,24,2,0</v>
      </c>
    </row>
    <row r="305" spans="1:12" x14ac:dyDescent="0.2">
      <c r="A305" s="1" t="str">
        <f t="shared" si="22"/>
        <v>381152</v>
      </c>
      <c r="B305" s="1" t="str">
        <f t="shared" si="23"/>
        <v>3811513</v>
      </c>
      <c r="C305" s="1">
        <v>304</v>
      </c>
      <c r="D305" s="4">
        <v>38115</v>
      </c>
      <c r="E305" s="1">
        <v>0</v>
      </c>
      <c r="F305" s="1">
        <v>13</v>
      </c>
      <c r="G305" s="1">
        <v>2</v>
      </c>
      <c r="H305" s="1">
        <v>2</v>
      </c>
      <c r="I305" s="1">
        <v>0</v>
      </c>
      <c r="J305" s="2" t="str">
        <f t="shared" si="24"/>
        <v>BBG</v>
      </c>
      <c r="K305" s="2" t="str">
        <f t="shared" si="25"/>
        <v>@NEP</v>
      </c>
      <c r="L305" s="1" t="str">
        <f t="shared" si="26"/>
        <v>304,5/8/2004,0,13,2,2,0</v>
      </c>
    </row>
    <row r="306" spans="1:12" x14ac:dyDescent="0.2">
      <c r="A306" s="1" t="str">
        <f t="shared" si="22"/>
        <v>381153</v>
      </c>
      <c r="B306" s="1" t="str">
        <f t="shared" si="23"/>
        <v>3811517</v>
      </c>
      <c r="C306" s="1">
        <v>305</v>
      </c>
      <c r="D306" s="4">
        <v>38115</v>
      </c>
      <c r="E306" s="1">
        <v>0</v>
      </c>
      <c r="F306" s="1">
        <v>17</v>
      </c>
      <c r="G306" s="1">
        <v>3</v>
      </c>
      <c r="H306" s="1">
        <v>2</v>
      </c>
      <c r="I306" s="1">
        <v>0</v>
      </c>
      <c r="J306" s="2" t="str">
        <f t="shared" si="24"/>
        <v>GAR</v>
      </c>
      <c r="K306" s="2" t="str">
        <f t="shared" si="25"/>
        <v>@TEW</v>
      </c>
      <c r="L306" s="1" t="str">
        <f t="shared" si="26"/>
        <v>305,5/8/2004,0,17,3,2,0</v>
      </c>
    </row>
    <row r="307" spans="1:12" x14ac:dyDescent="0.2">
      <c r="A307" s="1" t="str">
        <f t="shared" si="22"/>
        <v>3811510</v>
      </c>
      <c r="B307" s="1" t="str">
        <f t="shared" si="23"/>
        <v>381157</v>
      </c>
      <c r="C307" s="1">
        <v>306</v>
      </c>
      <c r="D307" s="4">
        <v>38115</v>
      </c>
      <c r="E307" s="1">
        <v>0</v>
      </c>
      <c r="F307" s="1">
        <v>7</v>
      </c>
      <c r="G307" s="1">
        <v>10</v>
      </c>
      <c r="H307" s="1">
        <v>2</v>
      </c>
      <c r="I307" s="1">
        <v>0</v>
      </c>
      <c r="J307" s="2" t="str">
        <f t="shared" si="24"/>
        <v>BAR</v>
      </c>
      <c r="K307" s="2" t="str">
        <f t="shared" si="25"/>
        <v>@REN</v>
      </c>
      <c r="L307" s="1" t="str">
        <f t="shared" si="26"/>
        <v>306,5/8/2004,0,7,10,2,0</v>
      </c>
    </row>
    <row r="308" spans="1:12" x14ac:dyDescent="0.2">
      <c r="A308" s="1" t="str">
        <f t="shared" si="22"/>
        <v>3811511</v>
      </c>
      <c r="B308" s="1" t="str">
        <f t="shared" si="23"/>
        <v>381154</v>
      </c>
      <c r="C308" s="1">
        <v>307</v>
      </c>
      <c r="D308" s="4">
        <v>38115</v>
      </c>
      <c r="E308" s="1">
        <v>0</v>
      </c>
      <c r="F308" s="1">
        <v>4</v>
      </c>
      <c r="G308" s="1">
        <v>11</v>
      </c>
      <c r="H308" s="1">
        <v>2</v>
      </c>
      <c r="I308" s="1">
        <v>0</v>
      </c>
      <c r="J308" s="2" t="str">
        <f t="shared" si="24"/>
        <v>NNN</v>
      </c>
      <c r="K308" s="2" t="str">
        <f t="shared" si="25"/>
        <v>@HAR</v>
      </c>
      <c r="L308" s="1" t="str">
        <f t="shared" si="26"/>
        <v>307,5/8/2004,0,4,11,2,0</v>
      </c>
    </row>
    <row r="309" spans="1:12" x14ac:dyDescent="0.2">
      <c r="A309" s="1" t="str">
        <f t="shared" si="22"/>
        <v>3811514</v>
      </c>
      <c r="B309" s="1" t="str">
        <f t="shared" si="23"/>
        <v>381159</v>
      </c>
      <c r="C309" s="1">
        <v>308</v>
      </c>
      <c r="D309" s="4">
        <v>38115</v>
      </c>
      <c r="E309" s="1">
        <v>0</v>
      </c>
      <c r="F309" s="1">
        <v>9</v>
      </c>
      <c r="G309" s="1">
        <v>14</v>
      </c>
      <c r="H309" s="1">
        <v>2</v>
      </c>
      <c r="I309" s="1">
        <v>0</v>
      </c>
      <c r="J309" s="2" t="str">
        <f t="shared" si="24"/>
        <v>CIN</v>
      </c>
      <c r="K309" s="2" t="str">
        <f t="shared" si="25"/>
        <v>@CEN</v>
      </c>
      <c r="L309" s="1" t="str">
        <f t="shared" si="26"/>
        <v>308,5/8/2004,0,9,14,2,0</v>
      </c>
    </row>
    <row r="310" spans="1:12" x14ac:dyDescent="0.2">
      <c r="A310" s="1" t="str">
        <f t="shared" si="22"/>
        <v>3811520</v>
      </c>
      <c r="B310" s="1" t="str">
        <f t="shared" si="23"/>
        <v>381158</v>
      </c>
      <c r="C310" s="1">
        <v>309</v>
      </c>
      <c r="D310" s="4">
        <v>38115</v>
      </c>
      <c r="E310" s="1">
        <v>0</v>
      </c>
      <c r="F310" s="1">
        <v>8</v>
      </c>
      <c r="G310" s="1">
        <v>20</v>
      </c>
      <c r="H310" s="1">
        <v>2</v>
      </c>
      <c r="I310" s="1">
        <v>0</v>
      </c>
      <c r="J310" s="2" t="str">
        <f t="shared" si="24"/>
        <v>CTW</v>
      </c>
      <c r="K310" s="2" t="str">
        <f t="shared" si="25"/>
        <v>@FDH</v>
      </c>
      <c r="L310" s="1" t="str">
        <f t="shared" si="26"/>
        <v>309,5/8/2004,0,8,20,2,0</v>
      </c>
    </row>
    <row r="311" spans="1:12" x14ac:dyDescent="0.2">
      <c r="A311" s="1" t="str">
        <f t="shared" si="22"/>
        <v>3811521</v>
      </c>
      <c r="B311" s="1" t="str">
        <f t="shared" si="23"/>
        <v>381155</v>
      </c>
      <c r="C311" s="1">
        <v>310</v>
      </c>
      <c r="D311" s="4">
        <v>38115</v>
      </c>
      <c r="E311" s="1">
        <v>0</v>
      </c>
      <c r="F311" s="1">
        <v>5</v>
      </c>
      <c r="G311" s="1">
        <v>21</v>
      </c>
      <c r="H311" s="1">
        <v>2</v>
      </c>
      <c r="I311" s="1">
        <v>0</v>
      </c>
      <c r="J311" s="2" t="str">
        <f t="shared" si="24"/>
        <v>OKO</v>
      </c>
      <c r="K311" s="2" t="str">
        <f t="shared" si="25"/>
        <v>@NYD</v>
      </c>
      <c r="L311" s="1" t="str">
        <f t="shared" si="26"/>
        <v>310,5/8/2004,0,5,21,2,0</v>
      </c>
    </row>
    <row r="312" spans="1:12" x14ac:dyDescent="0.2">
      <c r="A312" s="1" t="str">
        <f t="shared" si="22"/>
        <v>3811522</v>
      </c>
      <c r="B312" s="1" t="str">
        <f t="shared" si="23"/>
        <v>3811516</v>
      </c>
      <c r="C312" s="1">
        <v>311</v>
      </c>
      <c r="D312" s="4">
        <v>38115</v>
      </c>
      <c r="E312" s="1">
        <v>0</v>
      </c>
      <c r="F312" s="1">
        <v>16</v>
      </c>
      <c r="G312" s="1">
        <v>22</v>
      </c>
      <c r="H312" s="1">
        <v>2</v>
      </c>
      <c r="I312" s="1">
        <v>0</v>
      </c>
      <c r="J312" s="2" t="str">
        <f t="shared" si="24"/>
        <v>DIG</v>
      </c>
      <c r="K312" s="2" t="str">
        <f t="shared" si="25"/>
        <v>@CBB</v>
      </c>
      <c r="L312" s="1" t="str">
        <f t="shared" si="26"/>
        <v>311,5/8/2004,0,16,22,2,0</v>
      </c>
    </row>
    <row r="313" spans="1:12" x14ac:dyDescent="0.2">
      <c r="A313" s="1" t="str">
        <f t="shared" si="22"/>
        <v>3811523</v>
      </c>
      <c r="B313" s="1" t="str">
        <f t="shared" si="23"/>
        <v>3811512</v>
      </c>
      <c r="C313" s="1">
        <v>312</v>
      </c>
      <c r="D313" s="4">
        <v>38115</v>
      </c>
      <c r="E313" s="1">
        <v>0</v>
      </c>
      <c r="F313" s="1">
        <v>12</v>
      </c>
      <c r="G313" s="1">
        <v>23</v>
      </c>
      <c r="H313" s="1">
        <v>2</v>
      </c>
      <c r="I313" s="1">
        <v>0</v>
      </c>
      <c r="J313" s="2" t="str">
        <f t="shared" si="24"/>
        <v>RMO</v>
      </c>
      <c r="K313" s="2" t="str">
        <f t="shared" si="25"/>
        <v>@BRK</v>
      </c>
      <c r="L313" s="1" t="str">
        <f t="shared" si="26"/>
        <v>312,5/8/2004,0,12,23,2,0</v>
      </c>
    </row>
    <row r="314" spans="1:12" x14ac:dyDescent="0.2">
      <c r="A314" s="1" t="str">
        <f t="shared" si="22"/>
        <v>3811524</v>
      </c>
      <c r="B314" s="1" t="str">
        <f t="shared" si="23"/>
        <v>381151</v>
      </c>
      <c r="C314" s="1">
        <v>313</v>
      </c>
      <c r="D314" s="4">
        <v>38115</v>
      </c>
      <c r="E314" s="1">
        <v>0</v>
      </c>
      <c r="F314" s="1">
        <v>1</v>
      </c>
      <c r="G314" s="1">
        <v>24</v>
      </c>
      <c r="H314" s="1">
        <v>2</v>
      </c>
      <c r="I314" s="1">
        <v>0</v>
      </c>
      <c r="J314" s="2" t="str">
        <f t="shared" si="24"/>
        <v>FFR</v>
      </c>
      <c r="K314" s="2" t="str">
        <f t="shared" si="25"/>
        <v>@PHI</v>
      </c>
      <c r="L314" s="1" t="str">
        <f t="shared" si="26"/>
        <v>313,5/8/2004,0,1,24,2,0</v>
      </c>
    </row>
    <row r="315" spans="1:12" x14ac:dyDescent="0.2">
      <c r="A315" s="1" t="str">
        <f t="shared" si="22"/>
        <v>381162</v>
      </c>
      <c r="B315" s="1" t="str">
        <f t="shared" si="23"/>
        <v>3811613</v>
      </c>
      <c r="C315" s="1">
        <v>314</v>
      </c>
      <c r="D315" s="4">
        <v>38116</v>
      </c>
      <c r="E315" s="1">
        <v>0</v>
      </c>
      <c r="F315" s="1">
        <v>13</v>
      </c>
      <c r="G315" s="1">
        <v>2</v>
      </c>
      <c r="H315" s="1">
        <v>2</v>
      </c>
      <c r="I315" s="1">
        <v>0</v>
      </c>
      <c r="J315" s="2" t="str">
        <f t="shared" si="24"/>
        <v>BBG</v>
      </c>
      <c r="K315" s="2" t="str">
        <f t="shared" si="25"/>
        <v>@NEP</v>
      </c>
      <c r="L315" s="1" t="str">
        <f t="shared" si="26"/>
        <v>314,5/9/2004,0,13,2,2,0</v>
      </c>
    </row>
    <row r="316" spans="1:12" x14ac:dyDescent="0.2">
      <c r="A316" s="1" t="str">
        <f t="shared" si="22"/>
        <v>381163</v>
      </c>
      <c r="B316" s="1" t="str">
        <f t="shared" si="23"/>
        <v>3811617</v>
      </c>
      <c r="C316" s="1">
        <v>315</v>
      </c>
      <c r="D316" s="4">
        <v>38116</v>
      </c>
      <c r="E316" s="1">
        <v>0</v>
      </c>
      <c r="F316" s="1">
        <v>17</v>
      </c>
      <c r="G316" s="1">
        <v>3</v>
      </c>
      <c r="H316" s="1">
        <v>2</v>
      </c>
      <c r="I316" s="1">
        <v>0</v>
      </c>
      <c r="J316" s="2" t="str">
        <f t="shared" si="24"/>
        <v>GAR</v>
      </c>
      <c r="K316" s="2" t="str">
        <f t="shared" si="25"/>
        <v>@TEW</v>
      </c>
      <c r="L316" s="1" t="str">
        <f t="shared" si="26"/>
        <v>315,5/9/2004,0,17,3,2,0</v>
      </c>
    </row>
    <row r="317" spans="1:12" x14ac:dyDescent="0.2">
      <c r="A317" s="1" t="str">
        <f t="shared" si="22"/>
        <v>3811610</v>
      </c>
      <c r="B317" s="1" t="str">
        <f t="shared" si="23"/>
        <v>381167</v>
      </c>
      <c r="C317" s="1">
        <v>316</v>
      </c>
      <c r="D317" s="4">
        <v>38116</v>
      </c>
      <c r="E317" s="1">
        <v>0</v>
      </c>
      <c r="F317" s="1">
        <v>7</v>
      </c>
      <c r="G317" s="1">
        <v>10</v>
      </c>
      <c r="H317" s="1">
        <v>2</v>
      </c>
      <c r="I317" s="1">
        <v>0</v>
      </c>
      <c r="J317" s="2" t="str">
        <f t="shared" si="24"/>
        <v>BAR</v>
      </c>
      <c r="K317" s="2" t="str">
        <f t="shared" si="25"/>
        <v>@REN</v>
      </c>
      <c r="L317" s="1" t="str">
        <f t="shared" si="26"/>
        <v>316,5/9/2004,0,7,10,2,0</v>
      </c>
    </row>
    <row r="318" spans="1:12" x14ac:dyDescent="0.2">
      <c r="A318" s="1" t="str">
        <f t="shared" si="22"/>
        <v>3811611</v>
      </c>
      <c r="B318" s="1" t="str">
        <f t="shared" si="23"/>
        <v>381164</v>
      </c>
      <c r="C318" s="1">
        <v>317</v>
      </c>
      <c r="D318" s="4">
        <v>38116</v>
      </c>
      <c r="E318" s="1">
        <v>0</v>
      </c>
      <c r="F318" s="1">
        <v>4</v>
      </c>
      <c r="G318" s="1">
        <v>11</v>
      </c>
      <c r="H318" s="1">
        <v>2</v>
      </c>
      <c r="I318" s="1">
        <v>0</v>
      </c>
      <c r="J318" s="2" t="str">
        <f t="shared" si="24"/>
        <v>NNN</v>
      </c>
      <c r="K318" s="2" t="str">
        <f t="shared" si="25"/>
        <v>@HAR</v>
      </c>
      <c r="L318" s="1" t="str">
        <f t="shared" si="26"/>
        <v>317,5/9/2004,0,4,11,2,0</v>
      </c>
    </row>
    <row r="319" spans="1:12" x14ac:dyDescent="0.2">
      <c r="A319" s="1" t="str">
        <f t="shared" si="22"/>
        <v>3811614</v>
      </c>
      <c r="B319" s="1" t="str">
        <f t="shared" si="23"/>
        <v>381169</v>
      </c>
      <c r="C319" s="1">
        <v>318</v>
      </c>
      <c r="D319" s="4">
        <v>38116</v>
      </c>
      <c r="E319" s="1">
        <v>0</v>
      </c>
      <c r="F319" s="1">
        <v>9</v>
      </c>
      <c r="G319" s="1">
        <v>14</v>
      </c>
      <c r="H319" s="1">
        <v>2</v>
      </c>
      <c r="I319" s="1">
        <v>0</v>
      </c>
      <c r="J319" s="2" t="str">
        <f t="shared" si="24"/>
        <v>CIN</v>
      </c>
      <c r="K319" s="2" t="str">
        <f t="shared" si="25"/>
        <v>@CEN</v>
      </c>
      <c r="L319" s="1" t="str">
        <f t="shared" si="26"/>
        <v>318,5/9/2004,0,9,14,2,0</v>
      </c>
    </row>
    <row r="320" spans="1:12" x14ac:dyDescent="0.2">
      <c r="A320" s="1" t="str">
        <f t="shared" si="22"/>
        <v>3811620</v>
      </c>
      <c r="B320" s="1" t="str">
        <f t="shared" si="23"/>
        <v>381168</v>
      </c>
      <c r="C320" s="1">
        <v>319</v>
      </c>
      <c r="D320" s="4">
        <v>38116</v>
      </c>
      <c r="E320" s="1">
        <v>0</v>
      </c>
      <c r="F320" s="1">
        <v>8</v>
      </c>
      <c r="G320" s="1">
        <v>20</v>
      </c>
      <c r="H320" s="1">
        <v>2</v>
      </c>
      <c r="I320" s="1">
        <v>0</v>
      </c>
      <c r="J320" s="2" t="str">
        <f t="shared" si="24"/>
        <v>CTW</v>
      </c>
      <c r="K320" s="2" t="str">
        <f t="shared" si="25"/>
        <v>@FDH</v>
      </c>
      <c r="L320" s="1" t="str">
        <f t="shared" si="26"/>
        <v>319,5/9/2004,0,8,20,2,0</v>
      </c>
    </row>
    <row r="321" spans="1:12" x14ac:dyDescent="0.2">
      <c r="A321" s="1" t="str">
        <f t="shared" si="22"/>
        <v>3811621</v>
      </c>
      <c r="B321" s="1" t="str">
        <f t="shared" si="23"/>
        <v>381165</v>
      </c>
      <c r="C321" s="1">
        <v>320</v>
      </c>
      <c r="D321" s="4">
        <v>38116</v>
      </c>
      <c r="E321" s="1">
        <v>0</v>
      </c>
      <c r="F321" s="1">
        <v>5</v>
      </c>
      <c r="G321" s="1">
        <v>21</v>
      </c>
      <c r="H321" s="1">
        <v>2</v>
      </c>
      <c r="I321" s="1">
        <v>0</v>
      </c>
      <c r="J321" s="2" t="str">
        <f t="shared" si="24"/>
        <v>OKO</v>
      </c>
      <c r="K321" s="2" t="str">
        <f t="shared" si="25"/>
        <v>@NYD</v>
      </c>
      <c r="L321" s="1" t="str">
        <f t="shared" si="26"/>
        <v>320,5/9/2004,0,5,21,2,0</v>
      </c>
    </row>
    <row r="322" spans="1:12" x14ac:dyDescent="0.2">
      <c r="A322" s="1" t="str">
        <f t="shared" ref="A322:A385" si="27">D322&amp;G322</f>
        <v>3811622</v>
      </c>
      <c r="B322" s="1" t="str">
        <f t="shared" ref="B322:B385" si="28">D322&amp;F322</f>
        <v>3811616</v>
      </c>
      <c r="C322" s="1">
        <v>321</v>
      </c>
      <c r="D322" s="4">
        <v>38116</v>
      </c>
      <c r="E322" s="1">
        <v>0</v>
      </c>
      <c r="F322" s="1">
        <v>16</v>
      </c>
      <c r="G322" s="1">
        <v>22</v>
      </c>
      <c r="H322" s="1">
        <v>2</v>
      </c>
      <c r="I322" s="1">
        <v>0</v>
      </c>
      <c r="J322" s="2" t="str">
        <f t="shared" ref="J322:J385" si="29">VLOOKUP(F322,$M$2:$N$21,2,0)</f>
        <v>DIG</v>
      </c>
      <c r="K322" s="2" t="str">
        <f t="shared" ref="K322:K385" si="30">"@"&amp;VLOOKUP(G322,$M$2:$N$21,2,0)</f>
        <v>@CBB</v>
      </c>
      <c r="L322" s="1" t="str">
        <f t="shared" ref="L322:L385" si="31">C322&amp;","&amp;MONTH(D322)&amp;"/"&amp;DAY(D322)&amp;"/"&amp;YEAR(D322)&amp;","&amp;E322&amp;","&amp;F322&amp;","&amp;G322&amp;","&amp;H322&amp;","&amp;I322</f>
        <v>321,5/9/2004,0,16,22,2,0</v>
      </c>
    </row>
    <row r="323" spans="1:12" x14ac:dyDescent="0.2">
      <c r="A323" s="1" t="str">
        <f t="shared" si="27"/>
        <v>3811623</v>
      </c>
      <c r="B323" s="1" t="str">
        <f t="shared" si="28"/>
        <v>3811612</v>
      </c>
      <c r="C323" s="1">
        <v>322</v>
      </c>
      <c r="D323" s="4">
        <v>38116</v>
      </c>
      <c r="E323" s="1">
        <v>0</v>
      </c>
      <c r="F323" s="1">
        <v>12</v>
      </c>
      <c r="G323" s="1">
        <v>23</v>
      </c>
      <c r="H323" s="1">
        <v>2</v>
      </c>
      <c r="I323" s="1">
        <v>0</v>
      </c>
      <c r="J323" s="2" t="str">
        <f t="shared" si="29"/>
        <v>RMO</v>
      </c>
      <c r="K323" s="2" t="str">
        <f t="shared" si="30"/>
        <v>@BRK</v>
      </c>
      <c r="L323" s="1" t="str">
        <f t="shared" si="31"/>
        <v>322,5/9/2004,0,12,23,2,0</v>
      </c>
    </row>
    <row r="324" spans="1:12" x14ac:dyDescent="0.2">
      <c r="A324" s="1" t="str">
        <f t="shared" si="27"/>
        <v>3811624</v>
      </c>
      <c r="B324" s="1" t="str">
        <f t="shared" si="28"/>
        <v>381161</v>
      </c>
      <c r="C324" s="1">
        <v>323</v>
      </c>
      <c r="D324" s="4">
        <v>38116</v>
      </c>
      <c r="E324" s="1">
        <v>0</v>
      </c>
      <c r="F324" s="1">
        <v>1</v>
      </c>
      <c r="G324" s="1">
        <v>24</v>
      </c>
      <c r="H324" s="1">
        <v>2</v>
      </c>
      <c r="I324" s="1">
        <v>0</v>
      </c>
      <c r="J324" s="2" t="str">
        <f t="shared" si="29"/>
        <v>FFR</v>
      </c>
      <c r="K324" s="2" t="str">
        <f t="shared" si="30"/>
        <v>@PHI</v>
      </c>
      <c r="L324" s="1" t="str">
        <f t="shared" si="31"/>
        <v>323,5/9/2004,0,1,24,2,0</v>
      </c>
    </row>
    <row r="325" spans="1:12" x14ac:dyDescent="0.2">
      <c r="A325" s="1" t="str">
        <f t="shared" si="27"/>
        <v>381172</v>
      </c>
      <c r="B325" s="1" t="str">
        <f t="shared" si="28"/>
        <v>3811713</v>
      </c>
      <c r="C325" s="1">
        <v>324</v>
      </c>
      <c r="D325" s="4">
        <v>38117</v>
      </c>
      <c r="E325" s="1">
        <v>0</v>
      </c>
      <c r="F325" s="1">
        <v>13</v>
      </c>
      <c r="G325" s="1">
        <v>2</v>
      </c>
      <c r="H325" s="1">
        <v>2</v>
      </c>
      <c r="I325" s="1">
        <v>0</v>
      </c>
      <c r="J325" s="2" t="str">
        <f t="shared" si="29"/>
        <v>BBG</v>
      </c>
      <c r="K325" s="2" t="str">
        <f t="shared" si="30"/>
        <v>@NEP</v>
      </c>
      <c r="L325" s="1" t="str">
        <f t="shared" si="31"/>
        <v>324,5/10/2004,0,13,2,2,0</v>
      </c>
    </row>
    <row r="326" spans="1:12" x14ac:dyDescent="0.2">
      <c r="A326" s="1" t="str">
        <f t="shared" si="27"/>
        <v>381173</v>
      </c>
      <c r="B326" s="1" t="str">
        <f t="shared" si="28"/>
        <v>3811717</v>
      </c>
      <c r="C326" s="1">
        <v>325</v>
      </c>
      <c r="D326" s="4">
        <v>38117</v>
      </c>
      <c r="E326" s="1">
        <v>0</v>
      </c>
      <c r="F326" s="1">
        <v>17</v>
      </c>
      <c r="G326" s="1">
        <v>3</v>
      </c>
      <c r="H326" s="1">
        <v>2</v>
      </c>
      <c r="I326" s="1">
        <v>0</v>
      </c>
      <c r="J326" s="2" t="str">
        <f t="shared" si="29"/>
        <v>GAR</v>
      </c>
      <c r="K326" s="2" t="str">
        <f t="shared" si="30"/>
        <v>@TEW</v>
      </c>
      <c r="L326" s="1" t="str">
        <f t="shared" si="31"/>
        <v>325,5/10/2004,0,17,3,2,0</v>
      </c>
    </row>
    <row r="327" spans="1:12" x14ac:dyDescent="0.2">
      <c r="A327" s="1" t="str">
        <f t="shared" si="27"/>
        <v>3811710</v>
      </c>
      <c r="B327" s="1" t="str">
        <f t="shared" si="28"/>
        <v>381177</v>
      </c>
      <c r="C327" s="1">
        <v>326</v>
      </c>
      <c r="D327" s="4">
        <v>38117</v>
      </c>
      <c r="E327" s="1">
        <v>0</v>
      </c>
      <c r="F327" s="1">
        <v>7</v>
      </c>
      <c r="G327" s="1">
        <v>10</v>
      </c>
      <c r="H327" s="1">
        <v>2</v>
      </c>
      <c r="I327" s="1">
        <v>0</v>
      </c>
      <c r="J327" s="2" t="str">
        <f t="shared" si="29"/>
        <v>BAR</v>
      </c>
      <c r="K327" s="2" t="str">
        <f t="shared" si="30"/>
        <v>@REN</v>
      </c>
      <c r="L327" s="1" t="str">
        <f t="shared" si="31"/>
        <v>326,5/10/2004,0,7,10,2,0</v>
      </c>
    </row>
    <row r="328" spans="1:12" x14ac:dyDescent="0.2">
      <c r="A328" s="1" t="str">
        <f t="shared" si="27"/>
        <v>3811711</v>
      </c>
      <c r="B328" s="1" t="str">
        <f t="shared" si="28"/>
        <v>381174</v>
      </c>
      <c r="C328" s="1">
        <v>327</v>
      </c>
      <c r="D328" s="4">
        <v>38117</v>
      </c>
      <c r="E328" s="1">
        <v>0</v>
      </c>
      <c r="F328" s="1">
        <v>4</v>
      </c>
      <c r="G328" s="1">
        <v>11</v>
      </c>
      <c r="H328" s="1">
        <v>2</v>
      </c>
      <c r="I328" s="1">
        <v>0</v>
      </c>
      <c r="J328" s="2" t="str">
        <f t="shared" si="29"/>
        <v>NNN</v>
      </c>
      <c r="K328" s="2" t="str">
        <f t="shared" si="30"/>
        <v>@HAR</v>
      </c>
      <c r="L328" s="1" t="str">
        <f t="shared" si="31"/>
        <v>327,5/10/2004,0,4,11,2,0</v>
      </c>
    </row>
    <row r="329" spans="1:12" x14ac:dyDescent="0.2">
      <c r="A329" s="1" t="str">
        <f t="shared" si="27"/>
        <v>3811714</v>
      </c>
      <c r="B329" s="1" t="str">
        <f t="shared" si="28"/>
        <v>381179</v>
      </c>
      <c r="C329" s="1">
        <v>328</v>
      </c>
      <c r="D329" s="4">
        <v>38117</v>
      </c>
      <c r="E329" s="1">
        <v>0</v>
      </c>
      <c r="F329" s="1">
        <v>9</v>
      </c>
      <c r="G329" s="1">
        <v>14</v>
      </c>
      <c r="H329" s="1">
        <v>2</v>
      </c>
      <c r="I329" s="1">
        <v>0</v>
      </c>
      <c r="J329" s="2" t="str">
        <f t="shared" si="29"/>
        <v>CIN</v>
      </c>
      <c r="K329" s="2" t="str">
        <f t="shared" si="30"/>
        <v>@CEN</v>
      </c>
      <c r="L329" s="1" t="str">
        <f t="shared" si="31"/>
        <v>328,5/10/2004,0,9,14,2,0</v>
      </c>
    </row>
    <row r="330" spans="1:12" x14ac:dyDescent="0.2">
      <c r="A330" s="1" t="str">
        <f t="shared" si="27"/>
        <v>3811720</v>
      </c>
      <c r="B330" s="1" t="str">
        <f t="shared" si="28"/>
        <v>381178</v>
      </c>
      <c r="C330" s="1">
        <v>329</v>
      </c>
      <c r="D330" s="4">
        <v>38117</v>
      </c>
      <c r="E330" s="1">
        <v>0</v>
      </c>
      <c r="F330" s="1">
        <v>8</v>
      </c>
      <c r="G330" s="1">
        <v>20</v>
      </c>
      <c r="H330" s="1">
        <v>2</v>
      </c>
      <c r="I330" s="1">
        <v>0</v>
      </c>
      <c r="J330" s="2" t="str">
        <f t="shared" si="29"/>
        <v>CTW</v>
      </c>
      <c r="K330" s="2" t="str">
        <f t="shared" si="30"/>
        <v>@FDH</v>
      </c>
      <c r="L330" s="1" t="str">
        <f t="shared" si="31"/>
        <v>329,5/10/2004,0,8,20,2,0</v>
      </c>
    </row>
    <row r="331" spans="1:12" x14ac:dyDescent="0.2">
      <c r="A331" s="1" t="str">
        <f t="shared" si="27"/>
        <v>3811721</v>
      </c>
      <c r="B331" s="1" t="str">
        <f t="shared" si="28"/>
        <v>381175</v>
      </c>
      <c r="C331" s="1">
        <v>330</v>
      </c>
      <c r="D331" s="4">
        <v>38117</v>
      </c>
      <c r="E331" s="1">
        <v>0</v>
      </c>
      <c r="F331" s="1">
        <v>5</v>
      </c>
      <c r="G331" s="1">
        <v>21</v>
      </c>
      <c r="H331" s="1">
        <v>2</v>
      </c>
      <c r="I331" s="1">
        <v>0</v>
      </c>
      <c r="J331" s="2" t="str">
        <f t="shared" si="29"/>
        <v>OKO</v>
      </c>
      <c r="K331" s="2" t="str">
        <f t="shared" si="30"/>
        <v>@NYD</v>
      </c>
      <c r="L331" s="1" t="str">
        <f t="shared" si="31"/>
        <v>330,5/10/2004,0,5,21,2,0</v>
      </c>
    </row>
    <row r="332" spans="1:12" x14ac:dyDescent="0.2">
      <c r="A332" s="1" t="str">
        <f t="shared" si="27"/>
        <v>3811722</v>
      </c>
      <c r="B332" s="1" t="str">
        <f t="shared" si="28"/>
        <v>3811716</v>
      </c>
      <c r="C332" s="1">
        <v>331</v>
      </c>
      <c r="D332" s="4">
        <v>38117</v>
      </c>
      <c r="E332" s="1">
        <v>0</v>
      </c>
      <c r="F332" s="1">
        <v>16</v>
      </c>
      <c r="G332" s="1">
        <v>22</v>
      </c>
      <c r="H332" s="1">
        <v>2</v>
      </c>
      <c r="I332" s="1">
        <v>0</v>
      </c>
      <c r="J332" s="2" t="str">
        <f t="shared" si="29"/>
        <v>DIG</v>
      </c>
      <c r="K332" s="2" t="str">
        <f t="shared" si="30"/>
        <v>@CBB</v>
      </c>
      <c r="L332" s="1" t="str">
        <f t="shared" si="31"/>
        <v>331,5/10/2004,0,16,22,2,0</v>
      </c>
    </row>
    <row r="333" spans="1:12" x14ac:dyDescent="0.2">
      <c r="A333" s="1" t="str">
        <f t="shared" si="27"/>
        <v>3811723</v>
      </c>
      <c r="B333" s="1" t="str">
        <f t="shared" si="28"/>
        <v>3811712</v>
      </c>
      <c r="C333" s="1">
        <v>332</v>
      </c>
      <c r="D333" s="4">
        <v>38117</v>
      </c>
      <c r="E333" s="1">
        <v>0</v>
      </c>
      <c r="F333" s="1">
        <v>12</v>
      </c>
      <c r="G333" s="1">
        <v>23</v>
      </c>
      <c r="H333" s="1">
        <v>2</v>
      </c>
      <c r="I333" s="1">
        <v>0</v>
      </c>
      <c r="J333" s="2" t="str">
        <f t="shared" si="29"/>
        <v>RMO</v>
      </c>
      <c r="K333" s="2" t="str">
        <f t="shared" si="30"/>
        <v>@BRK</v>
      </c>
      <c r="L333" s="1" t="str">
        <f t="shared" si="31"/>
        <v>332,5/10/2004,0,12,23,2,0</v>
      </c>
    </row>
    <row r="334" spans="1:12" x14ac:dyDescent="0.2">
      <c r="A334" s="1" t="str">
        <f t="shared" si="27"/>
        <v>3811724</v>
      </c>
      <c r="B334" s="1" t="str">
        <f t="shared" si="28"/>
        <v>381171</v>
      </c>
      <c r="C334" s="1">
        <v>333</v>
      </c>
      <c r="D334" s="4">
        <v>38117</v>
      </c>
      <c r="E334" s="1">
        <v>0</v>
      </c>
      <c r="F334" s="1">
        <v>1</v>
      </c>
      <c r="G334" s="1">
        <v>24</v>
      </c>
      <c r="H334" s="1">
        <v>2</v>
      </c>
      <c r="I334" s="1">
        <v>0</v>
      </c>
      <c r="J334" s="2" t="str">
        <f t="shared" si="29"/>
        <v>FFR</v>
      </c>
      <c r="K334" s="2" t="str">
        <f t="shared" si="30"/>
        <v>@PHI</v>
      </c>
      <c r="L334" s="1" t="str">
        <f t="shared" si="31"/>
        <v>333,5/10/2004,0,1,24,2,0</v>
      </c>
    </row>
    <row r="335" spans="1:12" x14ac:dyDescent="0.2">
      <c r="A335" s="1" t="str">
        <f t="shared" si="27"/>
        <v>381181</v>
      </c>
      <c r="B335" s="1" t="str">
        <f t="shared" si="28"/>
        <v>3811816</v>
      </c>
      <c r="C335" s="1">
        <v>334</v>
      </c>
      <c r="D335" s="4">
        <v>38118</v>
      </c>
      <c r="E335" s="1">
        <v>0</v>
      </c>
      <c r="F335" s="1">
        <v>16</v>
      </c>
      <c r="G335" s="1">
        <v>1</v>
      </c>
      <c r="H335" s="1">
        <v>2</v>
      </c>
      <c r="I335" s="1">
        <v>0</v>
      </c>
      <c r="J335" s="2" t="str">
        <f t="shared" si="29"/>
        <v>DIG</v>
      </c>
      <c r="K335" s="2" t="str">
        <f t="shared" si="30"/>
        <v>@FFR</v>
      </c>
      <c r="L335" s="1" t="str">
        <f t="shared" si="31"/>
        <v>334,5/11/2004,0,16,1,2,0</v>
      </c>
    </row>
    <row r="336" spans="1:12" x14ac:dyDescent="0.2">
      <c r="A336" s="1" t="str">
        <f t="shared" si="27"/>
        <v>381185</v>
      </c>
      <c r="B336" s="1" t="str">
        <f t="shared" si="28"/>
        <v>381184</v>
      </c>
      <c r="C336" s="1">
        <v>335</v>
      </c>
      <c r="D336" s="4">
        <v>38118</v>
      </c>
      <c r="E336" s="1">
        <v>0</v>
      </c>
      <c r="F336" s="1">
        <v>4</v>
      </c>
      <c r="G336" s="1">
        <v>5</v>
      </c>
      <c r="H336" s="1">
        <v>2</v>
      </c>
      <c r="I336" s="1">
        <v>0</v>
      </c>
      <c r="J336" s="2" t="str">
        <f t="shared" si="29"/>
        <v>NNN</v>
      </c>
      <c r="K336" s="2" t="str">
        <f t="shared" si="30"/>
        <v>@OKO</v>
      </c>
      <c r="L336" s="1" t="str">
        <f t="shared" si="31"/>
        <v>335,5/11/2004,0,4,5,2,0</v>
      </c>
    </row>
    <row r="337" spans="1:12" x14ac:dyDescent="0.2">
      <c r="A337" s="1" t="str">
        <f t="shared" si="27"/>
        <v>381191</v>
      </c>
      <c r="B337" s="1" t="str">
        <f t="shared" si="28"/>
        <v>3811916</v>
      </c>
      <c r="C337" s="1">
        <v>336</v>
      </c>
      <c r="D337" s="4">
        <v>38119</v>
      </c>
      <c r="E337" s="1">
        <v>0</v>
      </c>
      <c r="F337" s="1">
        <v>16</v>
      </c>
      <c r="G337" s="1">
        <v>1</v>
      </c>
      <c r="H337" s="1">
        <v>2</v>
      </c>
      <c r="I337" s="1">
        <v>0</v>
      </c>
      <c r="J337" s="2" t="str">
        <f t="shared" si="29"/>
        <v>DIG</v>
      </c>
      <c r="K337" s="2" t="str">
        <f t="shared" si="30"/>
        <v>@FFR</v>
      </c>
      <c r="L337" s="1" t="str">
        <f t="shared" si="31"/>
        <v>336,5/12/2004,0,16,1,2,0</v>
      </c>
    </row>
    <row r="338" spans="1:12" x14ac:dyDescent="0.2">
      <c r="A338" s="1" t="str">
        <f t="shared" si="27"/>
        <v>381193</v>
      </c>
      <c r="B338" s="1" t="str">
        <f t="shared" si="28"/>
        <v>3811920</v>
      </c>
      <c r="C338" s="1">
        <v>337</v>
      </c>
      <c r="D338" s="4">
        <v>38119</v>
      </c>
      <c r="E338" s="1">
        <v>0</v>
      </c>
      <c r="F338" s="1">
        <v>20</v>
      </c>
      <c r="G338" s="1">
        <v>3</v>
      </c>
      <c r="H338" s="1">
        <v>2</v>
      </c>
      <c r="I338" s="1">
        <v>0</v>
      </c>
      <c r="J338" s="2" t="str">
        <f t="shared" si="29"/>
        <v>FDH</v>
      </c>
      <c r="K338" s="2" t="str">
        <f t="shared" si="30"/>
        <v>@TEW</v>
      </c>
      <c r="L338" s="1" t="str">
        <f t="shared" si="31"/>
        <v>337,5/12/2004,0,20,3,2,0</v>
      </c>
    </row>
    <row r="339" spans="1:12" x14ac:dyDescent="0.2">
      <c r="A339" s="1" t="str">
        <f t="shared" si="27"/>
        <v>381195</v>
      </c>
      <c r="B339" s="1" t="str">
        <f t="shared" si="28"/>
        <v>381194</v>
      </c>
      <c r="C339" s="1">
        <v>338</v>
      </c>
      <c r="D339" s="4">
        <v>38119</v>
      </c>
      <c r="E339" s="1">
        <v>0</v>
      </c>
      <c r="F339" s="1">
        <v>4</v>
      </c>
      <c r="G339" s="1">
        <v>5</v>
      </c>
      <c r="H339" s="1">
        <v>2</v>
      </c>
      <c r="I339" s="1">
        <v>0</v>
      </c>
      <c r="J339" s="2" t="str">
        <f t="shared" si="29"/>
        <v>NNN</v>
      </c>
      <c r="K339" s="2" t="str">
        <f t="shared" si="30"/>
        <v>@OKO</v>
      </c>
      <c r="L339" s="1" t="str">
        <f t="shared" si="31"/>
        <v>338,5/12/2004,0,4,5,2,0</v>
      </c>
    </row>
    <row r="340" spans="1:12" x14ac:dyDescent="0.2">
      <c r="A340" s="1" t="str">
        <f t="shared" si="27"/>
        <v>381197</v>
      </c>
      <c r="B340" s="1" t="str">
        <f t="shared" si="28"/>
        <v>3811917</v>
      </c>
      <c r="C340" s="1">
        <v>339</v>
      </c>
      <c r="D340" s="4">
        <v>38119</v>
      </c>
      <c r="E340" s="1">
        <v>0</v>
      </c>
      <c r="F340" s="1">
        <v>17</v>
      </c>
      <c r="G340" s="1">
        <v>7</v>
      </c>
      <c r="H340" s="1">
        <v>2</v>
      </c>
      <c r="I340" s="1">
        <v>0</v>
      </c>
      <c r="J340" s="2" t="str">
        <f t="shared" si="29"/>
        <v>GAR</v>
      </c>
      <c r="K340" s="2" t="str">
        <f t="shared" si="30"/>
        <v>@BAR</v>
      </c>
      <c r="L340" s="1" t="str">
        <f t="shared" si="31"/>
        <v>339,5/12/2004,0,17,7,2,0</v>
      </c>
    </row>
    <row r="341" spans="1:12" x14ac:dyDescent="0.2">
      <c r="A341" s="1" t="str">
        <f t="shared" si="27"/>
        <v>381198</v>
      </c>
      <c r="B341" s="1" t="str">
        <f t="shared" si="28"/>
        <v>381192</v>
      </c>
      <c r="C341" s="1">
        <v>340</v>
      </c>
      <c r="D341" s="4">
        <v>38119</v>
      </c>
      <c r="E341" s="1">
        <v>0</v>
      </c>
      <c r="F341" s="1">
        <v>2</v>
      </c>
      <c r="G341" s="1">
        <v>8</v>
      </c>
      <c r="H341" s="1">
        <v>2</v>
      </c>
      <c r="I341" s="1">
        <v>0</v>
      </c>
      <c r="J341" s="2" t="str">
        <f t="shared" si="29"/>
        <v>NEP</v>
      </c>
      <c r="K341" s="2" t="str">
        <f t="shared" si="30"/>
        <v>@CTW</v>
      </c>
      <c r="L341" s="1" t="str">
        <f t="shared" si="31"/>
        <v>340,5/12/2004,0,2,8,2,0</v>
      </c>
    </row>
    <row r="342" spans="1:12" x14ac:dyDescent="0.2">
      <c r="A342" s="1" t="str">
        <f t="shared" si="27"/>
        <v>3811911</v>
      </c>
      <c r="B342" s="1" t="str">
        <f t="shared" si="28"/>
        <v>3811923</v>
      </c>
      <c r="C342" s="1">
        <v>341</v>
      </c>
      <c r="D342" s="4">
        <v>38119</v>
      </c>
      <c r="E342" s="1">
        <v>0</v>
      </c>
      <c r="F342" s="1">
        <v>23</v>
      </c>
      <c r="G342" s="1">
        <v>11</v>
      </c>
      <c r="H342" s="1">
        <v>2</v>
      </c>
      <c r="I342" s="1">
        <v>0</v>
      </c>
      <c r="J342" s="2" t="str">
        <f t="shared" si="29"/>
        <v>BRK</v>
      </c>
      <c r="K342" s="2" t="str">
        <f t="shared" si="30"/>
        <v>@HAR</v>
      </c>
      <c r="L342" s="1" t="str">
        <f t="shared" si="31"/>
        <v>341,5/12/2004,0,23,11,2,0</v>
      </c>
    </row>
    <row r="343" spans="1:12" x14ac:dyDescent="0.2">
      <c r="A343" s="1" t="str">
        <f t="shared" si="27"/>
        <v>3811912</v>
      </c>
      <c r="B343" s="1" t="str">
        <f t="shared" si="28"/>
        <v>3811924</v>
      </c>
      <c r="C343" s="1">
        <v>342</v>
      </c>
      <c r="D343" s="4">
        <v>38119</v>
      </c>
      <c r="E343" s="1">
        <v>0</v>
      </c>
      <c r="F343" s="1">
        <v>24</v>
      </c>
      <c r="G343" s="1">
        <v>12</v>
      </c>
      <c r="H343" s="1">
        <v>2</v>
      </c>
      <c r="I343" s="1">
        <v>0</v>
      </c>
      <c r="J343" s="2" t="str">
        <f t="shared" si="29"/>
        <v>PHI</v>
      </c>
      <c r="K343" s="2" t="str">
        <f t="shared" si="30"/>
        <v>@RMO</v>
      </c>
      <c r="L343" s="1" t="str">
        <f t="shared" si="31"/>
        <v>342,5/12/2004,0,24,12,2,0</v>
      </c>
    </row>
    <row r="344" spans="1:12" x14ac:dyDescent="0.2">
      <c r="A344" s="1" t="str">
        <f t="shared" si="27"/>
        <v>3811913</v>
      </c>
      <c r="B344" s="1" t="str">
        <f t="shared" si="28"/>
        <v>381199</v>
      </c>
      <c r="C344" s="1">
        <v>343</v>
      </c>
      <c r="D344" s="4">
        <v>38119</v>
      </c>
      <c r="E344" s="1">
        <v>0</v>
      </c>
      <c r="F344" s="1">
        <v>9</v>
      </c>
      <c r="G344" s="1">
        <v>13</v>
      </c>
      <c r="H344" s="1">
        <v>2</v>
      </c>
      <c r="I344" s="1">
        <v>0</v>
      </c>
      <c r="J344" s="2" t="str">
        <f t="shared" si="29"/>
        <v>CIN</v>
      </c>
      <c r="K344" s="2" t="str">
        <f t="shared" si="30"/>
        <v>@BBG</v>
      </c>
      <c r="L344" s="1" t="str">
        <f t="shared" si="31"/>
        <v>343,5/12/2004,0,9,13,2,0</v>
      </c>
    </row>
    <row r="345" spans="1:12" x14ac:dyDescent="0.2">
      <c r="A345" s="1" t="str">
        <f t="shared" si="27"/>
        <v>3811914</v>
      </c>
      <c r="B345" s="1" t="str">
        <f t="shared" si="28"/>
        <v>3811910</v>
      </c>
      <c r="C345" s="1">
        <v>344</v>
      </c>
      <c r="D345" s="4">
        <v>38119</v>
      </c>
      <c r="E345" s="1">
        <v>0</v>
      </c>
      <c r="F345" s="1">
        <v>10</v>
      </c>
      <c r="G345" s="1">
        <v>14</v>
      </c>
      <c r="H345" s="1">
        <v>2</v>
      </c>
      <c r="I345" s="1">
        <v>0</v>
      </c>
      <c r="J345" s="2" t="str">
        <f t="shared" si="29"/>
        <v>REN</v>
      </c>
      <c r="K345" s="2" t="str">
        <f t="shared" si="30"/>
        <v>@CEN</v>
      </c>
      <c r="L345" s="1" t="str">
        <f t="shared" si="31"/>
        <v>344,5/12/2004,0,10,14,2,0</v>
      </c>
    </row>
    <row r="346" spans="1:12" x14ac:dyDescent="0.2">
      <c r="A346" s="1" t="str">
        <f t="shared" si="27"/>
        <v>3811922</v>
      </c>
      <c r="B346" s="1" t="str">
        <f t="shared" si="28"/>
        <v>3811921</v>
      </c>
      <c r="C346" s="1">
        <v>345</v>
      </c>
      <c r="D346" s="4">
        <v>38119</v>
      </c>
      <c r="E346" s="1">
        <v>0</v>
      </c>
      <c r="F346" s="1">
        <v>21</v>
      </c>
      <c r="G346" s="1">
        <v>22</v>
      </c>
      <c r="H346" s="1">
        <v>2</v>
      </c>
      <c r="I346" s="1">
        <v>0</v>
      </c>
      <c r="J346" s="2" t="str">
        <f t="shared" si="29"/>
        <v>NYD</v>
      </c>
      <c r="K346" s="2" t="str">
        <f t="shared" si="30"/>
        <v>@CBB</v>
      </c>
      <c r="L346" s="1" t="str">
        <f t="shared" si="31"/>
        <v>345,5/12/2004,0,21,22,2,0</v>
      </c>
    </row>
    <row r="347" spans="1:12" x14ac:dyDescent="0.2">
      <c r="A347" s="1" t="str">
        <f t="shared" si="27"/>
        <v>381201</v>
      </c>
      <c r="B347" s="1" t="str">
        <f t="shared" si="28"/>
        <v>3812016</v>
      </c>
      <c r="C347" s="1">
        <v>346</v>
      </c>
      <c r="D347" s="4">
        <v>38120</v>
      </c>
      <c r="E347" s="1">
        <v>0</v>
      </c>
      <c r="F347" s="1">
        <v>16</v>
      </c>
      <c r="G347" s="1">
        <v>1</v>
      </c>
      <c r="H347" s="1">
        <v>2</v>
      </c>
      <c r="I347" s="1">
        <v>0</v>
      </c>
      <c r="J347" s="2" t="str">
        <f t="shared" si="29"/>
        <v>DIG</v>
      </c>
      <c r="K347" s="2" t="str">
        <f t="shared" si="30"/>
        <v>@FFR</v>
      </c>
      <c r="L347" s="1" t="str">
        <f t="shared" si="31"/>
        <v>346,5/13/2004,0,16,1,2,0</v>
      </c>
    </row>
    <row r="348" spans="1:12" x14ac:dyDescent="0.2">
      <c r="A348" s="1" t="str">
        <f t="shared" si="27"/>
        <v>381203</v>
      </c>
      <c r="B348" s="1" t="str">
        <f t="shared" si="28"/>
        <v>3812020</v>
      </c>
      <c r="C348" s="1">
        <v>347</v>
      </c>
      <c r="D348" s="4">
        <v>38120</v>
      </c>
      <c r="E348" s="1">
        <v>0</v>
      </c>
      <c r="F348" s="1">
        <v>20</v>
      </c>
      <c r="G348" s="1">
        <v>3</v>
      </c>
      <c r="H348" s="1">
        <v>2</v>
      </c>
      <c r="I348" s="1">
        <v>0</v>
      </c>
      <c r="J348" s="2" t="str">
        <f t="shared" si="29"/>
        <v>FDH</v>
      </c>
      <c r="K348" s="2" t="str">
        <f t="shared" si="30"/>
        <v>@TEW</v>
      </c>
      <c r="L348" s="1" t="str">
        <f t="shared" si="31"/>
        <v>347,5/13/2004,0,20,3,2,0</v>
      </c>
    </row>
    <row r="349" spans="1:12" x14ac:dyDescent="0.2">
      <c r="A349" s="1" t="str">
        <f t="shared" si="27"/>
        <v>381205</v>
      </c>
      <c r="B349" s="1" t="str">
        <f t="shared" si="28"/>
        <v>381204</v>
      </c>
      <c r="C349" s="1">
        <v>348</v>
      </c>
      <c r="D349" s="4">
        <v>38120</v>
      </c>
      <c r="E349" s="1">
        <v>0</v>
      </c>
      <c r="F349" s="1">
        <v>4</v>
      </c>
      <c r="G349" s="1">
        <v>5</v>
      </c>
      <c r="H349" s="1">
        <v>2</v>
      </c>
      <c r="I349" s="1">
        <v>0</v>
      </c>
      <c r="J349" s="2" t="str">
        <f t="shared" si="29"/>
        <v>NNN</v>
      </c>
      <c r="K349" s="2" t="str">
        <f t="shared" si="30"/>
        <v>@OKO</v>
      </c>
      <c r="L349" s="1" t="str">
        <f t="shared" si="31"/>
        <v>348,5/13/2004,0,4,5,2,0</v>
      </c>
    </row>
    <row r="350" spans="1:12" x14ac:dyDescent="0.2">
      <c r="A350" s="1" t="str">
        <f t="shared" si="27"/>
        <v>381207</v>
      </c>
      <c r="B350" s="1" t="str">
        <f t="shared" si="28"/>
        <v>3812017</v>
      </c>
      <c r="C350" s="1">
        <v>349</v>
      </c>
      <c r="D350" s="4">
        <v>38120</v>
      </c>
      <c r="E350" s="1">
        <v>0</v>
      </c>
      <c r="F350" s="1">
        <v>17</v>
      </c>
      <c r="G350" s="1">
        <v>7</v>
      </c>
      <c r="H350" s="1">
        <v>2</v>
      </c>
      <c r="I350" s="1">
        <v>0</v>
      </c>
      <c r="J350" s="2" t="str">
        <f t="shared" si="29"/>
        <v>GAR</v>
      </c>
      <c r="K350" s="2" t="str">
        <f t="shared" si="30"/>
        <v>@BAR</v>
      </c>
      <c r="L350" s="1" t="str">
        <f t="shared" si="31"/>
        <v>349,5/13/2004,0,17,7,2,0</v>
      </c>
    </row>
    <row r="351" spans="1:12" x14ac:dyDescent="0.2">
      <c r="A351" s="1" t="str">
        <f t="shared" si="27"/>
        <v>381208</v>
      </c>
      <c r="B351" s="1" t="str">
        <f t="shared" si="28"/>
        <v>381202</v>
      </c>
      <c r="C351" s="1">
        <v>350</v>
      </c>
      <c r="D351" s="4">
        <v>38120</v>
      </c>
      <c r="E351" s="1">
        <v>0</v>
      </c>
      <c r="F351" s="1">
        <v>2</v>
      </c>
      <c r="G351" s="1">
        <v>8</v>
      </c>
      <c r="H351" s="1">
        <v>2</v>
      </c>
      <c r="I351" s="1">
        <v>0</v>
      </c>
      <c r="J351" s="2" t="str">
        <f t="shared" si="29"/>
        <v>NEP</v>
      </c>
      <c r="K351" s="2" t="str">
        <f t="shared" si="30"/>
        <v>@CTW</v>
      </c>
      <c r="L351" s="1" t="str">
        <f t="shared" si="31"/>
        <v>350,5/13/2004,0,2,8,2,0</v>
      </c>
    </row>
    <row r="352" spans="1:12" x14ac:dyDescent="0.2">
      <c r="A352" s="1" t="str">
        <f t="shared" si="27"/>
        <v>3812011</v>
      </c>
      <c r="B352" s="1" t="str">
        <f t="shared" si="28"/>
        <v>3812023</v>
      </c>
      <c r="C352" s="1">
        <v>351</v>
      </c>
      <c r="D352" s="4">
        <v>38120</v>
      </c>
      <c r="E352" s="1">
        <v>0</v>
      </c>
      <c r="F352" s="1">
        <v>23</v>
      </c>
      <c r="G352" s="1">
        <v>11</v>
      </c>
      <c r="H352" s="1">
        <v>2</v>
      </c>
      <c r="I352" s="1">
        <v>0</v>
      </c>
      <c r="J352" s="2" t="str">
        <f t="shared" si="29"/>
        <v>BRK</v>
      </c>
      <c r="K352" s="2" t="str">
        <f t="shared" si="30"/>
        <v>@HAR</v>
      </c>
      <c r="L352" s="1" t="str">
        <f t="shared" si="31"/>
        <v>351,5/13/2004,0,23,11,2,0</v>
      </c>
    </row>
    <row r="353" spans="1:12" x14ac:dyDescent="0.2">
      <c r="A353" s="1" t="str">
        <f t="shared" si="27"/>
        <v>3812012</v>
      </c>
      <c r="B353" s="1" t="str">
        <f t="shared" si="28"/>
        <v>3812024</v>
      </c>
      <c r="C353" s="1">
        <v>352</v>
      </c>
      <c r="D353" s="4">
        <v>38120</v>
      </c>
      <c r="E353" s="1">
        <v>0</v>
      </c>
      <c r="F353" s="1">
        <v>24</v>
      </c>
      <c r="G353" s="1">
        <v>12</v>
      </c>
      <c r="H353" s="1">
        <v>2</v>
      </c>
      <c r="I353" s="1">
        <v>0</v>
      </c>
      <c r="J353" s="2" t="str">
        <f t="shared" si="29"/>
        <v>PHI</v>
      </c>
      <c r="K353" s="2" t="str">
        <f t="shared" si="30"/>
        <v>@RMO</v>
      </c>
      <c r="L353" s="1" t="str">
        <f t="shared" si="31"/>
        <v>352,5/13/2004,0,24,12,2,0</v>
      </c>
    </row>
    <row r="354" spans="1:12" x14ac:dyDescent="0.2">
      <c r="A354" s="1" t="str">
        <f t="shared" si="27"/>
        <v>3812013</v>
      </c>
      <c r="B354" s="1" t="str">
        <f t="shared" si="28"/>
        <v>381209</v>
      </c>
      <c r="C354" s="1">
        <v>353</v>
      </c>
      <c r="D354" s="4">
        <v>38120</v>
      </c>
      <c r="E354" s="1">
        <v>0</v>
      </c>
      <c r="F354" s="1">
        <v>9</v>
      </c>
      <c r="G354" s="1">
        <v>13</v>
      </c>
      <c r="H354" s="1">
        <v>2</v>
      </c>
      <c r="I354" s="1">
        <v>0</v>
      </c>
      <c r="J354" s="2" t="str">
        <f t="shared" si="29"/>
        <v>CIN</v>
      </c>
      <c r="K354" s="2" t="str">
        <f t="shared" si="30"/>
        <v>@BBG</v>
      </c>
      <c r="L354" s="1" t="str">
        <f t="shared" si="31"/>
        <v>353,5/13/2004,0,9,13,2,0</v>
      </c>
    </row>
    <row r="355" spans="1:12" x14ac:dyDescent="0.2">
      <c r="A355" s="1" t="str">
        <f t="shared" si="27"/>
        <v>3812014</v>
      </c>
      <c r="B355" s="1" t="str">
        <f t="shared" si="28"/>
        <v>3812010</v>
      </c>
      <c r="C355" s="1">
        <v>354</v>
      </c>
      <c r="D355" s="4">
        <v>38120</v>
      </c>
      <c r="E355" s="1">
        <v>0</v>
      </c>
      <c r="F355" s="1">
        <v>10</v>
      </c>
      <c r="G355" s="1">
        <v>14</v>
      </c>
      <c r="H355" s="1">
        <v>2</v>
      </c>
      <c r="I355" s="1">
        <v>0</v>
      </c>
      <c r="J355" s="2" t="str">
        <f t="shared" si="29"/>
        <v>REN</v>
      </c>
      <c r="K355" s="2" t="str">
        <f t="shared" si="30"/>
        <v>@CEN</v>
      </c>
      <c r="L355" s="1" t="str">
        <f t="shared" si="31"/>
        <v>354,5/13/2004,0,10,14,2,0</v>
      </c>
    </row>
    <row r="356" spans="1:12" x14ac:dyDescent="0.2">
      <c r="A356" s="1" t="str">
        <f t="shared" si="27"/>
        <v>3812022</v>
      </c>
      <c r="B356" s="1" t="str">
        <f t="shared" si="28"/>
        <v>3812021</v>
      </c>
      <c r="C356" s="1">
        <v>355</v>
      </c>
      <c r="D356" s="4">
        <v>38120</v>
      </c>
      <c r="E356" s="1">
        <v>0</v>
      </c>
      <c r="F356" s="1">
        <v>21</v>
      </c>
      <c r="G356" s="1">
        <v>22</v>
      </c>
      <c r="H356" s="1">
        <v>2</v>
      </c>
      <c r="I356" s="1">
        <v>0</v>
      </c>
      <c r="J356" s="2" t="str">
        <f t="shared" si="29"/>
        <v>NYD</v>
      </c>
      <c r="K356" s="2" t="str">
        <f t="shared" si="30"/>
        <v>@CBB</v>
      </c>
      <c r="L356" s="1" t="str">
        <f t="shared" si="31"/>
        <v>355,5/13/2004,0,21,22,2,0</v>
      </c>
    </row>
    <row r="357" spans="1:12" x14ac:dyDescent="0.2">
      <c r="A357" s="1" t="str">
        <f t="shared" si="27"/>
        <v>381211</v>
      </c>
      <c r="B357" s="1" t="str">
        <f t="shared" si="28"/>
        <v>3812116</v>
      </c>
      <c r="C357" s="1">
        <v>356</v>
      </c>
      <c r="D357" s="4">
        <v>38121</v>
      </c>
      <c r="E357" s="1">
        <v>0</v>
      </c>
      <c r="F357" s="1">
        <v>16</v>
      </c>
      <c r="G357" s="1">
        <v>1</v>
      </c>
      <c r="H357" s="1">
        <v>2</v>
      </c>
      <c r="I357" s="1">
        <v>0</v>
      </c>
      <c r="J357" s="2" t="str">
        <f t="shared" si="29"/>
        <v>DIG</v>
      </c>
      <c r="K357" s="2" t="str">
        <f t="shared" si="30"/>
        <v>@FFR</v>
      </c>
      <c r="L357" s="1" t="str">
        <f t="shared" si="31"/>
        <v>356,5/14/2004,0,16,1,2,0</v>
      </c>
    </row>
    <row r="358" spans="1:12" x14ac:dyDescent="0.2">
      <c r="A358" s="1" t="str">
        <f t="shared" si="27"/>
        <v>381213</v>
      </c>
      <c r="B358" s="1" t="str">
        <f t="shared" si="28"/>
        <v>3812120</v>
      </c>
      <c r="C358" s="1">
        <v>357</v>
      </c>
      <c r="D358" s="4">
        <v>38121</v>
      </c>
      <c r="E358" s="1">
        <v>0</v>
      </c>
      <c r="F358" s="1">
        <v>20</v>
      </c>
      <c r="G358" s="1">
        <v>3</v>
      </c>
      <c r="H358" s="1">
        <v>2</v>
      </c>
      <c r="I358" s="1">
        <v>0</v>
      </c>
      <c r="J358" s="2" t="str">
        <f t="shared" si="29"/>
        <v>FDH</v>
      </c>
      <c r="K358" s="2" t="str">
        <f t="shared" si="30"/>
        <v>@TEW</v>
      </c>
      <c r="L358" s="1" t="str">
        <f t="shared" si="31"/>
        <v>357,5/14/2004,0,20,3,2,0</v>
      </c>
    </row>
    <row r="359" spans="1:12" x14ac:dyDescent="0.2">
      <c r="A359" s="1" t="str">
        <f t="shared" si="27"/>
        <v>381215</v>
      </c>
      <c r="B359" s="1" t="str">
        <f t="shared" si="28"/>
        <v>381214</v>
      </c>
      <c r="C359" s="1">
        <v>358</v>
      </c>
      <c r="D359" s="4">
        <v>38121</v>
      </c>
      <c r="E359" s="1">
        <v>0</v>
      </c>
      <c r="F359" s="1">
        <v>4</v>
      </c>
      <c r="G359" s="1">
        <v>5</v>
      </c>
      <c r="H359" s="1">
        <v>2</v>
      </c>
      <c r="I359" s="1">
        <v>0</v>
      </c>
      <c r="J359" s="2" t="str">
        <f t="shared" si="29"/>
        <v>NNN</v>
      </c>
      <c r="K359" s="2" t="str">
        <f t="shared" si="30"/>
        <v>@OKO</v>
      </c>
      <c r="L359" s="1" t="str">
        <f t="shared" si="31"/>
        <v>358,5/14/2004,0,4,5,2,0</v>
      </c>
    </row>
    <row r="360" spans="1:12" x14ac:dyDescent="0.2">
      <c r="A360" s="1" t="str">
        <f t="shared" si="27"/>
        <v>381217</v>
      </c>
      <c r="B360" s="1" t="str">
        <f t="shared" si="28"/>
        <v>3812117</v>
      </c>
      <c r="C360" s="1">
        <v>359</v>
      </c>
      <c r="D360" s="4">
        <v>38121</v>
      </c>
      <c r="E360" s="1">
        <v>0</v>
      </c>
      <c r="F360" s="1">
        <v>17</v>
      </c>
      <c r="G360" s="1">
        <v>7</v>
      </c>
      <c r="H360" s="1">
        <v>2</v>
      </c>
      <c r="I360" s="1">
        <v>0</v>
      </c>
      <c r="J360" s="2" t="str">
        <f t="shared" si="29"/>
        <v>GAR</v>
      </c>
      <c r="K360" s="2" t="str">
        <f t="shared" si="30"/>
        <v>@BAR</v>
      </c>
      <c r="L360" s="1" t="str">
        <f t="shared" si="31"/>
        <v>359,5/14/2004,0,17,7,2,0</v>
      </c>
    </row>
    <row r="361" spans="1:12" x14ac:dyDescent="0.2">
      <c r="A361" s="1" t="str">
        <f t="shared" si="27"/>
        <v>3812111</v>
      </c>
      <c r="B361" s="1" t="str">
        <f t="shared" si="28"/>
        <v>3812123</v>
      </c>
      <c r="C361" s="1">
        <v>360</v>
      </c>
      <c r="D361" s="4">
        <v>38121</v>
      </c>
      <c r="E361" s="1">
        <v>0</v>
      </c>
      <c r="F361" s="1">
        <v>23</v>
      </c>
      <c r="G361" s="1">
        <v>11</v>
      </c>
      <c r="H361" s="1">
        <v>2</v>
      </c>
      <c r="I361" s="1">
        <v>0</v>
      </c>
      <c r="J361" s="2" t="str">
        <f t="shared" si="29"/>
        <v>BRK</v>
      </c>
      <c r="K361" s="2" t="str">
        <f t="shared" si="30"/>
        <v>@HAR</v>
      </c>
      <c r="L361" s="1" t="str">
        <f t="shared" si="31"/>
        <v>360,5/14/2004,0,23,11,2,0</v>
      </c>
    </row>
    <row r="362" spans="1:12" x14ac:dyDescent="0.2">
      <c r="A362" s="1" t="str">
        <f t="shared" si="27"/>
        <v>3812112</v>
      </c>
      <c r="B362" s="1" t="str">
        <f t="shared" si="28"/>
        <v>381218</v>
      </c>
      <c r="C362" s="1">
        <v>361</v>
      </c>
      <c r="D362" s="4">
        <v>38121</v>
      </c>
      <c r="E362" s="1">
        <v>0</v>
      </c>
      <c r="F362" s="1">
        <v>8</v>
      </c>
      <c r="G362" s="1">
        <v>12</v>
      </c>
      <c r="H362" s="1">
        <v>2</v>
      </c>
      <c r="I362" s="1">
        <v>0</v>
      </c>
      <c r="J362" s="2" t="str">
        <f t="shared" si="29"/>
        <v>CTW</v>
      </c>
      <c r="K362" s="2" t="str">
        <f t="shared" si="30"/>
        <v>@RMO</v>
      </c>
      <c r="L362" s="1" t="str">
        <f t="shared" si="31"/>
        <v>361,5/14/2004,0,8,12,2,0</v>
      </c>
    </row>
    <row r="363" spans="1:12" x14ac:dyDescent="0.2">
      <c r="A363" s="1" t="str">
        <f t="shared" si="27"/>
        <v>3812113</v>
      </c>
      <c r="B363" s="1" t="str">
        <f t="shared" si="28"/>
        <v>381219</v>
      </c>
      <c r="C363" s="1">
        <v>362</v>
      </c>
      <c r="D363" s="4">
        <v>38121</v>
      </c>
      <c r="E363" s="1">
        <v>0</v>
      </c>
      <c r="F363" s="1">
        <v>9</v>
      </c>
      <c r="G363" s="1">
        <v>13</v>
      </c>
      <c r="H363" s="1">
        <v>2</v>
      </c>
      <c r="I363" s="1">
        <v>0</v>
      </c>
      <c r="J363" s="2" t="str">
        <f t="shared" si="29"/>
        <v>CIN</v>
      </c>
      <c r="K363" s="2" t="str">
        <f t="shared" si="30"/>
        <v>@BBG</v>
      </c>
      <c r="L363" s="1" t="str">
        <f t="shared" si="31"/>
        <v>362,5/14/2004,0,9,13,2,0</v>
      </c>
    </row>
    <row r="364" spans="1:12" x14ac:dyDescent="0.2">
      <c r="A364" s="1" t="str">
        <f t="shared" si="27"/>
        <v>3812114</v>
      </c>
      <c r="B364" s="1" t="str">
        <f t="shared" si="28"/>
        <v>3812110</v>
      </c>
      <c r="C364" s="1">
        <v>363</v>
      </c>
      <c r="D364" s="4">
        <v>38121</v>
      </c>
      <c r="E364" s="1">
        <v>0</v>
      </c>
      <c r="F364" s="1">
        <v>10</v>
      </c>
      <c r="G364" s="1">
        <v>14</v>
      </c>
      <c r="H364" s="1">
        <v>2</v>
      </c>
      <c r="I364" s="1">
        <v>0</v>
      </c>
      <c r="J364" s="2" t="str">
        <f t="shared" si="29"/>
        <v>REN</v>
      </c>
      <c r="K364" s="2" t="str">
        <f t="shared" si="30"/>
        <v>@CEN</v>
      </c>
      <c r="L364" s="1" t="str">
        <f t="shared" si="31"/>
        <v>363,5/14/2004,0,10,14,2,0</v>
      </c>
    </row>
    <row r="365" spans="1:12" x14ac:dyDescent="0.2">
      <c r="A365" s="1" t="str">
        <f t="shared" si="27"/>
        <v>3812122</v>
      </c>
      <c r="B365" s="1" t="str">
        <f t="shared" si="28"/>
        <v>3812121</v>
      </c>
      <c r="C365" s="1">
        <v>364</v>
      </c>
      <c r="D365" s="4">
        <v>38121</v>
      </c>
      <c r="E365" s="1">
        <v>0</v>
      </c>
      <c r="F365" s="1">
        <v>21</v>
      </c>
      <c r="G365" s="1">
        <v>22</v>
      </c>
      <c r="H365" s="1">
        <v>2</v>
      </c>
      <c r="I365" s="1">
        <v>0</v>
      </c>
      <c r="J365" s="2" t="str">
        <f t="shared" si="29"/>
        <v>NYD</v>
      </c>
      <c r="K365" s="2" t="str">
        <f t="shared" si="30"/>
        <v>@CBB</v>
      </c>
      <c r="L365" s="1" t="str">
        <f t="shared" si="31"/>
        <v>364,5/14/2004,0,21,22,2,0</v>
      </c>
    </row>
    <row r="366" spans="1:12" x14ac:dyDescent="0.2">
      <c r="A366" s="1" t="str">
        <f t="shared" si="27"/>
        <v>3812124</v>
      </c>
      <c r="B366" s="1" t="str">
        <f t="shared" si="28"/>
        <v>381212</v>
      </c>
      <c r="C366" s="1">
        <v>365</v>
      </c>
      <c r="D366" s="4">
        <v>38121</v>
      </c>
      <c r="E366" s="1">
        <v>0</v>
      </c>
      <c r="F366" s="1">
        <v>2</v>
      </c>
      <c r="G366" s="1">
        <v>24</v>
      </c>
      <c r="H366" s="1">
        <v>2</v>
      </c>
      <c r="I366" s="1">
        <v>0</v>
      </c>
      <c r="J366" s="2" t="str">
        <f t="shared" si="29"/>
        <v>NEP</v>
      </c>
      <c r="K366" s="2" t="str">
        <f t="shared" si="30"/>
        <v>@PHI</v>
      </c>
      <c r="L366" s="1" t="str">
        <f t="shared" si="31"/>
        <v>365,5/14/2004,0,2,24,2,0</v>
      </c>
    </row>
    <row r="367" spans="1:12" x14ac:dyDescent="0.2">
      <c r="A367" s="1" t="str">
        <f t="shared" si="27"/>
        <v>381221</v>
      </c>
      <c r="B367" s="1" t="str">
        <f t="shared" si="28"/>
        <v>3812216</v>
      </c>
      <c r="C367" s="1">
        <v>366</v>
      </c>
      <c r="D367" s="4">
        <v>38122</v>
      </c>
      <c r="E367" s="1">
        <v>0</v>
      </c>
      <c r="F367" s="1">
        <v>16</v>
      </c>
      <c r="G367" s="1">
        <v>1</v>
      </c>
      <c r="H367" s="1">
        <v>2</v>
      </c>
      <c r="I367" s="1">
        <v>0</v>
      </c>
      <c r="J367" s="2" t="str">
        <f t="shared" si="29"/>
        <v>DIG</v>
      </c>
      <c r="K367" s="2" t="str">
        <f t="shared" si="30"/>
        <v>@FFR</v>
      </c>
      <c r="L367" s="1" t="str">
        <f t="shared" si="31"/>
        <v>366,5/15/2004,0,16,1,2,0</v>
      </c>
    </row>
    <row r="368" spans="1:12" x14ac:dyDescent="0.2">
      <c r="A368" s="1" t="str">
        <f t="shared" si="27"/>
        <v>381223</v>
      </c>
      <c r="B368" s="1" t="str">
        <f t="shared" si="28"/>
        <v>3812220</v>
      </c>
      <c r="C368" s="1">
        <v>367</v>
      </c>
      <c r="D368" s="4">
        <v>38122</v>
      </c>
      <c r="E368" s="1">
        <v>0</v>
      </c>
      <c r="F368" s="1">
        <v>20</v>
      </c>
      <c r="G368" s="1">
        <v>3</v>
      </c>
      <c r="H368" s="1">
        <v>2</v>
      </c>
      <c r="I368" s="1">
        <v>0</v>
      </c>
      <c r="J368" s="2" t="str">
        <f t="shared" si="29"/>
        <v>FDH</v>
      </c>
      <c r="K368" s="2" t="str">
        <f t="shared" si="30"/>
        <v>@TEW</v>
      </c>
      <c r="L368" s="1" t="str">
        <f t="shared" si="31"/>
        <v>367,5/15/2004,0,20,3,2,0</v>
      </c>
    </row>
    <row r="369" spans="1:12" x14ac:dyDescent="0.2">
      <c r="A369" s="1" t="str">
        <f t="shared" si="27"/>
        <v>381225</v>
      </c>
      <c r="B369" s="1" t="str">
        <f t="shared" si="28"/>
        <v>381224</v>
      </c>
      <c r="C369" s="1">
        <v>368</v>
      </c>
      <c r="D369" s="4">
        <v>38122</v>
      </c>
      <c r="E369" s="1">
        <v>0</v>
      </c>
      <c r="F369" s="1">
        <v>4</v>
      </c>
      <c r="G369" s="1">
        <v>5</v>
      </c>
      <c r="H369" s="1">
        <v>2</v>
      </c>
      <c r="I369" s="1">
        <v>0</v>
      </c>
      <c r="J369" s="2" t="str">
        <f t="shared" si="29"/>
        <v>NNN</v>
      </c>
      <c r="K369" s="2" t="str">
        <f t="shared" si="30"/>
        <v>@OKO</v>
      </c>
      <c r="L369" s="1" t="str">
        <f t="shared" si="31"/>
        <v>368,5/15/2004,0,4,5,2,0</v>
      </c>
    </row>
    <row r="370" spans="1:12" x14ac:dyDescent="0.2">
      <c r="A370" s="1" t="str">
        <f t="shared" si="27"/>
        <v>381227</v>
      </c>
      <c r="B370" s="1" t="str">
        <f t="shared" si="28"/>
        <v>3812217</v>
      </c>
      <c r="C370" s="1">
        <v>369</v>
      </c>
      <c r="D370" s="4">
        <v>38122</v>
      </c>
      <c r="E370" s="1">
        <v>0</v>
      </c>
      <c r="F370" s="1">
        <v>17</v>
      </c>
      <c r="G370" s="1">
        <v>7</v>
      </c>
      <c r="H370" s="1">
        <v>2</v>
      </c>
      <c r="I370" s="1">
        <v>0</v>
      </c>
      <c r="J370" s="2" t="str">
        <f t="shared" si="29"/>
        <v>GAR</v>
      </c>
      <c r="K370" s="2" t="str">
        <f t="shared" si="30"/>
        <v>@BAR</v>
      </c>
      <c r="L370" s="1" t="str">
        <f t="shared" si="31"/>
        <v>369,5/15/2004,0,17,7,2,0</v>
      </c>
    </row>
    <row r="371" spans="1:12" x14ac:dyDescent="0.2">
      <c r="A371" s="1" t="str">
        <f t="shared" si="27"/>
        <v>3812211</v>
      </c>
      <c r="B371" s="1" t="str">
        <f t="shared" si="28"/>
        <v>3812223</v>
      </c>
      <c r="C371" s="1">
        <v>370</v>
      </c>
      <c r="D371" s="4">
        <v>38122</v>
      </c>
      <c r="E371" s="1">
        <v>0</v>
      </c>
      <c r="F371" s="1">
        <v>23</v>
      </c>
      <c r="G371" s="1">
        <v>11</v>
      </c>
      <c r="H371" s="1">
        <v>2</v>
      </c>
      <c r="I371" s="1">
        <v>0</v>
      </c>
      <c r="J371" s="2" t="str">
        <f t="shared" si="29"/>
        <v>BRK</v>
      </c>
      <c r="K371" s="2" t="str">
        <f t="shared" si="30"/>
        <v>@HAR</v>
      </c>
      <c r="L371" s="1" t="str">
        <f t="shared" si="31"/>
        <v>370,5/15/2004,0,23,11,2,0</v>
      </c>
    </row>
    <row r="372" spans="1:12" x14ac:dyDescent="0.2">
      <c r="A372" s="1" t="str">
        <f t="shared" si="27"/>
        <v>3812212</v>
      </c>
      <c r="B372" s="1" t="str">
        <f t="shared" si="28"/>
        <v>381228</v>
      </c>
      <c r="C372" s="1">
        <v>371</v>
      </c>
      <c r="D372" s="4">
        <v>38122</v>
      </c>
      <c r="E372" s="1">
        <v>0</v>
      </c>
      <c r="F372" s="1">
        <v>8</v>
      </c>
      <c r="G372" s="1">
        <v>12</v>
      </c>
      <c r="H372" s="1">
        <v>2</v>
      </c>
      <c r="I372" s="1">
        <v>0</v>
      </c>
      <c r="J372" s="2" t="str">
        <f t="shared" si="29"/>
        <v>CTW</v>
      </c>
      <c r="K372" s="2" t="str">
        <f t="shared" si="30"/>
        <v>@RMO</v>
      </c>
      <c r="L372" s="1" t="str">
        <f t="shared" si="31"/>
        <v>371,5/15/2004,0,8,12,2,0</v>
      </c>
    </row>
    <row r="373" spans="1:12" x14ac:dyDescent="0.2">
      <c r="A373" s="1" t="str">
        <f t="shared" si="27"/>
        <v>3812213</v>
      </c>
      <c r="B373" s="1" t="str">
        <f t="shared" si="28"/>
        <v>381229</v>
      </c>
      <c r="C373" s="1">
        <v>372</v>
      </c>
      <c r="D373" s="4">
        <v>38122</v>
      </c>
      <c r="E373" s="1">
        <v>0</v>
      </c>
      <c r="F373" s="1">
        <v>9</v>
      </c>
      <c r="G373" s="1">
        <v>13</v>
      </c>
      <c r="H373" s="1">
        <v>2</v>
      </c>
      <c r="I373" s="1">
        <v>0</v>
      </c>
      <c r="J373" s="2" t="str">
        <f t="shared" si="29"/>
        <v>CIN</v>
      </c>
      <c r="K373" s="2" t="str">
        <f t="shared" si="30"/>
        <v>@BBG</v>
      </c>
      <c r="L373" s="1" t="str">
        <f t="shared" si="31"/>
        <v>372,5/15/2004,0,9,13,2,0</v>
      </c>
    </row>
    <row r="374" spans="1:12" x14ac:dyDescent="0.2">
      <c r="A374" s="1" t="str">
        <f t="shared" si="27"/>
        <v>3812214</v>
      </c>
      <c r="B374" s="1" t="str">
        <f t="shared" si="28"/>
        <v>3812210</v>
      </c>
      <c r="C374" s="1">
        <v>373</v>
      </c>
      <c r="D374" s="4">
        <v>38122</v>
      </c>
      <c r="E374" s="1">
        <v>0</v>
      </c>
      <c r="F374" s="1">
        <v>10</v>
      </c>
      <c r="G374" s="1">
        <v>14</v>
      </c>
      <c r="H374" s="1">
        <v>2</v>
      </c>
      <c r="I374" s="1">
        <v>0</v>
      </c>
      <c r="J374" s="2" t="str">
        <f t="shared" si="29"/>
        <v>REN</v>
      </c>
      <c r="K374" s="2" t="str">
        <f t="shared" si="30"/>
        <v>@CEN</v>
      </c>
      <c r="L374" s="1" t="str">
        <f t="shared" si="31"/>
        <v>373,5/15/2004,0,10,14,2,0</v>
      </c>
    </row>
    <row r="375" spans="1:12" x14ac:dyDescent="0.2">
      <c r="A375" s="1" t="str">
        <f t="shared" si="27"/>
        <v>3812222</v>
      </c>
      <c r="B375" s="1" t="str">
        <f t="shared" si="28"/>
        <v>3812221</v>
      </c>
      <c r="C375" s="1">
        <v>374</v>
      </c>
      <c r="D375" s="4">
        <v>38122</v>
      </c>
      <c r="E375" s="1">
        <v>0</v>
      </c>
      <c r="F375" s="1">
        <v>21</v>
      </c>
      <c r="G375" s="1">
        <v>22</v>
      </c>
      <c r="H375" s="1">
        <v>2</v>
      </c>
      <c r="I375" s="1">
        <v>0</v>
      </c>
      <c r="J375" s="2" t="str">
        <f t="shared" si="29"/>
        <v>NYD</v>
      </c>
      <c r="K375" s="2" t="str">
        <f t="shared" si="30"/>
        <v>@CBB</v>
      </c>
      <c r="L375" s="1" t="str">
        <f t="shared" si="31"/>
        <v>374,5/15/2004,0,21,22,2,0</v>
      </c>
    </row>
    <row r="376" spans="1:12" x14ac:dyDescent="0.2">
      <c r="A376" s="1" t="str">
        <f t="shared" si="27"/>
        <v>3812224</v>
      </c>
      <c r="B376" s="1" t="str">
        <f t="shared" si="28"/>
        <v>381222</v>
      </c>
      <c r="C376" s="1">
        <v>375</v>
      </c>
      <c r="D376" s="4">
        <v>38122</v>
      </c>
      <c r="E376" s="1">
        <v>0</v>
      </c>
      <c r="F376" s="1">
        <v>2</v>
      </c>
      <c r="G376" s="1">
        <v>24</v>
      </c>
      <c r="H376" s="1">
        <v>2</v>
      </c>
      <c r="I376" s="1">
        <v>0</v>
      </c>
      <c r="J376" s="2" t="str">
        <f t="shared" si="29"/>
        <v>NEP</v>
      </c>
      <c r="K376" s="2" t="str">
        <f t="shared" si="30"/>
        <v>@PHI</v>
      </c>
      <c r="L376" s="1" t="str">
        <f t="shared" si="31"/>
        <v>375,5/15/2004,0,2,24,2,0</v>
      </c>
    </row>
    <row r="377" spans="1:12" x14ac:dyDescent="0.2">
      <c r="A377" s="1" t="str">
        <f t="shared" si="27"/>
        <v>381231</v>
      </c>
      <c r="B377" s="1" t="str">
        <f t="shared" si="28"/>
        <v>3812316</v>
      </c>
      <c r="C377" s="1">
        <v>376</v>
      </c>
      <c r="D377" s="4">
        <v>38123</v>
      </c>
      <c r="E377" s="1">
        <v>0</v>
      </c>
      <c r="F377" s="1">
        <v>16</v>
      </c>
      <c r="G377" s="1">
        <v>1</v>
      </c>
      <c r="H377" s="1">
        <v>2</v>
      </c>
      <c r="I377" s="1">
        <v>0</v>
      </c>
      <c r="J377" s="2" t="str">
        <f t="shared" si="29"/>
        <v>DIG</v>
      </c>
      <c r="K377" s="2" t="str">
        <f t="shared" si="30"/>
        <v>@FFR</v>
      </c>
      <c r="L377" s="1" t="str">
        <f t="shared" si="31"/>
        <v>376,5/16/2004,0,16,1,2,0</v>
      </c>
    </row>
    <row r="378" spans="1:12" x14ac:dyDescent="0.2">
      <c r="A378" s="1" t="str">
        <f t="shared" si="27"/>
        <v>3812313</v>
      </c>
      <c r="B378" s="1" t="str">
        <f t="shared" si="28"/>
        <v>381239</v>
      </c>
      <c r="C378" s="1">
        <v>377</v>
      </c>
      <c r="D378" s="4">
        <v>38123</v>
      </c>
      <c r="E378" s="1">
        <v>0</v>
      </c>
      <c r="F378" s="1">
        <v>9</v>
      </c>
      <c r="G378" s="1">
        <v>13</v>
      </c>
      <c r="H378" s="1">
        <v>2</v>
      </c>
      <c r="I378" s="1">
        <v>0</v>
      </c>
      <c r="J378" s="2" t="str">
        <f t="shared" si="29"/>
        <v>CIN</v>
      </c>
      <c r="K378" s="2" t="str">
        <f t="shared" si="30"/>
        <v>@BBG</v>
      </c>
      <c r="L378" s="1" t="str">
        <f t="shared" si="31"/>
        <v>377,5/16/2004,0,9,13,2,0</v>
      </c>
    </row>
    <row r="379" spans="1:12" x14ac:dyDescent="0.2">
      <c r="A379" s="1" t="str">
        <f t="shared" si="27"/>
        <v>381237</v>
      </c>
      <c r="B379" s="1" t="str">
        <f t="shared" si="28"/>
        <v>3812317</v>
      </c>
      <c r="C379" s="1">
        <v>378</v>
      </c>
      <c r="D379" s="4">
        <v>38123</v>
      </c>
      <c r="E379" s="1">
        <v>0</v>
      </c>
      <c r="F379" s="1">
        <v>17</v>
      </c>
      <c r="G379" s="1">
        <v>7</v>
      </c>
      <c r="H379" s="1">
        <v>2</v>
      </c>
      <c r="I379" s="1">
        <v>0</v>
      </c>
      <c r="J379" s="2" t="str">
        <f t="shared" si="29"/>
        <v>GAR</v>
      </c>
      <c r="K379" s="2" t="str">
        <f t="shared" si="30"/>
        <v>@BAR</v>
      </c>
      <c r="L379" s="1" t="str">
        <f t="shared" si="31"/>
        <v>378,5/16/2004,0,17,7,2,0</v>
      </c>
    </row>
    <row r="380" spans="1:12" x14ac:dyDescent="0.2">
      <c r="A380" s="1" t="str">
        <f t="shared" si="27"/>
        <v>3812314</v>
      </c>
      <c r="B380" s="1" t="str">
        <f t="shared" si="28"/>
        <v>3812310</v>
      </c>
      <c r="C380" s="1">
        <v>379</v>
      </c>
      <c r="D380" s="4">
        <v>38123</v>
      </c>
      <c r="E380" s="1">
        <v>0</v>
      </c>
      <c r="F380" s="1">
        <v>10</v>
      </c>
      <c r="G380" s="1">
        <v>14</v>
      </c>
      <c r="H380" s="1">
        <v>2</v>
      </c>
      <c r="I380" s="1">
        <v>0</v>
      </c>
      <c r="J380" s="2" t="str">
        <f t="shared" si="29"/>
        <v>REN</v>
      </c>
      <c r="K380" s="2" t="str">
        <f t="shared" si="30"/>
        <v>@CEN</v>
      </c>
      <c r="L380" s="1" t="str">
        <f t="shared" si="31"/>
        <v>379,5/16/2004,0,10,14,2,0</v>
      </c>
    </row>
    <row r="381" spans="1:12" x14ac:dyDescent="0.2">
      <c r="A381" s="1" t="str">
        <f t="shared" si="27"/>
        <v>381233</v>
      </c>
      <c r="B381" s="1" t="str">
        <f t="shared" si="28"/>
        <v>3812320</v>
      </c>
      <c r="C381" s="1">
        <v>380</v>
      </c>
      <c r="D381" s="4">
        <v>38123</v>
      </c>
      <c r="E381" s="1">
        <v>0</v>
      </c>
      <c r="F381" s="1">
        <v>20</v>
      </c>
      <c r="G381" s="1">
        <v>3</v>
      </c>
      <c r="H381" s="1">
        <v>2</v>
      </c>
      <c r="I381" s="1">
        <v>0</v>
      </c>
      <c r="J381" s="2" t="str">
        <f t="shared" si="29"/>
        <v>FDH</v>
      </c>
      <c r="K381" s="2" t="str">
        <f t="shared" si="30"/>
        <v>@TEW</v>
      </c>
      <c r="L381" s="1" t="str">
        <f t="shared" si="31"/>
        <v>380,5/16/2004,0,20,3,2,0</v>
      </c>
    </row>
    <row r="382" spans="1:12" x14ac:dyDescent="0.2">
      <c r="A382" s="1" t="str">
        <f t="shared" si="27"/>
        <v>3812322</v>
      </c>
      <c r="B382" s="1" t="str">
        <f t="shared" si="28"/>
        <v>3812321</v>
      </c>
      <c r="C382" s="1">
        <v>381</v>
      </c>
      <c r="D382" s="4">
        <v>38123</v>
      </c>
      <c r="E382" s="1">
        <v>0</v>
      </c>
      <c r="F382" s="1">
        <v>21</v>
      </c>
      <c r="G382" s="1">
        <v>22</v>
      </c>
      <c r="H382" s="1">
        <v>2</v>
      </c>
      <c r="I382" s="1">
        <v>0</v>
      </c>
      <c r="J382" s="2" t="str">
        <f t="shared" si="29"/>
        <v>NYD</v>
      </c>
      <c r="K382" s="2" t="str">
        <f t="shared" si="30"/>
        <v>@CBB</v>
      </c>
      <c r="L382" s="1" t="str">
        <f t="shared" si="31"/>
        <v>381,5/16/2004,0,21,22,2,0</v>
      </c>
    </row>
    <row r="383" spans="1:12" x14ac:dyDescent="0.2">
      <c r="A383" s="1" t="str">
        <f t="shared" si="27"/>
        <v>3812311</v>
      </c>
      <c r="B383" s="1" t="str">
        <f t="shared" si="28"/>
        <v>3812323</v>
      </c>
      <c r="C383" s="1">
        <v>382</v>
      </c>
      <c r="D383" s="4">
        <v>38123</v>
      </c>
      <c r="E383" s="1">
        <v>0</v>
      </c>
      <c r="F383" s="1">
        <v>23</v>
      </c>
      <c r="G383" s="1">
        <v>11</v>
      </c>
      <c r="H383" s="1">
        <v>2</v>
      </c>
      <c r="I383" s="1">
        <v>0</v>
      </c>
      <c r="J383" s="2" t="str">
        <f t="shared" si="29"/>
        <v>BRK</v>
      </c>
      <c r="K383" s="2" t="str">
        <f t="shared" si="30"/>
        <v>@HAR</v>
      </c>
      <c r="L383" s="1" t="str">
        <f t="shared" si="31"/>
        <v>382,5/16/2004,0,23,11,2,0</v>
      </c>
    </row>
    <row r="384" spans="1:12" x14ac:dyDescent="0.2">
      <c r="A384" s="1" t="str">
        <f t="shared" si="27"/>
        <v>381235</v>
      </c>
      <c r="B384" s="1" t="str">
        <f t="shared" si="28"/>
        <v>381234</v>
      </c>
      <c r="C384" s="1">
        <v>383</v>
      </c>
      <c r="D384" s="4">
        <v>38123</v>
      </c>
      <c r="E384" s="1">
        <v>0</v>
      </c>
      <c r="F384" s="1">
        <v>4</v>
      </c>
      <c r="G384" s="1">
        <v>5</v>
      </c>
      <c r="H384" s="1">
        <v>2</v>
      </c>
      <c r="I384" s="1">
        <v>0</v>
      </c>
      <c r="J384" s="2" t="str">
        <f t="shared" si="29"/>
        <v>NNN</v>
      </c>
      <c r="K384" s="2" t="str">
        <f t="shared" si="30"/>
        <v>@OKO</v>
      </c>
      <c r="L384" s="1" t="str">
        <f t="shared" si="31"/>
        <v>383,5/16/2004,0,4,5,2,0</v>
      </c>
    </row>
    <row r="385" spans="1:12" x14ac:dyDescent="0.2">
      <c r="A385" s="1" t="str">
        <f t="shared" si="27"/>
        <v>381245</v>
      </c>
      <c r="B385" s="1" t="str">
        <f t="shared" si="28"/>
        <v>3812413</v>
      </c>
      <c r="C385" s="1">
        <v>384</v>
      </c>
      <c r="D385" s="4">
        <v>38124</v>
      </c>
      <c r="E385" s="1">
        <v>0</v>
      </c>
      <c r="F385" s="1">
        <v>13</v>
      </c>
      <c r="G385" s="1">
        <v>5</v>
      </c>
      <c r="H385" s="1">
        <v>2</v>
      </c>
      <c r="I385" s="1">
        <v>0</v>
      </c>
      <c r="J385" s="2" t="str">
        <f t="shared" si="29"/>
        <v>BBG</v>
      </c>
      <c r="K385" s="2" t="str">
        <f t="shared" si="30"/>
        <v>@OKO</v>
      </c>
      <c r="L385" s="1" t="str">
        <f t="shared" si="31"/>
        <v>384,5/17/2004,0,13,5,2,0</v>
      </c>
    </row>
    <row r="386" spans="1:12" x14ac:dyDescent="0.2">
      <c r="A386" s="1" t="str">
        <f t="shared" ref="A386:A449" si="32">D386&amp;G386</f>
        <v>3812416</v>
      </c>
      <c r="B386" s="1" t="str">
        <f t="shared" ref="B386:B449" si="33">D386&amp;F386</f>
        <v>3812417</v>
      </c>
      <c r="C386" s="1">
        <v>385</v>
      </c>
      <c r="D386" s="4">
        <v>38124</v>
      </c>
      <c r="E386" s="1">
        <v>0</v>
      </c>
      <c r="F386" s="1">
        <v>17</v>
      </c>
      <c r="G386" s="1">
        <v>16</v>
      </c>
      <c r="H386" s="1">
        <v>2</v>
      </c>
      <c r="I386" s="1">
        <v>0</v>
      </c>
      <c r="J386" s="2" t="str">
        <f t="shared" ref="J386:J449" si="34">VLOOKUP(F386,$M$2:$N$21,2,0)</f>
        <v>GAR</v>
      </c>
      <c r="K386" s="2" t="str">
        <f t="shared" ref="K386:K449" si="35">"@"&amp;VLOOKUP(G386,$M$2:$N$21,2,0)</f>
        <v>@DIG</v>
      </c>
      <c r="L386" s="1" t="str">
        <f t="shared" ref="L386:L449" si="36">C386&amp;","&amp;MONTH(D386)&amp;"/"&amp;DAY(D386)&amp;"/"&amp;YEAR(D386)&amp;","&amp;E386&amp;","&amp;F386&amp;","&amp;G386&amp;","&amp;H386&amp;","&amp;I386</f>
        <v>385,5/17/2004,0,17,16,2,0</v>
      </c>
    </row>
    <row r="387" spans="1:12" x14ac:dyDescent="0.2">
      <c r="A387" s="1" t="str">
        <f t="shared" si="32"/>
        <v>3812422</v>
      </c>
      <c r="B387" s="1" t="str">
        <f t="shared" si="33"/>
        <v>381243</v>
      </c>
      <c r="C387" s="1">
        <v>386</v>
      </c>
      <c r="D387" s="4">
        <v>38124</v>
      </c>
      <c r="E387" s="1">
        <v>0</v>
      </c>
      <c r="F387" s="1">
        <v>3</v>
      </c>
      <c r="G387" s="1">
        <v>22</v>
      </c>
      <c r="H387" s="1">
        <v>2</v>
      </c>
      <c r="I387" s="1">
        <v>0</v>
      </c>
      <c r="J387" s="2" t="str">
        <f t="shared" si="34"/>
        <v>TEW</v>
      </c>
      <c r="K387" s="2" t="str">
        <f t="shared" si="35"/>
        <v>@CBB</v>
      </c>
      <c r="L387" s="1" t="str">
        <f t="shared" si="36"/>
        <v>386,5/17/2004,0,3,22,2,0</v>
      </c>
    </row>
    <row r="388" spans="1:12" x14ac:dyDescent="0.2">
      <c r="A388" s="1" t="str">
        <f t="shared" si="32"/>
        <v>3812423</v>
      </c>
      <c r="B388" s="1" t="str">
        <f t="shared" si="33"/>
        <v>3812410</v>
      </c>
      <c r="C388" s="1">
        <v>387</v>
      </c>
      <c r="D388" s="4">
        <v>38124</v>
      </c>
      <c r="E388" s="1">
        <v>0</v>
      </c>
      <c r="F388" s="1">
        <v>10</v>
      </c>
      <c r="G388" s="1">
        <v>23</v>
      </c>
      <c r="H388" s="1">
        <v>2</v>
      </c>
      <c r="I388" s="1">
        <v>0</v>
      </c>
      <c r="J388" s="2" t="str">
        <f t="shared" si="34"/>
        <v>REN</v>
      </c>
      <c r="K388" s="2" t="str">
        <f t="shared" si="35"/>
        <v>@BRK</v>
      </c>
      <c r="L388" s="1" t="str">
        <f t="shared" si="36"/>
        <v>387,5/17/2004,0,10,23,2,0</v>
      </c>
    </row>
    <row r="389" spans="1:12" x14ac:dyDescent="0.2">
      <c r="A389" s="1" t="str">
        <f t="shared" si="32"/>
        <v>3812424</v>
      </c>
      <c r="B389" s="1" t="str">
        <f t="shared" si="33"/>
        <v>3812414</v>
      </c>
      <c r="C389" s="1">
        <v>388</v>
      </c>
      <c r="D389" s="4">
        <v>38124</v>
      </c>
      <c r="E389" s="1">
        <v>0</v>
      </c>
      <c r="F389" s="1">
        <v>14</v>
      </c>
      <c r="G389" s="1">
        <v>24</v>
      </c>
      <c r="H389" s="1">
        <v>2</v>
      </c>
      <c r="I389" s="1">
        <v>0</v>
      </c>
      <c r="J389" s="2" t="str">
        <f t="shared" si="34"/>
        <v>CEN</v>
      </c>
      <c r="K389" s="2" t="str">
        <f t="shared" si="35"/>
        <v>@PHI</v>
      </c>
      <c r="L389" s="1" t="str">
        <f t="shared" si="36"/>
        <v>388,5/17/2004,0,14,24,2,0</v>
      </c>
    </row>
    <row r="390" spans="1:12" x14ac:dyDescent="0.2">
      <c r="A390" s="1" t="str">
        <f t="shared" si="32"/>
        <v>381241</v>
      </c>
      <c r="B390" s="1" t="str">
        <f t="shared" si="33"/>
        <v>381249</v>
      </c>
      <c r="C390" s="1">
        <v>389</v>
      </c>
      <c r="D390" s="4">
        <v>38124</v>
      </c>
      <c r="E390" s="1">
        <v>0</v>
      </c>
      <c r="F390" s="1">
        <v>9</v>
      </c>
      <c r="G390" s="1">
        <v>1</v>
      </c>
      <c r="H390" s="1">
        <v>2</v>
      </c>
      <c r="I390" s="1">
        <v>0</v>
      </c>
      <c r="J390" s="2" t="str">
        <f t="shared" si="34"/>
        <v>CIN</v>
      </c>
      <c r="K390" s="2" t="str">
        <f t="shared" si="35"/>
        <v>@FFR</v>
      </c>
      <c r="L390" s="1" t="str">
        <f t="shared" si="36"/>
        <v>389,5/17/2004,0,9,1,2,0</v>
      </c>
    </row>
    <row r="391" spans="1:12" x14ac:dyDescent="0.2">
      <c r="A391" s="1" t="str">
        <f t="shared" si="32"/>
        <v>381244</v>
      </c>
      <c r="B391" s="1" t="str">
        <f t="shared" si="33"/>
        <v>381248</v>
      </c>
      <c r="C391" s="1">
        <v>390</v>
      </c>
      <c r="D391" s="4">
        <v>38124</v>
      </c>
      <c r="E391" s="1">
        <v>0</v>
      </c>
      <c r="F391" s="1">
        <v>8</v>
      </c>
      <c r="G391" s="1">
        <v>4</v>
      </c>
      <c r="H391" s="1">
        <v>2</v>
      </c>
      <c r="I391" s="1">
        <v>0</v>
      </c>
      <c r="J391" s="2" t="str">
        <f t="shared" si="34"/>
        <v>CTW</v>
      </c>
      <c r="K391" s="2" t="str">
        <f t="shared" si="35"/>
        <v>@NNN</v>
      </c>
      <c r="L391" s="1" t="str">
        <f t="shared" si="36"/>
        <v>390,5/17/2004,0,8,4,2,0</v>
      </c>
    </row>
    <row r="392" spans="1:12" x14ac:dyDescent="0.2">
      <c r="A392" s="1" t="str">
        <f t="shared" si="32"/>
        <v>3812411</v>
      </c>
      <c r="B392" s="1" t="str">
        <f t="shared" si="33"/>
        <v>3812420</v>
      </c>
      <c r="C392" s="1">
        <v>391</v>
      </c>
      <c r="D392" s="4">
        <v>38124</v>
      </c>
      <c r="E392" s="1">
        <v>0</v>
      </c>
      <c r="F392" s="1">
        <v>20</v>
      </c>
      <c r="G392" s="1">
        <v>11</v>
      </c>
      <c r="H392" s="1">
        <v>2</v>
      </c>
      <c r="I392" s="1">
        <v>0</v>
      </c>
      <c r="J392" s="2" t="str">
        <f t="shared" si="34"/>
        <v>FDH</v>
      </c>
      <c r="K392" s="2" t="str">
        <f t="shared" si="35"/>
        <v>@HAR</v>
      </c>
      <c r="L392" s="1" t="str">
        <f t="shared" si="36"/>
        <v>391,5/17/2004,0,20,11,2,0</v>
      </c>
    </row>
    <row r="393" spans="1:12" x14ac:dyDescent="0.2">
      <c r="A393" s="1" t="str">
        <f t="shared" si="32"/>
        <v>3812412</v>
      </c>
      <c r="B393" s="1" t="str">
        <f t="shared" si="33"/>
        <v>381247</v>
      </c>
      <c r="C393" s="1">
        <v>392</v>
      </c>
      <c r="D393" s="4">
        <v>38124</v>
      </c>
      <c r="E393" s="1">
        <v>0</v>
      </c>
      <c r="F393" s="1">
        <v>7</v>
      </c>
      <c r="G393" s="1">
        <v>12</v>
      </c>
      <c r="H393" s="1">
        <v>2</v>
      </c>
      <c r="I393" s="1">
        <v>0</v>
      </c>
      <c r="J393" s="2" t="str">
        <f t="shared" si="34"/>
        <v>BAR</v>
      </c>
      <c r="K393" s="2" t="str">
        <f t="shared" si="35"/>
        <v>@RMO</v>
      </c>
      <c r="L393" s="1" t="str">
        <f t="shared" si="36"/>
        <v>392,5/17/2004,0,7,12,2,0</v>
      </c>
    </row>
    <row r="394" spans="1:12" x14ac:dyDescent="0.2">
      <c r="A394" s="1" t="str">
        <f t="shared" si="32"/>
        <v>3812421</v>
      </c>
      <c r="B394" s="1" t="str">
        <f t="shared" si="33"/>
        <v>381242</v>
      </c>
      <c r="C394" s="1">
        <v>393</v>
      </c>
      <c r="D394" s="4">
        <v>38124</v>
      </c>
      <c r="E394" s="1">
        <v>0</v>
      </c>
      <c r="F394" s="1">
        <v>2</v>
      </c>
      <c r="G394" s="1">
        <v>21</v>
      </c>
      <c r="H394" s="1">
        <v>2</v>
      </c>
      <c r="I394" s="1">
        <v>0</v>
      </c>
      <c r="J394" s="2" t="str">
        <f t="shared" si="34"/>
        <v>NEP</v>
      </c>
      <c r="K394" s="2" t="str">
        <f t="shared" si="35"/>
        <v>@NYD</v>
      </c>
      <c r="L394" s="1" t="str">
        <f t="shared" si="36"/>
        <v>393,5/17/2004,0,2,21,2,0</v>
      </c>
    </row>
    <row r="395" spans="1:12" x14ac:dyDescent="0.2">
      <c r="A395" s="1" t="str">
        <f t="shared" si="32"/>
        <v>381251</v>
      </c>
      <c r="B395" s="1" t="str">
        <f t="shared" si="33"/>
        <v>381259</v>
      </c>
      <c r="C395" s="1">
        <v>394</v>
      </c>
      <c r="D395" s="4">
        <v>38125</v>
      </c>
      <c r="E395" s="1">
        <v>0</v>
      </c>
      <c r="F395" s="1">
        <v>9</v>
      </c>
      <c r="G395" s="1">
        <v>1</v>
      </c>
      <c r="H395" s="1">
        <v>2</v>
      </c>
      <c r="I395" s="1">
        <v>0</v>
      </c>
      <c r="J395" s="2" t="str">
        <f t="shared" si="34"/>
        <v>CIN</v>
      </c>
      <c r="K395" s="2" t="str">
        <f t="shared" si="35"/>
        <v>@FFR</v>
      </c>
      <c r="L395" s="1" t="str">
        <f t="shared" si="36"/>
        <v>394,5/18/2004,0,9,1,2,0</v>
      </c>
    </row>
    <row r="396" spans="1:12" x14ac:dyDescent="0.2">
      <c r="A396" s="1" t="str">
        <f t="shared" si="32"/>
        <v>381254</v>
      </c>
      <c r="B396" s="1" t="str">
        <f t="shared" si="33"/>
        <v>381258</v>
      </c>
      <c r="C396" s="1">
        <v>395</v>
      </c>
      <c r="D396" s="4">
        <v>38125</v>
      </c>
      <c r="E396" s="1">
        <v>0</v>
      </c>
      <c r="F396" s="1">
        <v>8</v>
      </c>
      <c r="G396" s="1">
        <v>4</v>
      </c>
      <c r="H396" s="1">
        <v>2</v>
      </c>
      <c r="I396" s="1">
        <v>0</v>
      </c>
      <c r="J396" s="2" t="str">
        <f t="shared" si="34"/>
        <v>CTW</v>
      </c>
      <c r="K396" s="2" t="str">
        <f t="shared" si="35"/>
        <v>@NNN</v>
      </c>
      <c r="L396" s="1" t="str">
        <f t="shared" si="36"/>
        <v>395,5/18/2004,0,8,4,2,0</v>
      </c>
    </row>
    <row r="397" spans="1:12" x14ac:dyDescent="0.2">
      <c r="A397" s="1" t="str">
        <f t="shared" si="32"/>
        <v>381255</v>
      </c>
      <c r="B397" s="1" t="str">
        <f t="shared" si="33"/>
        <v>3812513</v>
      </c>
      <c r="C397" s="1">
        <v>396</v>
      </c>
      <c r="D397" s="4">
        <v>38125</v>
      </c>
      <c r="E397" s="1">
        <v>0</v>
      </c>
      <c r="F397" s="1">
        <v>13</v>
      </c>
      <c r="G397" s="1">
        <v>5</v>
      </c>
      <c r="H397" s="1">
        <v>2</v>
      </c>
      <c r="I397" s="1">
        <v>0</v>
      </c>
      <c r="J397" s="2" t="str">
        <f t="shared" si="34"/>
        <v>BBG</v>
      </c>
      <c r="K397" s="2" t="str">
        <f t="shared" si="35"/>
        <v>@OKO</v>
      </c>
      <c r="L397" s="1" t="str">
        <f t="shared" si="36"/>
        <v>396,5/18/2004,0,13,5,2,0</v>
      </c>
    </row>
    <row r="398" spans="1:12" x14ac:dyDescent="0.2">
      <c r="A398" s="1" t="str">
        <f t="shared" si="32"/>
        <v>3812511</v>
      </c>
      <c r="B398" s="1" t="str">
        <f t="shared" si="33"/>
        <v>3812520</v>
      </c>
      <c r="C398" s="1">
        <v>397</v>
      </c>
      <c r="D398" s="4">
        <v>38125</v>
      </c>
      <c r="E398" s="1">
        <v>0</v>
      </c>
      <c r="F398" s="1">
        <v>20</v>
      </c>
      <c r="G398" s="1">
        <v>11</v>
      </c>
      <c r="H398" s="1">
        <v>2</v>
      </c>
      <c r="I398" s="1">
        <v>0</v>
      </c>
      <c r="J398" s="2" t="str">
        <f t="shared" si="34"/>
        <v>FDH</v>
      </c>
      <c r="K398" s="2" t="str">
        <f t="shared" si="35"/>
        <v>@HAR</v>
      </c>
      <c r="L398" s="1" t="str">
        <f t="shared" si="36"/>
        <v>397,5/18/2004,0,20,11,2,0</v>
      </c>
    </row>
    <row r="399" spans="1:12" x14ac:dyDescent="0.2">
      <c r="A399" s="1" t="str">
        <f t="shared" si="32"/>
        <v>3812512</v>
      </c>
      <c r="B399" s="1" t="str">
        <f t="shared" si="33"/>
        <v>381257</v>
      </c>
      <c r="C399" s="1">
        <v>398</v>
      </c>
      <c r="D399" s="4">
        <v>38125</v>
      </c>
      <c r="E399" s="1">
        <v>0</v>
      </c>
      <c r="F399" s="1">
        <v>7</v>
      </c>
      <c r="G399" s="1">
        <v>12</v>
      </c>
      <c r="H399" s="1">
        <v>2</v>
      </c>
      <c r="I399" s="1">
        <v>0</v>
      </c>
      <c r="J399" s="2" t="str">
        <f t="shared" si="34"/>
        <v>BAR</v>
      </c>
      <c r="K399" s="2" t="str">
        <f t="shared" si="35"/>
        <v>@RMO</v>
      </c>
      <c r="L399" s="1" t="str">
        <f t="shared" si="36"/>
        <v>398,5/18/2004,0,7,12,2,0</v>
      </c>
    </row>
    <row r="400" spans="1:12" x14ac:dyDescent="0.2">
      <c r="A400" s="1" t="str">
        <f t="shared" si="32"/>
        <v>3812516</v>
      </c>
      <c r="B400" s="1" t="str">
        <f t="shared" si="33"/>
        <v>3812517</v>
      </c>
      <c r="C400" s="1">
        <v>399</v>
      </c>
      <c r="D400" s="4">
        <v>38125</v>
      </c>
      <c r="E400" s="1">
        <v>0</v>
      </c>
      <c r="F400" s="1">
        <v>17</v>
      </c>
      <c r="G400" s="1">
        <v>16</v>
      </c>
      <c r="H400" s="1">
        <v>2</v>
      </c>
      <c r="I400" s="1">
        <v>0</v>
      </c>
      <c r="J400" s="2" t="str">
        <f t="shared" si="34"/>
        <v>GAR</v>
      </c>
      <c r="K400" s="2" t="str">
        <f t="shared" si="35"/>
        <v>@DIG</v>
      </c>
      <c r="L400" s="1" t="str">
        <f t="shared" si="36"/>
        <v>399,5/18/2004,0,17,16,2,0</v>
      </c>
    </row>
    <row r="401" spans="1:12" x14ac:dyDescent="0.2">
      <c r="A401" s="1" t="str">
        <f t="shared" si="32"/>
        <v>3812521</v>
      </c>
      <c r="B401" s="1" t="str">
        <f t="shared" si="33"/>
        <v>381252</v>
      </c>
      <c r="C401" s="1">
        <v>400</v>
      </c>
      <c r="D401" s="4">
        <v>38125</v>
      </c>
      <c r="E401" s="1">
        <v>0</v>
      </c>
      <c r="F401" s="1">
        <v>2</v>
      </c>
      <c r="G401" s="1">
        <v>21</v>
      </c>
      <c r="H401" s="1">
        <v>2</v>
      </c>
      <c r="I401" s="1">
        <v>0</v>
      </c>
      <c r="J401" s="2" t="str">
        <f t="shared" si="34"/>
        <v>NEP</v>
      </c>
      <c r="K401" s="2" t="str">
        <f t="shared" si="35"/>
        <v>@NYD</v>
      </c>
      <c r="L401" s="1" t="str">
        <f t="shared" si="36"/>
        <v>400,5/18/2004,0,2,21,2,0</v>
      </c>
    </row>
    <row r="402" spans="1:12" x14ac:dyDescent="0.2">
      <c r="A402" s="1" t="str">
        <f t="shared" si="32"/>
        <v>3812522</v>
      </c>
      <c r="B402" s="1" t="str">
        <f t="shared" si="33"/>
        <v>381253</v>
      </c>
      <c r="C402" s="1">
        <v>401</v>
      </c>
      <c r="D402" s="4">
        <v>38125</v>
      </c>
      <c r="E402" s="1">
        <v>0</v>
      </c>
      <c r="F402" s="1">
        <v>3</v>
      </c>
      <c r="G402" s="1">
        <v>22</v>
      </c>
      <c r="H402" s="1">
        <v>2</v>
      </c>
      <c r="I402" s="1">
        <v>0</v>
      </c>
      <c r="J402" s="2" t="str">
        <f t="shared" si="34"/>
        <v>TEW</v>
      </c>
      <c r="K402" s="2" t="str">
        <f t="shared" si="35"/>
        <v>@CBB</v>
      </c>
      <c r="L402" s="1" t="str">
        <f t="shared" si="36"/>
        <v>401,5/18/2004,0,3,22,2,0</v>
      </c>
    </row>
    <row r="403" spans="1:12" x14ac:dyDescent="0.2">
      <c r="A403" s="1" t="str">
        <f t="shared" si="32"/>
        <v>3812523</v>
      </c>
      <c r="B403" s="1" t="str">
        <f t="shared" si="33"/>
        <v>3812510</v>
      </c>
      <c r="C403" s="1">
        <v>402</v>
      </c>
      <c r="D403" s="4">
        <v>38125</v>
      </c>
      <c r="E403" s="1">
        <v>0</v>
      </c>
      <c r="F403" s="1">
        <v>10</v>
      </c>
      <c r="G403" s="1">
        <v>23</v>
      </c>
      <c r="H403" s="1">
        <v>2</v>
      </c>
      <c r="I403" s="1">
        <v>0</v>
      </c>
      <c r="J403" s="2" t="str">
        <f t="shared" si="34"/>
        <v>REN</v>
      </c>
      <c r="K403" s="2" t="str">
        <f t="shared" si="35"/>
        <v>@BRK</v>
      </c>
      <c r="L403" s="1" t="str">
        <f t="shared" si="36"/>
        <v>402,5/18/2004,0,10,23,2,0</v>
      </c>
    </row>
    <row r="404" spans="1:12" x14ac:dyDescent="0.2">
      <c r="A404" s="1" t="str">
        <f t="shared" si="32"/>
        <v>3812524</v>
      </c>
      <c r="B404" s="1" t="str">
        <f t="shared" si="33"/>
        <v>3812514</v>
      </c>
      <c r="C404" s="1">
        <v>403</v>
      </c>
      <c r="D404" s="4">
        <v>38125</v>
      </c>
      <c r="E404" s="1">
        <v>0</v>
      </c>
      <c r="F404" s="1">
        <v>14</v>
      </c>
      <c r="G404" s="1">
        <v>24</v>
      </c>
      <c r="H404" s="1">
        <v>2</v>
      </c>
      <c r="I404" s="1">
        <v>0</v>
      </c>
      <c r="J404" s="2" t="str">
        <f t="shared" si="34"/>
        <v>CEN</v>
      </c>
      <c r="K404" s="2" t="str">
        <f t="shared" si="35"/>
        <v>@PHI</v>
      </c>
      <c r="L404" s="1" t="str">
        <f t="shared" si="36"/>
        <v>403,5/18/2004,0,14,24,2,0</v>
      </c>
    </row>
    <row r="405" spans="1:12" x14ac:dyDescent="0.2">
      <c r="A405" s="1" t="str">
        <f t="shared" si="32"/>
        <v>381261</v>
      </c>
      <c r="B405" s="1" t="str">
        <f t="shared" si="33"/>
        <v>381269</v>
      </c>
      <c r="C405" s="1">
        <v>404</v>
      </c>
      <c r="D405" s="4">
        <v>38126</v>
      </c>
      <c r="E405" s="1">
        <v>0</v>
      </c>
      <c r="F405" s="1">
        <v>9</v>
      </c>
      <c r="G405" s="1">
        <v>1</v>
      </c>
      <c r="H405" s="1">
        <v>2</v>
      </c>
      <c r="I405" s="1">
        <v>0</v>
      </c>
      <c r="J405" s="2" t="str">
        <f t="shared" si="34"/>
        <v>CIN</v>
      </c>
      <c r="K405" s="2" t="str">
        <f t="shared" si="35"/>
        <v>@FFR</v>
      </c>
      <c r="L405" s="1" t="str">
        <f t="shared" si="36"/>
        <v>404,5/19/2004,0,9,1,2,0</v>
      </c>
    </row>
    <row r="406" spans="1:12" x14ac:dyDescent="0.2">
      <c r="A406" s="1" t="str">
        <f t="shared" si="32"/>
        <v>381264</v>
      </c>
      <c r="B406" s="1" t="str">
        <f t="shared" si="33"/>
        <v>381268</v>
      </c>
      <c r="C406" s="1">
        <v>405</v>
      </c>
      <c r="D406" s="4">
        <v>38126</v>
      </c>
      <c r="E406" s="1">
        <v>0</v>
      </c>
      <c r="F406" s="1">
        <v>8</v>
      </c>
      <c r="G406" s="1">
        <v>4</v>
      </c>
      <c r="H406" s="1">
        <v>2</v>
      </c>
      <c r="I406" s="1">
        <v>0</v>
      </c>
      <c r="J406" s="2" t="str">
        <f t="shared" si="34"/>
        <v>CTW</v>
      </c>
      <c r="K406" s="2" t="str">
        <f t="shared" si="35"/>
        <v>@NNN</v>
      </c>
      <c r="L406" s="1" t="str">
        <f t="shared" si="36"/>
        <v>405,5/19/2004,0,8,4,2,0</v>
      </c>
    </row>
    <row r="407" spans="1:12" x14ac:dyDescent="0.2">
      <c r="A407" s="1" t="str">
        <f t="shared" si="32"/>
        <v>381265</v>
      </c>
      <c r="B407" s="1" t="str">
        <f t="shared" si="33"/>
        <v>3812613</v>
      </c>
      <c r="C407" s="1">
        <v>406</v>
      </c>
      <c r="D407" s="4">
        <v>38126</v>
      </c>
      <c r="E407" s="1">
        <v>0</v>
      </c>
      <c r="F407" s="1">
        <v>13</v>
      </c>
      <c r="G407" s="1">
        <v>5</v>
      </c>
      <c r="H407" s="1">
        <v>2</v>
      </c>
      <c r="I407" s="1">
        <v>0</v>
      </c>
      <c r="J407" s="2" t="str">
        <f t="shared" si="34"/>
        <v>BBG</v>
      </c>
      <c r="K407" s="2" t="str">
        <f t="shared" si="35"/>
        <v>@OKO</v>
      </c>
      <c r="L407" s="1" t="str">
        <f t="shared" si="36"/>
        <v>406,5/19/2004,0,13,5,2,0</v>
      </c>
    </row>
    <row r="408" spans="1:12" x14ac:dyDescent="0.2">
      <c r="A408" s="1" t="str">
        <f t="shared" si="32"/>
        <v>3812611</v>
      </c>
      <c r="B408" s="1" t="str">
        <f t="shared" si="33"/>
        <v>3812620</v>
      </c>
      <c r="C408" s="1">
        <v>407</v>
      </c>
      <c r="D408" s="4">
        <v>38126</v>
      </c>
      <c r="E408" s="1">
        <v>0</v>
      </c>
      <c r="F408" s="1">
        <v>20</v>
      </c>
      <c r="G408" s="1">
        <v>11</v>
      </c>
      <c r="H408" s="1">
        <v>2</v>
      </c>
      <c r="I408" s="1">
        <v>0</v>
      </c>
      <c r="J408" s="2" t="str">
        <f t="shared" si="34"/>
        <v>FDH</v>
      </c>
      <c r="K408" s="2" t="str">
        <f t="shared" si="35"/>
        <v>@HAR</v>
      </c>
      <c r="L408" s="1" t="str">
        <f t="shared" si="36"/>
        <v>407,5/19/2004,0,20,11,2,0</v>
      </c>
    </row>
    <row r="409" spans="1:12" x14ac:dyDescent="0.2">
      <c r="A409" s="1" t="str">
        <f t="shared" si="32"/>
        <v>3812612</v>
      </c>
      <c r="B409" s="1" t="str">
        <f t="shared" si="33"/>
        <v>381267</v>
      </c>
      <c r="C409" s="1">
        <v>408</v>
      </c>
      <c r="D409" s="4">
        <v>38126</v>
      </c>
      <c r="E409" s="1">
        <v>0</v>
      </c>
      <c r="F409" s="1">
        <v>7</v>
      </c>
      <c r="G409" s="1">
        <v>12</v>
      </c>
      <c r="H409" s="1">
        <v>2</v>
      </c>
      <c r="I409" s="1">
        <v>0</v>
      </c>
      <c r="J409" s="2" t="str">
        <f t="shared" si="34"/>
        <v>BAR</v>
      </c>
      <c r="K409" s="2" t="str">
        <f t="shared" si="35"/>
        <v>@RMO</v>
      </c>
      <c r="L409" s="1" t="str">
        <f t="shared" si="36"/>
        <v>408,5/19/2004,0,7,12,2,0</v>
      </c>
    </row>
    <row r="410" spans="1:12" x14ac:dyDescent="0.2">
      <c r="A410" s="1" t="str">
        <f t="shared" si="32"/>
        <v>3812616</v>
      </c>
      <c r="B410" s="1" t="str">
        <f t="shared" si="33"/>
        <v>3812617</v>
      </c>
      <c r="C410" s="1">
        <v>409</v>
      </c>
      <c r="D410" s="4">
        <v>38126</v>
      </c>
      <c r="E410" s="1">
        <v>0</v>
      </c>
      <c r="F410" s="1">
        <v>17</v>
      </c>
      <c r="G410" s="1">
        <v>16</v>
      </c>
      <c r="H410" s="1">
        <v>2</v>
      </c>
      <c r="I410" s="1">
        <v>0</v>
      </c>
      <c r="J410" s="2" t="str">
        <f t="shared" si="34"/>
        <v>GAR</v>
      </c>
      <c r="K410" s="2" t="str">
        <f t="shared" si="35"/>
        <v>@DIG</v>
      </c>
      <c r="L410" s="1" t="str">
        <f t="shared" si="36"/>
        <v>409,5/19/2004,0,17,16,2,0</v>
      </c>
    </row>
    <row r="411" spans="1:12" x14ac:dyDescent="0.2">
      <c r="A411" s="1" t="str">
        <f t="shared" si="32"/>
        <v>3812621</v>
      </c>
      <c r="B411" s="1" t="str">
        <f t="shared" si="33"/>
        <v>381262</v>
      </c>
      <c r="C411" s="1">
        <v>410</v>
      </c>
      <c r="D411" s="4">
        <v>38126</v>
      </c>
      <c r="E411" s="1">
        <v>0</v>
      </c>
      <c r="F411" s="1">
        <v>2</v>
      </c>
      <c r="G411" s="1">
        <v>21</v>
      </c>
      <c r="H411" s="1">
        <v>2</v>
      </c>
      <c r="I411" s="1">
        <v>0</v>
      </c>
      <c r="J411" s="2" t="str">
        <f t="shared" si="34"/>
        <v>NEP</v>
      </c>
      <c r="K411" s="2" t="str">
        <f t="shared" si="35"/>
        <v>@NYD</v>
      </c>
      <c r="L411" s="1" t="str">
        <f t="shared" si="36"/>
        <v>410,5/19/2004,0,2,21,2,0</v>
      </c>
    </row>
    <row r="412" spans="1:12" x14ac:dyDescent="0.2">
      <c r="A412" s="1" t="str">
        <f t="shared" si="32"/>
        <v>3812622</v>
      </c>
      <c r="B412" s="1" t="str">
        <f t="shared" si="33"/>
        <v>381263</v>
      </c>
      <c r="C412" s="1">
        <v>411</v>
      </c>
      <c r="D412" s="4">
        <v>38126</v>
      </c>
      <c r="E412" s="1">
        <v>0</v>
      </c>
      <c r="F412" s="1">
        <v>3</v>
      </c>
      <c r="G412" s="1">
        <v>22</v>
      </c>
      <c r="H412" s="1">
        <v>2</v>
      </c>
      <c r="I412" s="1">
        <v>0</v>
      </c>
      <c r="J412" s="2" t="str">
        <f t="shared" si="34"/>
        <v>TEW</v>
      </c>
      <c r="K412" s="2" t="str">
        <f t="shared" si="35"/>
        <v>@CBB</v>
      </c>
      <c r="L412" s="1" t="str">
        <f t="shared" si="36"/>
        <v>411,5/19/2004,0,3,22,2,0</v>
      </c>
    </row>
    <row r="413" spans="1:12" x14ac:dyDescent="0.2">
      <c r="A413" s="1" t="str">
        <f t="shared" si="32"/>
        <v>3812623</v>
      </c>
      <c r="B413" s="1" t="str">
        <f t="shared" si="33"/>
        <v>3812610</v>
      </c>
      <c r="C413" s="1">
        <v>412</v>
      </c>
      <c r="D413" s="4">
        <v>38126</v>
      </c>
      <c r="E413" s="1">
        <v>0</v>
      </c>
      <c r="F413" s="1">
        <v>10</v>
      </c>
      <c r="G413" s="1">
        <v>23</v>
      </c>
      <c r="H413" s="1">
        <v>2</v>
      </c>
      <c r="I413" s="1">
        <v>0</v>
      </c>
      <c r="J413" s="2" t="str">
        <f t="shared" si="34"/>
        <v>REN</v>
      </c>
      <c r="K413" s="2" t="str">
        <f t="shared" si="35"/>
        <v>@BRK</v>
      </c>
      <c r="L413" s="1" t="str">
        <f t="shared" si="36"/>
        <v>412,5/19/2004,0,10,23,2,0</v>
      </c>
    </row>
    <row r="414" spans="1:12" x14ac:dyDescent="0.2">
      <c r="A414" s="1" t="str">
        <f t="shared" si="32"/>
        <v>3812624</v>
      </c>
      <c r="B414" s="1" t="str">
        <f t="shared" si="33"/>
        <v>3812614</v>
      </c>
      <c r="C414" s="1">
        <v>413</v>
      </c>
      <c r="D414" s="4">
        <v>38126</v>
      </c>
      <c r="E414" s="1">
        <v>0</v>
      </c>
      <c r="F414" s="1">
        <v>14</v>
      </c>
      <c r="G414" s="1">
        <v>24</v>
      </c>
      <c r="H414" s="1">
        <v>2</v>
      </c>
      <c r="I414" s="1">
        <v>0</v>
      </c>
      <c r="J414" s="2" t="str">
        <f t="shared" si="34"/>
        <v>CEN</v>
      </c>
      <c r="K414" s="2" t="str">
        <f t="shared" si="35"/>
        <v>@PHI</v>
      </c>
      <c r="L414" s="1" t="str">
        <f t="shared" si="36"/>
        <v>413,5/19/2004,0,14,24,2,0</v>
      </c>
    </row>
    <row r="415" spans="1:12" x14ac:dyDescent="0.2">
      <c r="A415" s="1" t="str">
        <f t="shared" si="32"/>
        <v>381271</v>
      </c>
      <c r="B415" s="1" t="str">
        <f t="shared" si="33"/>
        <v>381279</v>
      </c>
      <c r="C415" s="1">
        <v>414</v>
      </c>
      <c r="D415" s="4">
        <v>38127</v>
      </c>
      <c r="E415" s="1">
        <v>0</v>
      </c>
      <c r="F415" s="1">
        <v>9</v>
      </c>
      <c r="G415" s="1">
        <v>1</v>
      </c>
      <c r="H415" s="1">
        <v>2</v>
      </c>
      <c r="I415" s="1">
        <v>0</v>
      </c>
      <c r="J415" s="2" t="str">
        <f t="shared" si="34"/>
        <v>CIN</v>
      </c>
      <c r="K415" s="2" t="str">
        <f t="shared" si="35"/>
        <v>@FFR</v>
      </c>
      <c r="L415" s="1" t="str">
        <f t="shared" si="36"/>
        <v>414,5/20/2004,0,9,1,2,0</v>
      </c>
    </row>
    <row r="416" spans="1:12" x14ac:dyDescent="0.2">
      <c r="A416" s="1" t="str">
        <f t="shared" si="32"/>
        <v>381274</v>
      </c>
      <c r="B416" s="1" t="str">
        <f t="shared" si="33"/>
        <v>381278</v>
      </c>
      <c r="C416" s="1">
        <v>415</v>
      </c>
      <c r="D416" s="4">
        <v>38127</v>
      </c>
      <c r="E416" s="1">
        <v>0</v>
      </c>
      <c r="F416" s="1">
        <v>8</v>
      </c>
      <c r="G416" s="1">
        <v>4</v>
      </c>
      <c r="H416" s="1">
        <v>2</v>
      </c>
      <c r="I416" s="1">
        <v>0</v>
      </c>
      <c r="J416" s="2" t="str">
        <f t="shared" si="34"/>
        <v>CTW</v>
      </c>
      <c r="K416" s="2" t="str">
        <f t="shared" si="35"/>
        <v>@NNN</v>
      </c>
      <c r="L416" s="1" t="str">
        <f t="shared" si="36"/>
        <v>415,5/20/2004,0,8,4,2,0</v>
      </c>
    </row>
    <row r="417" spans="1:12" x14ac:dyDescent="0.2">
      <c r="A417" s="1" t="str">
        <f t="shared" si="32"/>
        <v>381275</v>
      </c>
      <c r="B417" s="1" t="str">
        <f t="shared" si="33"/>
        <v>3812713</v>
      </c>
      <c r="C417" s="1">
        <v>416</v>
      </c>
      <c r="D417" s="4">
        <v>38127</v>
      </c>
      <c r="E417" s="1">
        <v>0</v>
      </c>
      <c r="F417" s="1">
        <v>13</v>
      </c>
      <c r="G417" s="1">
        <v>5</v>
      </c>
      <c r="H417" s="1">
        <v>2</v>
      </c>
      <c r="I417" s="1">
        <v>0</v>
      </c>
      <c r="J417" s="2" t="str">
        <f t="shared" si="34"/>
        <v>BBG</v>
      </c>
      <c r="K417" s="2" t="str">
        <f t="shared" si="35"/>
        <v>@OKO</v>
      </c>
      <c r="L417" s="1" t="str">
        <f t="shared" si="36"/>
        <v>416,5/20/2004,0,13,5,2,0</v>
      </c>
    </row>
    <row r="418" spans="1:12" x14ac:dyDescent="0.2">
      <c r="A418" s="1" t="str">
        <f t="shared" si="32"/>
        <v>3812711</v>
      </c>
      <c r="B418" s="1" t="str">
        <f t="shared" si="33"/>
        <v>3812720</v>
      </c>
      <c r="C418" s="1">
        <v>417</v>
      </c>
      <c r="D418" s="4">
        <v>38127</v>
      </c>
      <c r="E418" s="1">
        <v>0</v>
      </c>
      <c r="F418" s="1">
        <v>20</v>
      </c>
      <c r="G418" s="1">
        <v>11</v>
      </c>
      <c r="H418" s="1">
        <v>2</v>
      </c>
      <c r="I418" s="1">
        <v>0</v>
      </c>
      <c r="J418" s="2" t="str">
        <f t="shared" si="34"/>
        <v>FDH</v>
      </c>
      <c r="K418" s="2" t="str">
        <f t="shared" si="35"/>
        <v>@HAR</v>
      </c>
      <c r="L418" s="1" t="str">
        <f t="shared" si="36"/>
        <v>417,5/20/2004,0,20,11,2,0</v>
      </c>
    </row>
    <row r="419" spans="1:12" x14ac:dyDescent="0.2">
      <c r="A419" s="1" t="str">
        <f t="shared" si="32"/>
        <v>3812712</v>
      </c>
      <c r="B419" s="1" t="str">
        <f t="shared" si="33"/>
        <v>381277</v>
      </c>
      <c r="C419" s="1">
        <v>418</v>
      </c>
      <c r="D419" s="4">
        <v>38127</v>
      </c>
      <c r="E419" s="1">
        <v>0</v>
      </c>
      <c r="F419" s="1">
        <v>7</v>
      </c>
      <c r="G419" s="1">
        <v>12</v>
      </c>
      <c r="H419" s="1">
        <v>2</v>
      </c>
      <c r="I419" s="1">
        <v>0</v>
      </c>
      <c r="J419" s="2" t="str">
        <f t="shared" si="34"/>
        <v>BAR</v>
      </c>
      <c r="K419" s="2" t="str">
        <f t="shared" si="35"/>
        <v>@RMO</v>
      </c>
      <c r="L419" s="1" t="str">
        <f t="shared" si="36"/>
        <v>418,5/20/2004,0,7,12,2,0</v>
      </c>
    </row>
    <row r="420" spans="1:12" x14ac:dyDescent="0.2">
      <c r="A420" s="1" t="str">
        <f t="shared" si="32"/>
        <v>3812716</v>
      </c>
      <c r="B420" s="1" t="str">
        <f t="shared" si="33"/>
        <v>3812717</v>
      </c>
      <c r="C420" s="1">
        <v>419</v>
      </c>
      <c r="D420" s="4">
        <v>38127</v>
      </c>
      <c r="E420" s="1">
        <v>0</v>
      </c>
      <c r="F420" s="1">
        <v>17</v>
      </c>
      <c r="G420" s="1">
        <v>16</v>
      </c>
      <c r="H420" s="1">
        <v>2</v>
      </c>
      <c r="I420" s="1">
        <v>0</v>
      </c>
      <c r="J420" s="2" t="str">
        <f t="shared" si="34"/>
        <v>GAR</v>
      </c>
      <c r="K420" s="2" t="str">
        <f t="shared" si="35"/>
        <v>@DIG</v>
      </c>
      <c r="L420" s="1" t="str">
        <f t="shared" si="36"/>
        <v>419,5/20/2004,0,17,16,2,0</v>
      </c>
    </row>
    <row r="421" spans="1:12" x14ac:dyDescent="0.2">
      <c r="A421" s="1" t="str">
        <f t="shared" si="32"/>
        <v>3812721</v>
      </c>
      <c r="B421" s="1" t="str">
        <f t="shared" si="33"/>
        <v>381272</v>
      </c>
      <c r="C421" s="1">
        <v>420</v>
      </c>
      <c r="D421" s="4">
        <v>38127</v>
      </c>
      <c r="E421" s="1">
        <v>0</v>
      </c>
      <c r="F421" s="1">
        <v>2</v>
      </c>
      <c r="G421" s="1">
        <v>21</v>
      </c>
      <c r="H421" s="1">
        <v>2</v>
      </c>
      <c r="I421" s="1">
        <v>0</v>
      </c>
      <c r="J421" s="2" t="str">
        <f t="shared" si="34"/>
        <v>NEP</v>
      </c>
      <c r="K421" s="2" t="str">
        <f t="shared" si="35"/>
        <v>@NYD</v>
      </c>
      <c r="L421" s="1" t="str">
        <f t="shared" si="36"/>
        <v>420,5/20/2004,0,2,21,2,0</v>
      </c>
    </row>
    <row r="422" spans="1:12" x14ac:dyDescent="0.2">
      <c r="A422" s="1" t="str">
        <f t="shared" si="32"/>
        <v>3812722</v>
      </c>
      <c r="B422" s="1" t="str">
        <f t="shared" si="33"/>
        <v>381273</v>
      </c>
      <c r="C422" s="1">
        <v>421</v>
      </c>
      <c r="D422" s="4">
        <v>38127</v>
      </c>
      <c r="E422" s="1">
        <v>0</v>
      </c>
      <c r="F422" s="1">
        <v>3</v>
      </c>
      <c r="G422" s="1">
        <v>22</v>
      </c>
      <c r="H422" s="1">
        <v>2</v>
      </c>
      <c r="I422" s="1">
        <v>0</v>
      </c>
      <c r="J422" s="2" t="str">
        <f t="shared" si="34"/>
        <v>TEW</v>
      </c>
      <c r="K422" s="2" t="str">
        <f t="shared" si="35"/>
        <v>@CBB</v>
      </c>
      <c r="L422" s="1" t="str">
        <f t="shared" si="36"/>
        <v>421,5/20/2004,0,3,22,2,0</v>
      </c>
    </row>
    <row r="423" spans="1:12" x14ac:dyDescent="0.2">
      <c r="A423" s="1" t="str">
        <f t="shared" si="32"/>
        <v>3812723</v>
      </c>
      <c r="B423" s="1" t="str">
        <f t="shared" si="33"/>
        <v>3812710</v>
      </c>
      <c r="C423" s="1">
        <v>422</v>
      </c>
      <c r="D423" s="4">
        <v>38127</v>
      </c>
      <c r="E423" s="1">
        <v>0</v>
      </c>
      <c r="F423" s="1">
        <v>10</v>
      </c>
      <c r="G423" s="1">
        <v>23</v>
      </c>
      <c r="H423" s="1">
        <v>2</v>
      </c>
      <c r="I423" s="1">
        <v>0</v>
      </c>
      <c r="J423" s="2" t="str">
        <f t="shared" si="34"/>
        <v>REN</v>
      </c>
      <c r="K423" s="2" t="str">
        <f t="shared" si="35"/>
        <v>@BRK</v>
      </c>
      <c r="L423" s="1" t="str">
        <f t="shared" si="36"/>
        <v>422,5/20/2004,0,10,23,2,0</v>
      </c>
    </row>
    <row r="424" spans="1:12" x14ac:dyDescent="0.2">
      <c r="A424" s="1" t="str">
        <f t="shared" si="32"/>
        <v>3812724</v>
      </c>
      <c r="B424" s="1" t="str">
        <f t="shared" si="33"/>
        <v>3812714</v>
      </c>
      <c r="C424" s="1">
        <v>423</v>
      </c>
      <c r="D424" s="4">
        <v>38127</v>
      </c>
      <c r="E424" s="1">
        <v>0</v>
      </c>
      <c r="F424" s="1">
        <v>14</v>
      </c>
      <c r="G424" s="1">
        <v>24</v>
      </c>
      <c r="H424" s="1">
        <v>2</v>
      </c>
      <c r="I424" s="1">
        <v>0</v>
      </c>
      <c r="J424" s="2" t="str">
        <f t="shared" si="34"/>
        <v>CEN</v>
      </c>
      <c r="K424" s="2" t="str">
        <f t="shared" si="35"/>
        <v>@PHI</v>
      </c>
      <c r="L424" s="1" t="str">
        <f t="shared" si="36"/>
        <v>423,5/20/2004,0,14,24,2,0</v>
      </c>
    </row>
    <row r="425" spans="1:12" x14ac:dyDescent="0.2">
      <c r="A425" s="1" t="str">
        <f t="shared" si="32"/>
        <v>381281</v>
      </c>
      <c r="B425" s="1" t="str">
        <f t="shared" si="33"/>
        <v>3812824</v>
      </c>
      <c r="C425" s="1">
        <v>424</v>
      </c>
      <c r="D425" s="4">
        <v>38128</v>
      </c>
      <c r="E425" s="1">
        <v>0</v>
      </c>
      <c r="F425" s="1">
        <v>24</v>
      </c>
      <c r="G425" s="1">
        <v>1</v>
      </c>
      <c r="H425" s="1">
        <v>2</v>
      </c>
      <c r="I425" s="1">
        <v>0</v>
      </c>
      <c r="J425" s="2" t="str">
        <f t="shared" si="34"/>
        <v>PHI</v>
      </c>
      <c r="K425" s="2" t="str">
        <f t="shared" si="35"/>
        <v>@FFR</v>
      </c>
      <c r="L425" s="1" t="str">
        <f t="shared" si="36"/>
        <v>424,5/21/2004,0,24,1,2,0</v>
      </c>
    </row>
    <row r="426" spans="1:12" x14ac:dyDescent="0.2">
      <c r="A426" s="1" t="str">
        <f t="shared" si="32"/>
        <v>381284</v>
      </c>
      <c r="B426" s="1" t="str">
        <f t="shared" si="33"/>
        <v>3812811</v>
      </c>
      <c r="C426" s="1">
        <v>425</v>
      </c>
      <c r="D426" s="4">
        <v>38128</v>
      </c>
      <c r="E426" s="1">
        <v>0</v>
      </c>
      <c r="F426" s="1">
        <v>11</v>
      </c>
      <c r="G426" s="1">
        <v>4</v>
      </c>
      <c r="H426" s="1">
        <v>2</v>
      </c>
      <c r="I426" s="1">
        <v>0</v>
      </c>
      <c r="J426" s="2" t="str">
        <f t="shared" si="34"/>
        <v>HAR</v>
      </c>
      <c r="K426" s="2" t="str">
        <f t="shared" si="35"/>
        <v>@NNN</v>
      </c>
      <c r="L426" s="1" t="str">
        <f t="shared" si="36"/>
        <v>425,5/21/2004,0,11,4,2,0</v>
      </c>
    </row>
    <row r="427" spans="1:12" x14ac:dyDescent="0.2">
      <c r="A427" s="1" t="str">
        <f t="shared" si="32"/>
        <v>381285</v>
      </c>
      <c r="B427" s="1" t="str">
        <f t="shared" si="33"/>
        <v>3812821</v>
      </c>
      <c r="C427" s="1">
        <v>426</v>
      </c>
      <c r="D427" s="4">
        <v>38128</v>
      </c>
      <c r="E427" s="1">
        <v>0</v>
      </c>
      <c r="F427" s="1">
        <v>21</v>
      </c>
      <c r="G427" s="1">
        <v>5</v>
      </c>
      <c r="H427" s="1">
        <v>2</v>
      </c>
      <c r="I427" s="1">
        <v>0</v>
      </c>
      <c r="J427" s="2" t="str">
        <f t="shared" si="34"/>
        <v>NYD</v>
      </c>
      <c r="K427" s="2" t="str">
        <f t="shared" si="35"/>
        <v>@OKO</v>
      </c>
      <c r="L427" s="1" t="str">
        <f t="shared" si="36"/>
        <v>426,5/21/2004,0,21,5,2,0</v>
      </c>
    </row>
    <row r="428" spans="1:12" x14ac:dyDescent="0.2">
      <c r="A428" s="1" t="str">
        <f t="shared" si="32"/>
        <v>381287</v>
      </c>
      <c r="B428" s="1" t="str">
        <f t="shared" si="33"/>
        <v>3812810</v>
      </c>
      <c r="C428" s="1">
        <v>427</v>
      </c>
      <c r="D428" s="4">
        <v>38128</v>
      </c>
      <c r="E428" s="1">
        <v>0</v>
      </c>
      <c r="F428" s="1">
        <v>10</v>
      </c>
      <c r="G428" s="1">
        <v>7</v>
      </c>
      <c r="H428" s="1">
        <v>2</v>
      </c>
      <c r="I428" s="1">
        <v>0</v>
      </c>
      <c r="J428" s="2" t="str">
        <f t="shared" si="34"/>
        <v>REN</v>
      </c>
      <c r="K428" s="2" t="str">
        <f t="shared" si="35"/>
        <v>@BAR</v>
      </c>
      <c r="L428" s="1" t="str">
        <f t="shared" si="36"/>
        <v>427,5/21/2004,0,10,7,2,0</v>
      </c>
    </row>
    <row r="429" spans="1:12" x14ac:dyDescent="0.2">
      <c r="A429" s="1" t="str">
        <f t="shared" si="32"/>
        <v>381288</v>
      </c>
      <c r="B429" s="1" t="str">
        <f t="shared" si="33"/>
        <v>3812820</v>
      </c>
      <c r="C429" s="1">
        <v>428</v>
      </c>
      <c r="D429" s="4">
        <v>38128</v>
      </c>
      <c r="E429" s="1">
        <v>0</v>
      </c>
      <c r="F429" s="1">
        <v>20</v>
      </c>
      <c r="G429" s="1">
        <v>8</v>
      </c>
      <c r="H429" s="1">
        <v>2</v>
      </c>
      <c r="I429" s="1">
        <v>0</v>
      </c>
      <c r="J429" s="2" t="str">
        <f t="shared" si="34"/>
        <v>FDH</v>
      </c>
      <c r="K429" s="2" t="str">
        <f t="shared" si="35"/>
        <v>@CTW</v>
      </c>
      <c r="L429" s="1" t="str">
        <f t="shared" si="36"/>
        <v>428,5/21/2004,0,20,8,2,0</v>
      </c>
    </row>
    <row r="430" spans="1:12" x14ac:dyDescent="0.2">
      <c r="A430" s="1" t="str">
        <f t="shared" si="32"/>
        <v>381289</v>
      </c>
      <c r="B430" s="1" t="str">
        <f t="shared" si="33"/>
        <v>3812814</v>
      </c>
      <c r="C430" s="1">
        <v>429</v>
      </c>
      <c r="D430" s="4">
        <v>38128</v>
      </c>
      <c r="E430" s="1">
        <v>0</v>
      </c>
      <c r="F430" s="1">
        <v>14</v>
      </c>
      <c r="G430" s="1">
        <v>9</v>
      </c>
      <c r="H430" s="1">
        <v>2</v>
      </c>
      <c r="I430" s="1">
        <v>0</v>
      </c>
      <c r="J430" s="2" t="str">
        <f t="shared" si="34"/>
        <v>CEN</v>
      </c>
      <c r="K430" s="2" t="str">
        <f t="shared" si="35"/>
        <v>@CIN</v>
      </c>
      <c r="L430" s="1" t="str">
        <f t="shared" si="36"/>
        <v>429,5/21/2004,0,14,9,2,0</v>
      </c>
    </row>
    <row r="431" spans="1:12" x14ac:dyDescent="0.2">
      <c r="A431" s="1" t="str">
        <f t="shared" si="32"/>
        <v>3812812</v>
      </c>
      <c r="B431" s="1" t="str">
        <f t="shared" si="33"/>
        <v>3812823</v>
      </c>
      <c r="C431" s="1">
        <v>430</v>
      </c>
      <c r="D431" s="4">
        <v>38128</v>
      </c>
      <c r="E431" s="1">
        <v>0</v>
      </c>
      <c r="F431" s="1">
        <v>23</v>
      </c>
      <c r="G431" s="1">
        <v>12</v>
      </c>
      <c r="H431" s="1">
        <v>2</v>
      </c>
      <c r="I431" s="1">
        <v>0</v>
      </c>
      <c r="J431" s="2" t="str">
        <f t="shared" si="34"/>
        <v>BRK</v>
      </c>
      <c r="K431" s="2" t="str">
        <f t="shared" si="35"/>
        <v>@RMO</v>
      </c>
      <c r="L431" s="1" t="str">
        <f t="shared" si="36"/>
        <v>430,5/21/2004,0,23,12,2,0</v>
      </c>
    </row>
    <row r="432" spans="1:12" x14ac:dyDescent="0.2">
      <c r="A432" s="1" t="str">
        <f t="shared" si="32"/>
        <v>3812813</v>
      </c>
      <c r="B432" s="1" t="str">
        <f t="shared" si="33"/>
        <v>381282</v>
      </c>
      <c r="C432" s="1">
        <v>431</v>
      </c>
      <c r="D432" s="4">
        <v>38128</v>
      </c>
      <c r="E432" s="1">
        <v>0</v>
      </c>
      <c r="F432" s="1">
        <v>2</v>
      </c>
      <c r="G432" s="1">
        <v>13</v>
      </c>
      <c r="H432" s="1">
        <v>2</v>
      </c>
      <c r="I432" s="1">
        <v>0</v>
      </c>
      <c r="J432" s="2" t="str">
        <f t="shared" si="34"/>
        <v>NEP</v>
      </c>
      <c r="K432" s="2" t="str">
        <f t="shared" si="35"/>
        <v>@BBG</v>
      </c>
      <c r="L432" s="1" t="str">
        <f t="shared" si="36"/>
        <v>431,5/21/2004,0,2,13,2,0</v>
      </c>
    </row>
    <row r="433" spans="1:14" x14ac:dyDescent="0.2">
      <c r="A433" s="1" t="str">
        <f t="shared" si="32"/>
        <v>3812816</v>
      </c>
      <c r="B433" s="1" t="str">
        <f t="shared" si="33"/>
        <v>3812822</v>
      </c>
      <c r="C433" s="1">
        <v>432</v>
      </c>
      <c r="D433" s="4">
        <v>38128</v>
      </c>
      <c r="E433" s="1">
        <v>0</v>
      </c>
      <c r="F433" s="1">
        <v>22</v>
      </c>
      <c r="G433" s="1">
        <v>16</v>
      </c>
      <c r="H433" s="1">
        <v>2</v>
      </c>
      <c r="I433" s="1">
        <v>0</v>
      </c>
      <c r="J433" s="2" t="str">
        <f t="shared" si="34"/>
        <v>CBB</v>
      </c>
      <c r="K433" s="2" t="str">
        <f t="shared" si="35"/>
        <v>@DIG</v>
      </c>
      <c r="L433" s="1" t="str">
        <f t="shared" si="36"/>
        <v>432,5/21/2004,0,22,16,2,0</v>
      </c>
    </row>
    <row r="434" spans="1:14" x14ac:dyDescent="0.2">
      <c r="A434" s="1" t="str">
        <f t="shared" si="32"/>
        <v>3812817</v>
      </c>
      <c r="B434" s="1" t="str">
        <f t="shared" si="33"/>
        <v>381283</v>
      </c>
      <c r="C434" s="1">
        <v>433</v>
      </c>
      <c r="D434" s="4">
        <v>38128</v>
      </c>
      <c r="E434" s="1">
        <v>0</v>
      </c>
      <c r="F434" s="1">
        <v>3</v>
      </c>
      <c r="G434" s="1">
        <v>17</v>
      </c>
      <c r="H434" s="1">
        <v>2</v>
      </c>
      <c r="I434" s="1">
        <v>0</v>
      </c>
      <c r="J434" s="2" t="str">
        <f t="shared" si="34"/>
        <v>TEW</v>
      </c>
      <c r="K434" s="2" t="str">
        <f t="shared" si="35"/>
        <v>@GAR</v>
      </c>
      <c r="L434" s="1" t="str">
        <f t="shared" si="36"/>
        <v>433,5/21/2004,0,3,17,2,0</v>
      </c>
    </row>
    <row r="435" spans="1:14" x14ac:dyDescent="0.2">
      <c r="A435" s="1" t="str">
        <f t="shared" si="32"/>
        <v>381291</v>
      </c>
      <c r="B435" s="1" t="str">
        <f t="shared" si="33"/>
        <v>3812924</v>
      </c>
      <c r="C435" s="1">
        <v>434</v>
      </c>
      <c r="D435" s="4">
        <v>38129</v>
      </c>
      <c r="E435" s="1">
        <v>0</v>
      </c>
      <c r="F435" s="1">
        <v>24</v>
      </c>
      <c r="G435" s="1">
        <v>1</v>
      </c>
      <c r="H435" s="1">
        <v>2</v>
      </c>
      <c r="I435" s="1">
        <v>0</v>
      </c>
      <c r="J435" s="2" t="str">
        <f t="shared" si="34"/>
        <v>PHI</v>
      </c>
      <c r="K435" s="2" t="str">
        <f t="shared" si="35"/>
        <v>@FFR</v>
      </c>
      <c r="L435" s="1" t="str">
        <f t="shared" si="36"/>
        <v>434,5/22/2004,0,24,1,2,0</v>
      </c>
    </row>
    <row r="436" spans="1:14" x14ac:dyDescent="0.2">
      <c r="A436" s="1" t="str">
        <f t="shared" si="32"/>
        <v>381294</v>
      </c>
      <c r="B436" s="1" t="str">
        <f t="shared" si="33"/>
        <v>3812911</v>
      </c>
      <c r="C436" s="1">
        <v>435</v>
      </c>
      <c r="D436" s="4">
        <v>38129</v>
      </c>
      <c r="E436" s="1">
        <v>0</v>
      </c>
      <c r="F436" s="1">
        <v>11</v>
      </c>
      <c r="G436" s="1">
        <v>4</v>
      </c>
      <c r="H436" s="1">
        <v>2</v>
      </c>
      <c r="I436" s="1">
        <v>0</v>
      </c>
      <c r="J436" s="2" t="str">
        <f t="shared" si="34"/>
        <v>HAR</v>
      </c>
      <c r="K436" s="2" t="str">
        <f t="shared" si="35"/>
        <v>@NNN</v>
      </c>
      <c r="L436" s="1" t="str">
        <f t="shared" si="36"/>
        <v>435,5/22/2004,0,11,4,2,0</v>
      </c>
    </row>
    <row r="437" spans="1:14" x14ac:dyDescent="0.2">
      <c r="A437" s="1" t="str">
        <f t="shared" si="32"/>
        <v>381295</v>
      </c>
      <c r="B437" s="1" t="str">
        <f t="shared" si="33"/>
        <v>3812921</v>
      </c>
      <c r="C437" s="1">
        <v>436</v>
      </c>
      <c r="D437" s="4">
        <v>38129</v>
      </c>
      <c r="E437" s="1">
        <v>0</v>
      </c>
      <c r="F437" s="1">
        <v>21</v>
      </c>
      <c r="G437" s="1">
        <v>5</v>
      </c>
      <c r="H437" s="1">
        <v>2</v>
      </c>
      <c r="I437" s="1">
        <v>0</v>
      </c>
      <c r="J437" s="2" t="str">
        <f t="shared" si="34"/>
        <v>NYD</v>
      </c>
      <c r="K437" s="2" t="str">
        <f t="shared" si="35"/>
        <v>@OKO</v>
      </c>
      <c r="L437" s="1" t="str">
        <f t="shared" si="36"/>
        <v>436,5/22/2004,0,21,5,2,0</v>
      </c>
    </row>
    <row r="438" spans="1:14" x14ac:dyDescent="0.2">
      <c r="A438" s="1" t="str">
        <f t="shared" si="32"/>
        <v>381297</v>
      </c>
      <c r="B438" s="1" t="str">
        <f t="shared" si="33"/>
        <v>3812910</v>
      </c>
      <c r="C438" s="1">
        <v>437</v>
      </c>
      <c r="D438" s="4">
        <v>38129</v>
      </c>
      <c r="E438" s="1">
        <v>0</v>
      </c>
      <c r="F438" s="1">
        <v>10</v>
      </c>
      <c r="G438" s="1">
        <v>7</v>
      </c>
      <c r="H438" s="1">
        <v>2</v>
      </c>
      <c r="I438" s="1">
        <v>0</v>
      </c>
      <c r="J438" s="2" t="str">
        <f t="shared" si="34"/>
        <v>REN</v>
      </c>
      <c r="K438" s="2" t="str">
        <f t="shared" si="35"/>
        <v>@BAR</v>
      </c>
      <c r="L438" s="1" t="str">
        <f t="shared" si="36"/>
        <v>437,5/22/2004,0,10,7,2,0</v>
      </c>
    </row>
    <row r="439" spans="1:14" x14ac:dyDescent="0.2">
      <c r="A439" s="1" t="str">
        <f t="shared" si="32"/>
        <v>381298</v>
      </c>
      <c r="B439" s="1" t="str">
        <f t="shared" si="33"/>
        <v>3812920</v>
      </c>
      <c r="C439" s="1">
        <v>438</v>
      </c>
      <c r="D439" s="4">
        <v>38129</v>
      </c>
      <c r="E439" s="1">
        <v>0</v>
      </c>
      <c r="F439" s="1">
        <v>20</v>
      </c>
      <c r="G439" s="1">
        <v>8</v>
      </c>
      <c r="H439" s="1">
        <v>2</v>
      </c>
      <c r="I439" s="1">
        <v>0</v>
      </c>
      <c r="J439" s="2" t="str">
        <f t="shared" si="34"/>
        <v>FDH</v>
      </c>
      <c r="K439" s="2" t="str">
        <f t="shared" si="35"/>
        <v>@CTW</v>
      </c>
      <c r="L439" s="1" t="str">
        <f t="shared" si="36"/>
        <v>438,5/22/2004,0,20,8,2,0</v>
      </c>
    </row>
    <row r="440" spans="1:14" x14ac:dyDescent="0.2">
      <c r="A440" s="1" t="str">
        <f t="shared" si="32"/>
        <v>381299</v>
      </c>
      <c r="B440" s="1" t="str">
        <f t="shared" si="33"/>
        <v>3812914</v>
      </c>
      <c r="C440" s="1">
        <v>439</v>
      </c>
      <c r="D440" s="4">
        <v>38129</v>
      </c>
      <c r="E440" s="1">
        <v>0</v>
      </c>
      <c r="F440" s="1">
        <v>14</v>
      </c>
      <c r="G440" s="1">
        <v>9</v>
      </c>
      <c r="H440" s="1">
        <v>2</v>
      </c>
      <c r="I440" s="1">
        <v>0</v>
      </c>
      <c r="J440" s="2" t="str">
        <f t="shared" si="34"/>
        <v>CEN</v>
      </c>
      <c r="K440" s="2" t="str">
        <f t="shared" si="35"/>
        <v>@CIN</v>
      </c>
      <c r="L440" s="1" t="str">
        <f t="shared" si="36"/>
        <v>439,5/22/2004,0,14,9,2,0</v>
      </c>
      <c r="N440" s="1">
        <v>1</v>
      </c>
    </row>
    <row r="441" spans="1:14" x14ac:dyDescent="0.2">
      <c r="A441" s="1" t="str">
        <f t="shared" si="32"/>
        <v>3812912</v>
      </c>
      <c r="B441" s="1" t="str">
        <f t="shared" si="33"/>
        <v>3812923</v>
      </c>
      <c r="C441" s="1">
        <v>440</v>
      </c>
      <c r="D441" s="4">
        <v>38129</v>
      </c>
      <c r="E441" s="1">
        <v>0</v>
      </c>
      <c r="F441" s="1">
        <v>23</v>
      </c>
      <c r="G441" s="1">
        <v>12</v>
      </c>
      <c r="H441" s="1">
        <v>2</v>
      </c>
      <c r="I441" s="1">
        <v>0</v>
      </c>
      <c r="J441" s="2" t="str">
        <f t="shared" si="34"/>
        <v>BRK</v>
      </c>
      <c r="K441" s="2" t="str">
        <f t="shared" si="35"/>
        <v>@RMO</v>
      </c>
      <c r="L441" s="1" t="str">
        <f t="shared" si="36"/>
        <v>440,5/22/2004,0,23,12,2,0</v>
      </c>
    </row>
    <row r="442" spans="1:14" x14ac:dyDescent="0.2">
      <c r="A442" s="1" t="str">
        <f t="shared" si="32"/>
        <v>3812913</v>
      </c>
      <c r="B442" s="1" t="str">
        <f t="shared" si="33"/>
        <v>381292</v>
      </c>
      <c r="C442" s="1">
        <v>441</v>
      </c>
      <c r="D442" s="4">
        <v>38129</v>
      </c>
      <c r="E442" s="1">
        <v>0</v>
      </c>
      <c r="F442" s="1">
        <v>2</v>
      </c>
      <c r="G442" s="1">
        <v>13</v>
      </c>
      <c r="H442" s="1">
        <v>2</v>
      </c>
      <c r="I442" s="1">
        <v>0</v>
      </c>
      <c r="J442" s="2" t="str">
        <f t="shared" si="34"/>
        <v>NEP</v>
      </c>
      <c r="K442" s="2" t="str">
        <f t="shared" si="35"/>
        <v>@BBG</v>
      </c>
      <c r="L442" s="1" t="str">
        <f t="shared" si="36"/>
        <v>441,5/22/2004,0,2,13,2,0</v>
      </c>
    </row>
    <row r="443" spans="1:14" x14ac:dyDescent="0.2">
      <c r="A443" s="1" t="str">
        <f t="shared" si="32"/>
        <v>3812916</v>
      </c>
      <c r="B443" s="1" t="str">
        <f t="shared" si="33"/>
        <v>3812922</v>
      </c>
      <c r="C443" s="1">
        <v>442</v>
      </c>
      <c r="D443" s="4">
        <v>38129</v>
      </c>
      <c r="E443" s="1">
        <v>0</v>
      </c>
      <c r="F443" s="1">
        <v>22</v>
      </c>
      <c r="G443" s="1">
        <v>16</v>
      </c>
      <c r="H443" s="1">
        <v>2</v>
      </c>
      <c r="I443" s="1">
        <v>0</v>
      </c>
      <c r="J443" s="2" t="str">
        <f t="shared" si="34"/>
        <v>CBB</v>
      </c>
      <c r="K443" s="2" t="str">
        <f t="shared" si="35"/>
        <v>@DIG</v>
      </c>
      <c r="L443" s="1" t="str">
        <f t="shared" si="36"/>
        <v>442,5/22/2004,0,22,16,2,0</v>
      </c>
    </row>
    <row r="444" spans="1:14" x14ac:dyDescent="0.2">
      <c r="A444" s="1" t="str">
        <f t="shared" si="32"/>
        <v>3812917</v>
      </c>
      <c r="B444" s="1" t="str">
        <f t="shared" si="33"/>
        <v>381293</v>
      </c>
      <c r="C444" s="1">
        <v>443</v>
      </c>
      <c r="D444" s="4">
        <v>38129</v>
      </c>
      <c r="E444" s="1">
        <v>0</v>
      </c>
      <c r="F444" s="1">
        <v>3</v>
      </c>
      <c r="G444" s="1">
        <v>17</v>
      </c>
      <c r="H444" s="1">
        <v>2</v>
      </c>
      <c r="I444" s="1">
        <v>0</v>
      </c>
      <c r="J444" s="2" t="str">
        <f t="shared" si="34"/>
        <v>TEW</v>
      </c>
      <c r="K444" s="2" t="str">
        <f t="shared" si="35"/>
        <v>@GAR</v>
      </c>
      <c r="L444" s="1" t="str">
        <f t="shared" si="36"/>
        <v>443,5/22/2004,0,3,17,2,0</v>
      </c>
    </row>
    <row r="445" spans="1:14" x14ac:dyDescent="0.2">
      <c r="A445" s="1" t="str">
        <f t="shared" si="32"/>
        <v>381301</v>
      </c>
      <c r="B445" s="1" t="str">
        <f t="shared" si="33"/>
        <v>3813024</v>
      </c>
      <c r="C445" s="1">
        <v>444</v>
      </c>
      <c r="D445" s="4">
        <v>38130</v>
      </c>
      <c r="E445" s="1">
        <v>0</v>
      </c>
      <c r="F445" s="1">
        <v>24</v>
      </c>
      <c r="G445" s="1">
        <v>1</v>
      </c>
      <c r="H445" s="1">
        <v>2</v>
      </c>
      <c r="I445" s="1">
        <v>0</v>
      </c>
      <c r="J445" s="2" t="str">
        <f t="shared" si="34"/>
        <v>PHI</v>
      </c>
      <c r="K445" s="2" t="str">
        <f t="shared" si="35"/>
        <v>@FFR</v>
      </c>
      <c r="L445" s="1" t="str">
        <f t="shared" si="36"/>
        <v>444,5/23/2004,0,24,1,2,0</v>
      </c>
    </row>
    <row r="446" spans="1:14" x14ac:dyDescent="0.2">
      <c r="A446" s="1" t="str">
        <f t="shared" si="32"/>
        <v>381304</v>
      </c>
      <c r="B446" s="1" t="str">
        <f t="shared" si="33"/>
        <v>3813011</v>
      </c>
      <c r="C446" s="1">
        <v>445</v>
      </c>
      <c r="D446" s="4">
        <v>38130</v>
      </c>
      <c r="E446" s="1">
        <v>0</v>
      </c>
      <c r="F446" s="1">
        <v>11</v>
      </c>
      <c r="G446" s="1">
        <v>4</v>
      </c>
      <c r="H446" s="1">
        <v>2</v>
      </c>
      <c r="I446" s="1">
        <v>0</v>
      </c>
      <c r="J446" s="2" t="str">
        <f t="shared" si="34"/>
        <v>HAR</v>
      </c>
      <c r="K446" s="2" t="str">
        <f t="shared" si="35"/>
        <v>@NNN</v>
      </c>
      <c r="L446" s="1" t="str">
        <f t="shared" si="36"/>
        <v>445,5/23/2004,0,11,4,2,0</v>
      </c>
    </row>
    <row r="447" spans="1:14" x14ac:dyDescent="0.2">
      <c r="A447" s="1" t="str">
        <f t="shared" si="32"/>
        <v>381305</v>
      </c>
      <c r="B447" s="1" t="str">
        <f t="shared" si="33"/>
        <v>3813021</v>
      </c>
      <c r="C447" s="1">
        <v>446</v>
      </c>
      <c r="D447" s="4">
        <v>38130</v>
      </c>
      <c r="E447" s="1">
        <v>0</v>
      </c>
      <c r="F447" s="1">
        <v>21</v>
      </c>
      <c r="G447" s="1">
        <v>5</v>
      </c>
      <c r="H447" s="1">
        <v>2</v>
      </c>
      <c r="I447" s="1">
        <v>0</v>
      </c>
      <c r="J447" s="2" t="str">
        <f t="shared" si="34"/>
        <v>NYD</v>
      </c>
      <c r="K447" s="2" t="str">
        <f t="shared" si="35"/>
        <v>@OKO</v>
      </c>
      <c r="L447" s="1" t="str">
        <f t="shared" si="36"/>
        <v>446,5/23/2004,0,21,5,2,0</v>
      </c>
    </row>
    <row r="448" spans="1:14" x14ac:dyDescent="0.2">
      <c r="A448" s="1" t="str">
        <f t="shared" si="32"/>
        <v>381307</v>
      </c>
      <c r="B448" s="1" t="str">
        <f t="shared" si="33"/>
        <v>3813010</v>
      </c>
      <c r="C448" s="1">
        <v>447</v>
      </c>
      <c r="D448" s="4">
        <v>38130</v>
      </c>
      <c r="E448" s="1">
        <v>0</v>
      </c>
      <c r="F448" s="1">
        <v>10</v>
      </c>
      <c r="G448" s="1">
        <v>7</v>
      </c>
      <c r="H448" s="1">
        <v>2</v>
      </c>
      <c r="I448" s="1">
        <v>0</v>
      </c>
      <c r="J448" s="2" t="str">
        <f t="shared" si="34"/>
        <v>REN</v>
      </c>
      <c r="K448" s="2" t="str">
        <f t="shared" si="35"/>
        <v>@BAR</v>
      </c>
      <c r="L448" s="1" t="str">
        <f t="shared" si="36"/>
        <v>447,5/23/2004,0,10,7,2,0</v>
      </c>
    </row>
    <row r="449" spans="1:12" x14ac:dyDescent="0.2">
      <c r="A449" s="1" t="str">
        <f t="shared" si="32"/>
        <v>381308</v>
      </c>
      <c r="B449" s="1" t="str">
        <f t="shared" si="33"/>
        <v>3813020</v>
      </c>
      <c r="C449" s="1">
        <v>448</v>
      </c>
      <c r="D449" s="4">
        <v>38130</v>
      </c>
      <c r="E449" s="1">
        <v>0</v>
      </c>
      <c r="F449" s="1">
        <v>20</v>
      </c>
      <c r="G449" s="1">
        <v>8</v>
      </c>
      <c r="H449" s="1">
        <v>2</v>
      </c>
      <c r="I449" s="1">
        <v>0</v>
      </c>
      <c r="J449" s="2" t="str">
        <f t="shared" si="34"/>
        <v>FDH</v>
      </c>
      <c r="K449" s="2" t="str">
        <f t="shared" si="35"/>
        <v>@CTW</v>
      </c>
      <c r="L449" s="1" t="str">
        <f t="shared" si="36"/>
        <v>448,5/23/2004,0,20,8,2,0</v>
      </c>
    </row>
    <row r="450" spans="1:12" x14ac:dyDescent="0.2">
      <c r="A450" s="1" t="str">
        <f t="shared" ref="A450:A513" si="37">D450&amp;G450</f>
        <v>381309</v>
      </c>
      <c r="B450" s="1" t="str">
        <f t="shared" ref="B450:B513" si="38">D450&amp;F450</f>
        <v>3813014</v>
      </c>
      <c r="C450" s="1">
        <v>449</v>
      </c>
      <c r="D450" s="4">
        <v>38130</v>
      </c>
      <c r="E450" s="1">
        <v>0</v>
      </c>
      <c r="F450" s="1">
        <v>14</v>
      </c>
      <c r="G450" s="1">
        <v>9</v>
      </c>
      <c r="H450" s="1">
        <v>2</v>
      </c>
      <c r="I450" s="1">
        <v>0</v>
      </c>
      <c r="J450" s="2" t="str">
        <f t="shared" ref="J450:J513" si="39">VLOOKUP(F450,$M$2:$N$21,2,0)</f>
        <v>CEN</v>
      </c>
      <c r="K450" s="2" t="str">
        <f t="shared" ref="K450:K513" si="40">"@"&amp;VLOOKUP(G450,$M$2:$N$21,2,0)</f>
        <v>@CIN</v>
      </c>
      <c r="L450" s="1" t="str">
        <f t="shared" ref="L450:L513" si="41">C450&amp;","&amp;MONTH(D450)&amp;"/"&amp;DAY(D450)&amp;"/"&amp;YEAR(D450)&amp;","&amp;E450&amp;","&amp;F450&amp;","&amp;G450&amp;","&amp;H450&amp;","&amp;I450</f>
        <v>449,5/23/2004,0,14,9,2,0</v>
      </c>
    </row>
    <row r="451" spans="1:12" x14ac:dyDescent="0.2">
      <c r="A451" s="1" t="str">
        <f t="shared" si="37"/>
        <v>3813012</v>
      </c>
      <c r="B451" s="1" t="str">
        <f t="shared" si="38"/>
        <v>3813023</v>
      </c>
      <c r="C451" s="1">
        <v>450</v>
      </c>
      <c r="D451" s="4">
        <v>38130</v>
      </c>
      <c r="E451" s="1">
        <v>0</v>
      </c>
      <c r="F451" s="1">
        <v>23</v>
      </c>
      <c r="G451" s="1">
        <v>12</v>
      </c>
      <c r="H451" s="1">
        <v>2</v>
      </c>
      <c r="I451" s="1">
        <v>0</v>
      </c>
      <c r="J451" s="2" t="str">
        <f t="shared" si="39"/>
        <v>BRK</v>
      </c>
      <c r="K451" s="2" t="str">
        <f t="shared" si="40"/>
        <v>@RMO</v>
      </c>
      <c r="L451" s="1" t="str">
        <f t="shared" si="41"/>
        <v>450,5/23/2004,0,23,12,2,0</v>
      </c>
    </row>
    <row r="452" spans="1:12" x14ac:dyDescent="0.2">
      <c r="A452" s="1" t="str">
        <f t="shared" si="37"/>
        <v>3813013</v>
      </c>
      <c r="B452" s="1" t="str">
        <f t="shared" si="38"/>
        <v>381302</v>
      </c>
      <c r="C452" s="1">
        <v>451</v>
      </c>
      <c r="D452" s="4">
        <v>38130</v>
      </c>
      <c r="E452" s="1">
        <v>0</v>
      </c>
      <c r="F452" s="1">
        <v>2</v>
      </c>
      <c r="G452" s="1">
        <v>13</v>
      </c>
      <c r="H452" s="1">
        <v>2</v>
      </c>
      <c r="I452" s="1">
        <v>0</v>
      </c>
      <c r="J452" s="2" t="str">
        <f t="shared" si="39"/>
        <v>NEP</v>
      </c>
      <c r="K452" s="2" t="str">
        <f t="shared" si="40"/>
        <v>@BBG</v>
      </c>
      <c r="L452" s="1" t="str">
        <f t="shared" si="41"/>
        <v>451,5/23/2004,0,2,13,2,0</v>
      </c>
    </row>
    <row r="453" spans="1:12" x14ac:dyDescent="0.2">
      <c r="A453" s="1" t="str">
        <f t="shared" si="37"/>
        <v>3813016</v>
      </c>
      <c r="B453" s="1" t="str">
        <f t="shared" si="38"/>
        <v>3813022</v>
      </c>
      <c r="C453" s="1">
        <v>452</v>
      </c>
      <c r="D453" s="4">
        <v>38130</v>
      </c>
      <c r="E453" s="1">
        <v>0</v>
      </c>
      <c r="F453" s="1">
        <v>22</v>
      </c>
      <c r="G453" s="1">
        <v>16</v>
      </c>
      <c r="H453" s="1">
        <v>2</v>
      </c>
      <c r="I453" s="1">
        <v>0</v>
      </c>
      <c r="J453" s="2" t="str">
        <f t="shared" si="39"/>
        <v>CBB</v>
      </c>
      <c r="K453" s="2" t="str">
        <f t="shared" si="40"/>
        <v>@DIG</v>
      </c>
      <c r="L453" s="1" t="str">
        <f t="shared" si="41"/>
        <v>452,5/23/2004,0,22,16,2,0</v>
      </c>
    </row>
    <row r="454" spans="1:12" x14ac:dyDescent="0.2">
      <c r="A454" s="1" t="str">
        <f t="shared" si="37"/>
        <v>3813017</v>
      </c>
      <c r="B454" s="1" t="str">
        <f t="shared" si="38"/>
        <v>381303</v>
      </c>
      <c r="C454" s="1">
        <v>453</v>
      </c>
      <c r="D454" s="4">
        <v>38130</v>
      </c>
      <c r="E454" s="1">
        <v>0</v>
      </c>
      <c r="F454" s="1">
        <v>3</v>
      </c>
      <c r="G454" s="1">
        <v>17</v>
      </c>
      <c r="H454" s="1">
        <v>2</v>
      </c>
      <c r="I454" s="1">
        <v>0</v>
      </c>
      <c r="J454" s="2" t="str">
        <f t="shared" si="39"/>
        <v>TEW</v>
      </c>
      <c r="K454" s="2" t="str">
        <f t="shared" si="40"/>
        <v>@GAR</v>
      </c>
      <c r="L454" s="1" t="str">
        <f t="shared" si="41"/>
        <v>453,5/23/2004,0,3,17,2,0</v>
      </c>
    </row>
    <row r="455" spans="1:12" x14ac:dyDescent="0.2">
      <c r="A455" s="1" t="str">
        <f t="shared" si="37"/>
        <v>381311</v>
      </c>
      <c r="B455" s="1" t="str">
        <f t="shared" si="38"/>
        <v>3813124</v>
      </c>
      <c r="C455" s="1">
        <v>454</v>
      </c>
      <c r="D455" s="4">
        <v>38131</v>
      </c>
      <c r="E455" s="1">
        <v>0</v>
      </c>
      <c r="F455" s="1">
        <v>24</v>
      </c>
      <c r="G455" s="1">
        <v>1</v>
      </c>
      <c r="H455" s="1">
        <v>2</v>
      </c>
      <c r="I455" s="1">
        <v>0</v>
      </c>
      <c r="J455" s="2" t="str">
        <f t="shared" si="39"/>
        <v>PHI</v>
      </c>
      <c r="K455" s="2" t="str">
        <f t="shared" si="40"/>
        <v>@FFR</v>
      </c>
      <c r="L455" s="1" t="str">
        <f t="shared" si="41"/>
        <v>454,5/24/2004,0,24,1,2,0</v>
      </c>
    </row>
    <row r="456" spans="1:12" x14ac:dyDescent="0.2">
      <c r="A456" s="1" t="str">
        <f t="shared" si="37"/>
        <v>381314</v>
      </c>
      <c r="B456" s="1" t="str">
        <f t="shared" si="38"/>
        <v>3813111</v>
      </c>
      <c r="C456" s="1">
        <v>455</v>
      </c>
      <c r="D456" s="4">
        <v>38131</v>
      </c>
      <c r="E456" s="1">
        <v>0</v>
      </c>
      <c r="F456" s="1">
        <v>11</v>
      </c>
      <c r="G456" s="1">
        <v>4</v>
      </c>
      <c r="H456" s="1">
        <v>2</v>
      </c>
      <c r="I456" s="1">
        <v>0</v>
      </c>
      <c r="J456" s="2" t="str">
        <f t="shared" si="39"/>
        <v>HAR</v>
      </c>
      <c r="K456" s="2" t="str">
        <f t="shared" si="40"/>
        <v>@NNN</v>
      </c>
      <c r="L456" s="1" t="str">
        <f t="shared" si="41"/>
        <v>455,5/24/2004,0,11,4,2,0</v>
      </c>
    </row>
    <row r="457" spans="1:12" x14ac:dyDescent="0.2">
      <c r="A457" s="1" t="str">
        <f t="shared" si="37"/>
        <v>381315</v>
      </c>
      <c r="B457" s="1" t="str">
        <f t="shared" si="38"/>
        <v>3813121</v>
      </c>
      <c r="C457" s="1">
        <v>456</v>
      </c>
      <c r="D457" s="4">
        <v>38131</v>
      </c>
      <c r="E457" s="1">
        <v>0</v>
      </c>
      <c r="F457" s="1">
        <v>21</v>
      </c>
      <c r="G457" s="1">
        <v>5</v>
      </c>
      <c r="H457" s="1">
        <v>2</v>
      </c>
      <c r="I457" s="1">
        <v>0</v>
      </c>
      <c r="J457" s="2" t="str">
        <f t="shared" si="39"/>
        <v>NYD</v>
      </c>
      <c r="K457" s="2" t="str">
        <f t="shared" si="40"/>
        <v>@OKO</v>
      </c>
      <c r="L457" s="1" t="str">
        <f t="shared" si="41"/>
        <v>456,5/24/2004,0,21,5,2,0</v>
      </c>
    </row>
    <row r="458" spans="1:12" x14ac:dyDescent="0.2">
      <c r="A458" s="1" t="str">
        <f t="shared" si="37"/>
        <v>381319</v>
      </c>
      <c r="B458" s="1" t="str">
        <f t="shared" si="38"/>
        <v>3813114</v>
      </c>
      <c r="C458" s="1">
        <v>457</v>
      </c>
      <c r="D458" s="4">
        <v>38131</v>
      </c>
      <c r="E458" s="1">
        <v>0</v>
      </c>
      <c r="F458" s="1">
        <v>14</v>
      </c>
      <c r="G458" s="1">
        <v>9</v>
      </c>
      <c r="H458" s="1">
        <v>2</v>
      </c>
      <c r="I458" s="1">
        <v>0</v>
      </c>
      <c r="J458" s="2" t="str">
        <f t="shared" si="39"/>
        <v>CEN</v>
      </c>
      <c r="K458" s="2" t="str">
        <f t="shared" si="40"/>
        <v>@CIN</v>
      </c>
      <c r="L458" s="1" t="str">
        <f t="shared" si="41"/>
        <v>457,5/24/2004,0,14,9,2,0</v>
      </c>
    </row>
    <row r="459" spans="1:12" x14ac:dyDescent="0.2">
      <c r="A459" s="1" t="str">
        <f t="shared" si="37"/>
        <v>3813112</v>
      </c>
      <c r="B459" s="1" t="str">
        <f t="shared" si="38"/>
        <v>3813123</v>
      </c>
      <c r="C459" s="1">
        <v>458</v>
      </c>
      <c r="D459" s="4">
        <v>38131</v>
      </c>
      <c r="E459" s="1">
        <v>0</v>
      </c>
      <c r="F459" s="1">
        <v>23</v>
      </c>
      <c r="G459" s="1">
        <v>12</v>
      </c>
      <c r="H459" s="1">
        <v>2</v>
      </c>
      <c r="I459" s="1">
        <v>0</v>
      </c>
      <c r="J459" s="2" t="str">
        <f t="shared" si="39"/>
        <v>BRK</v>
      </c>
      <c r="K459" s="2" t="str">
        <f t="shared" si="40"/>
        <v>@RMO</v>
      </c>
      <c r="L459" s="1" t="str">
        <f t="shared" si="41"/>
        <v>458,5/24/2004,0,23,12,2,0</v>
      </c>
    </row>
    <row r="460" spans="1:12" x14ac:dyDescent="0.2">
      <c r="A460" s="1" t="str">
        <f t="shared" si="37"/>
        <v>3813116</v>
      </c>
      <c r="B460" s="1" t="str">
        <f t="shared" si="38"/>
        <v>3813122</v>
      </c>
      <c r="C460" s="1">
        <v>459</v>
      </c>
      <c r="D460" s="4">
        <v>38131</v>
      </c>
      <c r="E460" s="1">
        <v>0</v>
      </c>
      <c r="F460" s="1">
        <v>22</v>
      </c>
      <c r="G460" s="1">
        <v>16</v>
      </c>
      <c r="H460" s="1">
        <v>2</v>
      </c>
      <c r="I460" s="1">
        <v>0</v>
      </c>
      <c r="J460" s="2" t="str">
        <f t="shared" si="39"/>
        <v>CBB</v>
      </c>
      <c r="K460" s="2" t="str">
        <f t="shared" si="40"/>
        <v>@DIG</v>
      </c>
      <c r="L460" s="1" t="str">
        <f t="shared" si="41"/>
        <v>459,5/24/2004,0,22,16,2,0</v>
      </c>
    </row>
    <row r="461" spans="1:12" x14ac:dyDescent="0.2">
      <c r="A461" s="1" t="str">
        <f t="shared" si="37"/>
        <v>381317</v>
      </c>
      <c r="B461" s="1" t="str">
        <f t="shared" si="38"/>
        <v>3813110</v>
      </c>
      <c r="C461" s="1">
        <v>460</v>
      </c>
      <c r="D461" s="4">
        <v>38131</v>
      </c>
      <c r="E461" s="1">
        <v>0</v>
      </c>
      <c r="F461" s="1">
        <v>10</v>
      </c>
      <c r="G461" s="1">
        <v>7</v>
      </c>
      <c r="H461" s="1">
        <v>2</v>
      </c>
      <c r="I461" s="1">
        <v>0</v>
      </c>
      <c r="J461" s="2" t="str">
        <f t="shared" si="39"/>
        <v>REN</v>
      </c>
      <c r="K461" s="2" t="str">
        <f t="shared" si="40"/>
        <v>@BAR</v>
      </c>
      <c r="L461" s="1" t="str">
        <f t="shared" si="41"/>
        <v>460,5/24/2004,0,10,7,2,0</v>
      </c>
    </row>
    <row r="462" spans="1:12" x14ac:dyDescent="0.2">
      <c r="A462" s="1" t="str">
        <f t="shared" si="37"/>
        <v>381318</v>
      </c>
      <c r="B462" s="1" t="str">
        <f t="shared" si="38"/>
        <v>3813120</v>
      </c>
      <c r="C462" s="1">
        <v>461</v>
      </c>
      <c r="D462" s="4">
        <v>38131</v>
      </c>
      <c r="E462" s="1">
        <v>0</v>
      </c>
      <c r="F462" s="1">
        <v>20</v>
      </c>
      <c r="G462" s="1">
        <v>8</v>
      </c>
      <c r="H462" s="1">
        <v>2</v>
      </c>
      <c r="I462" s="1">
        <v>0</v>
      </c>
      <c r="J462" s="2" t="str">
        <f t="shared" si="39"/>
        <v>FDH</v>
      </c>
      <c r="K462" s="2" t="str">
        <f t="shared" si="40"/>
        <v>@CTW</v>
      </c>
      <c r="L462" s="1" t="str">
        <f t="shared" si="41"/>
        <v>461,5/24/2004,0,20,8,2,0</v>
      </c>
    </row>
    <row r="463" spans="1:12" x14ac:dyDescent="0.2">
      <c r="A463" s="1" t="str">
        <f t="shared" si="37"/>
        <v>3813113</v>
      </c>
      <c r="B463" s="1" t="str">
        <f t="shared" si="38"/>
        <v>381312</v>
      </c>
      <c r="C463" s="1">
        <v>462</v>
      </c>
      <c r="D463" s="4">
        <v>38131</v>
      </c>
      <c r="E463" s="1">
        <v>0</v>
      </c>
      <c r="F463" s="1">
        <v>2</v>
      </c>
      <c r="G463" s="1">
        <v>13</v>
      </c>
      <c r="H463" s="1">
        <v>2</v>
      </c>
      <c r="I463" s="1">
        <v>0</v>
      </c>
      <c r="J463" s="2" t="str">
        <f t="shared" si="39"/>
        <v>NEP</v>
      </c>
      <c r="K463" s="2" t="str">
        <f t="shared" si="40"/>
        <v>@BBG</v>
      </c>
      <c r="L463" s="1" t="str">
        <f t="shared" si="41"/>
        <v>462,5/24/2004,0,2,13,2,0</v>
      </c>
    </row>
    <row r="464" spans="1:12" x14ac:dyDescent="0.2">
      <c r="A464" s="1" t="str">
        <f t="shared" si="37"/>
        <v>3813117</v>
      </c>
      <c r="B464" s="1" t="str">
        <f t="shared" si="38"/>
        <v>381313</v>
      </c>
      <c r="C464" s="1">
        <v>463</v>
      </c>
      <c r="D464" s="4">
        <v>38131</v>
      </c>
      <c r="E464" s="1">
        <v>0</v>
      </c>
      <c r="F464" s="1">
        <v>3</v>
      </c>
      <c r="G464" s="1">
        <v>17</v>
      </c>
      <c r="H464" s="1">
        <v>2</v>
      </c>
      <c r="I464" s="1">
        <v>0</v>
      </c>
      <c r="J464" s="2" t="str">
        <f t="shared" si="39"/>
        <v>TEW</v>
      </c>
      <c r="K464" s="2" t="str">
        <f t="shared" si="40"/>
        <v>@GAR</v>
      </c>
      <c r="L464" s="1" t="str">
        <f t="shared" si="41"/>
        <v>463,5/24/2004,0,3,17,2,0</v>
      </c>
    </row>
    <row r="465" spans="1:12" x14ac:dyDescent="0.2">
      <c r="A465" s="1" t="str">
        <f t="shared" si="37"/>
        <v>381332</v>
      </c>
      <c r="B465" s="1" t="str">
        <f t="shared" si="38"/>
        <v>3813316</v>
      </c>
      <c r="C465" s="1">
        <v>464</v>
      </c>
      <c r="D465" s="4">
        <v>38133</v>
      </c>
      <c r="E465" s="1">
        <v>0</v>
      </c>
      <c r="F465" s="1">
        <v>16</v>
      </c>
      <c r="G465" s="1">
        <v>2</v>
      </c>
      <c r="H465" s="1">
        <v>2</v>
      </c>
      <c r="I465" s="1">
        <v>0</v>
      </c>
      <c r="J465" s="2" t="str">
        <f t="shared" si="39"/>
        <v>DIG</v>
      </c>
      <c r="K465" s="2" t="str">
        <f t="shared" si="40"/>
        <v>@NEP</v>
      </c>
      <c r="L465" s="1" t="str">
        <f t="shared" si="41"/>
        <v>464,5/26/2004,0,16,2,2,0</v>
      </c>
    </row>
    <row r="466" spans="1:12" x14ac:dyDescent="0.2">
      <c r="A466" s="1" t="str">
        <f t="shared" si="37"/>
        <v>381333</v>
      </c>
      <c r="B466" s="1" t="str">
        <f t="shared" si="38"/>
        <v>3813312</v>
      </c>
      <c r="C466" s="1">
        <v>465</v>
      </c>
      <c r="D466" s="4">
        <v>38133</v>
      </c>
      <c r="E466" s="1">
        <v>0</v>
      </c>
      <c r="F466" s="1">
        <v>12</v>
      </c>
      <c r="G466" s="1">
        <v>3</v>
      </c>
      <c r="H466" s="1">
        <v>2</v>
      </c>
      <c r="I466" s="1">
        <v>0</v>
      </c>
      <c r="J466" s="2" t="str">
        <f t="shared" si="39"/>
        <v>RMO</v>
      </c>
      <c r="K466" s="2" t="str">
        <f t="shared" si="40"/>
        <v>@TEW</v>
      </c>
      <c r="L466" s="1" t="str">
        <f t="shared" si="41"/>
        <v>465,5/26/2004,0,12,3,2,0</v>
      </c>
    </row>
    <row r="467" spans="1:12" x14ac:dyDescent="0.2">
      <c r="A467" s="1" t="str">
        <f t="shared" si="37"/>
        <v>381337</v>
      </c>
      <c r="B467" s="1" t="str">
        <f t="shared" si="38"/>
        <v>3813321</v>
      </c>
      <c r="C467" s="1">
        <v>466</v>
      </c>
      <c r="D467" s="4">
        <v>38133</v>
      </c>
      <c r="E467" s="1">
        <v>0</v>
      </c>
      <c r="F467" s="1">
        <v>21</v>
      </c>
      <c r="G467" s="1">
        <v>7</v>
      </c>
      <c r="H467" s="1">
        <v>2</v>
      </c>
      <c r="I467" s="1">
        <v>0</v>
      </c>
      <c r="J467" s="2" t="str">
        <f t="shared" si="39"/>
        <v>NYD</v>
      </c>
      <c r="K467" s="2" t="str">
        <f t="shared" si="40"/>
        <v>@BAR</v>
      </c>
      <c r="L467" s="1" t="str">
        <f t="shared" si="41"/>
        <v>466,5/26/2004,0,21,7,2,0</v>
      </c>
    </row>
    <row r="468" spans="1:12" x14ac:dyDescent="0.2">
      <c r="A468" s="1" t="str">
        <f t="shared" si="37"/>
        <v>3813313</v>
      </c>
      <c r="B468" s="1" t="str">
        <f t="shared" si="38"/>
        <v>3813324</v>
      </c>
      <c r="C468" s="1">
        <v>467</v>
      </c>
      <c r="D468" s="4">
        <v>38133</v>
      </c>
      <c r="E468" s="1">
        <v>0</v>
      </c>
      <c r="F468" s="1">
        <v>24</v>
      </c>
      <c r="G468" s="1">
        <v>13</v>
      </c>
      <c r="H468" s="1">
        <v>2</v>
      </c>
      <c r="I468" s="1">
        <v>0</v>
      </c>
      <c r="J468" s="2" t="str">
        <f t="shared" si="39"/>
        <v>PHI</v>
      </c>
      <c r="K468" s="2" t="str">
        <f t="shared" si="40"/>
        <v>@BBG</v>
      </c>
      <c r="L468" s="1" t="str">
        <f t="shared" si="41"/>
        <v>467,5/26/2004,0,24,13,2,0</v>
      </c>
    </row>
    <row r="469" spans="1:12" x14ac:dyDescent="0.2">
      <c r="A469" s="1" t="str">
        <f t="shared" si="37"/>
        <v>3813314</v>
      </c>
      <c r="B469" s="1" t="str">
        <f t="shared" si="38"/>
        <v>381334</v>
      </c>
      <c r="C469" s="1">
        <v>468</v>
      </c>
      <c r="D469" s="4">
        <v>38133</v>
      </c>
      <c r="E469" s="1">
        <v>0</v>
      </c>
      <c r="F469" s="1">
        <v>4</v>
      </c>
      <c r="G469" s="1">
        <v>14</v>
      </c>
      <c r="H469" s="1">
        <v>2</v>
      </c>
      <c r="I469" s="1">
        <v>0</v>
      </c>
      <c r="J469" s="2" t="str">
        <f t="shared" si="39"/>
        <v>NNN</v>
      </c>
      <c r="K469" s="2" t="str">
        <f t="shared" si="40"/>
        <v>@CEN</v>
      </c>
      <c r="L469" s="1" t="str">
        <f t="shared" si="41"/>
        <v>468,5/26/2004,0,4,14,2,0</v>
      </c>
    </row>
    <row r="470" spans="1:12" x14ac:dyDescent="0.2">
      <c r="A470" s="1" t="str">
        <f t="shared" si="37"/>
        <v>381338</v>
      </c>
      <c r="B470" s="1" t="str">
        <f t="shared" si="38"/>
        <v>3813323</v>
      </c>
      <c r="C470" s="1">
        <v>469</v>
      </c>
      <c r="D470" s="4">
        <v>38133</v>
      </c>
      <c r="E470" s="1">
        <v>0</v>
      </c>
      <c r="F470" s="1">
        <v>23</v>
      </c>
      <c r="G470" s="1">
        <v>8</v>
      </c>
      <c r="H470" s="1">
        <v>2</v>
      </c>
      <c r="I470" s="1">
        <v>0</v>
      </c>
      <c r="J470" s="2" t="str">
        <f t="shared" si="39"/>
        <v>BRK</v>
      </c>
      <c r="K470" s="2" t="str">
        <f t="shared" si="40"/>
        <v>@CTW</v>
      </c>
      <c r="L470" s="1" t="str">
        <f t="shared" si="41"/>
        <v>469,5/26/2004,0,23,8,2,0</v>
      </c>
    </row>
    <row r="471" spans="1:12" x14ac:dyDescent="0.2">
      <c r="A471" s="1" t="str">
        <f t="shared" si="37"/>
        <v>381339</v>
      </c>
      <c r="B471" s="1" t="str">
        <f t="shared" si="38"/>
        <v>3813322</v>
      </c>
      <c r="C471" s="1">
        <v>470</v>
      </c>
      <c r="D471" s="4">
        <v>38133</v>
      </c>
      <c r="E471" s="1">
        <v>0</v>
      </c>
      <c r="F471" s="1">
        <v>22</v>
      </c>
      <c r="G471" s="1">
        <v>9</v>
      </c>
      <c r="H471" s="1">
        <v>2</v>
      </c>
      <c r="I471" s="1">
        <v>0</v>
      </c>
      <c r="J471" s="2" t="str">
        <f t="shared" si="39"/>
        <v>CBB</v>
      </c>
      <c r="K471" s="2" t="str">
        <f t="shared" si="40"/>
        <v>@CIN</v>
      </c>
      <c r="L471" s="1" t="str">
        <f t="shared" si="41"/>
        <v>470,5/26/2004,0,22,9,2,0</v>
      </c>
    </row>
    <row r="472" spans="1:12" x14ac:dyDescent="0.2">
      <c r="A472" s="1" t="str">
        <f t="shared" si="37"/>
        <v>3813310</v>
      </c>
      <c r="B472" s="1" t="str">
        <f t="shared" si="38"/>
        <v>381331</v>
      </c>
      <c r="C472" s="1">
        <v>471</v>
      </c>
      <c r="D472" s="4">
        <v>38133</v>
      </c>
      <c r="E472" s="1">
        <v>0</v>
      </c>
      <c r="F472" s="1">
        <v>1</v>
      </c>
      <c r="G472" s="1">
        <v>10</v>
      </c>
      <c r="H472" s="1">
        <v>2</v>
      </c>
      <c r="I472" s="1">
        <v>0</v>
      </c>
      <c r="J472" s="2" t="str">
        <f t="shared" si="39"/>
        <v>FFR</v>
      </c>
      <c r="K472" s="2" t="str">
        <f t="shared" si="40"/>
        <v>@REN</v>
      </c>
      <c r="L472" s="1" t="str">
        <f t="shared" si="41"/>
        <v>471,5/26/2004,0,1,10,2,0</v>
      </c>
    </row>
    <row r="473" spans="1:12" x14ac:dyDescent="0.2">
      <c r="A473" s="1" t="str">
        <f t="shared" si="37"/>
        <v>3813317</v>
      </c>
      <c r="B473" s="1" t="str">
        <f t="shared" si="38"/>
        <v>3813311</v>
      </c>
      <c r="C473" s="1">
        <v>472</v>
      </c>
      <c r="D473" s="4">
        <v>38133</v>
      </c>
      <c r="E473" s="1">
        <v>0</v>
      </c>
      <c r="F473" s="1">
        <v>11</v>
      </c>
      <c r="G473" s="1">
        <v>17</v>
      </c>
      <c r="H473" s="1">
        <v>2</v>
      </c>
      <c r="I473" s="1">
        <v>0</v>
      </c>
      <c r="J473" s="2" t="str">
        <f t="shared" si="39"/>
        <v>HAR</v>
      </c>
      <c r="K473" s="2" t="str">
        <f t="shared" si="40"/>
        <v>@GAR</v>
      </c>
      <c r="L473" s="1" t="str">
        <f t="shared" si="41"/>
        <v>472,5/26/2004,0,11,17,2,0</v>
      </c>
    </row>
    <row r="474" spans="1:12" x14ac:dyDescent="0.2">
      <c r="A474" s="1" t="str">
        <f t="shared" si="37"/>
        <v>3813320</v>
      </c>
      <c r="B474" s="1" t="str">
        <f t="shared" si="38"/>
        <v>381335</v>
      </c>
      <c r="C474" s="1">
        <v>473</v>
      </c>
      <c r="D474" s="4">
        <v>38133</v>
      </c>
      <c r="E474" s="1">
        <v>0</v>
      </c>
      <c r="F474" s="1">
        <v>5</v>
      </c>
      <c r="G474" s="1">
        <v>20</v>
      </c>
      <c r="H474" s="1">
        <v>2</v>
      </c>
      <c r="I474" s="1">
        <v>0</v>
      </c>
      <c r="J474" s="2" t="str">
        <f t="shared" si="39"/>
        <v>OKO</v>
      </c>
      <c r="K474" s="2" t="str">
        <f t="shared" si="40"/>
        <v>@FDH</v>
      </c>
      <c r="L474" s="1" t="str">
        <f t="shared" si="41"/>
        <v>473,5/26/2004,0,5,20,2,0</v>
      </c>
    </row>
    <row r="475" spans="1:12" x14ac:dyDescent="0.2">
      <c r="A475" s="1" t="str">
        <f t="shared" si="37"/>
        <v>381342</v>
      </c>
      <c r="B475" s="1" t="str">
        <f t="shared" si="38"/>
        <v>3813416</v>
      </c>
      <c r="C475" s="1">
        <v>474</v>
      </c>
      <c r="D475" s="4">
        <v>38134</v>
      </c>
      <c r="E475" s="1">
        <v>0</v>
      </c>
      <c r="F475" s="1">
        <v>16</v>
      </c>
      <c r="G475" s="1">
        <v>2</v>
      </c>
      <c r="H475" s="1">
        <v>2</v>
      </c>
      <c r="I475" s="1">
        <v>0</v>
      </c>
      <c r="J475" s="2" t="str">
        <f t="shared" si="39"/>
        <v>DIG</v>
      </c>
      <c r="K475" s="2" t="str">
        <f t="shared" si="40"/>
        <v>@NEP</v>
      </c>
      <c r="L475" s="1" t="str">
        <f t="shared" si="41"/>
        <v>474,5/27/2004,0,16,2,2,0</v>
      </c>
    </row>
    <row r="476" spans="1:12" x14ac:dyDescent="0.2">
      <c r="A476" s="1" t="str">
        <f t="shared" si="37"/>
        <v>381343</v>
      </c>
      <c r="B476" s="1" t="str">
        <f t="shared" si="38"/>
        <v>3813412</v>
      </c>
      <c r="C476" s="1">
        <v>475</v>
      </c>
      <c r="D476" s="4">
        <v>38134</v>
      </c>
      <c r="E476" s="1">
        <v>0</v>
      </c>
      <c r="F476" s="1">
        <v>12</v>
      </c>
      <c r="G476" s="1">
        <v>3</v>
      </c>
      <c r="H476" s="1">
        <v>2</v>
      </c>
      <c r="I476" s="1">
        <v>0</v>
      </c>
      <c r="J476" s="2" t="str">
        <f t="shared" si="39"/>
        <v>RMO</v>
      </c>
      <c r="K476" s="2" t="str">
        <f t="shared" si="40"/>
        <v>@TEW</v>
      </c>
      <c r="L476" s="1" t="str">
        <f t="shared" si="41"/>
        <v>475,5/27/2004,0,12,3,2,0</v>
      </c>
    </row>
    <row r="477" spans="1:12" x14ac:dyDescent="0.2">
      <c r="A477" s="1" t="str">
        <f t="shared" si="37"/>
        <v>381347</v>
      </c>
      <c r="B477" s="1" t="str">
        <f t="shared" si="38"/>
        <v>3813421</v>
      </c>
      <c r="C477" s="1">
        <v>476</v>
      </c>
      <c r="D477" s="4">
        <v>38134</v>
      </c>
      <c r="E477" s="1">
        <v>0</v>
      </c>
      <c r="F477" s="1">
        <v>21</v>
      </c>
      <c r="G477" s="1">
        <v>7</v>
      </c>
      <c r="H477" s="1">
        <v>2</v>
      </c>
      <c r="I477" s="1">
        <v>0</v>
      </c>
      <c r="J477" s="2" t="str">
        <f t="shared" si="39"/>
        <v>NYD</v>
      </c>
      <c r="K477" s="2" t="str">
        <f t="shared" si="40"/>
        <v>@BAR</v>
      </c>
      <c r="L477" s="1" t="str">
        <f t="shared" si="41"/>
        <v>476,5/27/2004,0,21,7,2,0</v>
      </c>
    </row>
    <row r="478" spans="1:12" x14ac:dyDescent="0.2">
      <c r="A478" s="1" t="str">
        <f t="shared" si="37"/>
        <v>381348</v>
      </c>
      <c r="B478" s="1" t="str">
        <f t="shared" si="38"/>
        <v>3813423</v>
      </c>
      <c r="C478" s="1">
        <v>477</v>
      </c>
      <c r="D478" s="4">
        <v>38134</v>
      </c>
      <c r="E478" s="1">
        <v>0</v>
      </c>
      <c r="F478" s="1">
        <v>23</v>
      </c>
      <c r="G478" s="1">
        <v>8</v>
      </c>
      <c r="H478" s="1">
        <v>2</v>
      </c>
      <c r="I478" s="1">
        <v>0</v>
      </c>
      <c r="J478" s="2" t="str">
        <f t="shared" si="39"/>
        <v>BRK</v>
      </c>
      <c r="K478" s="2" t="str">
        <f t="shared" si="40"/>
        <v>@CTW</v>
      </c>
      <c r="L478" s="1" t="str">
        <f t="shared" si="41"/>
        <v>477,5/27/2004,0,23,8,2,0</v>
      </c>
    </row>
    <row r="479" spans="1:12" x14ac:dyDescent="0.2">
      <c r="A479" s="1" t="str">
        <f t="shared" si="37"/>
        <v>381349</v>
      </c>
      <c r="B479" s="1" t="str">
        <f t="shared" si="38"/>
        <v>3813422</v>
      </c>
      <c r="C479" s="1">
        <v>478</v>
      </c>
      <c r="D479" s="4">
        <v>38134</v>
      </c>
      <c r="E479" s="1">
        <v>0</v>
      </c>
      <c r="F479" s="1">
        <v>22</v>
      </c>
      <c r="G479" s="1">
        <v>9</v>
      </c>
      <c r="H479" s="1">
        <v>2</v>
      </c>
      <c r="I479" s="1">
        <v>0</v>
      </c>
      <c r="J479" s="2" t="str">
        <f t="shared" si="39"/>
        <v>CBB</v>
      </c>
      <c r="K479" s="2" t="str">
        <f t="shared" si="40"/>
        <v>@CIN</v>
      </c>
      <c r="L479" s="1" t="str">
        <f t="shared" si="41"/>
        <v>478,5/27/2004,0,22,9,2,0</v>
      </c>
    </row>
    <row r="480" spans="1:12" x14ac:dyDescent="0.2">
      <c r="A480" s="1" t="str">
        <f t="shared" si="37"/>
        <v>3813410</v>
      </c>
      <c r="B480" s="1" t="str">
        <f t="shared" si="38"/>
        <v>381341</v>
      </c>
      <c r="C480" s="1">
        <v>479</v>
      </c>
      <c r="D480" s="4">
        <v>38134</v>
      </c>
      <c r="E480" s="1">
        <v>0</v>
      </c>
      <c r="F480" s="1">
        <v>1</v>
      </c>
      <c r="G480" s="1">
        <v>10</v>
      </c>
      <c r="H480" s="1">
        <v>2</v>
      </c>
      <c r="I480" s="1">
        <v>0</v>
      </c>
      <c r="J480" s="2" t="str">
        <f t="shared" si="39"/>
        <v>FFR</v>
      </c>
      <c r="K480" s="2" t="str">
        <f t="shared" si="40"/>
        <v>@REN</v>
      </c>
      <c r="L480" s="1" t="str">
        <f t="shared" si="41"/>
        <v>479,5/27/2004,0,1,10,2,0</v>
      </c>
    </row>
    <row r="481" spans="1:12" x14ac:dyDescent="0.2">
      <c r="A481" s="1" t="str">
        <f t="shared" si="37"/>
        <v>3813413</v>
      </c>
      <c r="B481" s="1" t="str">
        <f t="shared" si="38"/>
        <v>3813424</v>
      </c>
      <c r="C481" s="1">
        <v>480</v>
      </c>
      <c r="D481" s="4">
        <v>38134</v>
      </c>
      <c r="E481" s="1">
        <v>0</v>
      </c>
      <c r="F481" s="1">
        <v>24</v>
      </c>
      <c r="G481" s="1">
        <v>13</v>
      </c>
      <c r="H481" s="1">
        <v>2</v>
      </c>
      <c r="I481" s="1">
        <v>0</v>
      </c>
      <c r="J481" s="2" t="str">
        <f t="shared" si="39"/>
        <v>PHI</v>
      </c>
      <c r="K481" s="2" t="str">
        <f t="shared" si="40"/>
        <v>@BBG</v>
      </c>
      <c r="L481" s="1" t="str">
        <f t="shared" si="41"/>
        <v>480,5/27/2004,0,24,13,2,0</v>
      </c>
    </row>
    <row r="482" spans="1:12" x14ac:dyDescent="0.2">
      <c r="A482" s="1" t="str">
        <f t="shared" si="37"/>
        <v>3813414</v>
      </c>
      <c r="B482" s="1" t="str">
        <f t="shared" si="38"/>
        <v>381344</v>
      </c>
      <c r="C482" s="1">
        <v>481</v>
      </c>
      <c r="D482" s="4">
        <v>38134</v>
      </c>
      <c r="E482" s="1">
        <v>0</v>
      </c>
      <c r="F482" s="1">
        <v>4</v>
      </c>
      <c r="G482" s="1">
        <v>14</v>
      </c>
      <c r="H482" s="1">
        <v>2</v>
      </c>
      <c r="I482" s="1">
        <v>0</v>
      </c>
      <c r="J482" s="2" t="str">
        <f t="shared" si="39"/>
        <v>NNN</v>
      </c>
      <c r="K482" s="2" t="str">
        <f t="shared" si="40"/>
        <v>@CEN</v>
      </c>
      <c r="L482" s="1" t="str">
        <f t="shared" si="41"/>
        <v>481,5/27/2004,0,4,14,2,0</v>
      </c>
    </row>
    <row r="483" spans="1:12" x14ac:dyDescent="0.2">
      <c r="A483" s="1" t="str">
        <f t="shared" si="37"/>
        <v>3813417</v>
      </c>
      <c r="B483" s="1" t="str">
        <f t="shared" si="38"/>
        <v>3813411</v>
      </c>
      <c r="C483" s="1">
        <v>482</v>
      </c>
      <c r="D483" s="4">
        <v>38134</v>
      </c>
      <c r="E483" s="1">
        <v>0</v>
      </c>
      <c r="F483" s="1">
        <v>11</v>
      </c>
      <c r="G483" s="1">
        <v>17</v>
      </c>
      <c r="H483" s="1">
        <v>2</v>
      </c>
      <c r="I483" s="1">
        <v>0</v>
      </c>
      <c r="J483" s="2" t="str">
        <f t="shared" si="39"/>
        <v>HAR</v>
      </c>
      <c r="K483" s="2" t="str">
        <f t="shared" si="40"/>
        <v>@GAR</v>
      </c>
      <c r="L483" s="1" t="str">
        <f t="shared" si="41"/>
        <v>482,5/27/2004,0,11,17,2,0</v>
      </c>
    </row>
    <row r="484" spans="1:12" x14ac:dyDescent="0.2">
      <c r="A484" s="1" t="str">
        <f t="shared" si="37"/>
        <v>3813420</v>
      </c>
      <c r="B484" s="1" t="str">
        <f t="shared" si="38"/>
        <v>381345</v>
      </c>
      <c r="C484" s="1">
        <v>483</v>
      </c>
      <c r="D484" s="4">
        <v>38134</v>
      </c>
      <c r="E484" s="1">
        <v>0</v>
      </c>
      <c r="F484" s="1">
        <v>5</v>
      </c>
      <c r="G484" s="1">
        <v>20</v>
      </c>
      <c r="H484" s="1">
        <v>2</v>
      </c>
      <c r="I484" s="1">
        <v>0</v>
      </c>
      <c r="J484" s="2" t="str">
        <f t="shared" si="39"/>
        <v>OKO</v>
      </c>
      <c r="K484" s="2" t="str">
        <f t="shared" si="40"/>
        <v>@FDH</v>
      </c>
      <c r="L484" s="1" t="str">
        <f t="shared" si="41"/>
        <v>483,5/27/2004,0,5,20,2,0</v>
      </c>
    </row>
    <row r="485" spans="1:12" x14ac:dyDescent="0.2">
      <c r="A485" s="1" t="str">
        <f t="shared" si="37"/>
        <v>381352</v>
      </c>
      <c r="B485" s="1" t="str">
        <f t="shared" si="38"/>
        <v>3813516</v>
      </c>
      <c r="C485" s="1">
        <v>484</v>
      </c>
      <c r="D485" s="4">
        <v>38135</v>
      </c>
      <c r="E485" s="1">
        <v>0</v>
      </c>
      <c r="F485" s="1">
        <v>16</v>
      </c>
      <c r="G485" s="1">
        <v>2</v>
      </c>
      <c r="H485" s="1">
        <v>2</v>
      </c>
      <c r="I485" s="1">
        <v>0</v>
      </c>
      <c r="J485" s="2" t="str">
        <f t="shared" si="39"/>
        <v>DIG</v>
      </c>
      <c r="K485" s="2" t="str">
        <f t="shared" si="40"/>
        <v>@NEP</v>
      </c>
      <c r="L485" s="1" t="str">
        <f t="shared" si="41"/>
        <v>484,5/28/2004,0,16,2,2,0</v>
      </c>
    </row>
    <row r="486" spans="1:12" x14ac:dyDescent="0.2">
      <c r="A486" s="1" t="str">
        <f t="shared" si="37"/>
        <v>381353</v>
      </c>
      <c r="B486" s="1" t="str">
        <f t="shared" si="38"/>
        <v>3813512</v>
      </c>
      <c r="C486" s="1">
        <v>485</v>
      </c>
      <c r="D486" s="4">
        <v>38135</v>
      </c>
      <c r="E486" s="1">
        <v>0</v>
      </c>
      <c r="F486" s="1">
        <v>12</v>
      </c>
      <c r="G486" s="1">
        <v>3</v>
      </c>
      <c r="H486" s="1">
        <v>2</v>
      </c>
      <c r="I486" s="1">
        <v>0</v>
      </c>
      <c r="J486" s="2" t="str">
        <f t="shared" si="39"/>
        <v>RMO</v>
      </c>
      <c r="K486" s="2" t="str">
        <f t="shared" si="40"/>
        <v>@TEW</v>
      </c>
      <c r="L486" s="1" t="str">
        <f t="shared" si="41"/>
        <v>485,5/28/2004,0,12,3,2,0</v>
      </c>
    </row>
    <row r="487" spans="1:12" x14ac:dyDescent="0.2">
      <c r="A487" s="1" t="str">
        <f t="shared" si="37"/>
        <v>381357</v>
      </c>
      <c r="B487" s="1" t="str">
        <f t="shared" si="38"/>
        <v>3813521</v>
      </c>
      <c r="C487" s="1">
        <v>486</v>
      </c>
      <c r="D487" s="4">
        <v>38135</v>
      </c>
      <c r="E487" s="1">
        <v>0</v>
      </c>
      <c r="F487" s="1">
        <v>21</v>
      </c>
      <c r="G487" s="1">
        <v>7</v>
      </c>
      <c r="H487" s="1">
        <v>2</v>
      </c>
      <c r="I487" s="1">
        <v>0</v>
      </c>
      <c r="J487" s="2" t="str">
        <f t="shared" si="39"/>
        <v>NYD</v>
      </c>
      <c r="K487" s="2" t="str">
        <f t="shared" si="40"/>
        <v>@BAR</v>
      </c>
      <c r="L487" s="1" t="str">
        <f t="shared" si="41"/>
        <v>486,5/28/2004,0,21,7,2,0</v>
      </c>
    </row>
    <row r="488" spans="1:12" x14ac:dyDescent="0.2">
      <c r="A488" s="1" t="str">
        <f t="shared" si="37"/>
        <v>381358</v>
      </c>
      <c r="B488" s="1" t="str">
        <f t="shared" si="38"/>
        <v>3813523</v>
      </c>
      <c r="C488" s="1">
        <v>487</v>
      </c>
      <c r="D488" s="4">
        <v>38135</v>
      </c>
      <c r="E488" s="1">
        <v>0</v>
      </c>
      <c r="F488" s="1">
        <v>23</v>
      </c>
      <c r="G488" s="1">
        <v>8</v>
      </c>
      <c r="H488" s="1">
        <v>2</v>
      </c>
      <c r="I488" s="1">
        <v>0</v>
      </c>
      <c r="J488" s="2" t="str">
        <f t="shared" si="39"/>
        <v>BRK</v>
      </c>
      <c r="K488" s="2" t="str">
        <f t="shared" si="40"/>
        <v>@CTW</v>
      </c>
      <c r="L488" s="1" t="str">
        <f t="shared" si="41"/>
        <v>487,5/28/2004,0,23,8,2,0</v>
      </c>
    </row>
    <row r="489" spans="1:12" x14ac:dyDescent="0.2">
      <c r="A489" s="1" t="str">
        <f t="shared" si="37"/>
        <v>381359</v>
      </c>
      <c r="B489" s="1" t="str">
        <f t="shared" si="38"/>
        <v>3813522</v>
      </c>
      <c r="C489" s="1">
        <v>488</v>
      </c>
      <c r="D489" s="4">
        <v>38135</v>
      </c>
      <c r="E489" s="1">
        <v>0</v>
      </c>
      <c r="F489" s="1">
        <v>22</v>
      </c>
      <c r="G489" s="1">
        <v>9</v>
      </c>
      <c r="H489" s="1">
        <v>2</v>
      </c>
      <c r="I489" s="1">
        <v>0</v>
      </c>
      <c r="J489" s="2" t="str">
        <f t="shared" si="39"/>
        <v>CBB</v>
      </c>
      <c r="K489" s="2" t="str">
        <f t="shared" si="40"/>
        <v>@CIN</v>
      </c>
      <c r="L489" s="1" t="str">
        <f t="shared" si="41"/>
        <v>488,5/28/2004,0,22,9,2,0</v>
      </c>
    </row>
    <row r="490" spans="1:12" x14ac:dyDescent="0.2">
      <c r="A490" s="1" t="str">
        <f t="shared" si="37"/>
        <v>3813510</v>
      </c>
      <c r="B490" s="1" t="str">
        <f t="shared" si="38"/>
        <v>381351</v>
      </c>
      <c r="C490" s="1">
        <v>489</v>
      </c>
      <c r="D490" s="4">
        <v>38135</v>
      </c>
      <c r="E490" s="1">
        <v>0</v>
      </c>
      <c r="F490" s="1">
        <v>1</v>
      </c>
      <c r="G490" s="1">
        <v>10</v>
      </c>
      <c r="H490" s="1">
        <v>2</v>
      </c>
      <c r="I490" s="1">
        <v>0</v>
      </c>
      <c r="J490" s="2" t="str">
        <f t="shared" si="39"/>
        <v>FFR</v>
      </c>
      <c r="K490" s="2" t="str">
        <f t="shared" si="40"/>
        <v>@REN</v>
      </c>
      <c r="L490" s="1" t="str">
        <f t="shared" si="41"/>
        <v>489,5/28/2004,0,1,10,2,0</v>
      </c>
    </row>
    <row r="491" spans="1:12" x14ac:dyDescent="0.2">
      <c r="A491" s="1" t="str">
        <f t="shared" si="37"/>
        <v>3813513</v>
      </c>
      <c r="B491" s="1" t="str">
        <f t="shared" si="38"/>
        <v>3813524</v>
      </c>
      <c r="C491" s="1">
        <v>490</v>
      </c>
      <c r="D491" s="4">
        <v>38135</v>
      </c>
      <c r="E491" s="1">
        <v>0</v>
      </c>
      <c r="F491" s="1">
        <v>24</v>
      </c>
      <c r="G491" s="1">
        <v>13</v>
      </c>
      <c r="H491" s="1">
        <v>2</v>
      </c>
      <c r="I491" s="1">
        <v>0</v>
      </c>
      <c r="J491" s="2" t="str">
        <f t="shared" si="39"/>
        <v>PHI</v>
      </c>
      <c r="K491" s="2" t="str">
        <f t="shared" si="40"/>
        <v>@BBG</v>
      </c>
      <c r="L491" s="1" t="str">
        <f t="shared" si="41"/>
        <v>490,5/28/2004,0,24,13,2,0</v>
      </c>
    </row>
    <row r="492" spans="1:12" x14ac:dyDescent="0.2">
      <c r="A492" s="1" t="str">
        <f t="shared" si="37"/>
        <v>3813514</v>
      </c>
      <c r="B492" s="1" t="str">
        <f t="shared" si="38"/>
        <v>381354</v>
      </c>
      <c r="C492" s="1">
        <v>491</v>
      </c>
      <c r="D492" s="4">
        <v>38135</v>
      </c>
      <c r="E492" s="1">
        <v>0</v>
      </c>
      <c r="F492" s="1">
        <v>4</v>
      </c>
      <c r="G492" s="1">
        <v>14</v>
      </c>
      <c r="H492" s="1">
        <v>2</v>
      </c>
      <c r="I492" s="1">
        <v>0</v>
      </c>
      <c r="J492" s="2" t="str">
        <f t="shared" si="39"/>
        <v>NNN</v>
      </c>
      <c r="K492" s="2" t="str">
        <f t="shared" si="40"/>
        <v>@CEN</v>
      </c>
      <c r="L492" s="1" t="str">
        <f t="shared" si="41"/>
        <v>491,5/28/2004,0,4,14,2,0</v>
      </c>
    </row>
    <row r="493" spans="1:12" x14ac:dyDescent="0.2">
      <c r="A493" s="1" t="str">
        <f t="shared" si="37"/>
        <v>3813517</v>
      </c>
      <c r="B493" s="1" t="str">
        <f t="shared" si="38"/>
        <v>3813511</v>
      </c>
      <c r="C493" s="1">
        <v>492</v>
      </c>
      <c r="D493" s="4">
        <v>38135</v>
      </c>
      <c r="E493" s="1">
        <v>0</v>
      </c>
      <c r="F493" s="1">
        <v>11</v>
      </c>
      <c r="G493" s="1">
        <v>17</v>
      </c>
      <c r="H493" s="1">
        <v>2</v>
      </c>
      <c r="I493" s="1">
        <v>0</v>
      </c>
      <c r="J493" s="2" t="str">
        <f t="shared" si="39"/>
        <v>HAR</v>
      </c>
      <c r="K493" s="2" t="str">
        <f t="shared" si="40"/>
        <v>@GAR</v>
      </c>
      <c r="L493" s="1" t="str">
        <f t="shared" si="41"/>
        <v>492,5/28/2004,0,11,17,2,0</v>
      </c>
    </row>
    <row r="494" spans="1:12" x14ac:dyDescent="0.2">
      <c r="A494" s="1" t="str">
        <f t="shared" si="37"/>
        <v>3813520</v>
      </c>
      <c r="B494" s="1" t="str">
        <f t="shared" si="38"/>
        <v>381355</v>
      </c>
      <c r="C494" s="1">
        <v>493</v>
      </c>
      <c r="D494" s="4">
        <v>38135</v>
      </c>
      <c r="E494" s="1">
        <v>0</v>
      </c>
      <c r="F494" s="1">
        <v>5</v>
      </c>
      <c r="G494" s="1">
        <v>20</v>
      </c>
      <c r="H494" s="1">
        <v>2</v>
      </c>
      <c r="I494" s="1">
        <v>0</v>
      </c>
      <c r="J494" s="2" t="str">
        <f t="shared" si="39"/>
        <v>OKO</v>
      </c>
      <c r="K494" s="2" t="str">
        <f t="shared" si="40"/>
        <v>@FDH</v>
      </c>
      <c r="L494" s="1" t="str">
        <f t="shared" si="41"/>
        <v>493,5/28/2004,0,5,20,2,0</v>
      </c>
    </row>
    <row r="495" spans="1:12" x14ac:dyDescent="0.2">
      <c r="A495" s="1" t="str">
        <f t="shared" si="37"/>
        <v>381362</v>
      </c>
      <c r="B495" s="1" t="str">
        <f t="shared" si="38"/>
        <v>3813616</v>
      </c>
      <c r="C495" s="1">
        <v>494</v>
      </c>
      <c r="D495" s="4">
        <v>38136</v>
      </c>
      <c r="E495" s="1">
        <v>0</v>
      </c>
      <c r="F495" s="1">
        <v>16</v>
      </c>
      <c r="G495" s="1">
        <v>2</v>
      </c>
      <c r="H495" s="1">
        <v>2</v>
      </c>
      <c r="I495" s="1">
        <v>0</v>
      </c>
      <c r="J495" s="2" t="str">
        <f t="shared" si="39"/>
        <v>DIG</v>
      </c>
      <c r="K495" s="2" t="str">
        <f t="shared" si="40"/>
        <v>@NEP</v>
      </c>
      <c r="L495" s="1" t="str">
        <f t="shared" si="41"/>
        <v>494,5/29/2004,0,16,2,2,0</v>
      </c>
    </row>
    <row r="496" spans="1:12" x14ac:dyDescent="0.2">
      <c r="A496" s="1" t="str">
        <f t="shared" si="37"/>
        <v>381363</v>
      </c>
      <c r="B496" s="1" t="str">
        <f t="shared" si="38"/>
        <v>3813612</v>
      </c>
      <c r="C496" s="1">
        <v>495</v>
      </c>
      <c r="D496" s="4">
        <v>38136</v>
      </c>
      <c r="E496" s="1">
        <v>0</v>
      </c>
      <c r="F496" s="1">
        <v>12</v>
      </c>
      <c r="G496" s="1">
        <v>3</v>
      </c>
      <c r="H496" s="1">
        <v>2</v>
      </c>
      <c r="I496" s="1">
        <v>0</v>
      </c>
      <c r="J496" s="2" t="str">
        <f t="shared" si="39"/>
        <v>RMO</v>
      </c>
      <c r="K496" s="2" t="str">
        <f t="shared" si="40"/>
        <v>@TEW</v>
      </c>
      <c r="L496" s="1" t="str">
        <f t="shared" si="41"/>
        <v>495,5/29/2004,0,12,3,2,0</v>
      </c>
    </row>
    <row r="497" spans="1:12" x14ac:dyDescent="0.2">
      <c r="A497" s="1" t="str">
        <f t="shared" si="37"/>
        <v>381367</v>
      </c>
      <c r="B497" s="1" t="str">
        <f t="shared" si="38"/>
        <v>3813621</v>
      </c>
      <c r="C497" s="1">
        <v>496</v>
      </c>
      <c r="D497" s="4">
        <v>38136</v>
      </c>
      <c r="E497" s="1">
        <v>0</v>
      </c>
      <c r="F497" s="1">
        <v>21</v>
      </c>
      <c r="G497" s="1">
        <v>7</v>
      </c>
      <c r="H497" s="1">
        <v>2</v>
      </c>
      <c r="I497" s="1">
        <v>0</v>
      </c>
      <c r="J497" s="2" t="str">
        <f t="shared" si="39"/>
        <v>NYD</v>
      </c>
      <c r="K497" s="2" t="str">
        <f t="shared" si="40"/>
        <v>@BAR</v>
      </c>
      <c r="L497" s="1" t="str">
        <f t="shared" si="41"/>
        <v>496,5/29/2004,0,21,7,2,0</v>
      </c>
    </row>
    <row r="498" spans="1:12" x14ac:dyDescent="0.2">
      <c r="A498" s="1" t="str">
        <f t="shared" si="37"/>
        <v>381368</v>
      </c>
      <c r="B498" s="1" t="str">
        <f t="shared" si="38"/>
        <v>3813623</v>
      </c>
      <c r="C498" s="1">
        <v>497</v>
      </c>
      <c r="D498" s="4">
        <v>38136</v>
      </c>
      <c r="E498" s="1">
        <v>0</v>
      </c>
      <c r="F498" s="1">
        <v>23</v>
      </c>
      <c r="G498" s="1">
        <v>8</v>
      </c>
      <c r="H498" s="1">
        <v>2</v>
      </c>
      <c r="I498" s="1">
        <v>0</v>
      </c>
      <c r="J498" s="2" t="str">
        <f t="shared" si="39"/>
        <v>BRK</v>
      </c>
      <c r="K498" s="2" t="str">
        <f t="shared" si="40"/>
        <v>@CTW</v>
      </c>
      <c r="L498" s="1" t="str">
        <f t="shared" si="41"/>
        <v>497,5/29/2004,0,23,8,2,0</v>
      </c>
    </row>
    <row r="499" spans="1:12" x14ac:dyDescent="0.2">
      <c r="A499" s="1" t="str">
        <f t="shared" si="37"/>
        <v>381369</v>
      </c>
      <c r="B499" s="1" t="str">
        <f t="shared" si="38"/>
        <v>3813622</v>
      </c>
      <c r="C499" s="1">
        <v>498</v>
      </c>
      <c r="D499" s="4">
        <v>38136</v>
      </c>
      <c r="E499" s="1">
        <v>0</v>
      </c>
      <c r="F499" s="1">
        <v>22</v>
      </c>
      <c r="G499" s="1">
        <v>9</v>
      </c>
      <c r="H499" s="1">
        <v>2</v>
      </c>
      <c r="I499" s="1">
        <v>0</v>
      </c>
      <c r="J499" s="2" t="str">
        <f t="shared" si="39"/>
        <v>CBB</v>
      </c>
      <c r="K499" s="2" t="str">
        <f t="shared" si="40"/>
        <v>@CIN</v>
      </c>
      <c r="L499" s="1" t="str">
        <f t="shared" si="41"/>
        <v>498,5/29/2004,0,22,9,2,0</v>
      </c>
    </row>
    <row r="500" spans="1:12" x14ac:dyDescent="0.2">
      <c r="A500" s="1" t="str">
        <f t="shared" si="37"/>
        <v>3813610</v>
      </c>
      <c r="B500" s="1" t="str">
        <f t="shared" si="38"/>
        <v>381361</v>
      </c>
      <c r="C500" s="1">
        <v>499</v>
      </c>
      <c r="D500" s="4">
        <v>38136</v>
      </c>
      <c r="E500" s="1">
        <v>0</v>
      </c>
      <c r="F500" s="1">
        <v>1</v>
      </c>
      <c r="G500" s="1">
        <v>10</v>
      </c>
      <c r="H500" s="1">
        <v>2</v>
      </c>
      <c r="I500" s="1">
        <v>0</v>
      </c>
      <c r="J500" s="2" t="str">
        <f t="shared" si="39"/>
        <v>FFR</v>
      </c>
      <c r="K500" s="2" t="str">
        <f t="shared" si="40"/>
        <v>@REN</v>
      </c>
      <c r="L500" s="1" t="str">
        <f t="shared" si="41"/>
        <v>499,5/29/2004,0,1,10,2,0</v>
      </c>
    </row>
    <row r="501" spans="1:12" x14ac:dyDescent="0.2">
      <c r="A501" s="1" t="str">
        <f t="shared" si="37"/>
        <v>3813613</v>
      </c>
      <c r="B501" s="1" t="str">
        <f t="shared" si="38"/>
        <v>3813624</v>
      </c>
      <c r="C501" s="1">
        <v>500</v>
      </c>
      <c r="D501" s="4">
        <v>38136</v>
      </c>
      <c r="E501" s="1">
        <v>0</v>
      </c>
      <c r="F501" s="1">
        <v>24</v>
      </c>
      <c r="G501" s="1">
        <v>13</v>
      </c>
      <c r="H501" s="1">
        <v>2</v>
      </c>
      <c r="I501" s="1">
        <v>0</v>
      </c>
      <c r="J501" s="2" t="str">
        <f t="shared" si="39"/>
        <v>PHI</v>
      </c>
      <c r="K501" s="2" t="str">
        <f t="shared" si="40"/>
        <v>@BBG</v>
      </c>
      <c r="L501" s="1" t="str">
        <f t="shared" si="41"/>
        <v>500,5/29/2004,0,24,13,2,0</v>
      </c>
    </row>
    <row r="502" spans="1:12" x14ac:dyDescent="0.2">
      <c r="A502" s="1" t="str">
        <f t="shared" si="37"/>
        <v>3813614</v>
      </c>
      <c r="B502" s="1" t="str">
        <f t="shared" si="38"/>
        <v>381364</v>
      </c>
      <c r="C502" s="1">
        <v>501</v>
      </c>
      <c r="D502" s="4">
        <v>38136</v>
      </c>
      <c r="E502" s="1">
        <v>0</v>
      </c>
      <c r="F502" s="1">
        <v>4</v>
      </c>
      <c r="G502" s="1">
        <v>14</v>
      </c>
      <c r="H502" s="1">
        <v>2</v>
      </c>
      <c r="I502" s="1">
        <v>0</v>
      </c>
      <c r="J502" s="2" t="str">
        <f t="shared" si="39"/>
        <v>NNN</v>
      </c>
      <c r="K502" s="2" t="str">
        <f t="shared" si="40"/>
        <v>@CEN</v>
      </c>
      <c r="L502" s="1" t="str">
        <f t="shared" si="41"/>
        <v>501,5/29/2004,0,4,14,2,0</v>
      </c>
    </row>
    <row r="503" spans="1:12" x14ac:dyDescent="0.2">
      <c r="A503" s="1" t="str">
        <f t="shared" si="37"/>
        <v>3813617</v>
      </c>
      <c r="B503" s="1" t="str">
        <f t="shared" si="38"/>
        <v>3813611</v>
      </c>
      <c r="C503" s="1">
        <v>502</v>
      </c>
      <c r="D503" s="4">
        <v>38136</v>
      </c>
      <c r="E503" s="1">
        <v>0</v>
      </c>
      <c r="F503" s="1">
        <v>11</v>
      </c>
      <c r="G503" s="1">
        <v>17</v>
      </c>
      <c r="H503" s="1">
        <v>2</v>
      </c>
      <c r="I503" s="1">
        <v>0</v>
      </c>
      <c r="J503" s="2" t="str">
        <f t="shared" si="39"/>
        <v>HAR</v>
      </c>
      <c r="K503" s="2" t="str">
        <f t="shared" si="40"/>
        <v>@GAR</v>
      </c>
      <c r="L503" s="1" t="str">
        <f t="shared" si="41"/>
        <v>502,5/29/2004,0,11,17,2,0</v>
      </c>
    </row>
    <row r="504" spans="1:12" x14ac:dyDescent="0.2">
      <c r="A504" s="1" t="str">
        <f t="shared" si="37"/>
        <v>3813620</v>
      </c>
      <c r="B504" s="1" t="str">
        <f t="shared" si="38"/>
        <v>381365</v>
      </c>
      <c r="C504" s="1">
        <v>503</v>
      </c>
      <c r="D504" s="4">
        <v>38136</v>
      </c>
      <c r="E504" s="1">
        <v>0</v>
      </c>
      <c r="F504" s="1">
        <v>5</v>
      </c>
      <c r="G504" s="1">
        <v>20</v>
      </c>
      <c r="H504" s="1">
        <v>2</v>
      </c>
      <c r="I504" s="1">
        <v>0</v>
      </c>
      <c r="J504" s="2" t="str">
        <f t="shared" si="39"/>
        <v>OKO</v>
      </c>
      <c r="K504" s="2" t="str">
        <f t="shared" si="40"/>
        <v>@FDH</v>
      </c>
      <c r="L504" s="1" t="str">
        <f t="shared" si="41"/>
        <v>503,5/29/2004,0,5,20,2,0</v>
      </c>
    </row>
    <row r="505" spans="1:12" x14ac:dyDescent="0.2">
      <c r="A505" s="1" t="str">
        <f t="shared" si="37"/>
        <v>381373</v>
      </c>
      <c r="B505" s="1" t="str">
        <f t="shared" si="38"/>
        <v>381372</v>
      </c>
      <c r="C505" s="1">
        <v>504</v>
      </c>
      <c r="D505" s="4">
        <v>38137</v>
      </c>
      <c r="E505" s="1">
        <v>0</v>
      </c>
      <c r="F505" s="1">
        <v>2</v>
      </c>
      <c r="G505" s="1">
        <v>3</v>
      </c>
      <c r="H505" s="1">
        <v>2</v>
      </c>
      <c r="I505" s="1">
        <v>0</v>
      </c>
      <c r="J505" s="2" t="str">
        <f t="shared" si="39"/>
        <v>NEP</v>
      </c>
      <c r="K505" s="2" t="str">
        <f t="shared" si="40"/>
        <v>@TEW</v>
      </c>
      <c r="L505" s="1" t="str">
        <f t="shared" si="41"/>
        <v>504,5/30/2004,0,2,3,2,0</v>
      </c>
    </row>
    <row r="506" spans="1:12" x14ac:dyDescent="0.2">
      <c r="A506" s="1" t="str">
        <f t="shared" si="37"/>
        <v>381375</v>
      </c>
      <c r="B506" s="1" t="str">
        <f t="shared" si="38"/>
        <v>3813716</v>
      </c>
      <c r="C506" s="1">
        <v>505</v>
      </c>
      <c r="D506" s="4">
        <v>38137</v>
      </c>
      <c r="E506" s="1">
        <v>0</v>
      </c>
      <c r="F506" s="1">
        <v>16</v>
      </c>
      <c r="G506" s="1">
        <v>5</v>
      </c>
      <c r="H506" s="1">
        <v>2</v>
      </c>
      <c r="I506" s="1">
        <v>0</v>
      </c>
      <c r="J506" s="2" t="str">
        <f t="shared" si="39"/>
        <v>DIG</v>
      </c>
      <c r="K506" s="2" t="str">
        <f t="shared" si="40"/>
        <v>@OKO</v>
      </c>
      <c r="L506" s="1" t="str">
        <f t="shared" si="41"/>
        <v>505,5/30/2004,0,16,5,2,0</v>
      </c>
    </row>
    <row r="507" spans="1:12" x14ac:dyDescent="0.2">
      <c r="A507" s="1" t="str">
        <f t="shared" si="37"/>
        <v>381377</v>
      </c>
      <c r="B507" s="1" t="str">
        <f t="shared" si="38"/>
        <v>381379</v>
      </c>
      <c r="C507" s="1">
        <v>506</v>
      </c>
      <c r="D507" s="4">
        <v>38137</v>
      </c>
      <c r="E507" s="1">
        <v>0</v>
      </c>
      <c r="F507" s="1">
        <v>9</v>
      </c>
      <c r="G507" s="1">
        <v>7</v>
      </c>
      <c r="H507" s="1">
        <v>2</v>
      </c>
      <c r="I507" s="1">
        <v>0</v>
      </c>
      <c r="J507" s="2" t="str">
        <f t="shared" si="39"/>
        <v>CIN</v>
      </c>
      <c r="K507" s="2" t="str">
        <f t="shared" si="40"/>
        <v>@BAR</v>
      </c>
      <c r="L507" s="1" t="str">
        <f t="shared" si="41"/>
        <v>506,5/30/2004,0,9,7,2,0</v>
      </c>
    </row>
    <row r="508" spans="1:12" x14ac:dyDescent="0.2">
      <c r="A508" s="1" t="str">
        <f t="shared" si="37"/>
        <v>3813711</v>
      </c>
      <c r="B508" s="1" t="str">
        <f t="shared" si="38"/>
        <v>3813724</v>
      </c>
      <c r="C508" s="1">
        <v>507</v>
      </c>
      <c r="D508" s="4">
        <v>38137</v>
      </c>
      <c r="E508" s="1">
        <v>0</v>
      </c>
      <c r="F508" s="1">
        <v>24</v>
      </c>
      <c r="G508" s="1">
        <v>11</v>
      </c>
      <c r="H508" s="1">
        <v>2</v>
      </c>
      <c r="I508" s="1">
        <v>0</v>
      </c>
      <c r="J508" s="2" t="str">
        <f t="shared" si="39"/>
        <v>PHI</v>
      </c>
      <c r="K508" s="2" t="str">
        <f t="shared" si="40"/>
        <v>@HAR</v>
      </c>
      <c r="L508" s="1" t="str">
        <f t="shared" si="41"/>
        <v>507,5/30/2004,0,24,11,2,0</v>
      </c>
    </row>
    <row r="509" spans="1:12" x14ac:dyDescent="0.2">
      <c r="A509" s="1" t="str">
        <f t="shared" si="37"/>
        <v>3813713</v>
      </c>
      <c r="B509" s="1" t="str">
        <f t="shared" si="38"/>
        <v>381378</v>
      </c>
      <c r="C509" s="1">
        <v>508</v>
      </c>
      <c r="D509" s="4">
        <v>38137</v>
      </c>
      <c r="E509" s="1">
        <v>0</v>
      </c>
      <c r="F509" s="1">
        <v>8</v>
      </c>
      <c r="G509" s="1">
        <v>13</v>
      </c>
      <c r="H509" s="1">
        <v>2</v>
      </c>
      <c r="I509" s="1">
        <v>0</v>
      </c>
      <c r="J509" s="2" t="str">
        <f t="shared" si="39"/>
        <v>CTW</v>
      </c>
      <c r="K509" s="2" t="str">
        <f t="shared" si="40"/>
        <v>@BBG</v>
      </c>
      <c r="L509" s="1" t="str">
        <f t="shared" si="41"/>
        <v>508,5/30/2004,0,8,13,2,0</v>
      </c>
    </row>
    <row r="510" spans="1:12" x14ac:dyDescent="0.2">
      <c r="A510" s="1" t="str">
        <f t="shared" si="37"/>
        <v>3813714</v>
      </c>
      <c r="B510" s="1" t="str">
        <f t="shared" si="38"/>
        <v>3813720</v>
      </c>
      <c r="C510" s="1">
        <v>509</v>
      </c>
      <c r="D510" s="4">
        <v>38137</v>
      </c>
      <c r="E510" s="1">
        <v>0</v>
      </c>
      <c r="F510" s="1">
        <v>20</v>
      </c>
      <c r="G510" s="1">
        <v>14</v>
      </c>
      <c r="H510" s="1">
        <v>2</v>
      </c>
      <c r="I510" s="1">
        <v>0</v>
      </c>
      <c r="J510" s="2" t="str">
        <f t="shared" si="39"/>
        <v>FDH</v>
      </c>
      <c r="K510" s="2" t="str">
        <f t="shared" si="40"/>
        <v>@CEN</v>
      </c>
      <c r="L510" s="1" t="str">
        <f t="shared" si="41"/>
        <v>509,5/30/2004,0,20,14,2,0</v>
      </c>
    </row>
    <row r="511" spans="1:12" x14ac:dyDescent="0.2">
      <c r="A511" s="1" t="str">
        <f t="shared" si="37"/>
        <v>3813710</v>
      </c>
      <c r="B511" s="1" t="str">
        <f t="shared" si="38"/>
        <v>3813717</v>
      </c>
      <c r="C511" s="1">
        <v>510</v>
      </c>
      <c r="D511" s="4">
        <v>38137</v>
      </c>
      <c r="E511" s="1">
        <v>0</v>
      </c>
      <c r="F511" s="1">
        <v>17</v>
      </c>
      <c r="G511" s="1">
        <v>10</v>
      </c>
      <c r="H511" s="1">
        <v>2</v>
      </c>
      <c r="I511" s="1">
        <v>0</v>
      </c>
      <c r="J511" s="2" t="str">
        <f t="shared" si="39"/>
        <v>GAR</v>
      </c>
      <c r="K511" s="2" t="str">
        <f t="shared" si="40"/>
        <v>@REN</v>
      </c>
      <c r="L511" s="1" t="str">
        <f t="shared" si="41"/>
        <v>510,5/30/2004,0,17,10,2,0</v>
      </c>
    </row>
    <row r="512" spans="1:12" x14ac:dyDescent="0.2">
      <c r="A512" s="1" t="str">
        <f t="shared" si="37"/>
        <v>3813721</v>
      </c>
      <c r="B512" s="1" t="str">
        <f t="shared" si="38"/>
        <v>381374</v>
      </c>
      <c r="C512" s="1">
        <v>511</v>
      </c>
      <c r="D512" s="4">
        <v>38137</v>
      </c>
      <c r="E512" s="1">
        <v>0</v>
      </c>
      <c r="F512" s="1">
        <v>4</v>
      </c>
      <c r="G512" s="1">
        <v>21</v>
      </c>
      <c r="H512" s="1">
        <v>2</v>
      </c>
      <c r="I512" s="1">
        <v>0</v>
      </c>
      <c r="J512" s="2" t="str">
        <f t="shared" si="39"/>
        <v>NNN</v>
      </c>
      <c r="K512" s="2" t="str">
        <f t="shared" si="40"/>
        <v>@NYD</v>
      </c>
      <c r="L512" s="1" t="str">
        <f t="shared" si="41"/>
        <v>511,5/30/2004,0,4,21,2,0</v>
      </c>
    </row>
    <row r="513" spans="1:12" x14ac:dyDescent="0.2">
      <c r="A513" s="1" t="str">
        <f t="shared" si="37"/>
        <v>381371</v>
      </c>
      <c r="B513" s="1" t="str">
        <f t="shared" si="38"/>
        <v>3813712</v>
      </c>
      <c r="C513" s="1">
        <v>512</v>
      </c>
      <c r="D513" s="4">
        <v>38137</v>
      </c>
      <c r="E513" s="1">
        <v>0</v>
      </c>
      <c r="F513" s="1">
        <v>12</v>
      </c>
      <c r="G513" s="1">
        <v>1</v>
      </c>
      <c r="H513" s="1">
        <v>2</v>
      </c>
      <c r="I513" s="1">
        <v>0</v>
      </c>
      <c r="J513" s="2" t="str">
        <f t="shared" si="39"/>
        <v>RMO</v>
      </c>
      <c r="K513" s="2" t="str">
        <f t="shared" si="40"/>
        <v>@FFR</v>
      </c>
      <c r="L513" s="1" t="str">
        <f t="shared" si="41"/>
        <v>512,5/30/2004,0,12,1,2,0</v>
      </c>
    </row>
    <row r="514" spans="1:12" x14ac:dyDescent="0.2">
      <c r="A514" s="1" t="str">
        <f t="shared" ref="A514:A577" si="42">D514&amp;G514</f>
        <v>3813722</v>
      </c>
      <c r="B514" s="1" t="str">
        <f t="shared" ref="B514:B577" si="43">D514&amp;F514</f>
        <v>3813723</v>
      </c>
      <c r="C514" s="1">
        <v>513</v>
      </c>
      <c r="D514" s="4">
        <v>38137</v>
      </c>
      <c r="E514" s="1">
        <v>0</v>
      </c>
      <c r="F514" s="1">
        <v>23</v>
      </c>
      <c r="G514" s="1">
        <v>22</v>
      </c>
      <c r="H514" s="1">
        <v>2</v>
      </c>
      <c r="I514" s="1">
        <v>0</v>
      </c>
      <c r="J514" s="2" t="str">
        <f t="shared" ref="J514:J577" si="44">VLOOKUP(F514,$M$2:$N$21,2,0)</f>
        <v>BRK</v>
      </c>
      <c r="K514" s="2" t="str">
        <f t="shared" ref="K514:K577" si="45">"@"&amp;VLOOKUP(G514,$M$2:$N$21,2,0)</f>
        <v>@CBB</v>
      </c>
      <c r="L514" s="1" t="str">
        <f t="shared" ref="L514:L577" si="46">C514&amp;","&amp;MONTH(D514)&amp;"/"&amp;DAY(D514)&amp;"/"&amp;YEAR(D514)&amp;","&amp;E514&amp;","&amp;F514&amp;","&amp;G514&amp;","&amp;H514&amp;","&amp;I514</f>
        <v>513,5/30/2004,0,23,22,2,0</v>
      </c>
    </row>
    <row r="515" spans="1:12" x14ac:dyDescent="0.2">
      <c r="A515" s="1" t="str">
        <f t="shared" si="42"/>
        <v>381381</v>
      </c>
      <c r="B515" s="1" t="str">
        <f t="shared" si="43"/>
        <v>3813812</v>
      </c>
      <c r="C515" s="1">
        <v>514</v>
      </c>
      <c r="D515" s="4">
        <v>38138</v>
      </c>
      <c r="E515" s="1">
        <v>0</v>
      </c>
      <c r="F515" s="1">
        <v>12</v>
      </c>
      <c r="G515" s="1">
        <v>1</v>
      </c>
      <c r="H515" s="1">
        <v>2</v>
      </c>
      <c r="I515" s="1">
        <v>0</v>
      </c>
      <c r="J515" s="2" t="str">
        <f t="shared" si="44"/>
        <v>RMO</v>
      </c>
      <c r="K515" s="2" t="str">
        <f t="shared" si="45"/>
        <v>@FFR</v>
      </c>
      <c r="L515" s="1" t="str">
        <f t="shared" si="46"/>
        <v>514,5/31/2004,0,12,1,2,0</v>
      </c>
    </row>
    <row r="516" spans="1:12" x14ac:dyDescent="0.2">
      <c r="A516" s="1" t="str">
        <f t="shared" si="42"/>
        <v>381383</v>
      </c>
      <c r="B516" s="1" t="str">
        <f t="shared" si="43"/>
        <v>381382</v>
      </c>
      <c r="C516" s="1">
        <v>515</v>
      </c>
      <c r="D516" s="4">
        <v>38138</v>
      </c>
      <c r="E516" s="1">
        <v>0</v>
      </c>
      <c r="F516" s="1">
        <v>2</v>
      </c>
      <c r="G516" s="1">
        <v>3</v>
      </c>
      <c r="H516" s="1">
        <v>2</v>
      </c>
      <c r="I516" s="1">
        <v>0</v>
      </c>
      <c r="J516" s="2" t="str">
        <f t="shared" si="44"/>
        <v>NEP</v>
      </c>
      <c r="K516" s="2" t="str">
        <f t="shared" si="45"/>
        <v>@TEW</v>
      </c>
      <c r="L516" s="1" t="str">
        <f t="shared" si="46"/>
        <v>515,5/31/2004,0,2,3,2,0</v>
      </c>
    </row>
    <row r="517" spans="1:12" x14ac:dyDescent="0.2">
      <c r="A517" s="1" t="str">
        <f t="shared" si="42"/>
        <v>381387</v>
      </c>
      <c r="B517" s="1" t="str">
        <f t="shared" si="43"/>
        <v>381389</v>
      </c>
      <c r="C517" s="1">
        <v>516</v>
      </c>
      <c r="D517" s="4">
        <v>38138</v>
      </c>
      <c r="E517" s="1">
        <v>0</v>
      </c>
      <c r="F517" s="1">
        <v>9</v>
      </c>
      <c r="G517" s="1">
        <v>7</v>
      </c>
      <c r="H517" s="1">
        <v>2</v>
      </c>
      <c r="I517" s="1">
        <v>0</v>
      </c>
      <c r="J517" s="2" t="str">
        <f t="shared" si="44"/>
        <v>CIN</v>
      </c>
      <c r="K517" s="2" t="str">
        <f t="shared" si="45"/>
        <v>@BAR</v>
      </c>
      <c r="L517" s="1" t="str">
        <f t="shared" si="46"/>
        <v>516,5/31/2004,0,9,7,2,0</v>
      </c>
    </row>
    <row r="518" spans="1:12" x14ac:dyDescent="0.2">
      <c r="A518" s="1" t="str">
        <f t="shared" si="42"/>
        <v>3813810</v>
      </c>
      <c r="B518" s="1" t="str">
        <f t="shared" si="43"/>
        <v>3813817</v>
      </c>
      <c r="C518" s="1">
        <v>517</v>
      </c>
      <c r="D518" s="4">
        <v>38138</v>
      </c>
      <c r="E518" s="1">
        <v>0</v>
      </c>
      <c r="F518" s="1">
        <v>17</v>
      </c>
      <c r="G518" s="1">
        <v>10</v>
      </c>
      <c r="H518" s="1">
        <v>2</v>
      </c>
      <c r="I518" s="1">
        <v>0</v>
      </c>
      <c r="J518" s="2" t="str">
        <f t="shared" si="44"/>
        <v>GAR</v>
      </c>
      <c r="K518" s="2" t="str">
        <f t="shared" si="45"/>
        <v>@REN</v>
      </c>
      <c r="L518" s="1" t="str">
        <f t="shared" si="46"/>
        <v>517,5/31/2004,0,17,10,2,0</v>
      </c>
    </row>
    <row r="519" spans="1:12" x14ac:dyDescent="0.2">
      <c r="A519" s="1" t="str">
        <f t="shared" si="42"/>
        <v>3813811</v>
      </c>
      <c r="B519" s="1" t="str">
        <f t="shared" si="43"/>
        <v>3813824</v>
      </c>
      <c r="C519" s="1">
        <v>518</v>
      </c>
      <c r="D519" s="4">
        <v>38138</v>
      </c>
      <c r="E519" s="1">
        <v>0</v>
      </c>
      <c r="F519" s="1">
        <v>24</v>
      </c>
      <c r="G519" s="1">
        <v>11</v>
      </c>
      <c r="H519" s="1">
        <v>2</v>
      </c>
      <c r="I519" s="1">
        <v>0</v>
      </c>
      <c r="J519" s="2" t="str">
        <f t="shared" si="44"/>
        <v>PHI</v>
      </c>
      <c r="K519" s="2" t="str">
        <f t="shared" si="45"/>
        <v>@HAR</v>
      </c>
      <c r="L519" s="1" t="str">
        <f t="shared" si="46"/>
        <v>518,5/31/2004,0,24,11,2,0</v>
      </c>
    </row>
    <row r="520" spans="1:12" x14ac:dyDescent="0.2">
      <c r="A520" s="1" t="str">
        <f t="shared" si="42"/>
        <v>3813814</v>
      </c>
      <c r="B520" s="1" t="str">
        <f t="shared" si="43"/>
        <v>3813820</v>
      </c>
      <c r="C520" s="1">
        <v>519</v>
      </c>
      <c r="D520" s="4">
        <v>38138</v>
      </c>
      <c r="E520" s="1">
        <v>0</v>
      </c>
      <c r="F520" s="1">
        <v>20</v>
      </c>
      <c r="G520" s="1">
        <v>14</v>
      </c>
      <c r="H520" s="1">
        <v>2</v>
      </c>
      <c r="I520" s="1">
        <v>0</v>
      </c>
      <c r="J520" s="2" t="str">
        <f t="shared" si="44"/>
        <v>FDH</v>
      </c>
      <c r="K520" s="2" t="str">
        <f t="shared" si="45"/>
        <v>@CEN</v>
      </c>
      <c r="L520" s="1" t="str">
        <f t="shared" si="46"/>
        <v>519,5/31/2004,0,20,14,2,0</v>
      </c>
    </row>
    <row r="521" spans="1:12" x14ac:dyDescent="0.2">
      <c r="A521" s="1" t="str">
        <f t="shared" si="42"/>
        <v>3813821</v>
      </c>
      <c r="B521" s="1" t="str">
        <f t="shared" si="43"/>
        <v>381384</v>
      </c>
      <c r="C521" s="1">
        <v>520</v>
      </c>
      <c r="D521" s="4">
        <v>38138</v>
      </c>
      <c r="E521" s="1">
        <v>0</v>
      </c>
      <c r="F521" s="1">
        <v>4</v>
      </c>
      <c r="G521" s="1">
        <v>21</v>
      </c>
      <c r="H521" s="1">
        <v>2</v>
      </c>
      <c r="I521" s="1">
        <v>0</v>
      </c>
      <c r="J521" s="2" t="str">
        <f t="shared" si="44"/>
        <v>NNN</v>
      </c>
      <c r="K521" s="2" t="str">
        <f t="shared" si="45"/>
        <v>@NYD</v>
      </c>
      <c r="L521" s="1" t="str">
        <f t="shared" si="46"/>
        <v>520,5/31/2004,0,4,21,2,0</v>
      </c>
    </row>
    <row r="522" spans="1:12" x14ac:dyDescent="0.2">
      <c r="A522" s="1" t="str">
        <f t="shared" si="42"/>
        <v>3813822</v>
      </c>
      <c r="B522" s="1" t="str">
        <f t="shared" si="43"/>
        <v>3813823</v>
      </c>
      <c r="C522" s="1">
        <v>521</v>
      </c>
      <c r="D522" s="4">
        <v>38138</v>
      </c>
      <c r="E522" s="1">
        <v>0</v>
      </c>
      <c r="F522" s="1">
        <v>23</v>
      </c>
      <c r="G522" s="1">
        <v>22</v>
      </c>
      <c r="H522" s="1">
        <v>2</v>
      </c>
      <c r="I522" s="1">
        <v>0</v>
      </c>
      <c r="J522" s="2" t="str">
        <f t="shared" si="44"/>
        <v>BRK</v>
      </c>
      <c r="K522" s="2" t="str">
        <f t="shared" si="45"/>
        <v>@CBB</v>
      </c>
      <c r="L522" s="1" t="str">
        <f t="shared" si="46"/>
        <v>521,5/31/2004,0,23,22,2,0</v>
      </c>
    </row>
    <row r="523" spans="1:12" x14ac:dyDescent="0.2">
      <c r="A523" s="1" t="str">
        <f t="shared" si="42"/>
        <v>381385</v>
      </c>
      <c r="B523" s="1" t="str">
        <f t="shared" si="43"/>
        <v>3813816</v>
      </c>
      <c r="C523" s="1">
        <v>522</v>
      </c>
      <c r="D523" s="4">
        <v>38138</v>
      </c>
      <c r="E523" s="1">
        <v>0</v>
      </c>
      <c r="F523" s="1">
        <v>16</v>
      </c>
      <c r="G523" s="1">
        <v>5</v>
      </c>
      <c r="H523" s="1">
        <v>2</v>
      </c>
      <c r="I523" s="1">
        <v>0</v>
      </c>
      <c r="J523" s="2" t="str">
        <f t="shared" si="44"/>
        <v>DIG</v>
      </c>
      <c r="K523" s="2" t="str">
        <f t="shared" si="45"/>
        <v>@OKO</v>
      </c>
      <c r="L523" s="1" t="str">
        <f t="shared" si="46"/>
        <v>522,5/31/2004,0,16,5,2,0</v>
      </c>
    </row>
    <row r="524" spans="1:12" x14ac:dyDescent="0.2">
      <c r="A524" s="1" t="str">
        <f t="shared" si="42"/>
        <v>3813813</v>
      </c>
      <c r="B524" s="1" t="str">
        <f t="shared" si="43"/>
        <v>381388</v>
      </c>
      <c r="C524" s="1">
        <v>523</v>
      </c>
      <c r="D524" s="4">
        <v>38138</v>
      </c>
      <c r="E524" s="1">
        <v>0</v>
      </c>
      <c r="F524" s="1">
        <v>8</v>
      </c>
      <c r="G524" s="1">
        <v>13</v>
      </c>
      <c r="H524" s="1">
        <v>2</v>
      </c>
      <c r="I524" s="1">
        <v>0</v>
      </c>
      <c r="J524" s="2" t="str">
        <f t="shared" si="44"/>
        <v>CTW</v>
      </c>
      <c r="K524" s="2" t="str">
        <f t="shared" si="45"/>
        <v>@BBG</v>
      </c>
      <c r="L524" s="1" t="str">
        <f t="shared" si="46"/>
        <v>523,5/31/2004,0,8,13,2,0</v>
      </c>
    </row>
    <row r="525" spans="1:12" x14ac:dyDescent="0.2">
      <c r="A525" s="1" t="str">
        <f t="shared" si="42"/>
        <v>3813911</v>
      </c>
      <c r="B525" s="1" t="str">
        <f t="shared" si="43"/>
        <v>3813924</v>
      </c>
      <c r="C525" s="1">
        <v>524</v>
      </c>
      <c r="D525" s="4">
        <v>38139</v>
      </c>
      <c r="E525" s="1">
        <v>0</v>
      </c>
      <c r="F525" s="1">
        <v>24</v>
      </c>
      <c r="G525" s="1">
        <v>11</v>
      </c>
      <c r="H525" s="1">
        <v>2</v>
      </c>
      <c r="I525" s="1">
        <v>0</v>
      </c>
      <c r="J525" s="2" t="str">
        <f t="shared" si="44"/>
        <v>PHI</v>
      </c>
      <c r="K525" s="2" t="str">
        <f t="shared" si="45"/>
        <v>@HAR</v>
      </c>
      <c r="L525" s="1" t="str">
        <f t="shared" si="46"/>
        <v>524,6/1/2004,0,24,11,2,0</v>
      </c>
    </row>
    <row r="526" spans="1:12" x14ac:dyDescent="0.2">
      <c r="A526" s="1" t="str">
        <f t="shared" si="42"/>
        <v>3813922</v>
      </c>
      <c r="B526" s="1" t="str">
        <f t="shared" si="43"/>
        <v>3813923</v>
      </c>
      <c r="C526" s="1">
        <v>525</v>
      </c>
      <c r="D526" s="4">
        <v>38139</v>
      </c>
      <c r="E526" s="1">
        <v>0</v>
      </c>
      <c r="F526" s="1">
        <v>23</v>
      </c>
      <c r="G526" s="1">
        <v>22</v>
      </c>
      <c r="H526" s="1">
        <v>2</v>
      </c>
      <c r="I526" s="1">
        <v>0</v>
      </c>
      <c r="J526" s="2" t="str">
        <f t="shared" si="44"/>
        <v>BRK</v>
      </c>
      <c r="K526" s="2" t="str">
        <f t="shared" si="45"/>
        <v>@CBB</v>
      </c>
      <c r="L526" s="1" t="str">
        <f t="shared" si="46"/>
        <v>525,6/1/2004,0,23,22,2,0</v>
      </c>
    </row>
    <row r="527" spans="1:12" x14ac:dyDescent="0.2">
      <c r="A527" s="1" t="str">
        <f t="shared" si="42"/>
        <v>3813914</v>
      </c>
      <c r="B527" s="1" t="str">
        <f t="shared" si="43"/>
        <v>3813920</v>
      </c>
      <c r="C527" s="1">
        <v>526</v>
      </c>
      <c r="D527" s="4">
        <v>38139</v>
      </c>
      <c r="E527" s="1">
        <v>0</v>
      </c>
      <c r="F527" s="1">
        <v>20</v>
      </c>
      <c r="G527" s="56">
        <v>14</v>
      </c>
      <c r="H527" s="1">
        <v>2</v>
      </c>
      <c r="I527" s="1">
        <v>0</v>
      </c>
      <c r="J527" s="2" t="str">
        <f t="shared" si="44"/>
        <v>FDH</v>
      </c>
      <c r="K527" s="2" t="str">
        <f t="shared" si="45"/>
        <v>@CEN</v>
      </c>
      <c r="L527" s="1" t="str">
        <f t="shared" si="46"/>
        <v>526,6/1/2004,0,20,14,2,0</v>
      </c>
    </row>
    <row r="528" spans="1:12" x14ac:dyDescent="0.2">
      <c r="A528" s="1" t="str">
        <f t="shared" si="42"/>
        <v>381401</v>
      </c>
      <c r="B528" s="1" t="str">
        <f t="shared" si="43"/>
        <v>3814010</v>
      </c>
      <c r="C528" s="1">
        <v>527</v>
      </c>
      <c r="D528" s="4">
        <v>38140</v>
      </c>
      <c r="E528" s="1">
        <v>0</v>
      </c>
      <c r="F528" s="1">
        <v>10</v>
      </c>
      <c r="G528" s="1">
        <v>1</v>
      </c>
      <c r="H528" s="1">
        <v>2</v>
      </c>
      <c r="I528" s="1">
        <v>0</v>
      </c>
      <c r="J528" s="2" t="str">
        <f t="shared" si="44"/>
        <v>REN</v>
      </c>
      <c r="K528" s="2" t="str">
        <f t="shared" si="45"/>
        <v>@FFR</v>
      </c>
      <c r="L528" s="1" t="str">
        <f t="shared" si="46"/>
        <v>527,6/2/2004,0,10,1,2,0</v>
      </c>
    </row>
    <row r="529" spans="1:12" x14ac:dyDescent="0.2">
      <c r="A529" s="1" t="str">
        <f t="shared" si="42"/>
        <v>381404</v>
      </c>
      <c r="B529" s="1" t="str">
        <f t="shared" si="43"/>
        <v>3814014</v>
      </c>
      <c r="C529" s="1">
        <v>528</v>
      </c>
      <c r="D529" s="4">
        <v>38140</v>
      </c>
      <c r="E529" s="1">
        <v>0</v>
      </c>
      <c r="F529" s="1">
        <v>14</v>
      </c>
      <c r="G529" s="1">
        <v>4</v>
      </c>
      <c r="H529" s="1">
        <v>2</v>
      </c>
      <c r="I529" s="1">
        <v>0</v>
      </c>
      <c r="J529" s="2" t="str">
        <f t="shared" si="44"/>
        <v>CEN</v>
      </c>
      <c r="K529" s="2" t="str">
        <f t="shared" si="45"/>
        <v>@NNN</v>
      </c>
      <c r="L529" s="1" t="str">
        <f t="shared" si="46"/>
        <v>528,6/2/2004,0,14,4,2,0</v>
      </c>
    </row>
    <row r="530" spans="1:12" x14ac:dyDescent="0.2">
      <c r="A530" s="1" t="str">
        <f t="shared" si="42"/>
        <v>381405</v>
      </c>
      <c r="B530" s="1" t="str">
        <f t="shared" si="43"/>
        <v>3814020</v>
      </c>
      <c r="C530" s="1">
        <v>529</v>
      </c>
      <c r="D530" s="4">
        <v>38140</v>
      </c>
      <c r="E530" s="1">
        <v>0</v>
      </c>
      <c r="F530" s="1">
        <v>20</v>
      </c>
      <c r="G530" s="1">
        <v>5</v>
      </c>
      <c r="H530" s="1">
        <v>2</v>
      </c>
      <c r="I530" s="1">
        <v>0</v>
      </c>
      <c r="J530" s="2" t="str">
        <f t="shared" si="44"/>
        <v>FDH</v>
      </c>
      <c r="K530" s="2" t="str">
        <f t="shared" si="45"/>
        <v>@OKO</v>
      </c>
      <c r="L530" s="1" t="str">
        <f t="shared" si="46"/>
        <v>529,6/2/2004,0,20,5,2,0</v>
      </c>
    </row>
    <row r="531" spans="1:12" x14ac:dyDescent="0.2">
      <c r="A531" s="1" t="str">
        <f t="shared" si="42"/>
        <v>3814011</v>
      </c>
      <c r="B531" s="1" t="str">
        <f t="shared" si="43"/>
        <v>3814017</v>
      </c>
      <c r="C531" s="1">
        <v>530</v>
      </c>
      <c r="D531" s="4">
        <v>38140</v>
      </c>
      <c r="E531" s="1">
        <v>0</v>
      </c>
      <c r="F531" s="1">
        <v>17</v>
      </c>
      <c r="G531" s="1">
        <v>11</v>
      </c>
      <c r="H531" s="1">
        <v>2</v>
      </c>
      <c r="I531" s="1">
        <v>0</v>
      </c>
      <c r="J531" s="2" t="str">
        <f t="shared" si="44"/>
        <v>GAR</v>
      </c>
      <c r="K531" s="2" t="str">
        <f t="shared" si="45"/>
        <v>@HAR</v>
      </c>
      <c r="L531" s="1" t="str">
        <f t="shared" si="46"/>
        <v>530,6/2/2004,0,17,11,2,0</v>
      </c>
    </row>
    <row r="532" spans="1:12" x14ac:dyDescent="0.2">
      <c r="A532" s="1" t="str">
        <f t="shared" si="42"/>
        <v>3814012</v>
      </c>
      <c r="B532" s="1" t="str">
        <f t="shared" si="43"/>
        <v>381403</v>
      </c>
      <c r="C532" s="1">
        <v>531</v>
      </c>
      <c r="D532" s="4">
        <v>38140</v>
      </c>
      <c r="E532" s="1">
        <v>0</v>
      </c>
      <c r="F532" s="1">
        <v>3</v>
      </c>
      <c r="G532" s="1">
        <v>12</v>
      </c>
      <c r="H532" s="1">
        <v>2</v>
      </c>
      <c r="I532" s="1">
        <v>0</v>
      </c>
      <c r="J532" s="2" t="str">
        <f t="shared" si="44"/>
        <v>TEW</v>
      </c>
      <c r="K532" s="2" t="str">
        <f t="shared" si="45"/>
        <v>@RMO</v>
      </c>
      <c r="L532" s="1" t="str">
        <f t="shared" si="46"/>
        <v>531,6/2/2004,0,3,12,2,0</v>
      </c>
    </row>
    <row r="533" spans="1:12" x14ac:dyDescent="0.2">
      <c r="A533" s="1" t="str">
        <f t="shared" si="42"/>
        <v>3814016</v>
      </c>
      <c r="B533" s="1" t="str">
        <f t="shared" si="43"/>
        <v>381402</v>
      </c>
      <c r="C533" s="1">
        <v>532</v>
      </c>
      <c r="D533" s="4">
        <v>38140</v>
      </c>
      <c r="E533" s="1">
        <v>0</v>
      </c>
      <c r="F533" s="1">
        <v>2</v>
      </c>
      <c r="G533" s="1">
        <v>16</v>
      </c>
      <c r="H533" s="1">
        <v>2</v>
      </c>
      <c r="I533" s="1">
        <v>0</v>
      </c>
      <c r="J533" s="2" t="str">
        <f t="shared" si="44"/>
        <v>NEP</v>
      </c>
      <c r="K533" s="2" t="str">
        <f t="shared" si="45"/>
        <v>@DIG</v>
      </c>
      <c r="L533" s="1" t="str">
        <f t="shared" si="46"/>
        <v>532,6/2/2004,0,2,16,2,0</v>
      </c>
    </row>
    <row r="534" spans="1:12" x14ac:dyDescent="0.2">
      <c r="A534" s="1" t="str">
        <f t="shared" si="42"/>
        <v>3814021</v>
      </c>
      <c r="B534" s="1" t="str">
        <f t="shared" si="43"/>
        <v>381407</v>
      </c>
      <c r="C534" s="1">
        <v>533</v>
      </c>
      <c r="D534" s="4">
        <v>38140</v>
      </c>
      <c r="E534" s="1">
        <v>0</v>
      </c>
      <c r="F534" s="1">
        <v>7</v>
      </c>
      <c r="G534" s="1">
        <v>21</v>
      </c>
      <c r="H534" s="1">
        <v>2</v>
      </c>
      <c r="I534" s="1">
        <v>0</v>
      </c>
      <c r="J534" s="2" t="str">
        <f t="shared" si="44"/>
        <v>BAR</v>
      </c>
      <c r="K534" s="2" t="str">
        <f t="shared" si="45"/>
        <v>@NYD</v>
      </c>
      <c r="L534" s="1" t="str">
        <f t="shared" si="46"/>
        <v>533,6/2/2004,0,7,21,2,0</v>
      </c>
    </row>
    <row r="535" spans="1:12" x14ac:dyDescent="0.2">
      <c r="A535" s="1" t="str">
        <f t="shared" si="42"/>
        <v>3814022</v>
      </c>
      <c r="B535" s="1" t="str">
        <f t="shared" si="43"/>
        <v>381409</v>
      </c>
      <c r="C535" s="1">
        <v>534</v>
      </c>
      <c r="D535" s="4">
        <v>38140</v>
      </c>
      <c r="E535" s="1">
        <v>0</v>
      </c>
      <c r="F535" s="1">
        <v>9</v>
      </c>
      <c r="G535" s="1">
        <v>22</v>
      </c>
      <c r="H535" s="1">
        <v>2</v>
      </c>
      <c r="I535" s="1">
        <v>0</v>
      </c>
      <c r="J535" s="2" t="str">
        <f t="shared" si="44"/>
        <v>CIN</v>
      </c>
      <c r="K535" s="2" t="str">
        <f t="shared" si="45"/>
        <v>@CBB</v>
      </c>
      <c r="L535" s="1" t="str">
        <f t="shared" si="46"/>
        <v>534,6/2/2004,0,9,22,2,0</v>
      </c>
    </row>
    <row r="536" spans="1:12" x14ac:dyDescent="0.2">
      <c r="A536" s="1" t="str">
        <f t="shared" si="42"/>
        <v>3814023</v>
      </c>
      <c r="B536" s="1" t="str">
        <f t="shared" si="43"/>
        <v>381408</v>
      </c>
      <c r="C536" s="1">
        <v>535</v>
      </c>
      <c r="D536" s="4">
        <v>38140</v>
      </c>
      <c r="E536" s="1">
        <v>0</v>
      </c>
      <c r="F536" s="1">
        <v>8</v>
      </c>
      <c r="G536" s="1">
        <v>23</v>
      </c>
      <c r="H536" s="1">
        <v>2</v>
      </c>
      <c r="I536" s="1">
        <v>0</v>
      </c>
      <c r="J536" s="2" t="str">
        <f t="shared" si="44"/>
        <v>CTW</v>
      </c>
      <c r="K536" s="2" t="str">
        <f t="shared" si="45"/>
        <v>@BRK</v>
      </c>
      <c r="L536" s="1" t="str">
        <f t="shared" si="46"/>
        <v>535,6/2/2004,0,8,23,2,0</v>
      </c>
    </row>
    <row r="537" spans="1:12" x14ac:dyDescent="0.2">
      <c r="A537" s="1" t="str">
        <f t="shared" si="42"/>
        <v>3814024</v>
      </c>
      <c r="B537" s="1" t="str">
        <f t="shared" si="43"/>
        <v>3814013</v>
      </c>
      <c r="C537" s="1">
        <v>536</v>
      </c>
      <c r="D537" s="4">
        <v>38140</v>
      </c>
      <c r="E537" s="1">
        <v>0</v>
      </c>
      <c r="F537" s="1">
        <v>13</v>
      </c>
      <c r="G537" s="1">
        <v>24</v>
      </c>
      <c r="H537" s="1">
        <v>2</v>
      </c>
      <c r="I537" s="1">
        <v>0</v>
      </c>
      <c r="J537" s="2" t="str">
        <f t="shared" si="44"/>
        <v>BBG</v>
      </c>
      <c r="K537" s="2" t="str">
        <f t="shared" si="45"/>
        <v>@PHI</v>
      </c>
      <c r="L537" s="1" t="str">
        <f t="shared" si="46"/>
        <v>536,6/2/2004,0,13,24,2,0</v>
      </c>
    </row>
    <row r="538" spans="1:12" x14ac:dyDescent="0.2">
      <c r="A538" s="1" t="str">
        <f t="shared" si="42"/>
        <v>381411</v>
      </c>
      <c r="B538" s="1" t="str">
        <f t="shared" si="43"/>
        <v>3814110</v>
      </c>
      <c r="C538" s="1">
        <v>537</v>
      </c>
      <c r="D538" s="4">
        <v>38141</v>
      </c>
      <c r="E538" s="1">
        <v>0</v>
      </c>
      <c r="F538" s="1">
        <v>10</v>
      </c>
      <c r="G538" s="1">
        <v>1</v>
      </c>
      <c r="H538" s="1">
        <v>2</v>
      </c>
      <c r="I538" s="1">
        <v>0</v>
      </c>
      <c r="J538" s="2" t="str">
        <f t="shared" si="44"/>
        <v>REN</v>
      </c>
      <c r="K538" s="2" t="str">
        <f t="shared" si="45"/>
        <v>@FFR</v>
      </c>
      <c r="L538" s="1" t="str">
        <f t="shared" si="46"/>
        <v>537,6/3/2004,0,10,1,2,0</v>
      </c>
    </row>
    <row r="539" spans="1:12" x14ac:dyDescent="0.2">
      <c r="A539" s="1" t="str">
        <f t="shared" si="42"/>
        <v>381414</v>
      </c>
      <c r="B539" s="1" t="str">
        <f t="shared" si="43"/>
        <v>3814114</v>
      </c>
      <c r="C539" s="1">
        <v>538</v>
      </c>
      <c r="D539" s="4">
        <v>38141</v>
      </c>
      <c r="E539" s="1">
        <v>0</v>
      </c>
      <c r="F539" s="1">
        <v>14</v>
      </c>
      <c r="G539" s="1">
        <v>4</v>
      </c>
      <c r="H539" s="1">
        <v>2</v>
      </c>
      <c r="I539" s="1">
        <v>0</v>
      </c>
      <c r="J539" s="2" t="str">
        <f t="shared" si="44"/>
        <v>CEN</v>
      </c>
      <c r="K539" s="2" t="str">
        <f t="shared" si="45"/>
        <v>@NNN</v>
      </c>
      <c r="L539" s="1" t="str">
        <f t="shared" si="46"/>
        <v>538,6/3/2004,0,14,4,2,0</v>
      </c>
    </row>
    <row r="540" spans="1:12" x14ac:dyDescent="0.2">
      <c r="A540" s="1" t="str">
        <f t="shared" si="42"/>
        <v>381415</v>
      </c>
      <c r="B540" s="1" t="str">
        <f t="shared" si="43"/>
        <v>3814120</v>
      </c>
      <c r="C540" s="1">
        <v>539</v>
      </c>
      <c r="D540" s="4">
        <v>38141</v>
      </c>
      <c r="E540" s="1">
        <v>0</v>
      </c>
      <c r="F540" s="1">
        <v>20</v>
      </c>
      <c r="G540" s="1">
        <v>5</v>
      </c>
      <c r="H540" s="1">
        <v>2</v>
      </c>
      <c r="I540" s="1">
        <v>0</v>
      </c>
      <c r="J540" s="2" t="str">
        <f t="shared" si="44"/>
        <v>FDH</v>
      </c>
      <c r="K540" s="2" t="str">
        <f t="shared" si="45"/>
        <v>@OKO</v>
      </c>
      <c r="L540" s="1" t="str">
        <f t="shared" si="46"/>
        <v>539,6/3/2004,0,20,5,2,0</v>
      </c>
    </row>
    <row r="541" spans="1:12" x14ac:dyDescent="0.2">
      <c r="A541" s="1" t="str">
        <f t="shared" si="42"/>
        <v>3814111</v>
      </c>
      <c r="B541" s="1" t="str">
        <f t="shared" si="43"/>
        <v>3814117</v>
      </c>
      <c r="C541" s="1">
        <v>540</v>
      </c>
      <c r="D541" s="4">
        <v>38141</v>
      </c>
      <c r="E541" s="1">
        <v>0</v>
      </c>
      <c r="F541" s="1">
        <v>17</v>
      </c>
      <c r="G541" s="1">
        <v>11</v>
      </c>
      <c r="H541" s="1">
        <v>2</v>
      </c>
      <c r="I541" s="1">
        <v>0</v>
      </c>
      <c r="J541" s="2" t="str">
        <f t="shared" si="44"/>
        <v>GAR</v>
      </c>
      <c r="K541" s="2" t="str">
        <f t="shared" si="45"/>
        <v>@HAR</v>
      </c>
      <c r="L541" s="1" t="str">
        <f t="shared" si="46"/>
        <v>540,6/3/2004,0,17,11,2,0</v>
      </c>
    </row>
    <row r="542" spans="1:12" x14ac:dyDescent="0.2">
      <c r="A542" s="1" t="str">
        <f t="shared" si="42"/>
        <v>3814112</v>
      </c>
      <c r="B542" s="1" t="str">
        <f t="shared" si="43"/>
        <v>381413</v>
      </c>
      <c r="C542" s="1">
        <v>541</v>
      </c>
      <c r="D542" s="4">
        <v>38141</v>
      </c>
      <c r="E542" s="1">
        <v>0</v>
      </c>
      <c r="F542" s="1">
        <v>3</v>
      </c>
      <c r="G542" s="1">
        <v>12</v>
      </c>
      <c r="H542" s="1">
        <v>2</v>
      </c>
      <c r="I542" s="1">
        <v>0</v>
      </c>
      <c r="J542" s="2" t="str">
        <f t="shared" si="44"/>
        <v>TEW</v>
      </c>
      <c r="K542" s="2" t="str">
        <f t="shared" si="45"/>
        <v>@RMO</v>
      </c>
      <c r="L542" s="1" t="str">
        <f t="shared" si="46"/>
        <v>541,6/3/2004,0,3,12,2,0</v>
      </c>
    </row>
    <row r="543" spans="1:12" x14ac:dyDescent="0.2">
      <c r="A543" s="1" t="str">
        <f t="shared" si="42"/>
        <v>3814116</v>
      </c>
      <c r="B543" s="1" t="str">
        <f t="shared" si="43"/>
        <v>381412</v>
      </c>
      <c r="C543" s="1">
        <v>542</v>
      </c>
      <c r="D543" s="4">
        <v>38141</v>
      </c>
      <c r="E543" s="1">
        <v>0</v>
      </c>
      <c r="F543" s="1">
        <v>2</v>
      </c>
      <c r="G543" s="1">
        <v>16</v>
      </c>
      <c r="H543" s="1">
        <v>2</v>
      </c>
      <c r="I543" s="1">
        <v>0</v>
      </c>
      <c r="J543" s="2" t="str">
        <f t="shared" si="44"/>
        <v>NEP</v>
      </c>
      <c r="K543" s="2" t="str">
        <f t="shared" si="45"/>
        <v>@DIG</v>
      </c>
      <c r="L543" s="1" t="str">
        <f t="shared" si="46"/>
        <v>542,6/3/2004,0,2,16,2,0</v>
      </c>
    </row>
    <row r="544" spans="1:12" x14ac:dyDescent="0.2">
      <c r="A544" s="1" t="str">
        <f t="shared" si="42"/>
        <v>3814121</v>
      </c>
      <c r="B544" s="1" t="str">
        <f t="shared" si="43"/>
        <v>381417</v>
      </c>
      <c r="C544" s="1">
        <v>543</v>
      </c>
      <c r="D544" s="4">
        <v>38141</v>
      </c>
      <c r="E544" s="1">
        <v>0</v>
      </c>
      <c r="F544" s="1">
        <v>7</v>
      </c>
      <c r="G544" s="1">
        <v>21</v>
      </c>
      <c r="H544" s="1">
        <v>2</v>
      </c>
      <c r="I544" s="1">
        <v>0</v>
      </c>
      <c r="J544" s="2" t="str">
        <f t="shared" si="44"/>
        <v>BAR</v>
      </c>
      <c r="K544" s="2" t="str">
        <f t="shared" si="45"/>
        <v>@NYD</v>
      </c>
      <c r="L544" s="1" t="str">
        <f t="shared" si="46"/>
        <v>543,6/3/2004,0,7,21,2,0</v>
      </c>
    </row>
    <row r="545" spans="1:12" x14ac:dyDescent="0.2">
      <c r="A545" s="1" t="str">
        <f t="shared" si="42"/>
        <v>3814122</v>
      </c>
      <c r="B545" s="1" t="str">
        <f t="shared" si="43"/>
        <v>381419</v>
      </c>
      <c r="C545" s="1">
        <v>544</v>
      </c>
      <c r="D545" s="4">
        <v>38141</v>
      </c>
      <c r="E545" s="1">
        <v>0</v>
      </c>
      <c r="F545" s="1">
        <v>9</v>
      </c>
      <c r="G545" s="1">
        <v>22</v>
      </c>
      <c r="H545" s="1">
        <v>2</v>
      </c>
      <c r="I545" s="1">
        <v>0</v>
      </c>
      <c r="J545" s="2" t="str">
        <f t="shared" si="44"/>
        <v>CIN</v>
      </c>
      <c r="K545" s="2" t="str">
        <f t="shared" si="45"/>
        <v>@CBB</v>
      </c>
      <c r="L545" s="1" t="str">
        <f t="shared" si="46"/>
        <v>544,6/3/2004,0,9,22,2,0</v>
      </c>
    </row>
    <row r="546" spans="1:12" x14ac:dyDescent="0.2">
      <c r="A546" s="1" t="str">
        <f t="shared" si="42"/>
        <v>3814123</v>
      </c>
      <c r="B546" s="1" t="str">
        <f t="shared" si="43"/>
        <v>381418</v>
      </c>
      <c r="C546" s="1">
        <v>545</v>
      </c>
      <c r="D546" s="4">
        <v>38141</v>
      </c>
      <c r="E546" s="1">
        <v>0</v>
      </c>
      <c r="F546" s="1">
        <v>8</v>
      </c>
      <c r="G546" s="1">
        <v>23</v>
      </c>
      <c r="H546" s="1">
        <v>2</v>
      </c>
      <c r="I546" s="1">
        <v>0</v>
      </c>
      <c r="J546" s="2" t="str">
        <f t="shared" si="44"/>
        <v>CTW</v>
      </c>
      <c r="K546" s="2" t="str">
        <f t="shared" si="45"/>
        <v>@BRK</v>
      </c>
      <c r="L546" s="1" t="str">
        <f t="shared" si="46"/>
        <v>545,6/3/2004,0,8,23,2,0</v>
      </c>
    </row>
    <row r="547" spans="1:12" x14ac:dyDescent="0.2">
      <c r="A547" s="1" t="str">
        <f t="shared" si="42"/>
        <v>3814124</v>
      </c>
      <c r="B547" s="1" t="str">
        <f t="shared" si="43"/>
        <v>3814113</v>
      </c>
      <c r="C547" s="1">
        <v>546</v>
      </c>
      <c r="D547" s="4">
        <v>38141</v>
      </c>
      <c r="E547" s="1">
        <v>0</v>
      </c>
      <c r="F547" s="1">
        <v>13</v>
      </c>
      <c r="G547" s="1">
        <v>24</v>
      </c>
      <c r="H547" s="1">
        <v>2</v>
      </c>
      <c r="I547" s="1">
        <v>0</v>
      </c>
      <c r="J547" s="2" t="str">
        <f t="shared" si="44"/>
        <v>BBG</v>
      </c>
      <c r="K547" s="2" t="str">
        <f t="shared" si="45"/>
        <v>@PHI</v>
      </c>
      <c r="L547" s="1" t="str">
        <f t="shared" si="46"/>
        <v>546,6/3/2004,0,13,24,2,0</v>
      </c>
    </row>
    <row r="548" spans="1:12" x14ac:dyDescent="0.2">
      <c r="A548" s="1" t="str">
        <f t="shared" si="42"/>
        <v>381421</v>
      </c>
      <c r="B548" s="1" t="str">
        <f t="shared" si="43"/>
        <v>3814210</v>
      </c>
      <c r="C548" s="1">
        <v>547</v>
      </c>
      <c r="D548" s="4">
        <v>38142</v>
      </c>
      <c r="E548" s="1">
        <v>0</v>
      </c>
      <c r="F548" s="1">
        <v>10</v>
      </c>
      <c r="G548" s="1">
        <v>1</v>
      </c>
      <c r="H548" s="1">
        <v>2</v>
      </c>
      <c r="I548" s="1">
        <v>0</v>
      </c>
      <c r="J548" s="2" t="str">
        <f t="shared" si="44"/>
        <v>REN</v>
      </c>
      <c r="K548" s="2" t="str">
        <f t="shared" si="45"/>
        <v>@FFR</v>
      </c>
      <c r="L548" s="1" t="str">
        <f t="shared" si="46"/>
        <v>547,6/4/2004,0,10,1,2,0</v>
      </c>
    </row>
    <row r="549" spans="1:12" x14ac:dyDescent="0.2">
      <c r="A549" s="1" t="str">
        <f t="shared" si="42"/>
        <v>381424</v>
      </c>
      <c r="B549" s="1" t="str">
        <f t="shared" si="43"/>
        <v>3814214</v>
      </c>
      <c r="C549" s="1">
        <v>548</v>
      </c>
      <c r="D549" s="4">
        <v>38142</v>
      </c>
      <c r="E549" s="1">
        <v>0</v>
      </c>
      <c r="F549" s="1">
        <v>14</v>
      </c>
      <c r="G549" s="1">
        <v>4</v>
      </c>
      <c r="H549" s="1">
        <v>2</v>
      </c>
      <c r="I549" s="1">
        <v>0</v>
      </c>
      <c r="J549" s="2" t="str">
        <f t="shared" si="44"/>
        <v>CEN</v>
      </c>
      <c r="K549" s="2" t="str">
        <f t="shared" si="45"/>
        <v>@NNN</v>
      </c>
      <c r="L549" s="1" t="str">
        <f t="shared" si="46"/>
        <v>548,6/4/2004,0,14,4,2,0</v>
      </c>
    </row>
    <row r="550" spans="1:12" x14ac:dyDescent="0.2">
      <c r="A550" s="1" t="str">
        <f t="shared" si="42"/>
        <v>381425</v>
      </c>
      <c r="B550" s="1" t="str">
        <f t="shared" si="43"/>
        <v>3814220</v>
      </c>
      <c r="C550" s="1">
        <v>549</v>
      </c>
      <c r="D550" s="4">
        <v>38142</v>
      </c>
      <c r="E550" s="1">
        <v>0</v>
      </c>
      <c r="F550" s="1">
        <v>20</v>
      </c>
      <c r="G550" s="1">
        <v>5</v>
      </c>
      <c r="H550" s="1">
        <v>2</v>
      </c>
      <c r="I550" s="1">
        <v>0</v>
      </c>
      <c r="J550" s="2" t="str">
        <f t="shared" si="44"/>
        <v>FDH</v>
      </c>
      <c r="K550" s="2" t="str">
        <f t="shared" si="45"/>
        <v>@OKO</v>
      </c>
      <c r="L550" s="1" t="str">
        <f t="shared" si="46"/>
        <v>549,6/4/2004,0,20,5,2,0</v>
      </c>
    </row>
    <row r="551" spans="1:12" x14ac:dyDescent="0.2">
      <c r="A551" s="1" t="str">
        <f t="shared" si="42"/>
        <v>3814211</v>
      </c>
      <c r="B551" s="1" t="str">
        <f t="shared" si="43"/>
        <v>3814217</v>
      </c>
      <c r="C551" s="1">
        <v>550</v>
      </c>
      <c r="D551" s="4">
        <v>38142</v>
      </c>
      <c r="E551" s="1">
        <v>0</v>
      </c>
      <c r="F551" s="1">
        <v>17</v>
      </c>
      <c r="G551" s="1">
        <v>11</v>
      </c>
      <c r="H551" s="1">
        <v>2</v>
      </c>
      <c r="I551" s="1">
        <v>0</v>
      </c>
      <c r="J551" s="2" t="str">
        <f t="shared" si="44"/>
        <v>GAR</v>
      </c>
      <c r="K551" s="2" t="str">
        <f t="shared" si="45"/>
        <v>@HAR</v>
      </c>
      <c r="L551" s="1" t="str">
        <f t="shared" si="46"/>
        <v>550,6/4/2004,0,17,11,2,0</v>
      </c>
    </row>
    <row r="552" spans="1:12" x14ac:dyDescent="0.2">
      <c r="A552" s="1" t="str">
        <f t="shared" si="42"/>
        <v>3814212</v>
      </c>
      <c r="B552" s="1" t="str">
        <f t="shared" si="43"/>
        <v>381423</v>
      </c>
      <c r="C552" s="1">
        <v>551</v>
      </c>
      <c r="D552" s="4">
        <v>38142</v>
      </c>
      <c r="E552" s="1">
        <v>0</v>
      </c>
      <c r="F552" s="1">
        <v>3</v>
      </c>
      <c r="G552" s="1">
        <v>12</v>
      </c>
      <c r="H552" s="1">
        <v>2</v>
      </c>
      <c r="I552" s="1">
        <v>0</v>
      </c>
      <c r="J552" s="2" t="str">
        <f t="shared" si="44"/>
        <v>TEW</v>
      </c>
      <c r="K552" s="2" t="str">
        <f t="shared" si="45"/>
        <v>@RMO</v>
      </c>
      <c r="L552" s="1" t="str">
        <f t="shared" si="46"/>
        <v>551,6/4/2004,0,3,12,2,0</v>
      </c>
    </row>
    <row r="553" spans="1:12" x14ac:dyDescent="0.2">
      <c r="A553" s="1" t="str">
        <f t="shared" si="42"/>
        <v>3814216</v>
      </c>
      <c r="B553" s="1" t="str">
        <f t="shared" si="43"/>
        <v>381422</v>
      </c>
      <c r="C553" s="1">
        <v>552</v>
      </c>
      <c r="D553" s="4">
        <v>38142</v>
      </c>
      <c r="E553" s="1">
        <v>0</v>
      </c>
      <c r="F553" s="1">
        <v>2</v>
      </c>
      <c r="G553" s="1">
        <v>16</v>
      </c>
      <c r="H553" s="1">
        <v>2</v>
      </c>
      <c r="I553" s="1">
        <v>0</v>
      </c>
      <c r="J553" s="2" t="str">
        <f t="shared" si="44"/>
        <v>NEP</v>
      </c>
      <c r="K553" s="2" t="str">
        <f t="shared" si="45"/>
        <v>@DIG</v>
      </c>
      <c r="L553" s="1" t="str">
        <f t="shared" si="46"/>
        <v>552,6/4/2004,0,2,16,2,0</v>
      </c>
    </row>
    <row r="554" spans="1:12" x14ac:dyDescent="0.2">
      <c r="A554" s="1" t="str">
        <f t="shared" si="42"/>
        <v>3814221</v>
      </c>
      <c r="B554" s="1" t="str">
        <f t="shared" si="43"/>
        <v>381427</v>
      </c>
      <c r="C554" s="1">
        <v>553</v>
      </c>
      <c r="D554" s="4">
        <v>38142</v>
      </c>
      <c r="E554" s="1">
        <v>0</v>
      </c>
      <c r="F554" s="1">
        <v>7</v>
      </c>
      <c r="G554" s="1">
        <v>21</v>
      </c>
      <c r="H554" s="1">
        <v>2</v>
      </c>
      <c r="I554" s="1">
        <v>0</v>
      </c>
      <c r="J554" s="2" t="str">
        <f t="shared" si="44"/>
        <v>BAR</v>
      </c>
      <c r="K554" s="2" t="str">
        <f t="shared" si="45"/>
        <v>@NYD</v>
      </c>
      <c r="L554" s="1" t="str">
        <f t="shared" si="46"/>
        <v>553,6/4/2004,0,7,21,2,0</v>
      </c>
    </row>
    <row r="555" spans="1:12" x14ac:dyDescent="0.2">
      <c r="A555" s="1" t="str">
        <f t="shared" si="42"/>
        <v>3814222</v>
      </c>
      <c r="B555" s="1" t="str">
        <f t="shared" si="43"/>
        <v>381429</v>
      </c>
      <c r="C555" s="1">
        <v>554</v>
      </c>
      <c r="D555" s="4">
        <v>38142</v>
      </c>
      <c r="E555" s="1">
        <v>0</v>
      </c>
      <c r="F555" s="1">
        <v>9</v>
      </c>
      <c r="G555" s="1">
        <v>22</v>
      </c>
      <c r="H555" s="1">
        <v>2</v>
      </c>
      <c r="I555" s="1">
        <v>0</v>
      </c>
      <c r="J555" s="2" t="str">
        <f t="shared" si="44"/>
        <v>CIN</v>
      </c>
      <c r="K555" s="2" t="str">
        <f t="shared" si="45"/>
        <v>@CBB</v>
      </c>
      <c r="L555" s="1" t="str">
        <f t="shared" si="46"/>
        <v>554,6/4/2004,0,9,22,2,0</v>
      </c>
    </row>
    <row r="556" spans="1:12" x14ac:dyDescent="0.2">
      <c r="A556" s="1" t="str">
        <f t="shared" si="42"/>
        <v>3814223</v>
      </c>
      <c r="B556" s="1" t="str">
        <f t="shared" si="43"/>
        <v>381428</v>
      </c>
      <c r="C556" s="1">
        <v>555</v>
      </c>
      <c r="D556" s="4">
        <v>38142</v>
      </c>
      <c r="E556" s="1">
        <v>0</v>
      </c>
      <c r="F556" s="1">
        <v>8</v>
      </c>
      <c r="G556" s="1">
        <v>23</v>
      </c>
      <c r="H556" s="1">
        <v>2</v>
      </c>
      <c r="I556" s="1">
        <v>0</v>
      </c>
      <c r="J556" s="2" t="str">
        <f t="shared" si="44"/>
        <v>CTW</v>
      </c>
      <c r="K556" s="2" t="str">
        <f t="shared" si="45"/>
        <v>@BRK</v>
      </c>
      <c r="L556" s="1" t="str">
        <f t="shared" si="46"/>
        <v>555,6/4/2004,0,8,23,2,0</v>
      </c>
    </row>
    <row r="557" spans="1:12" x14ac:dyDescent="0.2">
      <c r="A557" s="1" t="str">
        <f t="shared" si="42"/>
        <v>3814224</v>
      </c>
      <c r="B557" s="1" t="str">
        <f t="shared" si="43"/>
        <v>3814213</v>
      </c>
      <c r="C557" s="1">
        <v>556</v>
      </c>
      <c r="D557" s="4">
        <v>38142</v>
      </c>
      <c r="E557" s="1">
        <v>0</v>
      </c>
      <c r="F557" s="1">
        <v>13</v>
      </c>
      <c r="G557" s="1">
        <v>24</v>
      </c>
      <c r="H557" s="1">
        <v>2</v>
      </c>
      <c r="I557" s="1">
        <v>0</v>
      </c>
      <c r="J557" s="2" t="str">
        <f t="shared" si="44"/>
        <v>BBG</v>
      </c>
      <c r="K557" s="2" t="str">
        <f t="shared" si="45"/>
        <v>@PHI</v>
      </c>
      <c r="L557" s="1" t="str">
        <f t="shared" si="46"/>
        <v>556,6/4/2004,0,13,24,2,0</v>
      </c>
    </row>
    <row r="558" spans="1:12" x14ac:dyDescent="0.2">
      <c r="A558" s="1" t="str">
        <f t="shared" si="42"/>
        <v>381431</v>
      </c>
      <c r="B558" s="1" t="str">
        <f t="shared" si="43"/>
        <v>3814310</v>
      </c>
      <c r="C558" s="1">
        <v>557</v>
      </c>
      <c r="D558" s="4">
        <v>38143</v>
      </c>
      <c r="E558" s="1">
        <v>0</v>
      </c>
      <c r="F558" s="1">
        <v>10</v>
      </c>
      <c r="G558" s="1">
        <v>1</v>
      </c>
      <c r="H558" s="1">
        <v>2</v>
      </c>
      <c r="I558" s="1">
        <v>0</v>
      </c>
      <c r="J558" s="2" t="str">
        <f t="shared" si="44"/>
        <v>REN</v>
      </c>
      <c r="K558" s="2" t="str">
        <f t="shared" si="45"/>
        <v>@FFR</v>
      </c>
      <c r="L558" s="1" t="str">
        <f t="shared" si="46"/>
        <v>557,6/5/2004,0,10,1,2,0</v>
      </c>
    </row>
    <row r="559" spans="1:12" x14ac:dyDescent="0.2">
      <c r="A559" s="1" t="str">
        <f t="shared" si="42"/>
        <v>381434</v>
      </c>
      <c r="B559" s="1" t="str">
        <f t="shared" si="43"/>
        <v>3814314</v>
      </c>
      <c r="C559" s="1">
        <v>558</v>
      </c>
      <c r="D559" s="4">
        <v>38143</v>
      </c>
      <c r="E559" s="1">
        <v>0</v>
      </c>
      <c r="F559" s="1">
        <v>14</v>
      </c>
      <c r="G559" s="1">
        <v>4</v>
      </c>
      <c r="H559" s="1">
        <v>2</v>
      </c>
      <c r="I559" s="1">
        <v>0</v>
      </c>
      <c r="J559" s="2" t="str">
        <f t="shared" si="44"/>
        <v>CEN</v>
      </c>
      <c r="K559" s="2" t="str">
        <f t="shared" si="45"/>
        <v>@NNN</v>
      </c>
      <c r="L559" s="1" t="str">
        <f t="shared" si="46"/>
        <v>558,6/5/2004,0,14,4,2,0</v>
      </c>
    </row>
    <row r="560" spans="1:12" x14ac:dyDescent="0.2">
      <c r="A560" s="1" t="str">
        <f t="shared" si="42"/>
        <v>381435</v>
      </c>
      <c r="B560" s="1" t="str">
        <f t="shared" si="43"/>
        <v>3814320</v>
      </c>
      <c r="C560" s="1">
        <v>559</v>
      </c>
      <c r="D560" s="4">
        <v>38143</v>
      </c>
      <c r="E560" s="1">
        <v>0</v>
      </c>
      <c r="F560" s="1">
        <v>20</v>
      </c>
      <c r="G560" s="1">
        <v>5</v>
      </c>
      <c r="H560" s="1">
        <v>2</v>
      </c>
      <c r="I560" s="1">
        <v>0</v>
      </c>
      <c r="J560" s="2" t="str">
        <f t="shared" si="44"/>
        <v>FDH</v>
      </c>
      <c r="K560" s="2" t="str">
        <f t="shared" si="45"/>
        <v>@OKO</v>
      </c>
      <c r="L560" s="1" t="str">
        <f t="shared" si="46"/>
        <v>559,6/5/2004,0,20,5,2,0</v>
      </c>
    </row>
    <row r="561" spans="1:12" x14ac:dyDescent="0.2">
      <c r="A561" s="1" t="str">
        <f t="shared" si="42"/>
        <v>3814311</v>
      </c>
      <c r="B561" s="1" t="str">
        <f t="shared" si="43"/>
        <v>3814317</v>
      </c>
      <c r="C561" s="1">
        <v>560</v>
      </c>
      <c r="D561" s="4">
        <v>38143</v>
      </c>
      <c r="E561" s="1">
        <v>0</v>
      </c>
      <c r="F561" s="1">
        <v>17</v>
      </c>
      <c r="G561" s="1">
        <v>11</v>
      </c>
      <c r="H561" s="1">
        <v>2</v>
      </c>
      <c r="I561" s="1">
        <v>0</v>
      </c>
      <c r="J561" s="2" t="str">
        <f t="shared" si="44"/>
        <v>GAR</v>
      </c>
      <c r="K561" s="2" t="str">
        <f t="shared" si="45"/>
        <v>@HAR</v>
      </c>
      <c r="L561" s="1" t="str">
        <f t="shared" si="46"/>
        <v>560,6/5/2004,0,17,11,2,0</v>
      </c>
    </row>
    <row r="562" spans="1:12" x14ac:dyDescent="0.2">
      <c r="A562" s="1" t="str">
        <f t="shared" si="42"/>
        <v>3814312</v>
      </c>
      <c r="B562" s="1" t="str">
        <f t="shared" si="43"/>
        <v>381433</v>
      </c>
      <c r="C562" s="1">
        <v>561</v>
      </c>
      <c r="D562" s="4">
        <v>38143</v>
      </c>
      <c r="E562" s="1">
        <v>0</v>
      </c>
      <c r="F562" s="1">
        <v>3</v>
      </c>
      <c r="G562" s="1">
        <v>12</v>
      </c>
      <c r="H562" s="1">
        <v>2</v>
      </c>
      <c r="I562" s="1">
        <v>0</v>
      </c>
      <c r="J562" s="2" t="str">
        <f t="shared" si="44"/>
        <v>TEW</v>
      </c>
      <c r="K562" s="2" t="str">
        <f t="shared" si="45"/>
        <v>@RMO</v>
      </c>
      <c r="L562" s="1" t="str">
        <f t="shared" si="46"/>
        <v>561,6/5/2004,0,3,12,2,0</v>
      </c>
    </row>
    <row r="563" spans="1:12" x14ac:dyDescent="0.2">
      <c r="A563" s="1" t="str">
        <f t="shared" si="42"/>
        <v>3814316</v>
      </c>
      <c r="B563" s="1" t="str">
        <f t="shared" si="43"/>
        <v>381432</v>
      </c>
      <c r="C563" s="1">
        <v>562</v>
      </c>
      <c r="D563" s="4">
        <v>38143</v>
      </c>
      <c r="E563" s="1">
        <v>0</v>
      </c>
      <c r="F563" s="1">
        <v>2</v>
      </c>
      <c r="G563" s="1">
        <v>16</v>
      </c>
      <c r="H563" s="1">
        <v>2</v>
      </c>
      <c r="I563" s="1">
        <v>0</v>
      </c>
      <c r="J563" s="2" t="str">
        <f t="shared" si="44"/>
        <v>NEP</v>
      </c>
      <c r="K563" s="2" t="str">
        <f t="shared" si="45"/>
        <v>@DIG</v>
      </c>
      <c r="L563" s="1" t="str">
        <f t="shared" si="46"/>
        <v>562,6/5/2004,0,2,16,2,0</v>
      </c>
    </row>
    <row r="564" spans="1:12" x14ac:dyDescent="0.2">
      <c r="A564" s="1" t="str">
        <f t="shared" si="42"/>
        <v>3814321</v>
      </c>
      <c r="B564" s="1" t="str">
        <f t="shared" si="43"/>
        <v>381437</v>
      </c>
      <c r="C564" s="1">
        <v>563</v>
      </c>
      <c r="D564" s="4">
        <v>38143</v>
      </c>
      <c r="E564" s="1">
        <v>0</v>
      </c>
      <c r="F564" s="1">
        <v>7</v>
      </c>
      <c r="G564" s="1">
        <v>21</v>
      </c>
      <c r="H564" s="1">
        <v>2</v>
      </c>
      <c r="I564" s="1">
        <v>0</v>
      </c>
      <c r="J564" s="2" t="str">
        <f t="shared" si="44"/>
        <v>BAR</v>
      </c>
      <c r="K564" s="2" t="str">
        <f t="shared" si="45"/>
        <v>@NYD</v>
      </c>
      <c r="L564" s="1" t="str">
        <f t="shared" si="46"/>
        <v>563,6/5/2004,0,7,21,2,0</v>
      </c>
    </row>
    <row r="565" spans="1:12" x14ac:dyDescent="0.2">
      <c r="A565" s="1" t="str">
        <f t="shared" si="42"/>
        <v>3814322</v>
      </c>
      <c r="B565" s="1" t="str">
        <f t="shared" si="43"/>
        <v>381439</v>
      </c>
      <c r="C565" s="1">
        <v>564</v>
      </c>
      <c r="D565" s="4">
        <v>38143</v>
      </c>
      <c r="E565" s="1">
        <v>0</v>
      </c>
      <c r="F565" s="1">
        <v>9</v>
      </c>
      <c r="G565" s="1">
        <v>22</v>
      </c>
      <c r="H565" s="1">
        <v>2</v>
      </c>
      <c r="I565" s="1">
        <v>0</v>
      </c>
      <c r="J565" s="2" t="str">
        <f t="shared" si="44"/>
        <v>CIN</v>
      </c>
      <c r="K565" s="2" t="str">
        <f t="shared" si="45"/>
        <v>@CBB</v>
      </c>
      <c r="L565" s="1" t="str">
        <f t="shared" si="46"/>
        <v>564,6/5/2004,0,9,22,2,0</v>
      </c>
    </row>
    <row r="566" spans="1:12" x14ac:dyDescent="0.2">
      <c r="A566" s="1" t="str">
        <f t="shared" si="42"/>
        <v>3814323</v>
      </c>
      <c r="B566" s="1" t="str">
        <f t="shared" si="43"/>
        <v>381438</v>
      </c>
      <c r="C566" s="1">
        <v>565</v>
      </c>
      <c r="D566" s="4">
        <v>38143</v>
      </c>
      <c r="E566" s="1">
        <v>0</v>
      </c>
      <c r="F566" s="1">
        <v>8</v>
      </c>
      <c r="G566" s="1">
        <v>23</v>
      </c>
      <c r="H566" s="1">
        <v>2</v>
      </c>
      <c r="I566" s="1">
        <v>0</v>
      </c>
      <c r="J566" s="2" t="str">
        <f t="shared" si="44"/>
        <v>CTW</v>
      </c>
      <c r="K566" s="2" t="str">
        <f t="shared" si="45"/>
        <v>@BRK</v>
      </c>
      <c r="L566" s="1" t="str">
        <f t="shared" si="46"/>
        <v>565,6/5/2004,0,8,23,2,0</v>
      </c>
    </row>
    <row r="567" spans="1:12" x14ac:dyDescent="0.2">
      <c r="A567" s="1" t="str">
        <f t="shared" si="42"/>
        <v>3814324</v>
      </c>
      <c r="B567" s="1" t="str">
        <f t="shared" si="43"/>
        <v>3814313</v>
      </c>
      <c r="C567" s="1">
        <v>566</v>
      </c>
      <c r="D567" s="4">
        <v>38143</v>
      </c>
      <c r="E567" s="1">
        <v>0</v>
      </c>
      <c r="F567" s="1">
        <v>13</v>
      </c>
      <c r="G567" s="1">
        <v>24</v>
      </c>
      <c r="H567" s="1">
        <v>2</v>
      </c>
      <c r="I567" s="1">
        <v>0</v>
      </c>
      <c r="J567" s="2" t="str">
        <f t="shared" si="44"/>
        <v>BBG</v>
      </c>
      <c r="K567" s="2" t="str">
        <f t="shared" si="45"/>
        <v>@PHI</v>
      </c>
      <c r="L567" s="1" t="str">
        <f t="shared" si="46"/>
        <v>566,6/5/2004,0,13,24,2,0</v>
      </c>
    </row>
    <row r="568" spans="1:12" x14ac:dyDescent="0.2">
      <c r="A568" s="1" t="str">
        <f t="shared" si="42"/>
        <v>381441</v>
      </c>
      <c r="B568" s="1" t="str">
        <f t="shared" si="43"/>
        <v>3814417</v>
      </c>
      <c r="C568" s="1">
        <v>567</v>
      </c>
      <c r="D568" s="4">
        <v>38144</v>
      </c>
      <c r="E568" s="1">
        <v>0</v>
      </c>
      <c r="F568" s="1">
        <v>17</v>
      </c>
      <c r="G568" s="1">
        <v>1</v>
      </c>
      <c r="H568" s="1">
        <v>2</v>
      </c>
      <c r="I568" s="1">
        <v>0</v>
      </c>
      <c r="J568" s="2" t="str">
        <f t="shared" si="44"/>
        <v>GAR</v>
      </c>
      <c r="K568" s="2" t="str">
        <f t="shared" si="45"/>
        <v>@FFR</v>
      </c>
      <c r="L568" s="1" t="str">
        <f t="shared" si="46"/>
        <v>567,6/6/2004,0,17,1,2,0</v>
      </c>
    </row>
    <row r="569" spans="1:12" x14ac:dyDescent="0.2">
      <c r="A569" s="1" t="str">
        <f t="shared" si="42"/>
        <v>381444</v>
      </c>
      <c r="B569" s="1" t="str">
        <f t="shared" si="43"/>
        <v>381447</v>
      </c>
      <c r="C569" s="1">
        <v>568</v>
      </c>
      <c r="D569" s="4">
        <v>38144</v>
      </c>
      <c r="E569" s="1">
        <v>0</v>
      </c>
      <c r="F569" s="1">
        <v>7</v>
      </c>
      <c r="G569" s="1">
        <v>4</v>
      </c>
      <c r="H569" s="1">
        <v>2</v>
      </c>
      <c r="I569" s="1">
        <v>0</v>
      </c>
      <c r="J569" s="2" t="str">
        <f t="shared" si="44"/>
        <v>BAR</v>
      </c>
      <c r="K569" s="2" t="str">
        <f t="shared" si="45"/>
        <v>@NNN</v>
      </c>
      <c r="L569" s="1" t="str">
        <f t="shared" si="46"/>
        <v>568,6/6/2004,0,7,4,2,0</v>
      </c>
    </row>
    <row r="570" spans="1:12" x14ac:dyDescent="0.2">
      <c r="A570" s="1" t="str">
        <f t="shared" si="42"/>
        <v>381445</v>
      </c>
      <c r="B570" s="1" t="str">
        <f t="shared" si="43"/>
        <v>381449</v>
      </c>
      <c r="C570" s="1">
        <v>569</v>
      </c>
      <c r="D570" s="4">
        <v>38144</v>
      </c>
      <c r="E570" s="1">
        <v>0</v>
      </c>
      <c r="F570" s="1">
        <v>9</v>
      </c>
      <c r="G570" s="1">
        <v>5</v>
      </c>
      <c r="H570" s="1">
        <v>2</v>
      </c>
      <c r="I570" s="1">
        <v>0</v>
      </c>
      <c r="J570" s="2" t="str">
        <f t="shared" si="44"/>
        <v>CIN</v>
      </c>
      <c r="K570" s="2" t="str">
        <f t="shared" si="45"/>
        <v>@OKO</v>
      </c>
      <c r="L570" s="1" t="str">
        <f t="shared" si="46"/>
        <v>569,6/6/2004,0,9,5,2,0</v>
      </c>
    </row>
    <row r="571" spans="1:12" x14ac:dyDescent="0.2">
      <c r="A571" s="1" t="str">
        <f t="shared" si="42"/>
        <v>3814411</v>
      </c>
      <c r="B571" s="1" t="str">
        <f t="shared" si="43"/>
        <v>3814410</v>
      </c>
      <c r="C571" s="1">
        <v>570</v>
      </c>
      <c r="D571" s="4">
        <v>38144</v>
      </c>
      <c r="E571" s="1">
        <v>0</v>
      </c>
      <c r="F571" s="1">
        <v>10</v>
      </c>
      <c r="G571" s="1">
        <v>11</v>
      </c>
      <c r="H571" s="1">
        <v>2</v>
      </c>
      <c r="I571" s="1">
        <v>0</v>
      </c>
      <c r="J571" s="2" t="str">
        <f t="shared" si="44"/>
        <v>REN</v>
      </c>
      <c r="K571" s="2" t="str">
        <f t="shared" si="45"/>
        <v>@HAR</v>
      </c>
      <c r="L571" s="1" t="str">
        <f t="shared" si="46"/>
        <v>570,6/6/2004,0,10,11,2,0</v>
      </c>
    </row>
    <row r="572" spans="1:12" x14ac:dyDescent="0.2">
      <c r="A572" s="1" t="str">
        <f t="shared" si="42"/>
        <v>3814412</v>
      </c>
      <c r="B572" s="1" t="str">
        <f t="shared" si="43"/>
        <v>3814413</v>
      </c>
      <c r="C572" s="1">
        <v>571</v>
      </c>
      <c r="D572" s="4">
        <v>38144</v>
      </c>
      <c r="E572" s="1">
        <v>0</v>
      </c>
      <c r="F572" s="1">
        <v>13</v>
      </c>
      <c r="G572" s="1">
        <v>12</v>
      </c>
      <c r="H572" s="1">
        <v>2</v>
      </c>
      <c r="I572" s="1">
        <v>0</v>
      </c>
      <c r="J572" s="2" t="str">
        <f t="shared" si="44"/>
        <v>BBG</v>
      </c>
      <c r="K572" s="2" t="str">
        <f t="shared" si="45"/>
        <v>@RMO</v>
      </c>
      <c r="L572" s="1" t="str">
        <f t="shared" si="46"/>
        <v>571,6/6/2004,0,13,12,2,0</v>
      </c>
    </row>
    <row r="573" spans="1:12" x14ac:dyDescent="0.2">
      <c r="A573" s="1" t="str">
        <f t="shared" si="42"/>
        <v>3814416</v>
      </c>
      <c r="B573" s="1" t="str">
        <f t="shared" si="43"/>
        <v>381448</v>
      </c>
      <c r="C573" s="1">
        <v>572</v>
      </c>
      <c r="D573" s="4">
        <v>38144</v>
      </c>
      <c r="E573" s="1">
        <v>0</v>
      </c>
      <c r="F573" s="1">
        <v>8</v>
      </c>
      <c r="G573" s="1">
        <v>16</v>
      </c>
      <c r="H573" s="1">
        <v>2</v>
      </c>
      <c r="I573" s="1">
        <v>0</v>
      </c>
      <c r="J573" s="2" t="str">
        <f t="shared" si="44"/>
        <v>CTW</v>
      </c>
      <c r="K573" s="2" t="str">
        <f t="shared" si="45"/>
        <v>@DIG</v>
      </c>
      <c r="L573" s="1" t="str">
        <f t="shared" si="46"/>
        <v>572,6/6/2004,0,8,16,2,0</v>
      </c>
    </row>
    <row r="574" spans="1:12" x14ac:dyDescent="0.2">
      <c r="A574" s="1" t="str">
        <f t="shared" si="42"/>
        <v>3814421</v>
      </c>
      <c r="B574" s="1" t="str">
        <f t="shared" si="43"/>
        <v>3814414</v>
      </c>
      <c r="C574" s="1">
        <v>573</v>
      </c>
      <c r="D574" s="4">
        <v>38144</v>
      </c>
      <c r="E574" s="1">
        <v>0</v>
      </c>
      <c r="F574" s="1">
        <v>14</v>
      </c>
      <c r="G574" s="1">
        <v>21</v>
      </c>
      <c r="H574" s="1">
        <v>2</v>
      </c>
      <c r="I574" s="1">
        <v>0</v>
      </c>
      <c r="J574" s="2" t="str">
        <f t="shared" si="44"/>
        <v>CEN</v>
      </c>
      <c r="K574" s="2" t="str">
        <f t="shared" si="45"/>
        <v>@NYD</v>
      </c>
      <c r="L574" s="1" t="str">
        <f t="shared" si="46"/>
        <v>573,6/6/2004,0,14,21,2,0</v>
      </c>
    </row>
    <row r="575" spans="1:12" x14ac:dyDescent="0.2">
      <c r="A575" s="1" t="str">
        <f t="shared" si="42"/>
        <v>3814422</v>
      </c>
      <c r="B575" s="1" t="str">
        <f t="shared" si="43"/>
        <v>3814420</v>
      </c>
      <c r="C575" s="1">
        <v>574</v>
      </c>
      <c r="D575" s="4">
        <v>38144</v>
      </c>
      <c r="E575" s="1">
        <v>0</v>
      </c>
      <c r="F575" s="1">
        <v>20</v>
      </c>
      <c r="G575" s="1">
        <v>22</v>
      </c>
      <c r="H575" s="1">
        <v>2</v>
      </c>
      <c r="I575" s="1">
        <v>0</v>
      </c>
      <c r="J575" s="2" t="str">
        <f t="shared" si="44"/>
        <v>FDH</v>
      </c>
      <c r="K575" s="2" t="str">
        <f t="shared" si="45"/>
        <v>@CBB</v>
      </c>
      <c r="L575" s="1" t="str">
        <f t="shared" si="46"/>
        <v>574,6/6/2004,0,20,22,2,0</v>
      </c>
    </row>
    <row r="576" spans="1:12" x14ac:dyDescent="0.2">
      <c r="A576" s="1" t="str">
        <f t="shared" si="42"/>
        <v>3814423</v>
      </c>
      <c r="B576" s="1" t="str">
        <f t="shared" si="43"/>
        <v>381442</v>
      </c>
      <c r="C576" s="1">
        <v>575</v>
      </c>
      <c r="D576" s="4">
        <v>38144</v>
      </c>
      <c r="E576" s="1">
        <v>0</v>
      </c>
      <c r="F576" s="1">
        <v>2</v>
      </c>
      <c r="G576" s="1">
        <v>23</v>
      </c>
      <c r="H576" s="1">
        <v>2</v>
      </c>
      <c r="I576" s="1">
        <v>0</v>
      </c>
      <c r="J576" s="2" t="str">
        <f t="shared" si="44"/>
        <v>NEP</v>
      </c>
      <c r="K576" s="2" t="str">
        <f t="shared" si="45"/>
        <v>@BRK</v>
      </c>
      <c r="L576" s="1" t="str">
        <f t="shared" si="46"/>
        <v>575,6/6/2004,0,2,23,2,0</v>
      </c>
    </row>
    <row r="577" spans="1:12" x14ac:dyDescent="0.2">
      <c r="A577" s="1" t="str">
        <f t="shared" si="42"/>
        <v>3814424</v>
      </c>
      <c r="B577" s="1" t="str">
        <f t="shared" si="43"/>
        <v>381443</v>
      </c>
      <c r="C577" s="1">
        <v>576</v>
      </c>
      <c r="D577" s="4">
        <v>38144</v>
      </c>
      <c r="E577" s="1">
        <v>0</v>
      </c>
      <c r="F577" s="1">
        <v>3</v>
      </c>
      <c r="G577" s="1">
        <v>24</v>
      </c>
      <c r="H577" s="1">
        <v>2</v>
      </c>
      <c r="I577" s="1">
        <v>0</v>
      </c>
      <c r="J577" s="2" t="str">
        <f t="shared" si="44"/>
        <v>TEW</v>
      </c>
      <c r="K577" s="2" t="str">
        <f t="shared" si="45"/>
        <v>@PHI</v>
      </c>
      <c r="L577" s="1" t="str">
        <f t="shared" si="46"/>
        <v>576,6/6/2004,0,3,24,2,0</v>
      </c>
    </row>
    <row r="578" spans="1:12" x14ac:dyDescent="0.2">
      <c r="A578" s="1" t="str">
        <f t="shared" ref="A578:A641" si="47">D578&amp;G578</f>
        <v>381451</v>
      </c>
      <c r="B578" s="1" t="str">
        <f t="shared" ref="B578:B641" si="48">D578&amp;F578</f>
        <v>3814517</v>
      </c>
      <c r="C578" s="1">
        <v>577</v>
      </c>
      <c r="D578" s="4">
        <v>38145</v>
      </c>
      <c r="E578" s="1">
        <v>0</v>
      </c>
      <c r="F578" s="1">
        <v>17</v>
      </c>
      <c r="G578" s="1">
        <v>1</v>
      </c>
      <c r="H578" s="1">
        <v>2</v>
      </c>
      <c r="I578" s="1">
        <v>0</v>
      </c>
      <c r="J578" s="2" t="str">
        <f t="shared" ref="J578:J641" si="49">VLOOKUP(F578,$M$2:$N$21,2,0)</f>
        <v>GAR</v>
      </c>
      <c r="K578" s="2" t="str">
        <f t="shared" ref="K578:K641" si="50">"@"&amp;VLOOKUP(G578,$M$2:$N$21,2,0)</f>
        <v>@FFR</v>
      </c>
      <c r="L578" s="1" t="str">
        <f t="shared" ref="L578:L641" si="51">C578&amp;","&amp;MONTH(D578)&amp;"/"&amp;DAY(D578)&amp;"/"&amp;YEAR(D578)&amp;","&amp;E578&amp;","&amp;F578&amp;","&amp;G578&amp;","&amp;H578&amp;","&amp;I578</f>
        <v>577,6/7/2004,0,17,1,2,0</v>
      </c>
    </row>
    <row r="579" spans="1:12" x14ac:dyDescent="0.2">
      <c r="A579" s="1" t="str">
        <f t="shared" si="47"/>
        <v>381454</v>
      </c>
      <c r="B579" s="1" t="str">
        <f t="shared" si="48"/>
        <v>381457</v>
      </c>
      <c r="C579" s="1">
        <v>578</v>
      </c>
      <c r="D579" s="4">
        <v>38145</v>
      </c>
      <c r="E579" s="1">
        <v>0</v>
      </c>
      <c r="F579" s="1">
        <v>7</v>
      </c>
      <c r="G579" s="1">
        <v>4</v>
      </c>
      <c r="H579" s="1">
        <v>2</v>
      </c>
      <c r="I579" s="1">
        <v>0</v>
      </c>
      <c r="J579" s="2" t="str">
        <f t="shared" si="49"/>
        <v>BAR</v>
      </c>
      <c r="K579" s="2" t="str">
        <f t="shared" si="50"/>
        <v>@NNN</v>
      </c>
      <c r="L579" s="1" t="str">
        <f t="shared" si="51"/>
        <v>578,6/7/2004,0,7,4,2,0</v>
      </c>
    </row>
    <row r="580" spans="1:12" x14ac:dyDescent="0.2">
      <c r="A580" s="1" t="str">
        <f t="shared" si="47"/>
        <v>381455</v>
      </c>
      <c r="B580" s="1" t="str">
        <f t="shared" si="48"/>
        <v>381459</v>
      </c>
      <c r="C580" s="1">
        <v>579</v>
      </c>
      <c r="D580" s="4">
        <v>38145</v>
      </c>
      <c r="E580" s="1">
        <v>0</v>
      </c>
      <c r="F580" s="1">
        <v>9</v>
      </c>
      <c r="G580" s="1">
        <v>5</v>
      </c>
      <c r="H580" s="1">
        <v>2</v>
      </c>
      <c r="I580" s="1">
        <v>0</v>
      </c>
      <c r="J580" s="2" t="str">
        <f t="shared" si="49"/>
        <v>CIN</v>
      </c>
      <c r="K580" s="2" t="str">
        <f t="shared" si="50"/>
        <v>@OKO</v>
      </c>
      <c r="L580" s="1" t="str">
        <f t="shared" si="51"/>
        <v>579,6/7/2004,0,9,5,2,0</v>
      </c>
    </row>
    <row r="581" spans="1:12" x14ac:dyDescent="0.2">
      <c r="A581" s="1" t="str">
        <f t="shared" si="47"/>
        <v>3814511</v>
      </c>
      <c r="B581" s="1" t="str">
        <f t="shared" si="48"/>
        <v>3814510</v>
      </c>
      <c r="C581" s="1">
        <v>580</v>
      </c>
      <c r="D581" s="4">
        <v>38145</v>
      </c>
      <c r="E581" s="1">
        <v>0</v>
      </c>
      <c r="F581" s="1">
        <v>10</v>
      </c>
      <c r="G581" s="1">
        <v>11</v>
      </c>
      <c r="H581" s="1">
        <v>2</v>
      </c>
      <c r="I581" s="1">
        <v>0</v>
      </c>
      <c r="J581" s="2" t="str">
        <f t="shared" si="49"/>
        <v>REN</v>
      </c>
      <c r="K581" s="2" t="str">
        <f t="shared" si="50"/>
        <v>@HAR</v>
      </c>
      <c r="L581" s="1" t="str">
        <f t="shared" si="51"/>
        <v>580,6/7/2004,0,10,11,2,0</v>
      </c>
    </row>
    <row r="582" spans="1:12" x14ac:dyDescent="0.2">
      <c r="A582" s="1" t="str">
        <f t="shared" si="47"/>
        <v>3814512</v>
      </c>
      <c r="B582" s="1" t="str">
        <f t="shared" si="48"/>
        <v>3814513</v>
      </c>
      <c r="C582" s="1">
        <v>581</v>
      </c>
      <c r="D582" s="4">
        <v>38145</v>
      </c>
      <c r="E582" s="1">
        <v>0</v>
      </c>
      <c r="F582" s="1">
        <v>13</v>
      </c>
      <c r="G582" s="1">
        <v>12</v>
      </c>
      <c r="H582" s="1">
        <v>2</v>
      </c>
      <c r="I582" s="1">
        <v>0</v>
      </c>
      <c r="J582" s="2" t="str">
        <f t="shared" si="49"/>
        <v>BBG</v>
      </c>
      <c r="K582" s="2" t="str">
        <f t="shared" si="50"/>
        <v>@RMO</v>
      </c>
      <c r="L582" s="1" t="str">
        <f t="shared" si="51"/>
        <v>581,6/7/2004,0,13,12,2,0</v>
      </c>
    </row>
    <row r="583" spans="1:12" x14ac:dyDescent="0.2">
      <c r="A583" s="1" t="str">
        <f t="shared" si="47"/>
        <v>3814516</v>
      </c>
      <c r="B583" s="1" t="str">
        <f t="shared" si="48"/>
        <v>381458</v>
      </c>
      <c r="C583" s="1">
        <v>582</v>
      </c>
      <c r="D583" s="4">
        <v>38145</v>
      </c>
      <c r="E583" s="1">
        <v>0</v>
      </c>
      <c r="F583" s="1">
        <v>8</v>
      </c>
      <c r="G583" s="1">
        <v>16</v>
      </c>
      <c r="H583" s="1">
        <v>2</v>
      </c>
      <c r="I583" s="1">
        <v>0</v>
      </c>
      <c r="J583" s="2" t="str">
        <f t="shared" si="49"/>
        <v>CTW</v>
      </c>
      <c r="K583" s="2" t="str">
        <f t="shared" si="50"/>
        <v>@DIG</v>
      </c>
      <c r="L583" s="1" t="str">
        <f t="shared" si="51"/>
        <v>582,6/7/2004,0,8,16,2,0</v>
      </c>
    </row>
    <row r="584" spans="1:12" x14ac:dyDescent="0.2">
      <c r="A584" s="1" t="str">
        <f t="shared" si="47"/>
        <v>3814521</v>
      </c>
      <c r="B584" s="1" t="str">
        <f t="shared" si="48"/>
        <v>3814514</v>
      </c>
      <c r="C584" s="1">
        <v>583</v>
      </c>
      <c r="D584" s="4">
        <v>38145</v>
      </c>
      <c r="E584" s="1">
        <v>0</v>
      </c>
      <c r="F584" s="1">
        <v>14</v>
      </c>
      <c r="G584" s="1">
        <v>21</v>
      </c>
      <c r="H584" s="1">
        <v>2</v>
      </c>
      <c r="I584" s="1">
        <v>0</v>
      </c>
      <c r="J584" s="2" t="str">
        <f t="shared" si="49"/>
        <v>CEN</v>
      </c>
      <c r="K584" s="2" t="str">
        <f t="shared" si="50"/>
        <v>@NYD</v>
      </c>
      <c r="L584" s="1" t="str">
        <f t="shared" si="51"/>
        <v>583,6/7/2004,0,14,21,2,0</v>
      </c>
    </row>
    <row r="585" spans="1:12" x14ac:dyDescent="0.2">
      <c r="A585" s="1" t="str">
        <f t="shared" si="47"/>
        <v>3814522</v>
      </c>
      <c r="B585" s="1" t="str">
        <f t="shared" si="48"/>
        <v>3814520</v>
      </c>
      <c r="C585" s="1">
        <v>584</v>
      </c>
      <c r="D585" s="4">
        <v>38145</v>
      </c>
      <c r="E585" s="1">
        <v>0</v>
      </c>
      <c r="F585" s="1">
        <v>20</v>
      </c>
      <c r="G585" s="1">
        <v>22</v>
      </c>
      <c r="H585" s="1">
        <v>2</v>
      </c>
      <c r="I585" s="1">
        <v>0</v>
      </c>
      <c r="J585" s="2" t="str">
        <f t="shared" si="49"/>
        <v>FDH</v>
      </c>
      <c r="K585" s="2" t="str">
        <f t="shared" si="50"/>
        <v>@CBB</v>
      </c>
      <c r="L585" s="1" t="str">
        <f t="shared" si="51"/>
        <v>584,6/7/2004,0,20,22,2,0</v>
      </c>
    </row>
    <row r="586" spans="1:12" x14ac:dyDescent="0.2">
      <c r="A586" s="1" t="str">
        <f t="shared" si="47"/>
        <v>3814523</v>
      </c>
      <c r="B586" s="1" t="str">
        <f t="shared" si="48"/>
        <v>381452</v>
      </c>
      <c r="C586" s="1">
        <v>585</v>
      </c>
      <c r="D586" s="4">
        <v>38145</v>
      </c>
      <c r="E586" s="1">
        <v>0</v>
      </c>
      <c r="F586" s="1">
        <v>2</v>
      </c>
      <c r="G586" s="1">
        <v>23</v>
      </c>
      <c r="H586" s="1">
        <v>2</v>
      </c>
      <c r="I586" s="1">
        <v>0</v>
      </c>
      <c r="J586" s="2" t="str">
        <f t="shared" si="49"/>
        <v>NEP</v>
      </c>
      <c r="K586" s="2" t="str">
        <f t="shared" si="50"/>
        <v>@BRK</v>
      </c>
      <c r="L586" s="1" t="str">
        <f t="shared" si="51"/>
        <v>585,6/7/2004,0,2,23,2,0</v>
      </c>
    </row>
    <row r="587" spans="1:12" x14ac:dyDescent="0.2">
      <c r="A587" s="1" t="str">
        <f t="shared" si="47"/>
        <v>3814524</v>
      </c>
      <c r="B587" s="1" t="str">
        <f t="shared" si="48"/>
        <v>381453</v>
      </c>
      <c r="C587" s="1">
        <v>586</v>
      </c>
      <c r="D587" s="4">
        <v>38145</v>
      </c>
      <c r="E587" s="1">
        <v>0</v>
      </c>
      <c r="F587" s="1">
        <v>3</v>
      </c>
      <c r="G587" s="1">
        <v>24</v>
      </c>
      <c r="H587" s="1">
        <v>2</v>
      </c>
      <c r="I587" s="1">
        <v>0</v>
      </c>
      <c r="J587" s="2" t="str">
        <f t="shared" si="49"/>
        <v>TEW</v>
      </c>
      <c r="K587" s="2" t="str">
        <f t="shared" si="50"/>
        <v>@PHI</v>
      </c>
      <c r="L587" s="1" t="str">
        <f t="shared" si="51"/>
        <v>586,6/7/2004,0,3,24,2,0</v>
      </c>
    </row>
    <row r="588" spans="1:12" x14ac:dyDescent="0.2">
      <c r="A588" s="1" t="str">
        <f t="shared" si="47"/>
        <v>381461</v>
      </c>
      <c r="B588" s="1" t="str">
        <f t="shared" si="48"/>
        <v>3814617</v>
      </c>
      <c r="C588" s="1">
        <v>587</v>
      </c>
      <c r="D588" s="4">
        <v>38146</v>
      </c>
      <c r="E588" s="1">
        <v>0</v>
      </c>
      <c r="F588" s="1">
        <v>17</v>
      </c>
      <c r="G588" s="1">
        <v>1</v>
      </c>
      <c r="H588" s="1">
        <v>2</v>
      </c>
      <c r="I588" s="1">
        <v>0</v>
      </c>
      <c r="J588" s="2" t="str">
        <f t="shared" si="49"/>
        <v>GAR</v>
      </c>
      <c r="K588" s="2" t="str">
        <f t="shared" si="50"/>
        <v>@FFR</v>
      </c>
      <c r="L588" s="1" t="str">
        <f t="shared" si="51"/>
        <v>587,6/8/2004,0,17,1,2,0</v>
      </c>
    </row>
    <row r="589" spans="1:12" x14ac:dyDescent="0.2">
      <c r="A589" s="1" t="str">
        <f t="shared" si="47"/>
        <v>381464</v>
      </c>
      <c r="B589" s="1" t="str">
        <f t="shared" si="48"/>
        <v>381467</v>
      </c>
      <c r="C589" s="1">
        <v>588</v>
      </c>
      <c r="D589" s="4">
        <v>38146</v>
      </c>
      <c r="E589" s="1">
        <v>0</v>
      </c>
      <c r="F589" s="1">
        <v>7</v>
      </c>
      <c r="G589" s="1">
        <v>4</v>
      </c>
      <c r="H589" s="1">
        <v>2</v>
      </c>
      <c r="I589" s="1">
        <v>0</v>
      </c>
      <c r="J589" s="2" t="str">
        <f t="shared" si="49"/>
        <v>BAR</v>
      </c>
      <c r="K589" s="2" t="str">
        <f t="shared" si="50"/>
        <v>@NNN</v>
      </c>
      <c r="L589" s="1" t="str">
        <f t="shared" si="51"/>
        <v>588,6/8/2004,0,7,4,2,0</v>
      </c>
    </row>
    <row r="590" spans="1:12" x14ac:dyDescent="0.2">
      <c r="A590" s="1" t="str">
        <f t="shared" si="47"/>
        <v>381465</v>
      </c>
      <c r="B590" s="1" t="str">
        <f t="shared" si="48"/>
        <v>381469</v>
      </c>
      <c r="C590" s="1">
        <v>589</v>
      </c>
      <c r="D590" s="4">
        <v>38146</v>
      </c>
      <c r="E590" s="1">
        <v>0</v>
      </c>
      <c r="F590" s="1">
        <v>9</v>
      </c>
      <c r="G590" s="1">
        <v>5</v>
      </c>
      <c r="H590" s="1">
        <v>2</v>
      </c>
      <c r="I590" s="1">
        <v>0</v>
      </c>
      <c r="J590" s="2" t="str">
        <f t="shared" si="49"/>
        <v>CIN</v>
      </c>
      <c r="K590" s="2" t="str">
        <f t="shared" si="50"/>
        <v>@OKO</v>
      </c>
      <c r="L590" s="1" t="str">
        <f t="shared" si="51"/>
        <v>589,6/8/2004,0,9,5,2,0</v>
      </c>
    </row>
    <row r="591" spans="1:12" x14ac:dyDescent="0.2">
      <c r="A591" s="1" t="str">
        <f t="shared" si="47"/>
        <v>3814611</v>
      </c>
      <c r="B591" s="1" t="str">
        <f t="shared" si="48"/>
        <v>3814610</v>
      </c>
      <c r="C591" s="1">
        <v>590</v>
      </c>
      <c r="D591" s="4">
        <v>38146</v>
      </c>
      <c r="E591" s="1">
        <v>0</v>
      </c>
      <c r="F591" s="1">
        <v>10</v>
      </c>
      <c r="G591" s="1">
        <v>11</v>
      </c>
      <c r="H591" s="1">
        <v>2</v>
      </c>
      <c r="I591" s="1">
        <v>0</v>
      </c>
      <c r="J591" s="2" t="str">
        <f t="shared" si="49"/>
        <v>REN</v>
      </c>
      <c r="K591" s="2" t="str">
        <f t="shared" si="50"/>
        <v>@HAR</v>
      </c>
      <c r="L591" s="1" t="str">
        <f t="shared" si="51"/>
        <v>590,6/8/2004,0,10,11,2,0</v>
      </c>
    </row>
    <row r="592" spans="1:12" x14ac:dyDescent="0.2">
      <c r="A592" s="1" t="str">
        <f t="shared" si="47"/>
        <v>3814612</v>
      </c>
      <c r="B592" s="1" t="str">
        <f t="shared" si="48"/>
        <v>3814613</v>
      </c>
      <c r="C592" s="1">
        <v>591</v>
      </c>
      <c r="D592" s="4">
        <v>38146</v>
      </c>
      <c r="E592" s="1">
        <v>0</v>
      </c>
      <c r="F592" s="1">
        <v>13</v>
      </c>
      <c r="G592" s="1">
        <v>12</v>
      </c>
      <c r="H592" s="1">
        <v>2</v>
      </c>
      <c r="I592" s="1">
        <v>0</v>
      </c>
      <c r="J592" s="2" t="str">
        <f t="shared" si="49"/>
        <v>BBG</v>
      </c>
      <c r="K592" s="2" t="str">
        <f t="shared" si="50"/>
        <v>@RMO</v>
      </c>
      <c r="L592" s="1" t="str">
        <f t="shared" si="51"/>
        <v>591,6/8/2004,0,13,12,2,0</v>
      </c>
    </row>
    <row r="593" spans="1:12" x14ac:dyDescent="0.2">
      <c r="A593" s="1" t="str">
        <f t="shared" si="47"/>
        <v>3814616</v>
      </c>
      <c r="B593" s="1" t="str">
        <f t="shared" si="48"/>
        <v>381468</v>
      </c>
      <c r="C593" s="1">
        <v>592</v>
      </c>
      <c r="D593" s="4">
        <v>38146</v>
      </c>
      <c r="E593" s="1">
        <v>0</v>
      </c>
      <c r="F593" s="1">
        <v>8</v>
      </c>
      <c r="G593" s="1">
        <v>16</v>
      </c>
      <c r="H593" s="1">
        <v>2</v>
      </c>
      <c r="I593" s="1">
        <v>0</v>
      </c>
      <c r="J593" s="2" t="str">
        <f t="shared" si="49"/>
        <v>CTW</v>
      </c>
      <c r="K593" s="2" t="str">
        <f t="shared" si="50"/>
        <v>@DIG</v>
      </c>
      <c r="L593" s="1" t="str">
        <f t="shared" si="51"/>
        <v>592,6/8/2004,0,8,16,2,0</v>
      </c>
    </row>
    <row r="594" spans="1:12" x14ac:dyDescent="0.2">
      <c r="A594" s="1" t="str">
        <f t="shared" si="47"/>
        <v>3814621</v>
      </c>
      <c r="B594" s="1" t="str">
        <f t="shared" si="48"/>
        <v>3814614</v>
      </c>
      <c r="C594" s="1">
        <v>593</v>
      </c>
      <c r="D594" s="4">
        <v>38146</v>
      </c>
      <c r="E594" s="1">
        <v>0</v>
      </c>
      <c r="F594" s="1">
        <v>14</v>
      </c>
      <c r="G594" s="1">
        <v>21</v>
      </c>
      <c r="H594" s="1">
        <v>2</v>
      </c>
      <c r="I594" s="1">
        <v>0</v>
      </c>
      <c r="J594" s="2" t="str">
        <f t="shared" si="49"/>
        <v>CEN</v>
      </c>
      <c r="K594" s="2" t="str">
        <f t="shared" si="50"/>
        <v>@NYD</v>
      </c>
      <c r="L594" s="1" t="str">
        <f t="shared" si="51"/>
        <v>593,6/8/2004,0,14,21,2,0</v>
      </c>
    </row>
    <row r="595" spans="1:12" x14ac:dyDescent="0.2">
      <c r="A595" s="1" t="str">
        <f t="shared" si="47"/>
        <v>3814622</v>
      </c>
      <c r="B595" s="1" t="str">
        <f t="shared" si="48"/>
        <v>3814620</v>
      </c>
      <c r="C595" s="1">
        <v>594</v>
      </c>
      <c r="D595" s="4">
        <v>38146</v>
      </c>
      <c r="E595" s="1">
        <v>0</v>
      </c>
      <c r="F595" s="1">
        <v>20</v>
      </c>
      <c r="G595" s="1">
        <v>22</v>
      </c>
      <c r="H595" s="1">
        <v>2</v>
      </c>
      <c r="I595" s="1">
        <v>0</v>
      </c>
      <c r="J595" s="2" t="str">
        <f t="shared" si="49"/>
        <v>FDH</v>
      </c>
      <c r="K595" s="2" t="str">
        <f t="shared" si="50"/>
        <v>@CBB</v>
      </c>
      <c r="L595" s="1" t="str">
        <f t="shared" si="51"/>
        <v>594,6/8/2004,0,20,22,2,0</v>
      </c>
    </row>
    <row r="596" spans="1:12" x14ac:dyDescent="0.2">
      <c r="A596" s="1" t="str">
        <f t="shared" si="47"/>
        <v>3814623</v>
      </c>
      <c r="B596" s="1" t="str">
        <f t="shared" si="48"/>
        <v>381462</v>
      </c>
      <c r="C596" s="1">
        <v>595</v>
      </c>
      <c r="D596" s="4">
        <v>38146</v>
      </c>
      <c r="E596" s="1">
        <v>0</v>
      </c>
      <c r="F596" s="1">
        <v>2</v>
      </c>
      <c r="G596" s="1">
        <v>23</v>
      </c>
      <c r="H596" s="1">
        <v>2</v>
      </c>
      <c r="I596" s="1">
        <v>0</v>
      </c>
      <c r="J596" s="2" t="str">
        <f t="shared" si="49"/>
        <v>NEP</v>
      </c>
      <c r="K596" s="2" t="str">
        <f t="shared" si="50"/>
        <v>@BRK</v>
      </c>
      <c r="L596" s="1" t="str">
        <f t="shared" si="51"/>
        <v>595,6/8/2004,0,2,23,2,0</v>
      </c>
    </row>
    <row r="597" spans="1:12" x14ac:dyDescent="0.2">
      <c r="A597" s="1" t="str">
        <f t="shared" si="47"/>
        <v>3814624</v>
      </c>
      <c r="B597" s="1" t="str">
        <f t="shared" si="48"/>
        <v>381463</v>
      </c>
      <c r="C597" s="1">
        <v>596</v>
      </c>
      <c r="D597" s="4">
        <v>38146</v>
      </c>
      <c r="E597" s="1">
        <v>0</v>
      </c>
      <c r="F597" s="1">
        <v>3</v>
      </c>
      <c r="G597" s="1">
        <v>24</v>
      </c>
      <c r="H597" s="1">
        <v>2</v>
      </c>
      <c r="I597" s="1">
        <v>0</v>
      </c>
      <c r="J597" s="2" t="str">
        <f t="shared" si="49"/>
        <v>TEW</v>
      </c>
      <c r="K597" s="2" t="str">
        <f t="shared" si="50"/>
        <v>@PHI</v>
      </c>
      <c r="L597" s="1" t="str">
        <f t="shared" si="51"/>
        <v>596,6/8/2004,0,3,24,2,0</v>
      </c>
    </row>
    <row r="598" spans="1:12" x14ac:dyDescent="0.2">
      <c r="A598" s="1" t="str">
        <f t="shared" si="47"/>
        <v>381471</v>
      </c>
      <c r="B598" s="1" t="str">
        <f t="shared" si="48"/>
        <v>3814717</v>
      </c>
      <c r="C598" s="1">
        <v>597</v>
      </c>
      <c r="D598" s="4">
        <v>38147</v>
      </c>
      <c r="E598" s="1">
        <v>0</v>
      </c>
      <c r="F598" s="1">
        <v>17</v>
      </c>
      <c r="G598" s="1">
        <v>1</v>
      </c>
      <c r="H598" s="1">
        <v>2</v>
      </c>
      <c r="I598" s="1">
        <v>0</v>
      </c>
      <c r="J598" s="2" t="str">
        <f t="shared" si="49"/>
        <v>GAR</v>
      </c>
      <c r="K598" s="2" t="str">
        <f t="shared" si="50"/>
        <v>@FFR</v>
      </c>
      <c r="L598" s="1" t="str">
        <f t="shared" si="51"/>
        <v>597,6/9/2004,0,17,1,2,0</v>
      </c>
    </row>
    <row r="599" spans="1:12" x14ac:dyDescent="0.2">
      <c r="A599" s="1" t="str">
        <f t="shared" si="47"/>
        <v>381474</v>
      </c>
      <c r="B599" s="1" t="str">
        <f t="shared" si="48"/>
        <v>381477</v>
      </c>
      <c r="C599" s="1">
        <v>598</v>
      </c>
      <c r="D599" s="4">
        <v>38147</v>
      </c>
      <c r="E599" s="1">
        <v>0</v>
      </c>
      <c r="F599" s="1">
        <v>7</v>
      </c>
      <c r="G599" s="1">
        <v>4</v>
      </c>
      <c r="H599" s="1">
        <v>2</v>
      </c>
      <c r="I599" s="1">
        <v>0</v>
      </c>
      <c r="J599" s="2" t="str">
        <f t="shared" si="49"/>
        <v>BAR</v>
      </c>
      <c r="K599" s="2" t="str">
        <f t="shared" si="50"/>
        <v>@NNN</v>
      </c>
      <c r="L599" s="1" t="str">
        <f t="shared" si="51"/>
        <v>598,6/9/2004,0,7,4,2,0</v>
      </c>
    </row>
    <row r="600" spans="1:12" x14ac:dyDescent="0.2">
      <c r="A600" s="1" t="str">
        <f t="shared" si="47"/>
        <v>381475</v>
      </c>
      <c r="B600" s="1" t="str">
        <f t="shared" si="48"/>
        <v>381479</v>
      </c>
      <c r="C600" s="1">
        <v>599</v>
      </c>
      <c r="D600" s="4">
        <v>38147</v>
      </c>
      <c r="E600" s="1">
        <v>0</v>
      </c>
      <c r="F600" s="1">
        <v>9</v>
      </c>
      <c r="G600" s="1">
        <v>5</v>
      </c>
      <c r="H600" s="1">
        <v>2</v>
      </c>
      <c r="I600" s="1">
        <v>0</v>
      </c>
      <c r="J600" s="2" t="str">
        <f t="shared" si="49"/>
        <v>CIN</v>
      </c>
      <c r="K600" s="2" t="str">
        <f t="shared" si="50"/>
        <v>@OKO</v>
      </c>
      <c r="L600" s="1" t="str">
        <f t="shared" si="51"/>
        <v>599,6/9/2004,0,9,5,2,0</v>
      </c>
    </row>
    <row r="601" spans="1:12" x14ac:dyDescent="0.2">
      <c r="A601" s="1" t="str">
        <f t="shared" si="47"/>
        <v>3814711</v>
      </c>
      <c r="B601" s="1" t="str">
        <f t="shared" si="48"/>
        <v>3814710</v>
      </c>
      <c r="C601" s="1">
        <v>600</v>
      </c>
      <c r="D601" s="4">
        <v>38147</v>
      </c>
      <c r="E601" s="1">
        <v>0</v>
      </c>
      <c r="F601" s="1">
        <v>10</v>
      </c>
      <c r="G601" s="1">
        <v>11</v>
      </c>
      <c r="H601" s="1">
        <v>2</v>
      </c>
      <c r="I601" s="1">
        <v>0</v>
      </c>
      <c r="J601" s="2" t="str">
        <f t="shared" si="49"/>
        <v>REN</v>
      </c>
      <c r="K601" s="2" t="str">
        <f t="shared" si="50"/>
        <v>@HAR</v>
      </c>
      <c r="L601" s="1" t="str">
        <f t="shared" si="51"/>
        <v>600,6/9/2004,0,10,11,2,0</v>
      </c>
    </row>
    <row r="602" spans="1:12" x14ac:dyDescent="0.2">
      <c r="A602" s="1" t="str">
        <f t="shared" si="47"/>
        <v>3814712</v>
      </c>
      <c r="B602" s="1" t="str">
        <f t="shared" si="48"/>
        <v>3814713</v>
      </c>
      <c r="C602" s="1">
        <v>601</v>
      </c>
      <c r="D602" s="4">
        <v>38147</v>
      </c>
      <c r="E602" s="1">
        <v>0</v>
      </c>
      <c r="F602" s="1">
        <v>13</v>
      </c>
      <c r="G602" s="1">
        <v>12</v>
      </c>
      <c r="H602" s="1">
        <v>2</v>
      </c>
      <c r="I602" s="1">
        <v>0</v>
      </c>
      <c r="J602" s="2" t="str">
        <f t="shared" si="49"/>
        <v>BBG</v>
      </c>
      <c r="K602" s="2" t="str">
        <f t="shared" si="50"/>
        <v>@RMO</v>
      </c>
      <c r="L602" s="1" t="str">
        <f t="shared" si="51"/>
        <v>601,6/9/2004,0,13,12,2,0</v>
      </c>
    </row>
    <row r="603" spans="1:12" x14ac:dyDescent="0.2">
      <c r="A603" s="1" t="str">
        <f t="shared" si="47"/>
        <v>3814716</v>
      </c>
      <c r="B603" s="1" t="str">
        <f t="shared" si="48"/>
        <v>381478</v>
      </c>
      <c r="C603" s="1">
        <v>602</v>
      </c>
      <c r="D603" s="4">
        <v>38147</v>
      </c>
      <c r="E603" s="1">
        <v>0</v>
      </c>
      <c r="F603" s="1">
        <v>8</v>
      </c>
      <c r="G603" s="1">
        <v>16</v>
      </c>
      <c r="H603" s="1">
        <v>2</v>
      </c>
      <c r="I603" s="1">
        <v>0</v>
      </c>
      <c r="J603" s="2" t="str">
        <f t="shared" si="49"/>
        <v>CTW</v>
      </c>
      <c r="K603" s="2" t="str">
        <f t="shared" si="50"/>
        <v>@DIG</v>
      </c>
      <c r="L603" s="1" t="str">
        <f t="shared" si="51"/>
        <v>602,6/9/2004,0,8,16,2,0</v>
      </c>
    </row>
    <row r="604" spans="1:12" x14ac:dyDescent="0.2">
      <c r="A604" s="1" t="str">
        <f t="shared" si="47"/>
        <v>3814721</v>
      </c>
      <c r="B604" s="1" t="str">
        <f t="shared" si="48"/>
        <v>3814714</v>
      </c>
      <c r="C604" s="1">
        <v>603</v>
      </c>
      <c r="D604" s="4">
        <v>38147</v>
      </c>
      <c r="E604" s="1">
        <v>0</v>
      </c>
      <c r="F604" s="1">
        <v>14</v>
      </c>
      <c r="G604" s="1">
        <v>21</v>
      </c>
      <c r="H604" s="1">
        <v>2</v>
      </c>
      <c r="I604" s="1">
        <v>0</v>
      </c>
      <c r="J604" s="2" t="str">
        <f t="shared" si="49"/>
        <v>CEN</v>
      </c>
      <c r="K604" s="2" t="str">
        <f t="shared" si="50"/>
        <v>@NYD</v>
      </c>
      <c r="L604" s="1" t="str">
        <f t="shared" si="51"/>
        <v>603,6/9/2004,0,14,21,2,0</v>
      </c>
    </row>
    <row r="605" spans="1:12" x14ac:dyDescent="0.2">
      <c r="A605" s="1" t="str">
        <f t="shared" si="47"/>
        <v>3814722</v>
      </c>
      <c r="B605" s="1" t="str">
        <f t="shared" si="48"/>
        <v>3814720</v>
      </c>
      <c r="C605" s="1">
        <v>604</v>
      </c>
      <c r="D605" s="4">
        <v>38147</v>
      </c>
      <c r="E605" s="1">
        <v>0</v>
      </c>
      <c r="F605" s="1">
        <v>20</v>
      </c>
      <c r="G605" s="1">
        <v>22</v>
      </c>
      <c r="H605" s="1">
        <v>2</v>
      </c>
      <c r="I605" s="1">
        <v>0</v>
      </c>
      <c r="J605" s="2" t="str">
        <f t="shared" si="49"/>
        <v>FDH</v>
      </c>
      <c r="K605" s="2" t="str">
        <f t="shared" si="50"/>
        <v>@CBB</v>
      </c>
      <c r="L605" s="1" t="str">
        <f t="shared" si="51"/>
        <v>604,6/9/2004,0,20,22,2,0</v>
      </c>
    </row>
    <row r="606" spans="1:12" x14ac:dyDescent="0.2">
      <c r="A606" s="1" t="str">
        <f t="shared" si="47"/>
        <v>3814723</v>
      </c>
      <c r="B606" s="1" t="str">
        <f t="shared" si="48"/>
        <v>381472</v>
      </c>
      <c r="C606" s="1">
        <v>605</v>
      </c>
      <c r="D606" s="4">
        <v>38147</v>
      </c>
      <c r="E606" s="1">
        <v>0</v>
      </c>
      <c r="F606" s="1">
        <v>2</v>
      </c>
      <c r="G606" s="1">
        <v>23</v>
      </c>
      <c r="H606" s="1">
        <v>2</v>
      </c>
      <c r="I606" s="1">
        <v>0</v>
      </c>
      <c r="J606" s="2" t="str">
        <f t="shared" si="49"/>
        <v>NEP</v>
      </c>
      <c r="K606" s="2" t="str">
        <f t="shared" si="50"/>
        <v>@BRK</v>
      </c>
      <c r="L606" s="1" t="str">
        <f t="shared" si="51"/>
        <v>605,6/9/2004,0,2,23,2,0</v>
      </c>
    </row>
    <row r="607" spans="1:12" x14ac:dyDescent="0.2">
      <c r="A607" s="1" t="str">
        <f t="shared" si="47"/>
        <v>3814724</v>
      </c>
      <c r="B607" s="1" t="str">
        <f t="shared" si="48"/>
        <v>381473</v>
      </c>
      <c r="C607" s="1">
        <v>606</v>
      </c>
      <c r="D607" s="4">
        <v>38147</v>
      </c>
      <c r="E607" s="1">
        <v>0</v>
      </c>
      <c r="F607" s="1">
        <v>3</v>
      </c>
      <c r="G607" s="1">
        <v>24</v>
      </c>
      <c r="H607" s="1">
        <v>2</v>
      </c>
      <c r="I607" s="1">
        <v>0</v>
      </c>
      <c r="J607" s="2" t="str">
        <f t="shared" si="49"/>
        <v>TEW</v>
      </c>
      <c r="K607" s="2" t="str">
        <f t="shared" si="50"/>
        <v>@PHI</v>
      </c>
      <c r="L607" s="1" t="str">
        <f t="shared" si="51"/>
        <v>606,6/9/2004,0,3,24,2,0</v>
      </c>
    </row>
    <row r="608" spans="1:12" x14ac:dyDescent="0.2">
      <c r="A608" s="1" t="str">
        <f t="shared" si="47"/>
        <v>3814813</v>
      </c>
      <c r="B608" s="1" t="str">
        <f t="shared" si="48"/>
        <v>381487</v>
      </c>
      <c r="C608" s="1">
        <v>607</v>
      </c>
      <c r="D608" s="4">
        <v>38148</v>
      </c>
      <c r="E608" s="1">
        <v>0</v>
      </c>
      <c r="F608" s="1">
        <v>7</v>
      </c>
      <c r="G608" s="1">
        <v>13</v>
      </c>
      <c r="H608" s="1">
        <v>2</v>
      </c>
      <c r="I608" s="1">
        <v>0</v>
      </c>
      <c r="J608" s="2" t="str">
        <f t="shared" si="49"/>
        <v>BAR</v>
      </c>
      <c r="K608" s="2" t="str">
        <f t="shared" si="50"/>
        <v>@BBG</v>
      </c>
      <c r="L608" s="1" t="str">
        <f t="shared" si="51"/>
        <v>607,6/10/2004,0,7,13,2,0</v>
      </c>
    </row>
    <row r="609" spans="1:12" x14ac:dyDescent="0.2">
      <c r="A609" s="1" t="str">
        <f t="shared" si="47"/>
        <v>381488</v>
      </c>
      <c r="B609" s="1" t="str">
        <f t="shared" si="48"/>
        <v>3814817</v>
      </c>
      <c r="C609" s="1">
        <v>608</v>
      </c>
      <c r="D609" s="4">
        <v>38148</v>
      </c>
      <c r="E609" s="1">
        <v>0</v>
      </c>
      <c r="F609" s="1">
        <v>17</v>
      </c>
      <c r="G609" s="1">
        <v>8</v>
      </c>
      <c r="H609" s="1">
        <v>2</v>
      </c>
      <c r="I609" s="1">
        <v>0</v>
      </c>
      <c r="J609" s="2" t="str">
        <f t="shared" si="49"/>
        <v>GAR</v>
      </c>
      <c r="K609" s="2" t="str">
        <f t="shared" si="50"/>
        <v>@CTW</v>
      </c>
      <c r="L609" s="1" t="str">
        <f t="shared" si="51"/>
        <v>608,6/10/2004,0,17,8,2,0</v>
      </c>
    </row>
    <row r="610" spans="1:12" x14ac:dyDescent="0.2">
      <c r="A610" s="1" t="str">
        <f t="shared" si="47"/>
        <v>3814811</v>
      </c>
      <c r="B610" s="1" t="str">
        <f t="shared" si="48"/>
        <v>3814822</v>
      </c>
      <c r="C610" s="1">
        <v>609</v>
      </c>
      <c r="D610" s="4">
        <v>38148</v>
      </c>
      <c r="E610" s="1">
        <v>0</v>
      </c>
      <c r="F610" s="1">
        <v>22</v>
      </c>
      <c r="G610" s="1">
        <v>11</v>
      </c>
      <c r="H610" s="1">
        <v>2</v>
      </c>
      <c r="I610" s="1">
        <v>0</v>
      </c>
      <c r="J610" s="2" t="str">
        <f t="shared" si="49"/>
        <v>CBB</v>
      </c>
      <c r="K610" s="2" t="str">
        <f t="shared" si="50"/>
        <v>@HAR</v>
      </c>
      <c r="L610" s="1" t="str">
        <f t="shared" si="51"/>
        <v>609,6/10/2004,0,22,11,2,0</v>
      </c>
    </row>
    <row r="611" spans="1:12" x14ac:dyDescent="0.2">
      <c r="A611" s="1" t="str">
        <f t="shared" si="47"/>
        <v>3814824</v>
      </c>
      <c r="B611" s="1" t="str">
        <f t="shared" si="48"/>
        <v>3814821</v>
      </c>
      <c r="C611" s="1">
        <v>610</v>
      </c>
      <c r="D611" s="4">
        <v>38148</v>
      </c>
      <c r="E611" s="1">
        <v>0</v>
      </c>
      <c r="F611" s="1">
        <v>21</v>
      </c>
      <c r="G611" s="1">
        <v>24</v>
      </c>
      <c r="H611" s="1">
        <v>2</v>
      </c>
      <c r="I611" s="1">
        <v>0</v>
      </c>
      <c r="J611" s="2" t="str">
        <f t="shared" si="49"/>
        <v>NYD</v>
      </c>
      <c r="K611" s="2" t="str">
        <f t="shared" si="50"/>
        <v>@PHI</v>
      </c>
      <c r="L611" s="1" t="str">
        <f t="shared" si="51"/>
        <v>610,6/10/2004,0,21,24,2,0</v>
      </c>
    </row>
    <row r="612" spans="1:12" x14ac:dyDescent="0.2">
      <c r="A612" s="1" t="str">
        <f t="shared" si="47"/>
        <v>381491</v>
      </c>
      <c r="B612" s="1" t="str">
        <f t="shared" si="48"/>
        <v>381495</v>
      </c>
      <c r="C612" s="1">
        <v>611</v>
      </c>
      <c r="D612" s="4">
        <v>38149</v>
      </c>
      <c r="E612" s="1">
        <v>0</v>
      </c>
      <c r="F612" s="1">
        <v>5</v>
      </c>
      <c r="G612" s="1">
        <v>1</v>
      </c>
      <c r="H612" s="1">
        <v>2</v>
      </c>
      <c r="I612" s="1">
        <v>0</v>
      </c>
      <c r="J612" s="2" t="str">
        <f t="shared" si="49"/>
        <v>OKO</v>
      </c>
      <c r="K612" s="2" t="str">
        <f t="shared" si="50"/>
        <v>@FFR</v>
      </c>
      <c r="L612" s="1" t="str">
        <f t="shared" si="51"/>
        <v>611,6/11/2004,0,5,1,2,0</v>
      </c>
    </row>
    <row r="613" spans="1:12" x14ac:dyDescent="0.2">
      <c r="A613" s="1" t="str">
        <f t="shared" si="47"/>
        <v>381493</v>
      </c>
      <c r="B613" s="1" t="str">
        <f t="shared" si="48"/>
        <v>3814914</v>
      </c>
      <c r="C613" s="1">
        <v>612</v>
      </c>
      <c r="D613" s="4">
        <v>38149</v>
      </c>
      <c r="E613" s="1">
        <v>0</v>
      </c>
      <c r="F613" s="1">
        <v>14</v>
      </c>
      <c r="G613" s="1">
        <v>3</v>
      </c>
      <c r="H613" s="1">
        <v>2</v>
      </c>
      <c r="I613" s="1">
        <v>0</v>
      </c>
      <c r="J613" s="2" t="str">
        <f t="shared" si="49"/>
        <v>CEN</v>
      </c>
      <c r="K613" s="2" t="str">
        <f t="shared" si="50"/>
        <v>@TEW</v>
      </c>
      <c r="L613" s="1" t="str">
        <f t="shared" si="51"/>
        <v>612,6/11/2004,0,14,3,2,0</v>
      </c>
    </row>
    <row r="614" spans="1:12" x14ac:dyDescent="0.2">
      <c r="A614" s="1" t="str">
        <f t="shared" si="47"/>
        <v>381498</v>
      </c>
      <c r="B614" s="1" t="str">
        <f t="shared" si="48"/>
        <v>3814917</v>
      </c>
      <c r="C614" s="1">
        <v>613</v>
      </c>
      <c r="D614" s="4">
        <v>38149</v>
      </c>
      <c r="E614" s="1">
        <v>0</v>
      </c>
      <c r="F614" s="1">
        <v>17</v>
      </c>
      <c r="G614" s="1">
        <v>8</v>
      </c>
      <c r="H614" s="1">
        <v>2</v>
      </c>
      <c r="I614" s="1">
        <v>0</v>
      </c>
      <c r="J614" s="2" t="str">
        <f t="shared" si="49"/>
        <v>GAR</v>
      </c>
      <c r="K614" s="2" t="str">
        <f t="shared" si="50"/>
        <v>@CTW</v>
      </c>
      <c r="L614" s="1" t="str">
        <f t="shared" si="51"/>
        <v>613,6/11/2004,0,17,8,2,0</v>
      </c>
    </row>
    <row r="615" spans="1:12" x14ac:dyDescent="0.2">
      <c r="A615" s="1" t="str">
        <f t="shared" si="47"/>
        <v>3814911</v>
      </c>
      <c r="B615" s="1" t="str">
        <f t="shared" si="48"/>
        <v>3814922</v>
      </c>
      <c r="C615" s="1">
        <v>614</v>
      </c>
      <c r="D615" s="4">
        <v>38149</v>
      </c>
      <c r="E615" s="1">
        <v>0</v>
      </c>
      <c r="F615" s="1">
        <v>22</v>
      </c>
      <c r="G615" s="1">
        <v>11</v>
      </c>
      <c r="H615" s="1">
        <v>2</v>
      </c>
      <c r="I615" s="1">
        <v>0</v>
      </c>
      <c r="J615" s="2" t="str">
        <f t="shared" si="49"/>
        <v>CBB</v>
      </c>
      <c r="K615" s="2" t="str">
        <f t="shared" si="50"/>
        <v>@HAR</v>
      </c>
      <c r="L615" s="1" t="str">
        <f t="shared" si="51"/>
        <v>614,6/11/2004,0,22,11,2,0</v>
      </c>
    </row>
    <row r="616" spans="1:12" x14ac:dyDescent="0.2">
      <c r="A616" s="1" t="str">
        <f t="shared" si="47"/>
        <v>3814913</v>
      </c>
      <c r="B616" s="1" t="str">
        <f t="shared" si="48"/>
        <v>381497</v>
      </c>
      <c r="C616" s="1">
        <v>615</v>
      </c>
      <c r="D616" s="4">
        <v>38149</v>
      </c>
      <c r="E616" s="1">
        <v>0</v>
      </c>
      <c r="F616" s="1">
        <v>7</v>
      </c>
      <c r="G616" s="1">
        <v>13</v>
      </c>
      <c r="H616" s="1">
        <v>2</v>
      </c>
      <c r="I616" s="1">
        <v>0</v>
      </c>
      <c r="J616" s="2" t="str">
        <f t="shared" si="49"/>
        <v>BAR</v>
      </c>
      <c r="K616" s="2" t="str">
        <f t="shared" si="50"/>
        <v>@BBG</v>
      </c>
      <c r="L616" s="1" t="str">
        <f t="shared" si="51"/>
        <v>615,6/11/2004,0,7,13,2,0</v>
      </c>
    </row>
    <row r="617" spans="1:12" x14ac:dyDescent="0.2">
      <c r="A617" s="1" t="str">
        <f t="shared" si="47"/>
        <v>3814920</v>
      </c>
      <c r="B617" s="1" t="str">
        <f t="shared" si="48"/>
        <v>381499</v>
      </c>
      <c r="C617" s="1">
        <v>616</v>
      </c>
      <c r="D617" s="4">
        <v>38149</v>
      </c>
      <c r="E617" s="1">
        <v>0</v>
      </c>
      <c r="F617" s="1">
        <v>9</v>
      </c>
      <c r="G617" s="1">
        <v>20</v>
      </c>
      <c r="H617" s="1">
        <v>2</v>
      </c>
      <c r="I617" s="1">
        <v>0</v>
      </c>
      <c r="J617" s="2" t="str">
        <f t="shared" si="49"/>
        <v>CIN</v>
      </c>
      <c r="K617" s="2" t="str">
        <f t="shared" si="50"/>
        <v>@FDH</v>
      </c>
      <c r="L617" s="1" t="str">
        <f t="shared" si="51"/>
        <v>616,6/11/2004,0,9,20,2,0</v>
      </c>
    </row>
    <row r="618" spans="1:12" x14ac:dyDescent="0.2">
      <c r="A618" s="1" t="str">
        <f t="shared" si="47"/>
        <v>3814923</v>
      </c>
      <c r="B618" s="1" t="str">
        <f t="shared" si="48"/>
        <v>3814916</v>
      </c>
      <c r="C618" s="1">
        <v>617</v>
      </c>
      <c r="D618" s="4">
        <v>38149</v>
      </c>
      <c r="E618" s="1">
        <v>0</v>
      </c>
      <c r="F618" s="1">
        <v>16</v>
      </c>
      <c r="G618" s="1">
        <v>23</v>
      </c>
      <c r="H618" s="1">
        <v>2</v>
      </c>
      <c r="I618" s="1">
        <v>0</v>
      </c>
      <c r="J618" s="2" t="str">
        <f t="shared" si="49"/>
        <v>DIG</v>
      </c>
      <c r="K618" s="2" t="str">
        <f t="shared" si="50"/>
        <v>@BRK</v>
      </c>
      <c r="L618" s="1" t="str">
        <f t="shared" si="51"/>
        <v>617,6/11/2004,0,16,23,2,0</v>
      </c>
    </row>
    <row r="619" spans="1:12" x14ac:dyDescent="0.2">
      <c r="A619" s="1" t="str">
        <f t="shared" si="47"/>
        <v>381492</v>
      </c>
      <c r="B619" s="1" t="str">
        <f t="shared" si="48"/>
        <v>3814910</v>
      </c>
      <c r="C619" s="1">
        <v>618</v>
      </c>
      <c r="D619" s="4">
        <v>38149</v>
      </c>
      <c r="E619" s="1">
        <v>0</v>
      </c>
      <c r="F619" s="1">
        <v>10</v>
      </c>
      <c r="G619" s="1">
        <v>2</v>
      </c>
      <c r="H619" s="1">
        <v>2</v>
      </c>
      <c r="I619" s="1">
        <v>0</v>
      </c>
      <c r="J619" s="2" t="str">
        <f t="shared" si="49"/>
        <v>REN</v>
      </c>
      <c r="K619" s="2" t="str">
        <f t="shared" si="50"/>
        <v>@NEP</v>
      </c>
      <c r="L619" s="1" t="str">
        <f t="shared" si="51"/>
        <v>618,6/11/2004,0,10,2,2,0</v>
      </c>
    </row>
    <row r="620" spans="1:12" x14ac:dyDescent="0.2">
      <c r="A620" s="1" t="str">
        <f t="shared" si="47"/>
        <v>3814912</v>
      </c>
      <c r="B620" s="1" t="str">
        <f t="shared" si="48"/>
        <v>381494</v>
      </c>
      <c r="C620" s="1">
        <v>619</v>
      </c>
      <c r="D620" s="4">
        <v>38149</v>
      </c>
      <c r="E620" s="1">
        <v>0</v>
      </c>
      <c r="F620" s="1">
        <v>4</v>
      </c>
      <c r="G620" s="1">
        <v>12</v>
      </c>
      <c r="H620" s="1">
        <v>2</v>
      </c>
      <c r="I620" s="1">
        <v>0</v>
      </c>
      <c r="J620" s="2" t="str">
        <f t="shared" si="49"/>
        <v>NNN</v>
      </c>
      <c r="K620" s="2" t="str">
        <f t="shared" si="50"/>
        <v>@RMO</v>
      </c>
      <c r="L620" s="1" t="str">
        <f t="shared" si="51"/>
        <v>619,6/11/2004,0,4,12,2,0</v>
      </c>
    </row>
    <row r="621" spans="1:12" x14ac:dyDescent="0.2">
      <c r="A621" s="1" t="str">
        <f t="shared" si="47"/>
        <v>3814924</v>
      </c>
      <c r="B621" s="1" t="str">
        <f t="shared" si="48"/>
        <v>3814921</v>
      </c>
      <c r="C621" s="1">
        <v>620</v>
      </c>
      <c r="D621" s="4">
        <v>38149</v>
      </c>
      <c r="E621" s="1">
        <v>0</v>
      </c>
      <c r="F621" s="1">
        <v>21</v>
      </c>
      <c r="G621" s="1">
        <v>24</v>
      </c>
      <c r="H621" s="1">
        <v>2</v>
      </c>
      <c r="I621" s="1">
        <v>0</v>
      </c>
      <c r="J621" s="2" t="str">
        <f t="shared" si="49"/>
        <v>NYD</v>
      </c>
      <c r="K621" s="2" t="str">
        <f t="shared" si="50"/>
        <v>@PHI</v>
      </c>
      <c r="L621" s="1" t="str">
        <f t="shared" si="51"/>
        <v>620,6/11/2004,0,21,24,2,0</v>
      </c>
    </row>
    <row r="622" spans="1:12" x14ac:dyDescent="0.2">
      <c r="A622" s="1" t="str">
        <f t="shared" si="47"/>
        <v>381501</v>
      </c>
      <c r="B622" s="1" t="str">
        <f t="shared" si="48"/>
        <v>381505</v>
      </c>
      <c r="C622" s="1">
        <v>621</v>
      </c>
      <c r="D622" s="4">
        <v>38150</v>
      </c>
      <c r="E622" s="1">
        <v>0</v>
      </c>
      <c r="F622" s="1">
        <v>5</v>
      </c>
      <c r="G622" s="1">
        <v>1</v>
      </c>
      <c r="H622" s="1">
        <v>2</v>
      </c>
      <c r="I622" s="1">
        <v>0</v>
      </c>
      <c r="J622" s="2" t="str">
        <f t="shared" si="49"/>
        <v>OKO</v>
      </c>
      <c r="K622" s="2" t="str">
        <f t="shared" si="50"/>
        <v>@FFR</v>
      </c>
      <c r="L622" s="1" t="str">
        <f t="shared" si="51"/>
        <v>621,6/12/2004,0,5,1,2,0</v>
      </c>
    </row>
    <row r="623" spans="1:12" x14ac:dyDescent="0.2">
      <c r="A623" s="1" t="str">
        <f t="shared" si="47"/>
        <v>381502</v>
      </c>
      <c r="B623" s="1" t="str">
        <f t="shared" si="48"/>
        <v>3815010</v>
      </c>
      <c r="C623" s="1">
        <v>622</v>
      </c>
      <c r="D623" s="4">
        <v>38150</v>
      </c>
      <c r="E623" s="1">
        <v>0</v>
      </c>
      <c r="F623" s="1">
        <v>10</v>
      </c>
      <c r="G623" s="1">
        <v>2</v>
      </c>
      <c r="H623" s="1">
        <v>2</v>
      </c>
      <c r="I623" s="1">
        <v>0</v>
      </c>
      <c r="J623" s="2" t="str">
        <f t="shared" si="49"/>
        <v>REN</v>
      </c>
      <c r="K623" s="2" t="str">
        <f t="shared" si="50"/>
        <v>@NEP</v>
      </c>
      <c r="L623" s="1" t="str">
        <f t="shared" si="51"/>
        <v>622,6/12/2004,0,10,2,2,0</v>
      </c>
    </row>
    <row r="624" spans="1:12" x14ac:dyDescent="0.2">
      <c r="A624" s="1" t="str">
        <f t="shared" si="47"/>
        <v>381503</v>
      </c>
      <c r="B624" s="1" t="str">
        <f t="shared" si="48"/>
        <v>3815014</v>
      </c>
      <c r="C624" s="1">
        <v>623</v>
      </c>
      <c r="D624" s="4">
        <v>38150</v>
      </c>
      <c r="E624" s="1">
        <v>0</v>
      </c>
      <c r="F624" s="1">
        <v>14</v>
      </c>
      <c r="G624" s="1">
        <v>3</v>
      </c>
      <c r="H624" s="1">
        <v>2</v>
      </c>
      <c r="I624" s="1">
        <v>0</v>
      </c>
      <c r="J624" s="2" t="str">
        <f t="shared" si="49"/>
        <v>CEN</v>
      </c>
      <c r="K624" s="2" t="str">
        <f t="shared" si="50"/>
        <v>@TEW</v>
      </c>
      <c r="L624" s="1" t="str">
        <f t="shared" si="51"/>
        <v>623,6/12/2004,0,14,3,2,0</v>
      </c>
    </row>
    <row r="625" spans="1:12" x14ac:dyDescent="0.2">
      <c r="A625" s="1" t="str">
        <f t="shared" si="47"/>
        <v>381508</v>
      </c>
      <c r="B625" s="1" t="str">
        <f t="shared" si="48"/>
        <v>3815017</v>
      </c>
      <c r="C625" s="1">
        <v>624</v>
      </c>
      <c r="D625" s="4">
        <v>38150</v>
      </c>
      <c r="E625" s="1">
        <v>0</v>
      </c>
      <c r="F625" s="1">
        <v>17</v>
      </c>
      <c r="G625" s="1">
        <v>8</v>
      </c>
      <c r="H625" s="1">
        <v>2</v>
      </c>
      <c r="I625" s="1">
        <v>0</v>
      </c>
      <c r="J625" s="2" t="str">
        <f t="shared" si="49"/>
        <v>GAR</v>
      </c>
      <c r="K625" s="2" t="str">
        <f t="shared" si="50"/>
        <v>@CTW</v>
      </c>
      <c r="L625" s="1" t="str">
        <f t="shared" si="51"/>
        <v>624,6/12/2004,0,17,8,2,0</v>
      </c>
    </row>
    <row r="626" spans="1:12" x14ac:dyDescent="0.2">
      <c r="A626" s="1" t="str">
        <f t="shared" si="47"/>
        <v>3815011</v>
      </c>
      <c r="B626" s="1" t="str">
        <f t="shared" si="48"/>
        <v>3815022</v>
      </c>
      <c r="C626" s="1">
        <v>625</v>
      </c>
      <c r="D626" s="4">
        <v>38150</v>
      </c>
      <c r="E626" s="1">
        <v>0</v>
      </c>
      <c r="F626" s="1">
        <v>22</v>
      </c>
      <c r="G626" s="1">
        <v>11</v>
      </c>
      <c r="H626" s="1">
        <v>2</v>
      </c>
      <c r="I626" s="1">
        <v>0</v>
      </c>
      <c r="J626" s="2" t="str">
        <f t="shared" si="49"/>
        <v>CBB</v>
      </c>
      <c r="K626" s="2" t="str">
        <f t="shared" si="50"/>
        <v>@HAR</v>
      </c>
      <c r="L626" s="1" t="str">
        <f t="shared" si="51"/>
        <v>625,6/12/2004,0,22,11,2,0</v>
      </c>
    </row>
    <row r="627" spans="1:12" x14ac:dyDescent="0.2">
      <c r="A627" s="1" t="str">
        <f t="shared" si="47"/>
        <v>3815012</v>
      </c>
      <c r="B627" s="1" t="str">
        <f t="shared" si="48"/>
        <v>381504</v>
      </c>
      <c r="C627" s="1">
        <v>626</v>
      </c>
      <c r="D627" s="4">
        <v>38150</v>
      </c>
      <c r="E627" s="1">
        <v>0</v>
      </c>
      <c r="F627" s="1">
        <v>4</v>
      </c>
      <c r="G627" s="1">
        <v>12</v>
      </c>
      <c r="H627" s="1">
        <v>2</v>
      </c>
      <c r="I627" s="1">
        <v>0</v>
      </c>
      <c r="J627" s="2" t="str">
        <f t="shared" si="49"/>
        <v>NNN</v>
      </c>
      <c r="K627" s="2" t="str">
        <f t="shared" si="50"/>
        <v>@RMO</v>
      </c>
      <c r="L627" s="1" t="str">
        <f t="shared" si="51"/>
        <v>626,6/12/2004,0,4,12,2,0</v>
      </c>
    </row>
    <row r="628" spans="1:12" x14ac:dyDescent="0.2">
      <c r="A628" s="1" t="str">
        <f t="shared" si="47"/>
        <v>3815013</v>
      </c>
      <c r="B628" s="1" t="str">
        <f t="shared" si="48"/>
        <v>381507</v>
      </c>
      <c r="C628" s="1">
        <v>627</v>
      </c>
      <c r="D628" s="4">
        <v>38150</v>
      </c>
      <c r="E628" s="1">
        <v>0</v>
      </c>
      <c r="F628" s="1">
        <v>7</v>
      </c>
      <c r="G628" s="1">
        <v>13</v>
      </c>
      <c r="H628" s="1">
        <v>2</v>
      </c>
      <c r="I628" s="1">
        <v>0</v>
      </c>
      <c r="J628" s="2" t="str">
        <f t="shared" si="49"/>
        <v>BAR</v>
      </c>
      <c r="K628" s="2" t="str">
        <f t="shared" si="50"/>
        <v>@BBG</v>
      </c>
      <c r="L628" s="1" t="str">
        <f t="shared" si="51"/>
        <v>627,6/12/2004,0,7,13,2,0</v>
      </c>
    </row>
    <row r="629" spans="1:12" x14ac:dyDescent="0.2">
      <c r="A629" s="1" t="str">
        <f t="shared" si="47"/>
        <v>3815020</v>
      </c>
      <c r="B629" s="1" t="str">
        <f t="shared" si="48"/>
        <v>381509</v>
      </c>
      <c r="C629" s="1">
        <v>628</v>
      </c>
      <c r="D629" s="4">
        <v>38150</v>
      </c>
      <c r="E629" s="1">
        <v>0</v>
      </c>
      <c r="F629" s="1">
        <v>9</v>
      </c>
      <c r="G629" s="1">
        <v>20</v>
      </c>
      <c r="H629" s="1">
        <v>2</v>
      </c>
      <c r="I629" s="1">
        <v>0</v>
      </c>
      <c r="J629" s="2" t="str">
        <f t="shared" si="49"/>
        <v>CIN</v>
      </c>
      <c r="K629" s="2" t="str">
        <f t="shared" si="50"/>
        <v>@FDH</v>
      </c>
      <c r="L629" s="1" t="str">
        <f t="shared" si="51"/>
        <v>628,6/12/2004,0,9,20,2,0</v>
      </c>
    </row>
    <row r="630" spans="1:12" x14ac:dyDescent="0.2">
      <c r="A630" s="1" t="str">
        <f t="shared" si="47"/>
        <v>3815023</v>
      </c>
      <c r="B630" s="1" t="str">
        <f t="shared" si="48"/>
        <v>3815016</v>
      </c>
      <c r="C630" s="1">
        <v>629</v>
      </c>
      <c r="D630" s="4">
        <v>38150</v>
      </c>
      <c r="E630" s="1">
        <v>0</v>
      </c>
      <c r="F630" s="1">
        <v>16</v>
      </c>
      <c r="G630" s="1">
        <v>23</v>
      </c>
      <c r="H630" s="1">
        <v>2</v>
      </c>
      <c r="I630" s="1">
        <v>0</v>
      </c>
      <c r="J630" s="2" t="str">
        <f t="shared" si="49"/>
        <v>DIG</v>
      </c>
      <c r="K630" s="2" t="str">
        <f t="shared" si="50"/>
        <v>@BRK</v>
      </c>
      <c r="L630" s="1" t="str">
        <f t="shared" si="51"/>
        <v>629,6/12/2004,0,16,23,2,0</v>
      </c>
    </row>
    <row r="631" spans="1:12" x14ac:dyDescent="0.2">
      <c r="A631" s="1" t="str">
        <f t="shared" si="47"/>
        <v>3815024</v>
      </c>
      <c r="B631" s="1" t="str">
        <f t="shared" si="48"/>
        <v>3815021</v>
      </c>
      <c r="C631" s="1">
        <v>630</v>
      </c>
      <c r="D631" s="4">
        <v>38150</v>
      </c>
      <c r="E631" s="1">
        <v>0</v>
      </c>
      <c r="F631" s="1">
        <v>21</v>
      </c>
      <c r="G631" s="1">
        <v>24</v>
      </c>
      <c r="H631" s="1">
        <v>2</v>
      </c>
      <c r="I631" s="1">
        <v>0</v>
      </c>
      <c r="J631" s="2" t="str">
        <f t="shared" si="49"/>
        <v>NYD</v>
      </c>
      <c r="K631" s="2" t="str">
        <f t="shared" si="50"/>
        <v>@PHI</v>
      </c>
      <c r="L631" s="1" t="str">
        <f t="shared" si="51"/>
        <v>630,6/12/2004,0,21,24,2,0</v>
      </c>
    </row>
    <row r="632" spans="1:12" x14ac:dyDescent="0.2">
      <c r="A632" s="1" t="str">
        <f t="shared" si="47"/>
        <v>381512</v>
      </c>
      <c r="B632" s="1" t="str">
        <f t="shared" si="48"/>
        <v>3815110</v>
      </c>
      <c r="C632" s="1">
        <v>631</v>
      </c>
      <c r="D632" s="4">
        <v>38151</v>
      </c>
      <c r="E632" s="1">
        <v>0</v>
      </c>
      <c r="F632" s="1">
        <v>10</v>
      </c>
      <c r="G632" s="1">
        <v>2</v>
      </c>
      <c r="H632" s="1">
        <v>2</v>
      </c>
      <c r="I632" s="1">
        <v>0</v>
      </c>
      <c r="J632" s="2" t="str">
        <f t="shared" si="49"/>
        <v>REN</v>
      </c>
      <c r="K632" s="2" t="str">
        <f t="shared" si="50"/>
        <v>@NEP</v>
      </c>
      <c r="L632" s="1" t="str">
        <f t="shared" si="51"/>
        <v>631,6/13/2004,0,10,2,2,0</v>
      </c>
    </row>
    <row r="633" spans="1:12" x14ac:dyDescent="0.2">
      <c r="A633" s="1" t="str">
        <f t="shared" si="47"/>
        <v>381513</v>
      </c>
      <c r="B633" s="1" t="str">
        <f t="shared" si="48"/>
        <v>3815114</v>
      </c>
      <c r="C633" s="1">
        <v>632</v>
      </c>
      <c r="D633" s="4">
        <v>38151</v>
      </c>
      <c r="E633" s="1">
        <v>0</v>
      </c>
      <c r="F633" s="1">
        <v>14</v>
      </c>
      <c r="G633" s="1">
        <v>3</v>
      </c>
      <c r="H633" s="1">
        <v>2</v>
      </c>
      <c r="I633" s="1">
        <v>0</v>
      </c>
      <c r="J633" s="2" t="str">
        <f t="shared" si="49"/>
        <v>CEN</v>
      </c>
      <c r="K633" s="2" t="str">
        <f t="shared" si="50"/>
        <v>@TEW</v>
      </c>
      <c r="L633" s="1" t="str">
        <f t="shared" si="51"/>
        <v>632,6/13/2004,0,14,3,2,0</v>
      </c>
    </row>
    <row r="634" spans="1:12" x14ac:dyDescent="0.2">
      <c r="A634" s="1" t="str">
        <f t="shared" si="47"/>
        <v>381518</v>
      </c>
      <c r="B634" s="1" t="str">
        <f t="shared" si="48"/>
        <v>3815117</v>
      </c>
      <c r="C634" s="1">
        <v>633</v>
      </c>
      <c r="D634" s="4">
        <v>38151</v>
      </c>
      <c r="E634" s="1">
        <v>0</v>
      </c>
      <c r="F634" s="1">
        <v>17</v>
      </c>
      <c r="G634" s="1">
        <v>8</v>
      </c>
      <c r="H634" s="1">
        <v>2</v>
      </c>
      <c r="I634" s="1">
        <v>0</v>
      </c>
      <c r="J634" s="2" t="str">
        <f t="shared" si="49"/>
        <v>GAR</v>
      </c>
      <c r="K634" s="2" t="str">
        <f t="shared" si="50"/>
        <v>@CTW</v>
      </c>
      <c r="L634" s="1" t="str">
        <f t="shared" si="51"/>
        <v>633,6/13/2004,0,17,8,2,0</v>
      </c>
    </row>
    <row r="635" spans="1:12" x14ac:dyDescent="0.2">
      <c r="A635" s="1" t="str">
        <f t="shared" si="47"/>
        <v>3815111</v>
      </c>
      <c r="B635" s="1" t="str">
        <f t="shared" si="48"/>
        <v>3815122</v>
      </c>
      <c r="C635" s="1">
        <v>634</v>
      </c>
      <c r="D635" s="4">
        <v>38151</v>
      </c>
      <c r="E635" s="1">
        <v>0</v>
      </c>
      <c r="F635" s="1">
        <v>22</v>
      </c>
      <c r="G635" s="1">
        <v>11</v>
      </c>
      <c r="H635" s="1">
        <v>2</v>
      </c>
      <c r="I635" s="1">
        <v>0</v>
      </c>
      <c r="J635" s="2" t="str">
        <f t="shared" si="49"/>
        <v>CBB</v>
      </c>
      <c r="K635" s="2" t="str">
        <f t="shared" si="50"/>
        <v>@HAR</v>
      </c>
      <c r="L635" s="1" t="str">
        <f t="shared" si="51"/>
        <v>634,6/13/2004,0,22,11,2,0</v>
      </c>
    </row>
    <row r="636" spans="1:12" x14ac:dyDescent="0.2">
      <c r="A636" s="1" t="str">
        <f t="shared" si="47"/>
        <v>3815112</v>
      </c>
      <c r="B636" s="1" t="str">
        <f t="shared" si="48"/>
        <v>381514</v>
      </c>
      <c r="C636" s="1">
        <v>635</v>
      </c>
      <c r="D636" s="4">
        <v>38151</v>
      </c>
      <c r="E636" s="1">
        <v>0</v>
      </c>
      <c r="F636" s="1">
        <v>4</v>
      </c>
      <c r="G636" s="1">
        <v>12</v>
      </c>
      <c r="H636" s="1">
        <v>2</v>
      </c>
      <c r="I636" s="1">
        <v>0</v>
      </c>
      <c r="J636" s="2" t="str">
        <f t="shared" si="49"/>
        <v>NNN</v>
      </c>
      <c r="K636" s="2" t="str">
        <f t="shared" si="50"/>
        <v>@RMO</v>
      </c>
      <c r="L636" s="1" t="str">
        <f t="shared" si="51"/>
        <v>635,6/13/2004,0,4,12,2,0</v>
      </c>
    </row>
    <row r="637" spans="1:12" x14ac:dyDescent="0.2">
      <c r="A637" s="1" t="str">
        <f t="shared" si="47"/>
        <v>3815113</v>
      </c>
      <c r="B637" s="1" t="str">
        <f t="shared" si="48"/>
        <v>381517</v>
      </c>
      <c r="C637" s="1">
        <v>636</v>
      </c>
      <c r="D637" s="4">
        <v>38151</v>
      </c>
      <c r="E637" s="1">
        <v>0</v>
      </c>
      <c r="F637" s="1">
        <v>7</v>
      </c>
      <c r="G637" s="1">
        <v>13</v>
      </c>
      <c r="H637" s="1">
        <v>2</v>
      </c>
      <c r="I637" s="1">
        <v>0</v>
      </c>
      <c r="J637" s="2" t="str">
        <f t="shared" si="49"/>
        <v>BAR</v>
      </c>
      <c r="K637" s="2" t="str">
        <f t="shared" si="50"/>
        <v>@BBG</v>
      </c>
      <c r="L637" s="1" t="str">
        <f t="shared" si="51"/>
        <v>636,6/13/2004,0,7,13,2,0</v>
      </c>
    </row>
    <row r="638" spans="1:12" x14ac:dyDescent="0.2">
      <c r="A638" s="1" t="str">
        <f t="shared" si="47"/>
        <v>3815120</v>
      </c>
      <c r="B638" s="1" t="str">
        <f t="shared" si="48"/>
        <v>381519</v>
      </c>
      <c r="C638" s="1">
        <v>637</v>
      </c>
      <c r="D638" s="4">
        <v>38151</v>
      </c>
      <c r="E638" s="1">
        <v>0</v>
      </c>
      <c r="F638" s="1">
        <v>9</v>
      </c>
      <c r="G638" s="1">
        <v>20</v>
      </c>
      <c r="H638" s="1">
        <v>2</v>
      </c>
      <c r="I638" s="1">
        <v>0</v>
      </c>
      <c r="J638" s="2" t="str">
        <f t="shared" si="49"/>
        <v>CIN</v>
      </c>
      <c r="K638" s="2" t="str">
        <f t="shared" si="50"/>
        <v>@FDH</v>
      </c>
      <c r="L638" s="1" t="str">
        <f t="shared" si="51"/>
        <v>637,6/13/2004,0,9,20,2,0</v>
      </c>
    </row>
    <row r="639" spans="1:12" x14ac:dyDescent="0.2">
      <c r="A639" s="1" t="str">
        <f t="shared" si="47"/>
        <v>3815124</v>
      </c>
      <c r="B639" s="1" t="str">
        <f t="shared" si="48"/>
        <v>3815121</v>
      </c>
      <c r="C639" s="1">
        <v>638</v>
      </c>
      <c r="D639" s="4">
        <v>38151</v>
      </c>
      <c r="E639" s="1">
        <v>0</v>
      </c>
      <c r="F639" s="1">
        <v>21</v>
      </c>
      <c r="G639" s="1">
        <v>24</v>
      </c>
      <c r="H639" s="1">
        <v>2</v>
      </c>
      <c r="I639" s="1">
        <v>0</v>
      </c>
      <c r="J639" s="2" t="str">
        <f t="shared" si="49"/>
        <v>NYD</v>
      </c>
      <c r="K639" s="2" t="str">
        <f t="shared" si="50"/>
        <v>@PHI</v>
      </c>
      <c r="L639" s="1" t="str">
        <f t="shared" si="51"/>
        <v>638,6/13/2004,0,21,24,2,0</v>
      </c>
    </row>
    <row r="640" spans="1:12" x14ac:dyDescent="0.2">
      <c r="A640" s="1" t="str">
        <f t="shared" si="47"/>
        <v>3815123</v>
      </c>
      <c r="B640" s="1" t="str">
        <f t="shared" si="48"/>
        <v>3815116</v>
      </c>
      <c r="C640" s="1">
        <v>639</v>
      </c>
      <c r="D640" s="4">
        <v>38151</v>
      </c>
      <c r="E640" s="1">
        <v>0</v>
      </c>
      <c r="F640" s="1">
        <v>16</v>
      </c>
      <c r="G640" s="1">
        <v>23</v>
      </c>
      <c r="H640" s="1">
        <v>2</v>
      </c>
      <c r="I640" s="1">
        <v>0</v>
      </c>
      <c r="J640" s="2" t="str">
        <f t="shared" si="49"/>
        <v>DIG</v>
      </c>
      <c r="K640" s="2" t="str">
        <f t="shared" si="50"/>
        <v>@BRK</v>
      </c>
      <c r="L640" s="1" t="str">
        <f t="shared" si="51"/>
        <v>639,6/13/2004,0,16,23,2,0</v>
      </c>
    </row>
    <row r="641" spans="1:12" x14ac:dyDescent="0.2">
      <c r="A641" s="1" t="str">
        <f t="shared" si="47"/>
        <v>381511</v>
      </c>
      <c r="B641" s="1" t="str">
        <f t="shared" si="48"/>
        <v>381515</v>
      </c>
      <c r="C641" s="1">
        <v>640</v>
      </c>
      <c r="D641" s="4">
        <v>38151</v>
      </c>
      <c r="E641" s="1">
        <v>0</v>
      </c>
      <c r="F641" s="1">
        <v>5</v>
      </c>
      <c r="G641" s="1">
        <v>1</v>
      </c>
      <c r="H641" s="1">
        <v>2</v>
      </c>
      <c r="I641" s="1">
        <v>0</v>
      </c>
      <c r="J641" s="2" t="str">
        <f t="shared" si="49"/>
        <v>OKO</v>
      </c>
      <c r="K641" s="2" t="str">
        <f t="shared" si="50"/>
        <v>@FFR</v>
      </c>
      <c r="L641" s="1" t="str">
        <f t="shared" si="51"/>
        <v>640,6/13/2004,0,5,1,2,0</v>
      </c>
    </row>
    <row r="642" spans="1:12" x14ac:dyDescent="0.2">
      <c r="A642" s="1" t="str">
        <f t="shared" ref="A642:A705" si="52">D642&amp;G642</f>
        <v>381521</v>
      </c>
      <c r="B642" s="1" t="str">
        <f t="shared" ref="B642:B705" si="53">D642&amp;F642</f>
        <v>381525</v>
      </c>
      <c r="C642" s="1">
        <v>641</v>
      </c>
      <c r="D642" s="4">
        <v>38152</v>
      </c>
      <c r="E642" s="1">
        <v>0</v>
      </c>
      <c r="F642" s="1">
        <v>5</v>
      </c>
      <c r="G642" s="1">
        <v>1</v>
      </c>
      <c r="H642" s="1">
        <v>2</v>
      </c>
      <c r="I642" s="1">
        <v>0</v>
      </c>
      <c r="J642" s="2" t="str">
        <f t="shared" ref="J642:J705" si="54">VLOOKUP(F642,$M$2:$N$21,2,0)</f>
        <v>OKO</v>
      </c>
      <c r="K642" s="2" t="str">
        <f t="shared" ref="K642:K705" si="55">"@"&amp;VLOOKUP(G642,$M$2:$N$21,2,0)</f>
        <v>@FFR</v>
      </c>
      <c r="L642" s="1" t="str">
        <f t="shared" ref="L642:L705" si="56">C642&amp;","&amp;MONTH(D642)&amp;"/"&amp;DAY(D642)&amp;"/"&amp;YEAR(D642)&amp;","&amp;E642&amp;","&amp;F642&amp;","&amp;G642&amp;","&amp;H642&amp;","&amp;I642</f>
        <v>641,6/14/2004,0,5,1,2,0</v>
      </c>
    </row>
    <row r="643" spans="1:12" x14ac:dyDescent="0.2">
      <c r="A643" s="1" t="str">
        <f t="shared" si="52"/>
        <v>381522</v>
      </c>
      <c r="B643" s="1" t="str">
        <f t="shared" si="53"/>
        <v>3815210</v>
      </c>
      <c r="C643" s="1">
        <v>642</v>
      </c>
      <c r="D643" s="4">
        <v>38152</v>
      </c>
      <c r="E643" s="1">
        <v>0</v>
      </c>
      <c r="F643" s="1">
        <v>10</v>
      </c>
      <c r="G643" s="1">
        <v>2</v>
      </c>
      <c r="H643" s="1">
        <v>2</v>
      </c>
      <c r="I643" s="1">
        <v>0</v>
      </c>
      <c r="J643" s="2" t="str">
        <f t="shared" si="54"/>
        <v>REN</v>
      </c>
      <c r="K643" s="2" t="str">
        <f t="shared" si="55"/>
        <v>@NEP</v>
      </c>
      <c r="L643" s="1" t="str">
        <f t="shared" si="56"/>
        <v>642,6/14/2004,0,10,2,2,0</v>
      </c>
    </row>
    <row r="644" spans="1:12" x14ac:dyDescent="0.2">
      <c r="A644" s="1" t="str">
        <f t="shared" si="52"/>
        <v>381523</v>
      </c>
      <c r="B644" s="1" t="str">
        <f t="shared" si="53"/>
        <v>3815214</v>
      </c>
      <c r="C644" s="1">
        <v>643</v>
      </c>
      <c r="D644" s="4">
        <v>38152</v>
      </c>
      <c r="E644" s="1">
        <v>0</v>
      </c>
      <c r="F644" s="1">
        <v>14</v>
      </c>
      <c r="G644" s="1">
        <v>3</v>
      </c>
      <c r="H644" s="1">
        <v>2</v>
      </c>
      <c r="I644" s="1">
        <v>0</v>
      </c>
      <c r="J644" s="2" t="str">
        <f t="shared" si="54"/>
        <v>CEN</v>
      </c>
      <c r="K644" s="2" t="str">
        <f t="shared" si="55"/>
        <v>@TEW</v>
      </c>
      <c r="L644" s="1" t="str">
        <f t="shared" si="56"/>
        <v>643,6/14/2004,0,14,3,2,0</v>
      </c>
    </row>
    <row r="645" spans="1:12" x14ac:dyDescent="0.2">
      <c r="A645" s="1" t="str">
        <f t="shared" si="52"/>
        <v>381528</v>
      </c>
      <c r="B645" s="1" t="str">
        <f t="shared" si="53"/>
        <v>3815217</v>
      </c>
      <c r="C645" s="1">
        <v>644</v>
      </c>
      <c r="D645" s="4">
        <v>38152</v>
      </c>
      <c r="E645" s="1">
        <v>0</v>
      </c>
      <c r="F645" s="1">
        <v>17</v>
      </c>
      <c r="G645" s="1">
        <v>8</v>
      </c>
      <c r="H645" s="1">
        <v>2</v>
      </c>
      <c r="I645" s="1">
        <v>0</v>
      </c>
      <c r="J645" s="2" t="str">
        <f t="shared" si="54"/>
        <v>GAR</v>
      </c>
      <c r="K645" s="2" t="str">
        <f t="shared" si="55"/>
        <v>@CTW</v>
      </c>
      <c r="L645" s="1" t="str">
        <f t="shared" si="56"/>
        <v>644,6/14/2004,0,17,8,2,0</v>
      </c>
    </row>
    <row r="646" spans="1:12" x14ac:dyDescent="0.2">
      <c r="A646" s="1" t="str">
        <f t="shared" si="52"/>
        <v>3815211</v>
      </c>
      <c r="B646" s="1" t="str">
        <f t="shared" si="53"/>
        <v>3815222</v>
      </c>
      <c r="C646" s="1">
        <v>645</v>
      </c>
      <c r="D646" s="4">
        <v>38152</v>
      </c>
      <c r="E646" s="1">
        <v>0</v>
      </c>
      <c r="F646" s="1">
        <v>22</v>
      </c>
      <c r="G646" s="1">
        <v>11</v>
      </c>
      <c r="H646" s="1">
        <v>2</v>
      </c>
      <c r="I646" s="1">
        <v>0</v>
      </c>
      <c r="J646" s="2" t="str">
        <f t="shared" si="54"/>
        <v>CBB</v>
      </c>
      <c r="K646" s="2" t="str">
        <f t="shared" si="55"/>
        <v>@HAR</v>
      </c>
      <c r="L646" s="1" t="str">
        <f t="shared" si="56"/>
        <v>645,6/14/2004,0,22,11,2,0</v>
      </c>
    </row>
    <row r="647" spans="1:12" x14ac:dyDescent="0.2">
      <c r="A647" s="1" t="str">
        <f t="shared" si="52"/>
        <v>3815212</v>
      </c>
      <c r="B647" s="1" t="str">
        <f t="shared" si="53"/>
        <v>381524</v>
      </c>
      <c r="C647" s="1">
        <v>646</v>
      </c>
      <c r="D647" s="4">
        <v>38152</v>
      </c>
      <c r="E647" s="1">
        <v>0</v>
      </c>
      <c r="F647" s="1">
        <v>4</v>
      </c>
      <c r="G647" s="1">
        <v>12</v>
      </c>
      <c r="H647" s="1">
        <v>2</v>
      </c>
      <c r="I647" s="1">
        <v>0</v>
      </c>
      <c r="J647" s="2" t="str">
        <f t="shared" si="54"/>
        <v>NNN</v>
      </c>
      <c r="K647" s="2" t="str">
        <f t="shared" si="55"/>
        <v>@RMO</v>
      </c>
      <c r="L647" s="1" t="str">
        <f t="shared" si="56"/>
        <v>646,6/14/2004,0,4,12,2,0</v>
      </c>
    </row>
    <row r="648" spans="1:12" x14ac:dyDescent="0.2">
      <c r="A648" s="1" t="str">
        <f t="shared" si="52"/>
        <v>3815213</v>
      </c>
      <c r="B648" s="1" t="str">
        <f t="shared" si="53"/>
        <v>381527</v>
      </c>
      <c r="C648" s="1">
        <v>647</v>
      </c>
      <c r="D648" s="4">
        <v>38152</v>
      </c>
      <c r="E648" s="1">
        <v>0</v>
      </c>
      <c r="F648" s="1">
        <v>7</v>
      </c>
      <c r="G648" s="1">
        <v>13</v>
      </c>
      <c r="H648" s="1">
        <v>2</v>
      </c>
      <c r="I648" s="1">
        <v>0</v>
      </c>
      <c r="J648" s="2" t="str">
        <f t="shared" si="54"/>
        <v>BAR</v>
      </c>
      <c r="K648" s="2" t="str">
        <f t="shared" si="55"/>
        <v>@BBG</v>
      </c>
      <c r="L648" s="1" t="str">
        <f t="shared" si="56"/>
        <v>647,6/14/2004,0,7,13,2,0</v>
      </c>
    </row>
    <row r="649" spans="1:12" x14ac:dyDescent="0.2">
      <c r="A649" s="1" t="str">
        <f t="shared" si="52"/>
        <v>3815220</v>
      </c>
      <c r="B649" s="1" t="str">
        <f t="shared" si="53"/>
        <v>381529</v>
      </c>
      <c r="C649" s="1">
        <v>648</v>
      </c>
      <c r="D649" s="4">
        <v>38152</v>
      </c>
      <c r="E649" s="1">
        <v>0</v>
      </c>
      <c r="F649" s="1">
        <v>9</v>
      </c>
      <c r="G649" s="1">
        <v>20</v>
      </c>
      <c r="H649" s="1">
        <v>2</v>
      </c>
      <c r="I649" s="1">
        <v>0</v>
      </c>
      <c r="J649" s="2" t="str">
        <f t="shared" si="54"/>
        <v>CIN</v>
      </c>
      <c r="K649" s="2" t="str">
        <f t="shared" si="55"/>
        <v>@FDH</v>
      </c>
      <c r="L649" s="1" t="str">
        <f t="shared" si="56"/>
        <v>648,6/14/2004,0,9,20,2,0</v>
      </c>
    </row>
    <row r="650" spans="1:12" x14ac:dyDescent="0.2">
      <c r="A650" s="1" t="str">
        <f t="shared" si="52"/>
        <v>3815223</v>
      </c>
      <c r="B650" s="1" t="str">
        <f t="shared" si="53"/>
        <v>3815216</v>
      </c>
      <c r="C650" s="1">
        <v>649</v>
      </c>
      <c r="D650" s="4">
        <v>38152</v>
      </c>
      <c r="E650" s="1">
        <v>0</v>
      </c>
      <c r="F650" s="1">
        <v>16</v>
      </c>
      <c r="G650" s="1">
        <v>23</v>
      </c>
      <c r="H650" s="1">
        <v>2</v>
      </c>
      <c r="I650" s="1">
        <v>0</v>
      </c>
      <c r="J650" s="2" t="str">
        <f t="shared" si="54"/>
        <v>DIG</v>
      </c>
      <c r="K650" s="2" t="str">
        <f t="shared" si="55"/>
        <v>@BRK</v>
      </c>
      <c r="L650" s="1" t="str">
        <f t="shared" si="56"/>
        <v>649,6/14/2004,0,16,23,2,0</v>
      </c>
    </row>
    <row r="651" spans="1:12" x14ac:dyDescent="0.2">
      <c r="A651" s="1" t="str">
        <f t="shared" si="52"/>
        <v>3815224</v>
      </c>
      <c r="B651" s="1" t="str">
        <f t="shared" si="53"/>
        <v>3815221</v>
      </c>
      <c r="C651" s="1">
        <v>650</v>
      </c>
      <c r="D651" s="4">
        <v>38152</v>
      </c>
      <c r="E651" s="1">
        <v>0</v>
      </c>
      <c r="F651" s="1">
        <v>21</v>
      </c>
      <c r="G651" s="1">
        <v>24</v>
      </c>
      <c r="H651" s="1">
        <v>2</v>
      </c>
      <c r="I651" s="1">
        <v>0</v>
      </c>
      <c r="J651" s="2" t="str">
        <f t="shared" si="54"/>
        <v>NYD</v>
      </c>
      <c r="K651" s="2" t="str">
        <f t="shared" si="55"/>
        <v>@PHI</v>
      </c>
      <c r="L651" s="1" t="str">
        <f t="shared" si="56"/>
        <v>650,6/14/2004,0,21,24,2,0</v>
      </c>
    </row>
    <row r="652" spans="1:12" x14ac:dyDescent="0.2">
      <c r="A652" s="1" t="str">
        <f t="shared" si="52"/>
        <v>3815313</v>
      </c>
      <c r="B652" s="1" t="str">
        <f t="shared" si="53"/>
        <v>3815317</v>
      </c>
      <c r="C652" s="1">
        <v>651</v>
      </c>
      <c r="D652" s="4">
        <v>38153</v>
      </c>
      <c r="E652" s="1">
        <v>0</v>
      </c>
      <c r="F652" s="1">
        <v>17</v>
      </c>
      <c r="G652" s="1">
        <v>13</v>
      </c>
      <c r="H652" s="1">
        <v>2</v>
      </c>
      <c r="I652" s="1">
        <v>0</v>
      </c>
      <c r="J652" s="2" t="str">
        <f t="shared" si="54"/>
        <v>GAR</v>
      </c>
      <c r="K652" s="2" t="str">
        <f t="shared" si="55"/>
        <v>@BBG</v>
      </c>
      <c r="L652" s="1" t="str">
        <f t="shared" si="56"/>
        <v>651,6/15/2004,0,17,13,2,0</v>
      </c>
    </row>
    <row r="653" spans="1:12" x14ac:dyDescent="0.2">
      <c r="A653" s="1" t="str">
        <f t="shared" si="52"/>
        <v>381539</v>
      </c>
      <c r="B653" s="1" t="str">
        <f t="shared" si="53"/>
        <v>381538</v>
      </c>
      <c r="C653" s="1">
        <v>652</v>
      </c>
      <c r="D653" s="4">
        <v>38153</v>
      </c>
      <c r="E653" s="1">
        <v>0</v>
      </c>
      <c r="F653" s="1">
        <v>8</v>
      </c>
      <c r="G653" s="1">
        <v>9</v>
      </c>
      <c r="H653" s="1">
        <v>2</v>
      </c>
      <c r="I653" s="1">
        <v>0</v>
      </c>
      <c r="J653" s="2" t="str">
        <f t="shared" si="54"/>
        <v>CTW</v>
      </c>
      <c r="K653" s="2" t="str">
        <f t="shared" si="55"/>
        <v>@CIN</v>
      </c>
      <c r="L653" s="1" t="str">
        <f t="shared" si="56"/>
        <v>652,6/15/2004,0,8,9,2,0</v>
      </c>
    </row>
    <row r="654" spans="1:12" x14ac:dyDescent="0.2">
      <c r="A654" s="1" t="str">
        <f t="shared" si="52"/>
        <v>381532</v>
      </c>
      <c r="B654" s="1" t="str">
        <f t="shared" si="53"/>
        <v>3815310</v>
      </c>
      <c r="C654" s="1">
        <v>653</v>
      </c>
      <c r="D654" s="4">
        <v>38153</v>
      </c>
      <c r="E654" s="1">
        <v>0</v>
      </c>
      <c r="F654" s="1">
        <v>10</v>
      </c>
      <c r="G654" s="1">
        <v>2</v>
      </c>
      <c r="H654" s="1">
        <v>2</v>
      </c>
      <c r="I654" s="1">
        <v>0</v>
      </c>
      <c r="J654" s="2" t="str">
        <f t="shared" si="54"/>
        <v>REN</v>
      </c>
      <c r="K654" s="2" t="str">
        <f t="shared" si="55"/>
        <v>@NEP</v>
      </c>
      <c r="L654" s="1" t="str">
        <f t="shared" si="56"/>
        <v>653,6/15/2004,0,10,2,2,0</v>
      </c>
    </row>
    <row r="655" spans="1:12" x14ac:dyDescent="0.2">
      <c r="A655" s="1" t="str">
        <f t="shared" si="52"/>
        <v>381533</v>
      </c>
      <c r="B655" s="1" t="str">
        <f t="shared" si="53"/>
        <v>3815314</v>
      </c>
      <c r="C655" s="1">
        <v>654</v>
      </c>
      <c r="D655" s="4">
        <v>38153</v>
      </c>
      <c r="E655" s="1">
        <v>0</v>
      </c>
      <c r="F655" s="1">
        <v>14</v>
      </c>
      <c r="G655" s="1">
        <v>3</v>
      </c>
      <c r="H655" s="1">
        <v>2</v>
      </c>
      <c r="I655" s="1">
        <v>0</v>
      </c>
      <c r="J655" s="2" t="str">
        <f t="shared" si="54"/>
        <v>CEN</v>
      </c>
      <c r="K655" s="2" t="str">
        <f t="shared" si="55"/>
        <v>@TEW</v>
      </c>
      <c r="L655" s="1" t="str">
        <f t="shared" si="56"/>
        <v>654,6/15/2004,0,14,3,2,0</v>
      </c>
    </row>
    <row r="656" spans="1:12" x14ac:dyDescent="0.2">
      <c r="A656" s="1" t="str">
        <f t="shared" si="52"/>
        <v>381531</v>
      </c>
      <c r="B656" s="1" t="str">
        <f t="shared" si="53"/>
        <v>381535</v>
      </c>
      <c r="C656" s="1">
        <v>655</v>
      </c>
      <c r="D656" s="4">
        <v>38153</v>
      </c>
      <c r="E656" s="1">
        <v>0</v>
      </c>
      <c r="F656" s="1">
        <v>5</v>
      </c>
      <c r="G656" s="1">
        <v>1</v>
      </c>
      <c r="H656" s="1">
        <v>2</v>
      </c>
      <c r="I656" s="1">
        <v>0</v>
      </c>
      <c r="J656" s="2" t="str">
        <f t="shared" si="54"/>
        <v>OKO</v>
      </c>
      <c r="K656" s="2" t="str">
        <f t="shared" si="55"/>
        <v>@FFR</v>
      </c>
      <c r="L656" s="1" t="str">
        <f t="shared" si="56"/>
        <v>655,6/15/2004,0,5,1,2,0</v>
      </c>
    </row>
    <row r="657" spans="1:12" x14ac:dyDescent="0.2">
      <c r="A657" s="1" t="str">
        <f t="shared" si="52"/>
        <v>3815312</v>
      </c>
      <c r="B657" s="1" t="str">
        <f t="shared" si="53"/>
        <v>381534</v>
      </c>
      <c r="C657" s="1">
        <v>656</v>
      </c>
      <c r="D657" s="4">
        <v>38153</v>
      </c>
      <c r="E657" s="1">
        <v>0</v>
      </c>
      <c r="F657" s="1">
        <v>4</v>
      </c>
      <c r="G657" s="1">
        <v>12</v>
      </c>
      <c r="H657" s="1">
        <v>2</v>
      </c>
      <c r="I657" s="1">
        <v>0</v>
      </c>
      <c r="J657" s="2" t="str">
        <f t="shared" si="54"/>
        <v>NNN</v>
      </c>
      <c r="K657" s="2" t="str">
        <f t="shared" si="55"/>
        <v>@RMO</v>
      </c>
      <c r="L657" s="1" t="str">
        <f t="shared" si="56"/>
        <v>656,6/15/2004,0,4,12,2,0</v>
      </c>
    </row>
    <row r="658" spans="1:12" x14ac:dyDescent="0.2">
      <c r="A658" s="1" t="str">
        <f t="shared" si="52"/>
        <v>381541</v>
      </c>
      <c r="B658" s="1" t="str">
        <f t="shared" si="53"/>
        <v>381544</v>
      </c>
      <c r="C658" s="1">
        <v>657</v>
      </c>
      <c r="D658" s="4">
        <v>38154</v>
      </c>
      <c r="E658" s="1">
        <v>0</v>
      </c>
      <c r="F658" s="1">
        <v>4</v>
      </c>
      <c r="G658" s="1">
        <v>1</v>
      </c>
      <c r="H658" s="1">
        <v>2</v>
      </c>
      <c r="I658" s="1">
        <v>0</v>
      </c>
      <c r="J658" s="2" t="str">
        <f t="shared" si="54"/>
        <v>NNN</v>
      </c>
      <c r="K658" s="2" t="str">
        <f t="shared" si="55"/>
        <v>@FFR</v>
      </c>
      <c r="L658" s="1" t="str">
        <f t="shared" si="56"/>
        <v>657,6/16/2004,0,4,1,2,0</v>
      </c>
    </row>
    <row r="659" spans="1:12" x14ac:dyDescent="0.2">
      <c r="A659" s="1" t="str">
        <f t="shared" si="52"/>
        <v>381543</v>
      </c>
      <c r="B659" s="1" t="str">
        <f t="shared" si="53"/>
        <v>3815410</v>
      </c>
      <c r="C659" s="1">
        <v>658</v>
      </c>
      <c r="D659" s="4">
        <v>38154</v>
      </c>
      <c r="E659" s="1">
        <v>0</v>
      </c>
      <c r="F659" s="1">
        <v>10</v>
      </c>
      <c r="G659" s="1">
        <v>3</v>
      </c>
      <c r="H659" s="1">
        <v>2</v>
      </c>
      <c r="I659" s="1">
        <v>0</v>
      </c>
      <c r="J659" s="2" t="str">
        <f t="shared" si="54"/>
        <v>REN</v>
      </c>
      <c r="K659" s="2" t="str">
        <f t="shared" si="55"/>
        <v>@TEW</v>
      </c>
      <c r="L659" s="1" t="str">
        <f t="shared" si="56"/>
        <v>658,6/16/2004,0,10,3,2,0</v>
      </c>
    </row>
    <row r="660" spans="1:12" x14ac:dyDescent="0.2">
      <c r="A660" s="1" t="str">
        <f t="shared" si="52"/>
        <v>381545</v>
      </c>
      <c r="B660" s="1" t="str">
        <f t="shared" si="53"/>
        <v>3815422</v>
      </c>
      <c r="C660" s="1">
        <v>659</v>
      </c>
      <c r="D660" s="4">
        <v>38154</v>
      </c>
      <c r="E660" s="1">
        <v>0</v>
      </c>
      <c r="F660" s="1">
        <v>22</v>
      </c>
      <c r="G660" s="1">
        <v>5</v>
      </c>
      <c r="H660" s="1">
        <v>2</v>
      </c>
      <c r="I660" s="1">
        <v>0</v>
      </c>
      <c r="J660" s="2" t="str">
        <f t="shared" si="54"/>
        <v>CBB</v>
      </c>
      <c r="K660" s="2" t="str">
        <f t="shared" si="55"/>
        <v>@OKO</v>
      </c>
      <c r="L660" s="1" t="str">
        <f t="shared" si="56"/>
        <v>659,6/16/2004,0,22,5,2,0</v>
      </c>
    </row>
    <row r="661" spans="1:12" x14ac:dyDescent="0.2">
      <c r="A661" s="1" t="str">
        <f t="shared" si="52"/>
        <v>381547</v>
      </c>
      <c r="B661" s="1" t="str">
        <f t="shared" si="53"/>
        <v>3815414</v>
      </c>
      <c r="C661" s="1">
        <v>660</v>
      </c>
      <c r="D661" s="4">
        <v>38154</v>
      </c>
      <c r="E661" s="1">
        <v>0</v>
      </c>
      <c r="F661" s="1">
        <v>14</v>
      </c>
      <c r="G661" s="1">
        <v>7</v>
      </c>
      <c r="H661" s="1">
        <v>2</v>
      </c>
      <c r="I661" s="1">
        <v>0</v>
      </c>
      <c r="J661" s="2" t="str">
        <f t="shared" si="54"/>
        <v>CEN</v>
      </c>
      <c r="K661" s="2" t="str">
        <f t="shared" si="55"/>
        <v>@BAR</v>
      </c>
      <c r="L661" s="1" t="str">
        <f t="shared" si="56"/>
        <v>660,6/16/2004,0,14,7,2,0</v>
      </c>
    </row>
    <row r="662" spans="1:12" x14ac:dyDescent="0.2">
      <c r="A662" s="1" t="str">
        <f t="shared" si="52"/>
        <v>381549</v>
      </c>
      <c r="B662" s="1" t="str">
        <f t="shared" si="53"/>
        <v>381548</v>
      </c>
      <c r="C662" s="1">
        <v>661</v>
      </c>
      <c r="D662" s="4">
        <v>38154</v>
      </c>
      <c r="E662" s="1">
        <v>0</v>
      </c>
      <c r="F662" s="1">
        <v>8</v>
      </c>
      <c r="G662" s="1">
        <v>9</v>
      </c>
      <c r="H662" s="1">
        <v>2</v>
      </c>
      <c r="I662" s="1">
        <v>0</v>
      </c>
      <c r="J662" s="2" t="str">
        <f t="shared" si="54"/>
        <v>CTW</v>
      </c>
      <c r="K662" s="2" t="str">
        <f t="shared" si="55"/>
        <v>@CIN</v>
      </c>
      <c r="L662" s="1" t="str">
        <f t="shared" si="56"/>
        <v>661,6/16/2004,0,8,9,2,0</v>
      </c>
    </row>
    <row r="663" spans="1:12" x14ac:dyDescent="0.2">
      <c r="A663" s="1" t="str">
        <f t="shared" si="52"/>
        <v>3815411</v>
      </c>
      <c r="B663" s="1" t="str">
        <f t="shared" si="53"/>
        <v>3815421</v>
      </c>
      <c r="C663" s="1">
        <v>662</v>
      </c>
      <c r="D663" s="4">
        <v>38154</v>
      </c>
      <c r="E663" s="1">
        <v>0</v>
      </c>
      <c r="F663" s="1">
        <v>21</v>
      </c>
      <c r="G663" s="1">
        <v>11</v>
      </c>
      <c r="H663" s="1">
        <v>2</v>
      </c>
      <c r="I663" s="1">
        <v>0</v>
      </c>
      <c r="J663" s="2" t="str">
        <f t="shared" si="54"/>
        <v>NYD</v>
      </c>
      <c r="K663" s="2" t="str">
        <f t="shared" si="55"/>
        <v>@HAR</v>
      </c>
      <c r="L663" s="1" t="str">
        <f t="shared" si="56"/>
        <v>662,6/16/2004,0,21,11,2,0</v>
      </c>
    </row>
    <row r="664" spans="1:12" x14ac:dyDescent="0.2">
      <c r="A664" s="1" t="str">
        <f t="shared" si="52"/>
        <v>3815413</v>
      </c>
      <c r="B664" s="1" t="str">
        <f t="shared" si="53"/>
        <v>3815417</v>
      </c>
      <c r="C664" s="1">
        <v>663</v>
      </c>
      <c r="D664" s="4">
        <v>38154</v>
      </c>
      <c r="E664" s="1">
        <v>0</v>
      </c>
      <c r="F664" s="1">
        <v>17</v>
      </c>
      <c r="G664" s="1">
        <v>13</v>
      </c>
      <c r="H664" s="1">
        <v>2</v>
      </c>
      <c r="I664" s="1">
        <v>0</v>
      </c>
      <c r="J664" s="2" t="str">
        <f t="shared" si="54"/>
        <v>GAR</v>
      </c>
      <c r="K664" s="2" t="str">
        <f t="shared" si="55"/>
        <v>@BBG</v>
      </c>
      <c r="L664" s="1" t="str">
        <f t="shared" si="56"/>
        <v>663,6/16/2004,0,17,13,2,0</v>
      </c>
    </row>
    <row r="665" spans="1:12" x14ac:dyDescent="0.2">
      <c r="A665" s="1" t="str">
        <f t="shared" si="52"/>
        <v>3815416</v>
      </c>
      <c r="B665" s="1" t="str">
        <f t="shared" si="53"/>
        <v>3815412</v>
      </c>
      <c r="C665" s="1">
        <v>664</v>
      </c>
      <c r="D665" s="4">
        <v>38154</v>
      </c>
      <c r="E665" s="1">
        <v>0</v>
      </c>
      <c r="F665" s="1">
        <v>12</v>
      </c>
      <c r="G665" s="1">
        <v>16</v>
      </c>
      <c r="H665" s="1">
        <v>2</v>
      </c>
      <c r="I665" s="1">
        <v>0</v>
      </c>
      <c r="J665" s="2" t="str">
        <f t="shared" si="54"/>
        <v>RMO</v>
      </c>
      <c r="K665" s="2" t="str">
        <f t="shared" si="55"/>
        <v>@DIG</v>
      </c>
      <c r="L665" s="1" t="str">
        <f t="shared" si="56"/>
        <v>664,6/16/2004,0,12,16,2,0</v>
      </c>
    </row>
    <row r="666" spans="1:12" x14ac:dyDescent="0.2">
      <c r="A666" s="1" t="str">
        <f t="shared" si="52"/>
        <v>3815420</v>
      </c>
      <c r="B666" s="1" t="str">
        <f t="shared" si="53"/>
        <v>381542</v>
      </c>
      <c r="C666" s="1">
        <v>665</v>
      </c>
      <c r="D666" s="4">
        <v>38154</v>
      </c>
      <c r="E666" s="1">
        <v>0</v>
      </c>
      <c r="F666" s="1">
        <v>2</v>
      </c>
      <c r="G666" s="1">
        <v>20</v>
      </c>
      <c r="H666" s="1">
        <v>2</v>
      </c>
      <c r="I666" s="1">
        <v>0</v>
      </c>
      <c r="J666" s="2" t="str">
        <f t="shared" si="54"/>
        <v>NEP</v>
      </c>
      <c r="K666" s="2" t="str">
        <f t="shared" si="55"/>
        <v>@FDH</v>
      </c>
      <c r="L666" s="1" t="str">
        <f t="shared" si="56"/>
        <v>665,6/16/2004,0,2,20,2,0</v>
      </c>
    </row>
    <row r="667" spans="1:12" x14ac:dyDescent="0.2">
      <c r="A667" s="1" t="str">
        <f t="shared" si="52"/>
        <v>3815423</v>
      </c>
      <c r="B667" s="1" t="str">
        <f t="shared" si="53"/>
        <v>3815424</v>
      </c>
      <c r="C667" s="1">
        <v>666</v>
      </c>
      <c r="D667" s="4">
        <v>38154</v>
      </c>
      <c r="E667" s="1">
        <v>0</v>
      </c>
      <c r="F667" s="1">
        <v>24</v>
      </c>
      <c r="G667" s="1">
        <v>23</v>
      </c>
      <c r="H667" s="1">
        <v>2</v>
      </c>
      <c r="I667" s="1">
        <v>0</v>
      </c>
      <c r="J667" s="2" t="str">
        <f t="shared" si="54"/>
        <v>PHI</v>
      </c>
      <c r="K667" s="2" t="str">
        <f t="shared" si="55"/>
        <v>@BRK</v>
      </c>
      <c r="L667" s="1" t="str">
        <f t="shared" si="56"/>
        <v>666,6/16/2004,0,24,23,2,0</v>
      </c>
    </row>
    <row r="668" spans="1:12" x14ac:dyDescent="0.2">
      <c r="A668" s="1" t="str">
        <f t="shared" si="52"/>
        <v>381551</v>
      </c>
      <c r="B668" s="1" t="str">
        <f t="shared" si="53"/>
        <v>381554</v>
      </c>
      <c r="C668" s="1">
        <v>667</v>
      </c>
      <c r="D668" s="4">
        <v>38155</v>
      </c>
      <c r="E668" s="1">
        <v>0</v>
      </c>
      <c r="F668" s="1">
        <v>4</v>
      </c>
      <c r="G668" s="1">
        <v>1</v>
      </c>
      <c r="H668" s="1">
        <v>2</v>
      </c>
      <c r="I668" s="1">
        <v>0</v>
      </c>
      <c r="J668" s="2" t="str">
        <f t="shared" si="54"/>
        <v>NNN</v>
      </c>
      <c r="K668" s="2" t="str">
        <f t="shared" si="55"/>
        <v>@FFR</v>
      </c>
      <c r="L668" s="1" t="str">
        <f t="shared" si="56"/>
        <v>667,6/17/2004,0,4,1,2,0</v>
      </c>
    </row>
    <row r="669" spans="1:12" x14ac:dyDescent="0.2">
      <c r="A669" s="1" t="str">
        <f t="shared" si="52"/>
        <v>381553</v>
      </c>
      <c r="B669" s="1" t="str">
        <f t="shared" si="53"/>
        <v>3815510</v>
      </c>
      <c r="C669" s="1">
        <v>668</v>
      </c>
      <c r="D669" s="4">
        <v>38155</v>
      </c>
      <c r="E669" s="1">
        <v>0</v>
      </c>
      <c r="F669" s="1">
        <v>10</v>
      </c>
      <c r="G669" s="1">
        <v>3</v>
      </c>
      <c r="H669" s="1">
        <v>2</v>
      </c>
      <c r="I669" s="1">
        <v>0</v>
      </c>
      <c r="J669" s="2" t="str">
        <f t="shared" si="54"/>
        <v>REN</v>
      </c>
      <c r="K669" s="2" t="str">
        <f t="shared" si="55"/>
        <v>@TEW</v>
      </c>
      <c r="L669" s="1" t="str">
        <f t="shared" si="56"/>
        <v>668,6/17/2004,0,10,3,2,0</v>
      </c>
    </row>
    <row r="670" spans="1:12" x14ac:dyDescent="0.2">
      <c r="A670" s="1" t="str">
        <f t="shared" si="52"/>
        <v>381555</v>
      </c>
      <c r="B670" s="1" t="str">
        <f t="shared" si="53"/>
        <v>3815522</v>
      </c>
      <c r="C670" s="1">
        <v>669</v>
      </c>
      <c r="D670" s="4">
        <v>38155</v>
      </c>
      <c r="E670" s="1">
        <v>0</v>
      </c>
      <c r="F670" s="1">
        <v>22</v>
      </c>
      <c r="G670" s="1">
        <v>5</v>
      </c>
      <c r="H670" s="1">
        <v>2</v>
      </c>
      <c r="I670" s="1">
        <v>0</v>
      </c>
      <c r="J670" s="2" t="str">
        <f t="shared" si="54"/>
        <v>CBB</v>
      </c>
      <c r="K670" s="2" t="str">
        <f t="shared" si="55"/>
        <v>@OKO</v>
      </c>
      <c r="L670" s="1" t="str">
        <f t="shared" si="56"/>
        <v>669,6/17/2004,0,22,5,2,0</v>
      </c>
    </row>
    <row r="671" spans="1:12" x14ac:dyDescent="0.2">
      <c r="A671" s="1" t="str">
        <f t="shared" si="52"/>
        <v>381557</v>
      </c>
      <c r="B671" s="1" t="str">
        <f t="shared" si="53"/>
        <v>3815514</v>
      </c>
      <c r="C671" s="1">
        <v>670</v>
      </c>
      <c r="D671" s="4">
        <v>38155</v>
      </c>
      <c r="E671" s="1">
        <v>0</v>
      </c>
      <c r="F671" s="1">
        <v>14</v>
      </c>
      <c r="G671" s="1">
        <v>7</v>
      </c>
      <c r="H671" s="1">
        <v>2</v>
      </c>
      <c r="I671" s="1">
        <v>0</v>
      </c>
      <c r="J671" s="2" t="str">
        <f t="shared" si="54"/>
        <v>CEN</v>
      </c>
      <c r="K671" s="2" t="str">
        <f t="shared" si="55"/>
        <v>@BAR</v>
      </c>
      <c r="L671" s="1" t="str">
        <f t="shared" si="56"/>
        <v>670,6/17/2004,0,14,7,2,0</v>
      </c>
    </row>
    <row r="672" spans="1:12" x14ac:dyDescent="0.2">
      <c r="A672" s="1" t="str">
        <f t="shared" si="52"/>
        <v>381559</v>
      </c>
      <c r="B672" s="1" t="str">
        <f t="shared" si="53"/>
        <v>381558</v>
      </c>
      <c r="C672" s="1">
        <v>671</v>
      </c>
      <c r="D672" s="4">
        <v>38155</v>
      </c>
      <c r="E672" s="1">
        <v>0</v>
      </c>
      <c r="F672" s="1">
        <v>8</v>
      </c>
      <c r="G672" s="1">
        <v>9</v>
      </c>
      <c r="H672" s="1">
        <v>2</v>
      </c>
      <c r="I672" s="1">
        <v>0</v>
      </c>
      <c r="J672" s="2" t="str">
        <f t="shared" si="54"/>
        <v>CTW</v>
      </c>
      <c r="K672" s="2" t="str">
        <f t="shared" si="55"/>
        <v>@CIN</v>
      </c>
      <c r="L672" s="1" t="str">
        <f t="shared" si="56"/>
        <v>671,6/17/2004,0,8,9,2,0</v>
      </c>
    </row>
    <row r="673" spans="1:12" x14ac:dyDescent="0.2">
      <c r="A673" s="1" t="str">
        <f t="shared" si="52"/>
        <v>3815511</v>
      </c>
      <c r="B673" s="1" t="str">
        <f t="shared" si="53"/>
        <v>3815521</v>
      </c>
      <c r="C673" s="1">
        <v>672</v>
      </c>
      <c r="D673" s="4">
        <v>38155</v>
      </c>
      <c r="E673" s="1">
        <v>0</v>
      </c>
      <c r="F673" s="1">
        <v>21</v>
      </c>
      <c r="G673" s="1">
        <v>11</v>
      </c>
      <c r="H673" s="1">
        <v>2</v>
      </c>
      <c r="I673" s="1">
        <v>0</v>
      </c>
      <c r="J673" s="2" t="str">
        <f t="shared" si="54"/>
        <v>NYD</v>
      </c>
      <c r="K673" s="2" t="str">
        <f t="shared" si="55"/>
        <v>@HAR</v>
      </c>
      <c r="L673" s="1" t="str">
        <f t="shared" si="56"/>
        <v>672,6/17/2004,0,21,11,2,0</v>
      </c>
    </row>
    <row r="674" spans="1:12" x14ac:dyDescent="0.2">
      <c r="A674" s="1" t="str">
        <f t="shared" si="52"/>
        <v>3815513</v>
      </c>
      <c r="B674" s="1" t="str">
        <f t="shared" si="53"/>
        <v>3815517</v>
      </c>
      <c r="C674" s="1">
        <v>673</v>
      </c>
      <c r="D674" s="4">
        <v>38155</v>
      </c>
      <c r="E674" s="1">
        <v>0</v>
      </c>
      <c r="F674" s="1">
        <v>17</v>
      </c>
      <c r="G674" s="1">
        <v>13</v>
      </c>
      <c r="H674" s="1">
        <v>2</v>
      </c>
      <c r="I674" s="1">
        <v>0</v>
      </c>
      <c r="J674" s="2" t="str">
        <f t="shared" si="54"/>
        <v>GAR</v>
      </c>
      <c r="K674" s="2" t="str">
        <f t="shared" si="55"/>
        <v>@BBG</v>
      </c>
      <c r="L674" s="1" t="str">
        <f t="shared" si="56"/>
        <v>673,6/17/2004,0,17,13,2,0</v>
      </c>
    </row>
    <row r="675" spans="1:12" x14ac:dyDescent="0.2">
      <c r="A675" s="1" t="str">
        <f t="shared" si="52"/>
        <v>3815516</v>
      </c>
      <c r="B675" s="1" t="str">
        <f t="shared" si="53"/>
        <v>3815512</v>
      </c>
      <c r="C675" s="1">
        <v>674</v>
      </c>
      <c r="D675" s="4">
        <v>38155</v>
      </c>
      <c r="E675" s="1">
        <v>0</v>
      </c>
      <c r="F675" s="1">
        <v>12</v>
      </c>
      <c r="G675" s="1">
        <v>16</v>
      </c>
      <c r="H675" s="1">
        <v>2</v>
      </c>
      <c r="I675" s="1">
        <v>0</v>
      </c>
      <c r="J675" s="2" t="str">
        <f t="shared" si="54"/>
        <v>RMO</v>
      </c>
      <c r="K675" s="2" t="str">
        <f t="shared" si="55"/>
        <v>@DIG</v>
      </c>
      <c r="L675" s="1" t="str">
        <f t="shared" si="56"/>
        <v>674,6/17/2004,0,12,16,2,0</v>
      </c>
    </row>
    <row r="676" spans="1:12" x14ac:dyDescent="0.2">
      <c r="A676" s="1" t="str">
        <f t="shared" si="52"/>
        <v>3815520</v>
      </c>
      <c r="B676" s="1" t="str">
        <f t="shared" si="53"/>
        <v>381552</v>
      </c>
      <c r="C676" s="1">
        <v>675</v>
      </c>
      <c r="D676" s="4">
        <v>38155</v>
      </c>
      <c r="E676" s="1">
        <v>0</v>
      </c>
      <c r="F676" s="1">
        <v>2</v>
      </c>
      <c r="G676" s="1">
        <v>20</v>
      </c>
      <c r="H676" s="1">
        <v>2</v>
      </c>
      <c r="I676" s="1">
        <v>0</v>
      </c>
      <c r="J676" s="2" t="str">
        <f t="shared" si="54"/>
        <v>NEP</v>
      </c>
      <c r="K676" s="2" t="str">
        <f t="shared" si="55"/>
        <v>@FDH</v>
      </c>
      <c r="L676" s="1" t="str">
        <f t="shared" si="56"/>
        <v>675,6/17/2004,0,2,20,2,0</v>
      </c>
    </row>
    <row r="677" spans="1:12" x14ac:dyDescent="0.2">
      <c r="A677" s="1" t="str">
        <f t="shared" si="52"/>
        <v>3815523</v>
      </c>
      <c r="B677" s="1" t="str">
        <f t="shared" si="53"/>
        <v>3815524</v>
      </c>
      <c r="C677" s="1">
        <v>676</v>
      </c>
      <c r="D677" s="4">
        <v>38155</v>
      </c>
      <c r="E677" s="1">
        <v>0</v>
      </c>
      <c r="F677" s="1">
        <v>24</v>
      </c>
      <c r="G677" s="1">
        <v>23</v>
      </c>
      <c r="H677" s="1">
        <v>2</v>
      </c>
      <c r="I677" s="1">
        <v>0</v>
      </c>
      <c r="J677" s="2" t="str">
        <f t="shared" si="54"/>
        <v>PHI</v>
      </c>
      <c r="K677" s="2" t="str">
        <f t="shared" si="55"/>
        <v>@BRK</v>
      </c>
      <c r="L677" s="1" t="str">
        <f t="shared" si="56"/>
        <v>676,6/17/2004,0,24,23,2,0</v>
      </c>
    </row>
    <row r="678" spans="1:12" x14ac:dyDescent="0.2">
      <c r="A678" s="1" t="str">
        <f t="shared" si="52"/>
        <v>3815616</v>
      </c>
      <c r="B678" s="1" t="str">
        <f t="shared" si="53"/>
        <v>3815612</v>
      </c>
      <c r="C678" s="1">
        <v>677</v>
      </c>
      <c r="D678" s="4">
        <v>38156</v>
      </c>
      <c r="E678" s="1">
        <v>0</v>
      </c>
      <c r="F678" s="1">
        <v>12</v>
      </c>
      <c r="G678" s="1">
        <v>16</v>
      </c>
      <c r="H678" s="1">
        <v>2</v>
      </c>
      <c r="I678" s="1">
        <v>0</v>
      </c>
      <c r="J678" s="2" t="str">
        <f t="shared" si="54"/>
        <v>RMO</v>
      </c>
      <c r="K678" s="2" t="str">
        <f t="shared" si="55"/>
        <v>@DIG</v>
      </c>
      <c r="L678" s="1" t="str">
        <f t="shared" si="56"/>
        <v>677,6/18/2004,0,12,16,2,0</v>
      </c>
    </row>
    <row r="679" spans="1:12" x14ac:dyDescent="0.2">
      <c r="A679" s="1" t="str">
        <f t="shared" si="52"/>
        <v>381561</v>
      </c>
      <c r="B679" s="1" t="str">
        <f t="shared" si="53"/>
        <v>381564</v>
      </c>
      <c r="C679" s="1">
        <v>678</v>
      </c>
      <c r="D679" s="4">
        <v>38156</v>
      </c>
      <c r="E679" s="1">
        <v>0</v>
      </c>
      <c r="F679" s="1">
        <v>4</v>
      </c>
      <c r="G679" s="1">
        <v>1</v>
      </c>
      <c r="H679" s="1">
        <v>2</v>
      </c>
      <c r="I679" s="1">
        <v>0</v>
      </c>
      <c r="J679" s="2" t="str">
        <f t="shared" si="54"/>
        <v>NNN</v>
      </c>
      <c r="K679" s="2" t="str">
        <f t="shared" si="55"/>
        <v>@FFR</v>
      </c>
      <c r="L679" s="1" t="str">
        <f t="shared" si="56"/>
        <v>678,6/18/2004,0,4,1,2,0</v>
      </c>
    </row>
    <row r="680" spans="1:12" x14ac:dyDescent="0.2">
      <c r="A680" s="1" t="str">
        <f t="shared" si="52"/>
        <v>381563</v>
      </c>
      <c r="B680" s="1" t="str">
        <f t="shared" si="53"/>
        <v>3815610</v>
      </c>
      <c r="C680" s="1">
        <v>679</v>
      </c>
      <c r="D680" s="4">
        <v>38156</v>
      </c>
      <c r="E680" s="1">
        <v>0</v>
      </c>
      <c r="F680" s="1">
        <v>10</v>
      </c>
      <c r="G680" s="1">
        <v>3</v>
      </c>
      <c r="H680" s="1">
        <v>2</v>
      </c>
      <c r="I680" s="1">
        <v>0</v>
      </c>
      <c r="J680" s="2" t="str">
        <f t="shared" si="54"/>
        <v>REN</v>
      </c>
      <c r="K680" s="2" t="str">
        <f t="shared" si="55"/>
        <v>@TEW</v>
      </c>
      <c r="L680" s="1" t="str">
        <f t="shared" si="56"/>
        <v>679,6/18/2004,0,10,3,2,0</v>
      </c>
    </row>
    <row r="681" spans="1:12" x14ac:dyDescent="0.2">
      <c r="A681" s="1" t="str">
        <f t="shared" si="52"/>
        <v>3815623</v>
      </c>
      <c r="B681" s="1" t="str">
        <f t="shared" si="53"/>
        <v>3815624</v>
      </c>
      <c r="C681" s="1">
        <v>680</v>
      </c>
      <c r="D681" s="4">
        <v>38156</v>
      </c>
      <c r="E681" s="1">
        <v>0</v>
      </c>
      <c r="F681" s="1">
        <v>24</v>
      </c>
      <c r="G681" s="1">
        <v>23</v>
      </c>
      <c r="H681" s="1">
        <v>2</v>
      </c>
      <c r="I681" s="1">
        <v>0</v>
      </c>
      <c r="J681" s="2" t="str">
        <f t="shared" si="54"/>
        <v>PHI</v>
      </c>
      <c r="K681" s="2" t="str">
        <f t="shared" si="55"/>
        <v>@BRK</v>
      </c>
      <c r="L681" s="1" t="str">
        <f t="shared" si="56"/>
        <v>680,6/18/2004,0,24,23,2,0</v>
      </c>
    </row>
    <row r="682" spans="1:12" x14ac:dyDescent="0.2">
      <c r="A682" s="1" t="str">
        <f t="shared" si="52"/>
        <v>3815611</v>
      </c>
      <c r="B682" s="1" t="str">
        <f t="shared" si="53"/>
        <v>3815621</v>
      </c>
      <c r="C682" s="1">
        <v>681</v>
      </c>
      <c r="D682" s="4">
        <v>38156</v>
      </c>
      <c r="E682" s="1">
        <v>0</v>
      </c>
      <c r="F682" s="1">
        <v>21</v>
      </c>
      <c r="G682" s="1">
        <v>11</v>
      </c>
      <c r="H682" s="1">
        <v>2</v>
      </c>
      <c r="I682" s="1">
        <v>0</v>
      </c>
      <c r="J682" s="2" t="str">
        <f t="shared" si="54"/>
        <v>NYD</v>
      </c>
      <c r="K682" s="2" t="str">
        <f t="shared" si="55"/>
        <v>@HAR</v>
      </c>
      <c r="L682" s="1" t="str">
        <f t="shared" si="56"/>
        <v>681,6/18/2004,0,21,11,2,0</v>
      </c>
    </row>
    <row r="683" spans="1:12" x14ac:dyDescent="0.2">
      <c r="A683" s="1" t="str">
        <f t="shared" si="52"/>
        <v>381571</v>
      </c>
      <c r="B683" s="1" t="str">
        <f t="shared" si="53"/>
        <v>381574</v>
      </c>
      <c r="C683" s="1">
        <v>682</v>
      </c>
      <c r="D683" s="4">
        <v>38157</v>
      </c>
      <c r="E683" s="1">
        <v>0</v>
      </c>
      <c r="F683" s="1">
        <v>4</v>
      </c>
      <c r="G683" s="1">
        <v>1</v>
      </c>
      <c r="H683" s="1">
        <v>2</v>
      </c>
      <c r="I683" s="1">
        <v>0</v>
      </c>
      <c r="J683" s="2" t="str">
        <f t="shared" si="54"/>
        <v>NNN</v>
      </c>
      <c r="K683" s="2" t="str">
        <f t="shared" si="55"/>
        <v>@FFR</v>
      </c>
      <c r="L683" s="1" t="str">
        <f t="shared" si="56"/>
        <v>682,6/19/2004,0,4,1,2,0</v>
      </c>
    </row>
    <row r="684" spans="1:12" x14ac:dyDescent="0.2">
      <c r="A684" s="1" t="str">
        <f t="shared" si="52"/>
        <v>381573</v>
      </c>
      <c r="B684" s="1" t="str">
        <f t="shared" si="53"/>
        <v>3815710</v>
      </c>
      <c r="C684" s="1">
        <v>683</v>
      </c>
      <c r="D684" s="4">
        <v>38157</v>
      </c>
      <c r="E684" s="1">
        <v>0</v>
      </c>
      <c r="F684" s="1">
        <v>10</v>
      </c>
      <c r="G684" s="1">
        <v>3</v>
      </c>
      <c r="H684" s="1">
        <v>2</v>
      </c>
      <c r="I684" s="1">
        <v>0</v>
      </c>
      <c r="J684" s="2" t="str">
        <f t="shared" si="54"/>
        <v>REN</v>
      </c>
      <c r="K684" s="2" t="str">
        <f t="shared" si="55"/>
        <v>@TEW</v>
      </c>
      <c r="L684" s="1" t="str">
        <f t="shared" si="56"/>
        <v>683,6/19/2004,0,10,3,2,0</v>
      </c>
    </row>
    <row r="685" spans="1:12" x14ac:dyDescent="0.2">
      <c r="A685" s="1" t="str">
        <f t="shared" si="52"/>
        <v>381575</v>
      </c>
      <c r="B685" s="1" t="str">
        <f t="shared" si="53"/>
        <v>381577</v>
      </c>
      <c r="C685" s="1">
        <v>684</v>
      </c>
      <c r="D685" s="4">
        <v>38157</v>
      </c>
      <c r="E685" s="1">
        <v>0</v>
      </c>
      <c r="F685" s="1">
        <v>7</v>
      </c>
      <c r="G685" s="1">
        <v>5</v>
      </c>
      <c r="H685" s="1">
        <v>2</v>
      </c>
      <c r="I685" s="1">
        <v>0</v>
      </c>
      <c r="J685" s="2" t="str">
        <f t="shared" si="54"/>
        <v>BAR</v>
      </c>
      <c r="K685" s="2" t="str">
        <f t="shared" si="55"/>
        <v>@OKO</v>
      </c>
      <c r="L685" s="1" t="str">
        <f t="shared" si="56"/>
        <v>684,6/19/2004,0,7,5,2,0</v>
      </c>
    </row>
    <row r="686" spans="1:12" x14ac:dyDescent="0.2">
      <c r="A686" s="1" t="str">
        <f t="shared" si="52"/>
        <v>381579</v>
      </c>
      <c r="B686" s="1" t="str">
        <f t="shared" si="53"/>
        <v>381578</v>
      </c>
      <c r="C686" s="1">
        <v>685</v>
      </c>
      <c r="D686" s="4">
        <v>38157</v>
      </c>
      <c r="E686" s="1">
        <v>0</v>
      </c>
      <c r="F686" s="1">
        <v>8</v>
      </c>
      <c r="G686" s="1">
        <v>9</v>
      </c>
      <c r="H686" s="1">
        <v>2</v>
      </c>
      <c r="I686" s="1">
        <v>0</v>
      </c>
      <c r="J686" s="2" t="str">
        <f t="shared" si="54"/>
        <v>CTW</v>
      </c>
      <c r="K686" s="2" t="str">
        <f t="shared" si="55"/>
        <v>@CIN</v>
      </c>
      <c r="L686" s="1" t="str">
        <f t="shared" si="56"/>
        <v>685,6/19/2004,0,8,9,2,0</v>
      </c>
    </row>
    <row r="687" spans="1:12" x14ac:dyDescent="0.2">
      <c r="A687" s="1" t="str">
        <f t="shared" si="52"/>
        <v>3815711</v>
      </c>
      <c r="B687" s="1" t="str">
        <f t="shared" si="53"/>
        <v>3815721</v>
      </c>
      <c r="C687" s="1">
        <v>686</v>
      </c>
      <c r="D687" s="4">
        <v>38157</v>
      </c>
      <c r="E687" s="1">
        <v>0</v>
      </c>
      <c r="F687" s="1">
        <v>21</v>
      </c>
      <c r="G687" s="1">
        <v>11</v>
      </c>
      <c r="H687" s="1">
        <v>2</v>
      </c>
      <c r="I687" s="1">
        <v>0</v>
      </c>
      <c r="J687" s="2" t="str">
        <f t="shared" si="54"/>
        <v>NYD</v>
      </c>
      <c r="K687" s="2" t="str">
        <f t="shared" si="55"/>
        <v>@HAR</v>
      </c>
      <c r="L687" s="1" t="str">
        <f t="shared" si="56"/>
        <v>686,6/19/2004,0,21,11,2,0</v>
      </c>
    </row>
    <row r="688" spans="1:12" x14ac:dyDescent="0.2">
      <c r="A688" s="1" t="str">
        <f t="shared" si="52"/>
        <v>3815713</v>
      </c>
      <c r="B688" s="1" t="str">
        <f t="shared" si="53"/>
        <v>3815717</v>
      </c>
      <c r="C688" s="1">
        <v>687</v>
      </c>
      <c r="D688" s="4">
        <v>38157</v>
      </c>
      <c r="E688" s="1">
        <v>0</v>
      </c>
      <c r="F688" s="1">
        <v>17</v>
      </c>
      <c r="G688" s="1">
        <v>13</v>
      </c>
      <c r="H688" s="1">
        <v>2</v>
      </c>
      <c r="I688" s="1">
        <v>0</v>
      </c>
      <c r="J688" s="2" t="str">
        <f t="shared" si="54"/>
        <v>GAR</v>
      </c>
      <c r="K688" s="2" t="str">
        <f t="shared" si="55"/>
        <v>@BBG</v>
      </c>
      <c r="L688" s="1" t="str">
        <f t="shared" si="56"/>
        <v>687,6/19/2004,0,17,13,2,0</v>
      </c>
    </row>
    <row r="689" spans="1:12" x14ac:dyDescent="0.2">
      <c r="A689" s="1" t="str">
        <f t="shared" si="52"/>
        <v>3815716</v>
      </c>
      <c r="B689" s="1" t="str">
        <f t="shared" si="53"/>
        <v>3815712</v>
      </c>
      <c r="C689" s="1">
        <v>688</v>
      </c>
      <c r="D689" s="4">
        <v>38157</v>
      </c>
      <c r="E689" s="1">
        <v>0</v>
      </c>
      <c r="F689" s="1">
        <v>12</v>
      </c>
      <c r="G689" s="1">
        <v>16</v>
      </c>
      <c r="H689" s="1">
        <v>2</v>
      </c>
      <c r="I689" s="1">
        <v>0</v>
      </c>
      <c r="J689" s="2" t="str">
        <f t="shared" si="54"/>
        <v>RMO</v>
      </c>
      <c r="K689" s="2" t="str">
        <f t="shared" si="55"/>
        <v>@DIG</v>
      </c>
      <c r="L689" s="1" t="str">
        <f t="shared" si="56"/>
        <v>688,6/19/2004,0,12,16,2,0</v>
      </c>
    </row>
    <row r="690" spans="1:12" x14ac:dyDescent="0.2">
      <c r="A690" s="1" t="str">
        <f t="shared" si="52"/>
        <v>3815720</v>
      </c>
      <c r="B690" s="1" t="str">
        <f t="shared" si="53"/>
        <v>381572</v>
      </c>
      <c r="C690" s="1">
        <v>689</v>
      </c>
      <c r="D690" s="4">
        <v>38157</v>
      </c>
      <c r="E690" s="1">
        <v>0</v>
      </c>
      <c r="F690" s="1">
        <v>2</v>
      </c>
      <c r="G690" s="1">
        <v>20</v>
      </c>
      <c r="H690" s="1">
        <v>2</v>
      </c>
      <c r="I690" s="1">
        <v>0</v>
      </c>
      <c r="J690" s="2" t="str">
        <f t="shared" si="54"/>
        <v>NEP</v>
      </c>
      <c r="K690" s="2" t="str">
        <f t="shared" si="55"/>
        <v>@FDH</v>
      </c>
      <c r="L690" s="1" t="str">
        <f t="shared" si="56"/>
        <v>689,6/19/2004,0,2,20,2,0</v>
      </c>
    </row>
    <row r="691" spans="1:12" x14ac:dyDescent="0.2">
      <c r="A691" s="1" t="str">
        <f t="shared" si="52"/>
        <v>3815722</v>
      </c>
      <c r="B691" s="1" t="str">
        <f t="shared" si="53"/>
        <v>3815714</v>
      </c>
      <c r="C691" s="1">
        <v>690</v>
      </c>
      <c r="D691" s="4">
        <v>38157</v>
      </c>
      <c r="E691" s="1">
        <v>0</v>
      </c>
      <c r="F691" s="1">
        <v>14</v>
      </c>
      <c r="G691" s="1">
        <v>22</v>
      </c>
      <c r="H691" s="1">
        <v>2</v>
      </c>
      <c r="I691" s="1">
        <v>0</v>
      </c>
      <c r="J691" s="2" t="str">
        <f t="shared" si="54"/>
        <v>CEN</v>
      </c>
      <c r="K691" s="2" t="str">
        <f t="shared" si="55"/>
        <v>@CBB</v>
      </c>
      <c r="L691" s="1" t="str">
        <f t="shared" si="56"/>
        <v>690,6/19/2004,0,14,22,2,0</v>
      </c>
    </row>
    <row r="692" spans="1:12" x14ac:dyDescent="0.2">
      <c r="A692" s="1" t="str">
        <f t="shared" si="52"/>
        <v>3815723</v>
      </c>
      <c r="B692" s="1" t="str">
        <f t="shared" si="53"/>
        <v>3815724</v>
      </c>
      <c r="C692" s="1">
        <v>691</v>
      </c>
      <c r="D692" s="4">
        <v>38157</v>
      </c>
      <c r="E692" s="1">
        <v>0</v>
      </c>
      <c r="F692" s="1">
        <v>24</v>
      </c>
      <c r="G692" s="1">
        <v>23</v>
      </c>
      <c r="H692" s="1">
        <v>2</v>
      </c>
      <c r="I692" s="1">
        <v>0</v>
      </c>
      <c r="J692" s="2" t="str">
        <f t="shared" si="54"/>
        <v>PHI</v>
      </c>
      <c r="K692" s="2" t="str">
        <f t="shared" si="55"/>
        <v>@BRK</v>
      </c>
      <c r="L692" s="1" t="str">
        <f t="shared" si="56"/>
        <v>691,6/19/2004,0,24,23,2,0</v>
      </c>
    </row>
    <row r="693" spans="1:12" x14ac:dyDescent="0.2">
      <c r="A693" s="1" t="str">
        <f t="shared" si="52"/>
        <v>381581</v>
      </c>
      <c r="B693" s="1" t="str">
        <f t="shared" si="53"/>
        <v>381584</v>
      </c>
      <c r="C693" s="1">
        <v>692</v>
      </c>
      <c r="D693" s="4">
        <v>38158</v>
      </c>
      <c r="E693" s="1">
        <v>0</v>
      </c>
      <c r="F693" s="1">
        <v>4</v>
      </c>
      <c r="G693" s="1">
        <v>1</v>
      </c>
      <c r="H693" s="1">
        <v>2</v>
      </c>
      <c r="I693" s="1">
        <v>0</v>
      </c>
      <c r="J693" s="2" t="str">
        <f t="shared" si="54"/>
        <v>NNN</v>
      </c>
      <c r="K693" s="2" t="str">
        <f t="shared" si="55"/>
        <v>@FFR</v>
      </c>
      <c r="L693" s="1" t="str">
        <f t="shared" si="56"/>
        <v>692,6/20/2004,0,4,1,2,0</v>
      </c>
    </row>
    <row r="694" spans="1:12" x14ac:dyDescent="0.2">
      <c r="A694" s="1" t="str">
        <f t="shared" si="52"/>
        <v>381583</v>
      </c>
      <c r="B694" s="1" t="str">
        <f t="shared" si="53"/>
        <v>3815810</v>
      </c>
      <c r="C694" s="1">
        <v>693</v>
      </c>
      <c r="D694" s="4">
        <v>38158</v>
      </c>
      <c r="E694" s="1">
        <v>0</v>
      </c>
      <c r="F694" s="1">
        <v>10</v>
      </c>
      <c r="G694" s="1">
        <v>3</v>
      </c>
      <c r="H694" s="1">
        <v>2</v>
      </c>
      <c r="I694" s="1">
        <v>0</v>
      </c>
      <c r="J694" s="2" t="str">
        <f t="shared" si="54"/>
        <v>REN</v>
      </c>
      <c r="K694" s="2" t="str">
        <f t="shared" si="55"/>
        <v>@TEW</v>
      </c>
      <c r="L694" s="1" t="str">
        <f t="shared" si="56"/>
        <v>693,6/20/2004,0,10,3,2,0</v>
      </c>
    </row>
    <row r="695" spans="1:12" x14ac:dyDescent="0.2">
      <c r="A695" s="1" t="str">
        <f t="shared" si="52"/>
        <v>381585</v>
      </c>
      <c r="B695" s="1" t="str">
        <f t="shared" si="53"/>
        <v>381587</v>
      </c>
      <c r="C695" s="1">
        <v>694</v>
      </c>
      <c r="D695" s="4">
        <v>38158</v>
      </c>
      <c r="E695" s="1">
        <v>0</v>
      </c>
      <c r="F695" s="1">
        <v>7</v>
      </c>
      <c r="G695" s="1">
        <v>5</v>
      </c>
      <c r="H695" s="1">
        <v>2</v>
      </c>
      <c r="I695" s="1">
        <v>0</v>
      </c>
      <c r="J695" s="2" t="str">
        <f t="shared" si="54"/>
        <v>BAR</v>
      </c>
      <c r="K695" s="2" t="str">
        <f t="shared" si="55"/>
        <v>@OKO</v>
      </c>
      <c r="L695" s="1" t="str">
        <f t="shared" si="56"/>
        <v>694,6/20/2004,0,7,5,2,0</v>
      </c>
    </row>
    <row r="696" spans="1:12" x14ac:dyDescent="0.2">
      <c r="A696" s="1" t="str">
        <f t="shared" si="52"/>
        <v>381589</v>
      </c>
      <c r="B696" s="1" t="str">
        <f t="shared" si="53"/>
        <v>381588</v>
      </c>
      <c r="C696" s="1">
        <v>695</v>
      </c>
      <c r="D696" s="4">
        <v>38158</v>
      </c>
      <c r="E696" s="1">
        <v>0</v>
      </c>
      <c r="F696" s="1">
        <v>8</v>
      </c>
      <c r="G696" s="1">
        <v>9</v>
      </c>
      <c r="H696" s="1">
        <v>2</v>
      </c>
      <c r="I696" s="1">
        <v>0</v>
      </c>
      <c r="J696" s="2" t="str">
        <f t="shared" si="54"/>
        <v>CTW</v>
      </c>
      <c r="K696" s="2" t="str">
        <f t="shared" si="55"/>
        <v>@CIN</v>
      </c>
      <c r="L696" s="1" t="str">
        <f t="shared" si="56"/>
        <v>695,6/20/2004,0,8,9,2,0</v>
      </c>
    </row>
    <row r="697" spans="1:12" x14ac:dyDescent="0.2">
      <c r="A697" s="1" t="str">
        <f t="shared" si="52"/>
        <v>3815811</v>
      </c>
      <c r="B697" s="1" t="str">
        <f t="shared" si="53"/>
        <v>3815821</v>
      </c>
      <c r="C697" s="1">
        <v>696</v>
      </c>
      <c r="D697" s="4">
        <v>38158</v>
      </c>
      <c r="E697" s="1">
        <v>0</v>
      </c>
      <c r="F697" s="1">
        <v>21</v>
      </c>
      <c r="G697" s="1">
        <v>11</v>
      </c>
      <c r="H697" s="1">
        <v>2</v>
      </c>
      <c r="I697" s="1">
        <v>0</v>
      </c>
      <c r="J697" s="2" t="str">
        <f t="shared" si="54"/>
        <v>NYD</v>
      </c>
      <c r="K697" s="2" t="str">
        <f t="shared" si="55"/>
        <v>@HAR</v>
      </c>
      <c r="L697" s="1" t="str">
        <f t="shared" si="56"/>
        <v>696,6/20/2004,0,21,11,2,0</v>
      </c>
    </row>
    <row r="698" spans="1:12" x14ac:dyDescent="0.2">
      <c r="A698" s="1" t="str">
        <f t="shared" si="52"/>
        <v>3815813</v>
      </c>
      <c r="B698" s="1" t="str">
        <f t="shared" si="53"/>
        <v>3815817</v>
      </c>
      <c r="C698" s="1">
        <v>697</v>
      </c>
      <c r="D698" s="4">
        <v>38158</v>
      </c>
      <c r="E698" s="1">
        <v>0</v>
      </c>
      <c r="F698" s="1">
        <v>17</v>
      </c>
      <c r="G698" s="1">
        <v>13</v>
      </c>
      <c r="H698" s="1">
        <v>2</v>
      </c>
      <c r="I698" s="1">
        <v>0</v>
      </c>
      <c r="J698" s="2" t="str">
        <f t="shared" si="54"/>
        <v>GAR</v>
      </c>
      <c r="K698" s="2" t="str">
        <f t="shared" si="55"/>
        <v>@BBG</v>
      </c>
      <c r="L698" s="1" t="str">
        <f t="shared" si="56"/>
        <v>697,6/20/2004,0,17,13,2,0</v>
      </c>
    </row>
    <row r="699" spans="1:12" x14ac:dyDescent="0.2">
      <c r="A699" s="1" t="str">
        <f t="shared" si="52"/>
        <v>3815816</v>
      </c>
      <c r="B699" s="1" t="str">
        <f t="shared" si="53"/>
        <v>3815812</v>
      </c>
      <c r="C699" s="1">
        <v>698</v>
      </c>
      <c r="D699" s="4">
        <v>38158</v>
      </c>
      <c r="E699" s="1">
        <v>0</v>
      </c>
      <c r="F699" s="1">
        <v>12</v>
      </c>
      <c r="G699" s="1">
        <v>16</v>
      </c>
      <c r="H699" s="1">
        <v>2</v>
      </c>
      <c r="I699" s="1">
        <v>0</v>
      </c>
      <c r="J699" s="2" t="str">
        <f t="shared" si="54"/>
        <v>RMO</v>
      </c>
      <c r="K699" s="2" t="str">
        <f t="shared" si="55"/>
        <v>@DIG</v>
      </c>
      <c r="L699" s="1" t="str">
        <f t="shared" si="56"/>
        <v>698,6/20/2004,0,12,16,2,0</v>
      </c>
    </row>
    <row r="700" spans="1:12" x14ac:dyDescent="0.2">
      <c r="A700" s="1" t="str">
        <f t="shared" si="52"/>
        <v>3815820</v>
      </c>
      <c r="B700" s="1" t="str">
        <f t="shared" si="53"/>
        <v>381582</v>
      </c>
      <c r="C700" s="1">
        <v>699</v>
      </c>
      <c r="D700" s="4">
        <v>38158</v>
      </c>
      <c r="E700" s="1">
        <v>0</v>
      </c>
      <c r="F700" s="1">
        <v>2</v>
      </c>
      <c r="G700" s="1">
        <v>20</v>
      </c>
      <c r="H700" s="1">
        <v>2</v>
      </c>
      <c r="I700" s="1">
        <v>0</v>
      </c>
      <c r="J700" s="2" t="str">
        <f t="shared" si="54"/>
        <v>NEP</v>
      </c>
      <c r="K700" s="2" t="str">
        <f t="shared" si="55"/>
        <v>@FDH</v>
      </c>
      <c r="L700" s="1" t="str">
        <f t="shared" si="56"/>
        <v>699,6/20/2004,0,2,20,2,0</v>
      </c>
    </row>
    <row r="701" spans="1:12" x14ac:dyDescent="0.2">
      <c r="A701" s="1" t="str">
        <f t="shared" si="52"/>
        <v>3815822</v>
      </c>
      <c r="B701" s="1" t="str">
        <f t="shared" si="53"/>
        <v>3815814</v>
      </c>
      <c r="C701" s="1">
        <v>700</v>
      </c>
      <c r="D701" s="4">
        <v>38158</v>
      </c>
      <c r="E701" s="1">
        <v>0</v>
      </c>
      <c r="F701" s="1">
        <v>14</v>
      </c>
      <c r="G701" s="1">
        <v>22</v>
      </c>
      <c r="H701" s="1">
        <v>2</v>
      </c>
      <c r="I701" s="1">
        <v>0</v>
      </c>
      <c r="J701" s="2" t="str">
        <f t="shared" si="54"/>
        <v>CEN</v>
      </c>
      <c r="K701" s="2" t="str">
        <f t="shared" si="55"/>
        <v>@CBB</v>
      </c>
      <c r="L701" s="1" t="str">
        <f t="shared" si="56"/>
        <v>700,6/20/2004,0,14,22,2,0</v>
      </c>
    </row>
    <row r="702" spans="1:12" x14ac:dyDescent="0.2">
      <c r="A702" s="1" t="str">
        <f t="shared" si="52"/>
        <v>3815823</v>
      </c>
      <c r="B702" s="1" t="str">
        <f t="shared" si="53"/>
        <v>3815824</v>
      </c>
      <c r="C702" s="1">
        <v>701</v>
      </c>
      <c r="D702" s="4">
        <v>38158</v>
      </c>
      <c r="E702" s="1">
        <v>0</v>
      </c>
      <c r="F702" s="1">
        <v>24</v>
      </c>
      <c r="G702" s="1">
        <v>23</v>
      </c>
      <c r="H702" s="1">
        <v>2</v>
      </c>
      <c r="I702" s="1">
        <v>0</v>
      </c>
      <c r="J702" s="2" t="str">
        <f t="shared" si="54"/>
        <v>PHI</v>
      </c>
      <c r="K702" s="2" t="str">
        <f t="shared" si="55"/>
        <v>@BRK</v>
      </c>
      <c r="L702" s="1" t="str">
        <f t="shared" si="56"/>
        <v>701,6/20/2004,0,24,23,2,0</v>
      </c>
    </row>
    <row r="703" spans="1:12" x14ac:dyDescent="0.2">
      <c r="A703" s="1" t="str">
        <f t="shared" si="52"/>
        <v>381593</v>
      </c>
      <c r="B703" s="1" t="str">
        <f t="shared" si="53"/>
        <v>3815910</v>
      </c>
      <c r="C703" s="1">
        <v>702</v>
      </c>
      <c r="D703" s="4">
        <v>38159</v>
      </c>
      <c r="E703" s="1">
        <v>0</v>
      </c>
      <c r="F703" s="1">
        <v>10</v>
      </c>
      <c r="G703" s="1">
        <v>3</v>
      </c>
      <c r="H703" s="1">
        <v>2</v>
      </c>
      <c r="I703" s="1">
        <v>0</v>
      </c>
      <c r="J703" s="2" t="str">
        <f t="shared" si="54"/>
        <v>REN</v>
      </c>
      <c r="K703" s="2" t="str">
        <f t="shared" si="55"/>
        <v>@TEW</v>
      </c>
      <c r="L703" s="1" t="str">
        <f t="shared" si="56"/>
        <v>702,6/21/2004,0,10,3,2,0</v>
      </c>
    </row>
    <row r="704" spans="1:12" x14ac:dyDescent="0.2">
      <c r="A704" s="1" t="str">
        <f t="shared" si="52"/>
        <v>381599</v>
      </c>
      <c r="B704" s="1" t="str">
        <f t="shared" si="53"/>
        <v>381598</v>
      </c>
      <c r="C704" s="1">
        <v>703</v>
      </c>
      <c r="D704" s="4">
        <v>38159</v>
      </c>
      <c r="E704" s="1">
        <v>0</v>
      </c>
      <c r="F704" s="1">
        <v>8</v>
      </c>
      <c r="G704" s="1">
        <v>9</v>
      </c>
      <c r="H704" s="1">
        <v>2</v>
      </c>
      <c r="I704" s="1">
        <v>0</v>
      </c>
      <c r="J704" s="2" t="str">
        <f t="shared" si="54"/>
        <v>CTW</v>
      </c>
      <c r="K704" s="2" t="str">
        <f t="shared" si="55"/>
        <v>@CIN</v>
      </c>
      <c r="L704" s="1" t="str">
        <f t="shared" si="56"/>
        <v>703,6/21/2004,0,8,9,2,0</v>
      </c>
    </row>
    <row r="705" spans="1:12" x14ac:dyDescent="0.2">
      <c r="A705" s="1" t="str">
        <f t="shared" si="52"/>
        <v>3815913</v>
      </c>
      <c r="B705" s="1" t="str">
        <f t="shared" si="53"/>
        <v>3815917</v>
      </c>
      <c r="C705" s="1">
        <v>704</v>
      </c>
      <c r="D705" s="4">
        <v>38159</v>
      </c>
      <c r="E705" s="1">
        <v>0</v>
      </c>
      <c r="F705" s="1">
        <v>17</v>
      </c>
      <c r="G705" s="1">
        <v>13</v>
      </c>
      <c r="H705" s="1">
        <v>2</v>
      </c>
      <c r="I705" s="1">
        <v>0</v>
      </c>
      <c r="J705" s="2" t="str">
        <f t="shared" si="54"/>
        <v>GAR</v>
      </c>
      <c r="K705" s="2" t="str">
        <f t="shared" si="55"/>
        <v>@BBG</v>
      </c>
      <c r="L705" s="1" t="str">
        <f t="shared" si="56"/>
        <v>704,6/21/2004,0,17,13,2,0</v>
      </c>
    </row>
    <row r="706" spans="1:12" x14ac:dyDescent="0.2">
      <c r="A706" s="1" t="str">
        <f t="shared" ref="A706:A769" si="57">D706&amp;G706</f>
        <v>3815920</v>
      </c>
      <c r="B706" s="1" t="str">
        <f t="shared" ref="B706:B769" si="58">D706&amp;F706</f>
        <v>381592</v>
      </c>
      <c r="C706" s="1">
        <v>705</v>
      </c>
      <c r="D706" s="4">
        <v>38159</v>
      </c>
      <c r="E706" s="1">
        <v>0</v>
      </c>
      <c r="F706" s="1">
        <v>2</v>
      </c>
      <c r="G706" s="1">
        <v>20</v>
      </c>
      <c r="H706" s="1">
        <v>2</v>
      </c>
      <c r="I706" s="1">
        <v>0</v>
      </c>
      <c r="J706" s="2" t="str">
        <f t="shared" ref="J706:J769" si="59">VLOOKUP(F706,$M$2:$N$21,2,0)</f>
        <v>NEP</v>
      </c>
      <c r="K706" s="2" t="str">
        <f t="shared" ref="K706:K769" si="60">"@"&amp;VLOOKUP(G706,$M$2:$N$21,2,0)</f>
        <v>@FDH</v>
      </c>
      <c r="L706" s="1" t="str">
        <f t="shared" ref="L706:L769" si="61">C706&amp;","&amp;MONTH(D706)&amp;"/"&amp;DAY(D706)&amp;"/"&amp;YEAR(D706)&amp;","&amp;E706&amp;","&amp;F706&amp;","&amp;G706&amp;","&amp;H706&amp;","&amp;I706</f>
        <v>705,6/21/2004,0,2,20,2,0</v>
      </c>
    </row>
    <row r="707" spans="1:12" x14ac:dyDescent="0.2">
      <c r="A707" s="1" t="str">
        <f t="shared" si="57"/>
        <v>381602</v>
      </c>
      <c r="B707" s="1" t="str">
        <f t="shared" si="58"/>
        <v>3816022</v>
      </c>
      <c r="C707" s="1">
        <v>706</v>
      </c>
      <c r="D707" s="4">
        <v>38160</v>
      </c>
      <c r="E707" s="1">
        <v>0</v>
      </c>
      <c r="F707" s="1">
        <v>22</v>
      </c>
      <c r="G707" s="1">
        <v>2</v>
      </c>
      <c r="H707" s="1">
        <v>2</v>
      </c>
      <c r="I707" s="1">
        <v>0</v>
      </c>
      <c r="J707" s="2" t="str">
        <f t="shared" si="59"/>
        <v>CBB</v>
      </c>
      <c r="K707" s="2" t="str">
        <f t="shared" si="60"/>
        <v>@NEP</v>
      </c>
      <c r="L707" s="1" t="str">
        <f t="shared" si="61"/>
        <v>706,6/22/2004,0,22,2,2,0</v>
      </c>
    </row>
    <row r="708" spans="1:12" x14ac:dyDescent="0.2">
      <c r="A708" s="1" t="str">
        <f t="shared" si="57"/>
        <v>381609</v>
      </c>
      <c r="B708" s="1" t="str">
        <f t="shared" si="58"/>
        <v>381604</v>
      </c>
      <c r="C708" s="1">
        <v>707</v>
      </c>
      <c r="D708" s="4">
        <v>38160</v>
      </c>
      <c r="E708" s="1">
        <v>0</v>
      </c>
      <c r="F708" s="1">
        <v>4</v>
      </c>
      <c r="G708" s="1">
        <v>9</v>
      </c>
      <c r="H708" s="1">
        <v>2</v>
      </c>
      <c r="I708" s="1">
        <v>0</v>
      </c>
      <c r="J708" s="2" t="str">
        <f t="shared" si="59"/>
        <v>NNN</v>
      </c>
      <c r="K708" s="2" t="str">
        <f t="shared" si="60"/>
        <v>@CIN</v>
      </c>
      <c r="L708" s="1" t="str">
        <f t="shared" si="61"/>
        <v>707,6/22/2004,0,4,9,2,0</v>
      </c>
    </row>
    <row r="709" spans="1:12" x14ac:dyDescent="0.2">
      <c r="A709" s="1" t="str">
        <f t="shared" si="57"/>
        <v>3816013</v>
      </c>
      <c r="B709" s="1" t="str">
        <f t="shared" si="58"/>
        <v>3816016</v>
      </c>
      <c r="C709" s="1">
        <v>708</v>
      </c>
      <c r="D709" s="4">
        <v>38160</v>
      </c>
      <c r="E709" s="1">
        <v>0</v>
      </c>
      <c r="F709" s="1">
        <v>16</v>
      </c>
      <c r="G709" s="1">
        <v>13</v>
      </c>
      <c r="H709" s="1">
        <v>2</v>
      </c>
      <c r="I709" s="1">
        <v>0</v>
      </c>
      <c r="J709" s="2" t="str">
        <f t="shared" si="59"/>
        <v>DIG</v>
      </c>
      <c r="K709" s="2" t="str">
        <f t="shared" si="60"/>
        <v>@BBG</v>
      </c>
      <c r="L709" s="1" t="str">
        <f t="shared" si="61"/>
        <v>708,6/22/2004,0,16,13,2,0</v>
      </c>
    </row>
    <row r="710" spans="1:12" x14ac:dyDescent="0.2">
      <c r="A710" s="1" t="str">
        <f t="shared" si="57"/>
        <v>3816014</v>
      </c>
      <c r="B710" s="1" t="str">
        <f t="shared" si="58"/>
        <v>3816011</v>
      </c>
      <c r="C710" s="1">
        <v>709</v>
      </c>
      <c r="D710" s="4">
        <v>38160</v>
      </c>
      <c r="E710" s="1">
        <v>0</v>
      </c>
      <c r="F710" s="1">
        <v>11</v>
      </c>
      <c r="G710" s="1">
        <v>14</v>
      </c>
      <c r="H710" s="1">
        <v>2</v>
      </c>
      <c r="I710" s="1">
        <v>0</v>
      </c>
      <c r="J710" s="2" t="str">
        <f t="shared" si="59"/>
        <v>HAR</v>
      </c>
      <c r="K710" s="2" t="str">
        <f t="shared" si="60"/>
        <v>@CEN</v>
      </c>
      <c r="L710" s="1" t="str">
        <f t="shared" si="61"/>
        <v>709,6/22/2004,0,11,14,2,0</v>
      </c>
    </row>
    <row r="711" spans="1:12" x14ac:dyDescent="0.2">
      <c r="A711" s="1" t="str">
        <f t="shared" si="57"/>
        <v>3816020</v>
      </c>
      <c r="B711" s="1" t="str">
        <f t="shared" si="58"/>
        <v>3816021</v>
      </c>
      <c r="C711" s="1">
        <v>710</v>
      </c>
      <c r="D711" s="4">
        <v>38160</v>
      </c>
      <c r="E711" s="1">
        <v>0</v>
      </c>
      <c r="F711" s="1">
        <v>21</v>
      </c>
      <c r="G711" s="1">
        <v>20</v>
      </c>
      <c r="H711" s="1">
        <v>2</v>
      </c>
      <c r="I711" s="1">
        <v>0</v>
      </c>
      <c r="J711" s="2" t="str">
        <f t="shared" si="59"/>
        <v>NYD</v>
      </c>
      <c r="K711" s="2" t="str">
        <f t="shared" si="60"/>
        <v>@FDH</v>
      </c>
      <c r="L711" s="1" t="str">
        <f t="shared" si="61"/>
        <v>710,6/22/2004,0,21,20,2,0</v>
      </c>
    </row>
    <row r="712" spans="1:12" x14ac:dyDescent="0.2">
      <c r="A712" s="1" t="str">
        <f t="shared" si="57"/>
        <v>381603</v>
      </c>
      <c r="B712" s="1" t="str">
        <f t="shared" si="58"/>
        <v>3816023</v>
      </c>
      <c r="C712" s="1">
        <v>711</v>
      </c>
      <c r="D712" s="4">
        <v>38160</v>
      </c>
      <c r="E712" s="1">
        <v>0</v>
      </c>
      <c r="F712" s="1">
        <v>23</v>
      </c>
      <c r="G712" s="1">
        <v>3</v>
      </c>
      <c r="H712" s="1">
        <v>2</v>
      </c>
      <c r="I712" s="1">
        <v>0</v>
      </c>
      <c r="J712" s="2" t="str">
        <f t="shared" si="59"/>
        <v>BRK</v>
      </c>
      <c r="K712" s="2" t="str">
        <f t="shared" si="60"/>
        <v>@TEW</v>
      </c>
      <c r="L712" s="1" t="str">
        <f t="shared" si="61"/>
        <v>711,6/22/2004,0,23,3,2,0</v>
      </c>
    </row>
    <row r="713" spans="1:12" x14ac:dyDescent="0.2">
      <c r="A713" s="1" t="str">
        <f t="shared" si="57"/>
        <v>381607</v>
      </c>
      <c r="B713" s="1" t="str">
        <f t="shared" si="58"/>
        <v>381601</v>
      </c>
      <c r="C713" s="1">
        <v>712</v>
      </c>
      <c r="D713" s="4">
        <v>38160</v>
      </c>
      <c r="E713" s="1">
        <v>0</v>
      </c>
      <c r="F713" s="1">
        <v>1</v>
      </c>
      <c r="G713" s="1">
        <v>7</v>
      </c>
      <c r="H713" s="1">
        <v>2</v>
      </c>
      <c r="I713" s="1">
        <v>0</v>
      </c>
      <c r="J713" s="2" t="str">
        <f t="shared" si="59"/>
        <v>FFR</v>
      </c>
      <c r="K713" s="2" t="str">
        <f t="shared" si="60"/>
        <v>@BAR</v>
      </c>
      <c r="L713" s="1" t="str">
        <f t="shared" si="61"/>
        <v>712,6/22/2004,0,1,7,2,0</v>
      </c>
    </row>
    <row r="714" spans="1:12" x14ac:dyDescent="0.2">
      <c r="A714" s="1" t="str">
        <f t="shared" si="57"/>
        <v>381608</v>
      </c>
      <c r="B714" s="1" t="str">
        <f t="shared" si="58"/>
        <v>381605</v>
      </c>
      <c r="C714" s="1">
        <v>713</v>
      </c>
      <c r="D714" s="4">
        <v>38160</v>
      </c>
      <c r="E714" s="1">
        <v>0</v>
      </c>
      <c r="F714" s="1">
        <v>5</v>
      </c>
      <c r="G714" s="1">
        <v>8</v>
      </c>
      <c r="H714" s="1">
        <v>2</v>
      </c>
      <c r="I714" s="1">
        <v>0</v>
      </c>
      <c r="J714" s="2" t="str">
        <f t="shared" si="59"/>
        <v>OKO</v>
      </c>
      <c r="K714" s="2" t="str">
        <f t="shared" si="60"/>
        <v>@CTW</v>
      </c>
      <c r="L714" s="1" t="str">
        <f t="shared" si="61"/>
        <v>713,6/22/2004,0,5,8,2,0</v>
      </c>
    </row>
    <row r="715" spans="1:12" x14ac:dyDescent="0.2">
      <c r="A715" s="1" t="str">
        <f t="shared" si="57"/>
        <v>3816010</v>
      </c>
      <c r="B715" s="1" t="str">
        <f t="shared" si="58"/>
        <v>3816024</v>
      </c>
      <c r="C715" s="1">
        <v>714</v>
      </c>
      <c r="D715" s="4">
        <v>38160</v>
      </c>
      <c r="E715" s="1">
        <v>0</v>
      </c>
      <c r="F715" s="1">
        <v>24</v>
      </c>
      <c r="G715" s="1">
        <v>10</v>
      </c>
      <c r="H715" s="1">
        <v>2</v>
      </c>
      <c r="I715" s="1">
        <v>0</v>
      </c>
      <c r="J715" s="2" t="str">
        <f t="shared" si="59"/>
        <v>PHI</v>
      </c>
      <c r="K715" s="2" t="str">
        <f t="shared" si="60"/>
        <v>@REN</v>
      </c>
      <c r="L715" s="1" t="str">
        <f t="shared" si="61"/>
        <v>714,6/22/2004,0,24,10,2,0</v>
      </c>
    </row>
    <row r="716" spans="1:12" x14ac:dyDescent="0.2">
      <c r="A716" s="1" t="str">
        <f t="shared" si="57"/>
        <v>3816017</v>
      </c>
      <c r="B716" s="1" t="str">
        <f t="shared" si="58"/>
        <v>3816012</v>
      </c>
      <c r="C716" s="1">
        <v>715</v>
      </c>
      <c r="D716" s="4">
        <v>38160</v>
      </c>
      <c r="E716" s="1">
        <v>0</v>
      </c>
      <c r="F716" s="1">
        <v>12</v>
      </c>
      <c r="G716" s="1">
        <v>17</v>
      </c>
      <c r="H716" s="1">
        <v>2</v>
      </c>
      <c r="I716" s="1">
        <v>0</v>
      </c>
      <c r="J716" s="2" t="str">
        <f t="shared" si="59"/>
        <v>RMO</v>
      </c>
      <c r="K716" s="2" t="str">
        <f t="shared" si="60"/>
        <v>@GAR</v>
      </c>
      <c r="L716" s="1" t="str">
        <f t="shared" si="61"/>
        <v>715,6/22/2004,0,12,17,2,0</v>
      </c>
    </row>
    <row r="717" spans="1:12" x14ac:dyDescent="0.2">
      <c r="A717" s="1" t="str">
        <f t="shared" si="57"/>
        <v>381612</v>
      </c>
      <c r="B717" s="1" t="str">
        <f t="shared" si="58"/>
        <v>3816122</v>
      </c>
      <c r="C717" s="1">
        <v>716</v>
      </c>
      <c r="D717" s="4">
        <v>38161</v>
      </c>
      <c r="E717" s="1">
        <v>0</v>
      </c>
      <c r="F717" s="1">
        <v>22</v>
      </c>
      <c r="G717" s="1">
        <v>2</v>
      </c>
      <c r="H717" s="1">
        <v>2</v>
      </c>
      <c r="I717" s="1">
        <v>0</v>
      </c>
      <c r="J717" s="2" t="str">
        <f t="shared" si="59"/>
        <v>CBB</v>
      </c>
      <c r="K717" s="2" t="str">
        <f t="shared" si="60"/>
        <v>@NEP</v>
      </c>
      <c r="L717" s="1" t="str">
        <f t="shared" si="61"/>
        <v>716,6/23/2004,0,22,2,2,0</v>
      </c>
    </row>
    <row r="718" spans="1:12" x14ac:dyDescent="0.2">
      <c r="A718" s="1" t="str">
        <f t="shared" si="57"/>
        <v>381613</v>
      </c>
      <c r="B718" s="1" t="str">
        <f t="shared" si="58"/>
        <v>3816123</v>
      </c>
      <c r="C718" s="1">
        <v>717</v>
      </c>
      <c r="D718" s="4">
        <v>38161</v>
      </c>
      <c r="E718" s="1">
        <v>0</v>
      </c>
      <c r="F718" s="1">
        <v>23</v>
      </c>
      <c r="G718" s="1">
        <v>3</v>
      </c>
      <c r="H718" s="1">
        <v>2</v>
      </c>
      <c r="I718" s="1">
        <v>0</v>
      </c>
      <c r="J718" s="2" t="str">
        <f t="shared" si="59"/>
        <v>BRK</v>
      </c>
      <c r="K718" s="2" t="str">
        <f t="shared" si="60"/>
        <v>@TEW</v>
      </c>
      <c r="L718" s="1" t="str">
        <f t="shared" si="61"/>
        <v>717,6/23/2004,0,23,3,2,0</v>
      </c>
    </row>
    <row r="719" spans="1:12" x14ac:dyDescent="0.2">
      <c r="A719" s="1" t="str">
        <f t="shared" si="57"/>
        <v>381617</v>
      </c>
      <c r="B719" s="1" t="str">
        <f t="shared" si="58"/>
        <v>381611</v>
      </c>
      <c r="C719" s="1">
        <v>718</v>
      </c>
      <c r="D719" s="4">
        <v>38161</v>
      </c>
      <c r="E719" s="1">
        <v>0</v>
      </c>
      <c r="F719" s="1">
        <v>1</v>
      </c>
      <c r="G719" s="1">
        <v>7</v>
      </c>
      <c r="H719" s="1">
        <v>2</v>
      </c>
      <c r="I719" s="1">
        <v>0</v>
      </c>
      <c r="J719" s="2" t="str">
        <f t="shared" si="59"/>
        <v>FFR</v>
      </c>
      <c r="K719" s="2" t="str">
        <f t="shared" si="60"/>
        <v>@BAR</v>
      </c>
      <c r="L719" s="1" t="str">
        <f t="shared" si="61"/>
        <v>718,6/23/2004,0,1,7,2,0</v>
      </c>
    </row>
    <row r="720" spans="1:12" x14ac:dyDescent="0.2">
      <c r="A720" s="1" t="str">
        <f t="shared" si="57"/>
        <v>381618</v>
      </c>
      <c r="B720" s="1" t="str">
        <f t="shared" si="58"/>
        <v>381615</v>
      </c>
      <c r="C720" s="1">
        <v>719</v>
      </c>
      <c r="D720" s="4">
        <v>38161</v>
      </c>
      <c r="E720" s="1">
        <v>0</v>
      </c>
      <c r="F720" s="1">
        <v>5</v>
      </c>
      <c r="G720" s="1">
        <v>8</v>
      </c>
      <c r="H720" s="1">
        <v>2</v>
      </c>
      <c r="I720" s="1">
        <v>0</v>
      </c>
      <c r="J720" s="2" t="str">
        <f t="shared" si="59"/>
        <v>OKO</v>
      </c>
      <c r="K720" s="2" t="str">
        <f t="shared" si="60"/>
        <v>@CTW</v>
      </c>
      <c r="L720" s="1" t="str">
        <f t="shared" si="61"/>
        <v>719,6/23/2004,0,5,8,2,0</v>
      </c>
    </row>
    <row r="721" spans="1:12" x14ac:dyDescent="0.2">
      <c r="A721" s="1" t="str">
        <f t="shared" si="57"/>
        <v>381619</v>
      </c>
      <c r="B721" s="1" t="str">
        <f t="shared" si="58"/>
        <v>381614</v>
      </c>
      <c r="C721" s="1">
        <v>720</v>
      </c>
      <c r="D721" s="4">
        <v>38161</v>
      </c>
      <c r="E721" s="1">
        <v>0</v>
      </c>
      <c r="F721" s="1">
        <v>4</v>
      </c>
      <c r="G721" s="1">
        <v>9</v>
      </c>
      <c r="H721" s="1">
        <v>2</v>
      </c>
      <c r="I721" s="1">
        <v>0</v>
      </c>
      <c r="J721" s="2" t="str">
        <f t="shared" si="59"/>
        <v>NNN</v>
      </c>
      <c r="K721" s="2" t="str">
        <f t="shared" si="60"/>
        <v>@CIN</v>
      </c>
      <c r="L721" s="1" t="str">
        <f t="shared" si="61"/>
        <v>720,6/23/2004,0,4,9,2,0</v>
      </c>
    </row>
    <row r="722" spans="1:12" x14ac:dyDescent="0.2">
      <c r="A722" s="1" t="str">
        <f t="shared" si="57"/>
        <v>3816110</v>
      </c>
      <c r="B722" s="1" t="str">
        <f t="shared" si="58"/>
        <v>3816124</v>
      </c>
      <c r="C722" s="1">
        <v>721</v>
      </c>
      <c r="D722" s="4">
        <v>38161</v>
      </c>
      <c r="E722" s="1">
        <v>0</v>
      </c>
      <c r="F722" s="1">
        <v>24</v>
      </c>
      <c r="G722" s="1">
        <v>10</v>
      </c>
      <c r="H722" s="1">
        <v>2</v>
      </c>
      <c r="I722" s="1">
        <v>0</v>
      </c>
      <c r="J722" s="2" t="str">
        <f t="shared" si="59"/>
        <v>PHI</v>
      </c>
      <c r="K722" s="2" t="str">
        <f t="shared" si="60"/>
        <v>@REN</v>
      </c>
      <c r="L722" s="1" t="str">
        <f t="shared" si="61"/>
        <v>721,6/23/2004,0,24,10,2,0</v>
      </c>
    </row>
    <row r="723" spans="1:12" x14ac:dyDescent="0.2">
      <c r="A723" s="1" t="str">
        <f t="shared" si="57"/>
        <v>3816113</v>
      </c>
      <c r="B723" s="1" t="str">
        <f t="shared" si="58"/>
        <v>3816116</v>
      </c>
      <c r="C723" s="1">
        <v>722</v>
      </c>
      <c r="D723" s="4">
        <v>38161</v>
      </c>
      <c r="E723" s="1">
        <v>0</v>
      </c>
      <c r="F723" s="1">
        <v>16</v>
      </c>
      <c r="G723" s="1">
        <v>13</v>
      </c>
      <c r="H723" s="1">
        <v>2</v>
      </c>
      <c r="I723" s="1">
        <v>0</v>
      </c>
      <c r="J723" s="2" t="str">
        <f t="shared" si="59"/>
        <v>DIG</v>
      </c>
      <c r="K723" s="2" t="str">
        <f t="shared" si="60"/>
        <v>@BBG</v>
      </c>
      <c r="L723" s="1" t="str">
        <f t="shared" si="61"/>
        <v>722,6/23/2004,0,16,13,2,0</v>
      </c>
    </row>
    <row r="724" spans="1:12" x14ac:dyDescent="0.2">
      <c r="A724" s="1" t="str">
        <f t="shared" si="57"/>
        <v>3816114</v>
      </c>
      <c r="B724" s="1" t="str">
        <f t="shared" si="58"/>
        <v>3816111</v>
      </c>
      <c r="C724" s="1">
        <v>723</v>
      </c>
      <c r="D724" s="4">
        <v>38161</v>
      </c>
      <c r="E724" s="1">
        <v>0</v>
      </c>
      <c r="F724" s="1">
        <v>11</v>
      </c>
      <c r="G724" s="1">
        <v>14</v>
      </c>
      <c r="H724" s="1">
        <v>2</v>
      </c>
      <c r="I724" s="1">
        <v>0</v>
      </c>
      <c r="J724" s="2" t="str">
        <f t="shared" si="59"/>
        <v>HAR</v>
      </c>
      <c r="K724" s="2" t="str">
        <f t="shared" si="60"/>
        <v>@CEN</v>
      </c>
      <c r="L724" s="1" t="str">
        <f t="shared" si="61"/>
        <v>723,6/23/2004,0,11,14,2,0</v>
      </c>
    </row>
    <row r="725" spans="1:12" x14ac:dyDescent="0.2">
      <c r="A725" s="1" t="str">
        <f t="shared" si="57"/>
        <v>3816117</v>
      </c>
      <c r="B725" s="1" t="str">
        <f t="shared" si="58"/>
        <v>3816112</v>
      </c>
      <c r="C725" s="1">
        <v>724</v>
      </c>
      <c r="D725" s="4">
        <v>38161</v>
      </c>
      <c r="E725" s="1">
        <v>0</v>
      </c>
      <c r="F725" s="1">
        <v>12</v>
      </c>
      <c r="G725" s="1">
        <v>17</v>
      </c>
      <c r="H725" s="1">
        <v>2</v>
      </c>
      <c r="I725" s="1">
        <v>0</v>
      </c>
      <c r="J725" s="2" t="str">
        <f t="shared" si="59"/>
        <v>RMO</v>
      </c>
      <c r="K725" s="2" t="str">
        <f t="shared" si="60"/>
        <v>@GAR</v>
      </c>
      <c r="L725" s="1" t="str">
        <f t="shared" si="61"/>
        <v>724,6/23/2004,0,12,17,2,0</v>
      </c>
    </row>
    <row r="726" spans="1:12" x14ac:dyDescent="0.2">
      <c r="A726" s="1" t="str">
        <f t="shared" si="57"/>
        <v>3816120</v>
      </c>
      <c r="B726" s="1" t="str">
        <f t="shared" si="58"/>
        <v>3816121</v>
      </c>
      <c r="C726" s="1">
        <v>725</v>
      </c>
      <c r="D726" s="4">
        <v>38161</v>
      </c>
      <c r="E726" s="1">
        <v>0</v>
      </c>
      <c r="F726" s="1">
        <v>21</v>
      </c>
      <c r="G726" s="1">
        <v>20</v>
      </c>
      <c r="H726" s="1">
        <v>2</v>
      </c>
      <c r="I726" s="1">
        <v>0</v>
      </c>
      <c r="J726" s="2" t="str">
        <f t="shared" si="59"/>
        <v>NYD</v>
      </c>
      <c r="K726" s="2" t="str">
        <f t="shared" si="60"/>
        <v>@FDH</v>
      </c>
      <c r="L726" s="1" t="str">
        <f t="shared" si="61"/>
        <v>725,6/23/2004,0,21,20,2,0</v>
      </c>
    </row>
    <row r="727" spans="1:12" x14ac:dyDescent="0.2">
      <c r="A727" s="1" t="str">
        <f t="shared" si="57"/>
        <v>381622</v>
      </c>
      <c r="B727" s="1" t="str">
        <f t="shared" si="58"/>
        <v>3816222</v>
      </c>
      <c r="C727" s="1">
        <v>726</v>
      </c>
      <c r="D727" s="4">
        <v>38162</v>
      </c>
      <c r="E727" s="1">
        <v>0</v>
      </c>
      <c r="F727" s="1">
        <v>22</v>
      </c>
      <c r="G727" s="1">
        <v>2</v>
      </c>
      <c r="H727" s="1">
        <v>2</v>
      </c>
      <c r="I727" s="1">
        <v>0</v>
      </c>
      <c r="J727" s="2" t="str">
        <f t="shared" si="59"/>
        <v>CBB</v>
      </c>
      <c r="K727" s="2" t="str">
        <f t="shared" si="60"/>
        <v>@NEP</v>
      </c>
      <c r="L727" s="1" t="str">
        <f t="shared" si="61"/>
        <v>726,6/24/2004,0,22,2,2,0</v>
      </c>
    </row>
    <row r="728" spans="1:12" x14ac:dyDescent="0.2">
      <c r="A728" s="1" t="str">
        <f t="shared" si="57"/>
        <v>381623</v>
      </c>
      <c r="B728" s="1" t="str">
        <f t="shared" si="58"/>
        <v>3816223</v>
      </c>
      <c r="C728" s="1">
        <v>727</v>
      </c>
      <c r="D728" s="4">
        <v>38162</v>
      </c>
      <c r="E728" s="1">
        <v>0</v>
      </c>
      <c r="F728" s="1">
        <v>23</v>
      </c>
      <c r="G728" s="1">
        <v>3</v>
      </c>
      <c r="H728" s="1">
        <v>2</v>
      </c>
      <c r="I728" s="1">
        <v>0</v>
      </c>
      <c r="J728" s="2" t="str">
        <f t="shared" si="59"/>
        <v>BRK</v>
      </c>
      <c r="K728" s="2" t="str">
        <f t="shared" si="60"/>
        <v>@TEW</v>
      </c>
      <c r="L728" s="1" t="str">
        <f t="shared" si="61"/>
        <v>727,6/24/2004,0,23,3,2,0</v>
      </c>
    </row>
    <row r="729" spans="1:12" x14ac:dyDescent="0.2">
      <c r="A729" s="1" t="str">
        <f t="shared" si="57"/>
        <v>381627</v>
      </c>
      <c r="B729" s="1" t="str">
        <f t="shared" si="58"/>
        <v>381621</v>
      </c>
      <c r="C729" s="1">
        <v>728</v>
      </c>
      <c r="D729" s="4">
        <v>38162</v>
      </c>
      <c r="E729" s="1">
        <v>0</v>
      </c>
      <c r="F729" s="1">
        <v>1</v>
      </c>
      <c r="G729" s="1">
        <v>7</v>
      </c>
      <c r="H729" s="1">
        <v>2</v>
      </c>
      <c r="I729" s="1">
        <v>0</v>
      </c>
      <c r="J729" s="2" t="str">
        <f t="shared" si="59"/>
        <v>FFR</v>
      </c>
      <c r="K729" s="2" t="str">
        <f t="shared" si="60"/>
        <v>@BAR</v>
      </c>
      <c r="L729" s="1" t="str">
        <f t="shared" si="61"/>
        <v>728,6/24/2004,0,1,7,2,0</v>
      </c>
    </row>
    <row r="730" spans="1:12" x14ac:dyDescent="0.2">
      <c r="A730" s="1" t="str">
        <f t="shared" si="57"/>
        <v>381628</v>
      </c>
      <c r="B730" s="1" t="str">
        <f t="shared" si="58"/>
        <v>381625</v>
      </c>
      <c r="C730" s="1">
        <v>729</v>
      </c>
      <c r="D730" s="4">
        <v>38162</v>
      </c>
      <c r="E730" s="1">
        <v>0</v>
      </c>
      <c r="F730" s="1">
        <v>5</v>
      </c>
      <c r="G730" s="1">
        <v>8</v>
      </c>
      <c r="H730" s="1">
        <v>2</v>
      </c>
      <c r="I730" s="1">
        <v>0</v>
      </c>
      <c r="J730" s="2" t="str">
        <f t="shared" si="59"/>
        <v>OKO</v>
      </c>
      <c r="K730" s="2" t="str">
        <f t="shared" si="60"/>
        <v>@CTW</v>
      </c>
      <c r="L730" s="1" t="str">
        <f t="shared" si="61"/>
        <v>729,6/24/2004,0,5,8,2,0</v>
      </c>
    </row>
    <row r="731" spans="1:12" x14ac:dyDescent="0.2">
      <c r="A731" s="1" t="str">
        <f t="shared" si="57"/>
        <v>381629</v>
      </c>
      <c r="B731" s="1" t="str">
        <f t="shared" si="58"/>
        <v>381624</v>
      </c>
      <c r="C731" s="1">
        <v>730</v>
      </c>
      <c r="D731" s="4">
        <v>38162</v>
      </c>
      <c r="E731" s="1">
        <v>0</v>
      </c>
      <c r="F731" s="1">
        <v>4</v>
      </c>
      <c r="G731" s="1">
        <v>9</v>
      </c>
      <c r="H731" s="1">
        <v>2</v>
      </c>
      <c r="I731" s="1">
        <v>0</v>
      </c>
      <c r="J731" s="2" t="str">
        <f t="shared" si="59"/>
        <v>NNN</v>
      </c>
      <c r="K731" s="2" t="str">
        <f t="shared" si="60"/>
        <v>@CIN</v>
      </c>
      <c r="L731" s="1" t="str">
        <f t="shared" si="61"/>
        <v>730,6/24/2004,0,4,9,2,0</v>
      </c>
    </row>
    <row r="732" spans="1:12" x14ac:dyDescent="0.2">
      <c r="A732" s="1" t="str">
        <f t="shared" si="57"/>
        <v>3816210</v>
      </c>
      <c r="B732" s="1" t="str">
        <f t="shared" si="58"/>
        <v>3816224</v>
      </c>
      <c r="C732" s="1">
        <v>731</v>
      </c>
      <c r="D732" s="4">
        <v>38162</v>
      </c>
      <c r="E732" s="1">
        <v>0</v>
      </c>
      <c r="F732" s="1">
        <v>24</v>
      </c>
      <c r="G732" s="1">
        <v>10</v>
      </c>
      <c r="H732" s="1">
        <v>2</v>
      </c>
      <c r="I732" s="1">
        <v>0</v>
      </c>
      <c r="J732" s="2" t="str">
        <f t="shared" si="59"/>
        <v>PHI</v>
      </c>
      <c r="K732" s="2" t="str">
        <f t="shared" si="60"/>
        <v>@REN</v>
      </c>
      <c r="L732" s="1" t="str">
        <f t="shared" si="61"/>
        <v>731,6/24/2004,0,24,10,2,0</v>
      </c>
    </row>
    <row r="733" spans="1:12" x14ac:dyDescent="0.2">
      <c r="A733" s="1" t="str">
        <f t="shared" si="57"/>
        <v>3816213</v>
      </c>
      <c r="B733" s="1" t="str">
        <f t="shared" si="58"/>
        <v>3816216</v>
      </c>
      <c r="C733" s="1">
        <v>732</v>
      </c>
      <c r="D733" s="4">
        <v>38162</v>
      </c>
      <c r="E733" s="1">
        <v>0</v>
      </c>
      <c r="F733" s="1">
        <v>16</v>
      </c>
      <c r="G733" s="1">
        <v>13</v>
      </c>
      <c r="H733" s="1">
        <v>2</v>
      </c>
      <c r="I733" s="1">
        <v>0</v>
      </c>
      <c r="J733" s="2" t="str">
        <f t="shared" si="59"/>
        <v>DIG</v>
      </c>
      <c r="K733" s="2" t="str">
        <f t="shared" si="60"/>
        <v>@BBG</v>
      </c>
      <c r="L733" s="1" t="str">
        <f t="shared" si="61"/>
        <v>732,6/24/2004,0,16,13,2,0</v>
      </c>
    </row>
    <row r="734" spans="1:12" x14ac:dyDescent="0.2">
      <c r="A734" s="1" t="str">
        <f t="shared" si="57"/>
        <v>3816214</v>
      </c>
      <c r="B734" s="1" t="str">
        <f t="shared" si="58"/>
        <v>3816211</v>
      </c>
      <c r="C734" s="1">
        <v>733</v>
      </c>
      <c r="D734" s="4">
        <v>38162</v>
      </c>
      <c r="E734" s="1">
        <v>0</v>
      </c>
      <c r="F734" s="1">
        <v>11</v>
      </c>
      <c r="G734" s="1">
        <v>14</v>
      </c>
      <c r="H734" s="1">
        <v>2</v>
      </c>
      <c r="I734" s="1">
        <v>0</v>
      </c>
      <c r="J734" s="2" t="str">
        <f t="shared" si="59"/>
        <v>HAR</v>
      </c>
      <c r="K734" s="2" t="str">
        <f t="shared" si="60"/>
        <v>@CEN</v>
      </c>
      <c r="L734" s="1" t="str">
        <f t="shared" si="61"/>
        <v>733,6/24/2004,0,11,14,2,0</v>
      </c>
    </row>
    <row r="735" spans="1:12" x14ac:dyDescent="0.2">
      <c r="A735" s="1" t="str">
        <f t="shared" si="57"/>
        <v>3816217</v>
      </c>
      <c r="B735" s="1" t="str">
        <f t="shared" si="58"/>
        <v>3816212</v>
      </c>
      <c r="C735" s="1">
        <v>734</v>
      </c>
      <c r="D735" s="4">
        <v>38162</v>
      </c>
      <c r="E735" s="1">
        <v>0</v>
      </c>
      <c r="F735" s="1">
        <v>12</v>
      </c>
      <c r="G735" s="1">
        <v>17</v>
      </c>
      <c r="H735" s="1">
        <v>2</v>
      </c>
      <c r="I735" s="1">
        <v>0</v>
      </c>
      <c r="J735" s="2" t="str">
        <f t="shared" si="59"/>
        <v>RMO</v>
      </c>
      <c r="K735" s="2" t="str">
        <f t="shared" si="60"/>
        <v>@GAR</v>
      </c>
      <c r="L735" s="1" t="str">
        <f t="shared" si="61"/>
        <v>734,6/24/2004,0,12,17,2,0</v>
      </c>
    </row>
    <row r="736" spans="1:12" x14ac:dyDescent="0.2">
      <c r="A736" s="1" t="str">
        <f t="shared" si="57"/>
        <v>3816220</v>
      </c>
      <c r="B736" s="1" t="str">
        <f t="shared" si="58"/>
        <v>3816221</v>
      </c>
      <c r="C736" s="1">
        <v>735</v>
      </c>
      <c r="D736" s="4">
        <v>38162</v>
      </c>
      <c r="E736" s="1">
        <v>0</v>
      </c>
      <c r="F736" s="1">
        <v>21</v>
      </c>
      <c r="G736" s="1">
        <v>20</v>
      </c>
      <c r="H736" s="1">
        <v>2</v>
      </c>
      <c r="I736" s="1">
        <v>0</v>
      </c>
      <c r="J736" s="2" t="str">
        <f t="shared" si="59"/>
        <v>NYD</v>
      </c>
      <c r="K736" s="2" t="str">
        <f t="shared" si="60"/>
        <v>@FDH</v>
      </c>
      <c r="L736" s="1" t="str">
        <f t="shared" si="61"/>
        <v>735,6/24/2004,0,21,20,2,0</v>
      </c>
    </row>
    <row r="737" spans="1:12" x14ac:dyDescent="0.2">
      <c r="A737" s="1" t="str">
        <f t="shared" si="57"/>
        <v>381632</v>
      </c>
      <c r="B737" s="1" t="str">
        <f t="shared" si="58"/>
        <v>3816322</v>
      </c>
      <c r="C737" s="1">
        <v>736</v>
      </c>
      <c r="D737" s="4">
        <v>38163</v>
      </c>
      <c r="E737" s="1">
        <v>0</v>
      </c>
      <c r="F737" s="1">
        <v>22</v>
      </c>
      <c r="G737" s="1">
        <v>2</v>
      </c>
      <c r="H737" s="1">
        <v>2</v>
      </c>
      <c r="I737" s="1">
        <v>0</v>
      </c>
      <c r="J737" s="2" t="str">
        <f t="shared" si="59"/>
        <v>CBB</v>
      </c>
      <c r="K737" s="2" t="str">
        <f t="shared" si="60"/>
        <v>@NEP</v>
      </c>
      <c r="L737" s="1" t="str">
        <f t="shared" si="61"/>
        <v>736,6/25/2004,0,22,2,2,0</v>
      </c>
    </row>
    <row r="738" spans="1:12" x14ac:dyDescent="0.2">
      <c r="A738" s="1" t="str">
        <f t="shared" si="57"/>
        <v>381633</v>
      </c>
      <c r="B738" s="1" t="str">
        <f t="shared" si="58"/>
        <v>3816323</v>
      </c>
      <c r="C738" s="1">
        <v>737</v>
      </c>
      <c r="D738" s="4">
        <v>38163</v>
      </c>
      <c r="E738" s="1">
        <v>0</v>
      </c>
      <c r="F738" s="1">
        <v>23</v>
      </c>
      <c r="G738" s="1">
        <v>3</v>
      </c>
      <c r="H738" s="1">
        <v>2</v>
      </c>
      <c r="I738" s="1">
        <v>0</v>
      </c>
      <c r="J738" s="2" t="str">
        <f t="shared" si="59"/>
        <v>BRK</v>
      </c>
      <c r="K738" s="2" t="str">
        <f t="shared" si="60"/>
        <v>@TEW</v>
      </c>
      <c r="L738" s="1" t="str">
        <f t="shared" si="61"/>
        <v>737,6/25/2004,0,23,3,2,0</v>
      </c>
    </row>
    <row r="739" spans="1:12" x14ac:dyDescent="0.2">
      <c r="A739" s="1" t="str">
        <f t="shared" si="57"/>
        <v>381637</v>
      </c>
      <c r="B739" s="1" t="str">
        <f t="shared" si="58"/>
        <v>381631</v>
      </c>
      <c r="C739" s="1">
        <v>738</v>
      </c>
      <c r="D739" s="4">
        <v>38163</v>
      </c>
      <c r="E739" s="1">
        <v>0</v>
      </c>
      <c r="F739" s="1">
        <v>1</v>
      </c>
      <c r="G739" s="1">
        <v>7</v>
      </c>
      <c r="H739" s="1">
        <v>2</v>
      </c>
      <c r="I739" s="1">
        <v>0</v>
      </c>
      <c r="J739" s="2" t="str">
        <f t="shared" si="59"/>
        <v>FFR</v>
      </c>
      <c r="K739" s="2" t="str">
        <f t="shared" si="60"/>
        <v>@BAR</v>
      </c>
      <c r="L739" s="1" t="str">
        <f t="shared" si="61"/>
        <v>738,6/25/2004,0,1,7,2,0</v>
      </c>
    </row>
    <row r="740" spans="1:12" x14ac:dyDescent="0.2">
      <c r="A740" s="1" t="str">
        <f t="shared" si="57"/>
        <v>381638</v>
      </c>
      <c r="B740" s="1" t="str">
        <f t="shared" si="58"/>
        <v>381635</v>
      </c>
      <c r="C740" s="1">
        <v>739</v>
      </c>
      <c r="D740" s="4">
        <v>38163</v>
      </c>
      <c r="E740" s="1">
        <v>0</v>
      </c>
      <c r="F740" s="1">
        <v>5</v>
      </c>
      <c r="G740" s="1">
        <v>8</v>
      </c>
      <c r="H740" s="1">
        <v>2</v>
      </c>
      <c r="I740" s="1">
        <v>0</v>
      </c>
      <c r="J740" s="2" t="str">
        <f t="shared" si="59"/>
        <v>OKO</v>
      </c>
      <c r="K740" s="2" t="str">
        <f t="shared" si="60"/>
        <v>@CTW</v>
      </c>
      <c r="L740" s="1" t="str">
        <f t="shared" si="61"/>
        <v>739,6/25/2004,0,5,8,2,0</v>
      </c>
    </row>
    <row r="741" spans="1:12" x14ac:dyDescent="0.2">
      <c r="A741" s="1" t="str">
        <f t="shared" si="57"/>
        <v>381639</v>
      </c>
      <c r="B741" s="1" t="str">
        <f t="shared" si="58"/>
        <v>381634</v>
      </c>
      <c r="C741" s="1">
        <v>740</v>
      </c>
      <c r="D741" s="4">
        <v>38163</v>
      </c>
      <c r="E741" s="1">
        <v>0</v>
      </c>
      <c r="F741" s="1">
        <v>4</v>
      </c>
      <c r="G741" s="1">
        <v>9</v>
      </c>
      <c r="H741" s="1">
        <v>2</v>
      </c>
      <c r="I741" s="1">
        <v>0</v>
      </c>
      <c r="J741" s="2" t="str">
        <f t="shared" si="59"/>
        <v>NNN</v>
      </c>
      <c r="K741" s="2" t="str">
        <f t="shared" si="60"/>
        <v>@CIN</v>
      </c>
      <c r="L741" s="1" t="str">
        <f t="shared" si="61"/>
        <v>740,6/25/2004,0,4,9,2,0</v>
      </c>
    </row>
    <row r="742" spans="1:12" x14ac:dyDescent="0.2">
      <c r="A742" s="1" t="str">
        <f t="shared" si="57"/>
        <v>3816310</v>
      </c>
      <c r="B742" s="1" t="str">
        <f t="shared" si="58"/>
        <v>3816324</v>
      </c>
      <c r="C742" s="1">
        <v>741</v>
      </c>
      <c r="D742" s="4">
        <v>38163</v>
      </c>
      <c r="E742" s="1">
        <v>0</v>
      </c>
      <c r="F742" s="1">
        <v>24</v>
      </c>
      <c r="G742" s="1">
        <v>10</v>
      </c>
      <c r="H742" s="1">
        <v>2</v>
      </c>
      <c r="I742" s="1">
        <v>0</v>
      </c>
      <c r="J742" s="2" t="str">
        <f t="shared" si="59"/>
        <v>PHI</v>
      </c>
      <c r="K742" s="2" t="str">
        <f t="shared" si="60"/>
        <v>@REN</v>
      </c>
      <c r="L742" s="1" t="str">
        <f t="shared" si="61"/>
        <v>741,6/25/2004,0,24,10,2,0</v>
      </c>
    </row>
    <row r="743" spans="1:12" x14ac:dyDescent="0.2">
      <c r="A743" s="1" t="str">
        <f t="shared" si="57"/>
        <v>3816313</v>
      </c>
      <c r="B743" s="1" t="str">
        <f t="shared" si="58"/>
        <v>3816316</v>
      </c>
      <c r="C743" s="1">
        <v>742</v>
      </c>
      <c r="D743" s="4">
        <v>38163</v>
      </c>
      <c r="E743" s="1">
        <v>0</v>
      </c>
      <c r="F743" s="1">
        <v>16</v>
      </c>
      <c r="G743" s="1">
        <v>13</v>
      </c>
      <c r="H743" s="1">
        <v>2</v>
      </c>
      <c r="I743" s="1">
        <v>0</v>
      </c>
      <c r="J743" s="2" t="str">
        <f t="shared" si="59"/>
        <v>DIG</v>
      </c>
      <c r="K743" s="2" t="str">
        <f t="shared" si="60"/>
        <v>@BBG</v>
      </c>
      <c r="L743" s="1" t="str">
        <f t="shared" si="61"/>
        <v>742,6/25/2004,0,16,13,2,0</v>
      </c>
    </row>
    <row r="744" spans="1:12" x14ac:dyDescent="0.2">
      <c r="A744" s="1" t="str">
        <f t="shared" si="57"/>
        <v>3816314</v>
      </c>
      <c r="B744" s="1" t="str">
        <f t="shared" si="58"/>
        <v>3816311</v>
      </c>
      <c r="C744" s="1">
        <v>743</v>
      </c>
      <c r="D744" s="4">
        <v>38163</v>
      </c>
      <c r="E744" s="1">
        <v>0</v>
      </c>
      <c r="F744" s="1">
        <v>11</v>
      </c>
      <c r="G744" s="1">
        <v>14</v>
      </c>
      <c r="H744" s="1">
        <v>2</v>
      </c>
      <c r="I744" s="1">
        <v>0</v>
      </c>
      <c r="J744" s="2" t="str">
        <f t="shared" si="59"/>
        <v>HAR</v>
      </c>
      <c r="K744" s="2" t="str">
        <f t="shared" si="60"/>
        <v>@CEN</v>
      </c>
      <c r="L744" s="1" t="str">
        <f t="shared" si="61"/>
        <v>743,6/25/2004,0,11,14,2,0</v>
      </c>
    </row>
    <row r="745" spans="1:12" x14ac:dyDescent="0.2">
      <c r="A745" s="1" t="str">
        <f t="shared" si="57"/>
        <v>3816317</v>
      </c>
      <c r="B745" s="1" t="str">
        <f t="shared" si="58"/>
        <v>3816312</v>
      </c>
      <c r="C745" s="1">
        <v>744</v>
      </c>
      <c r="D745" s="4">
        <v>38163</v>
      </c>
      <c r="E745" s="1">
        <v>0</v>
      </c>
      <c r="F745" s="1">
        <v>12</v>
      </c>
      <c r="G745" s="1">
        <v>17</v>
      </c>
      <c r="H745" s="1">
        <v>2</v>
      </c>
      <c r="I745" s="1">
        <v>0</v>
      </c>
      <c r="J745" s="2" t="str">
        <f t="shared" si="59"/>
        <v>RMO</v>
      </c>
      <c r="K745" s="2" t="str">
        <f t="shared" si="60"/>
        <v>@GAR</v>
      </c>
      <c r="L745" s="1" t="str">
        <f t="shared" si="61"/>
        <v>744,6/25/2004,0,12,17,2,0</v>
      </c>
    </row>
    <row r="746" spans="1:12" x14ac:dyDescent="0.2">
      <c r="A746" s="1" t="str">
        <f t="shared" si="57"/>
        <v>3816320</v>
      </c>
      <c r="B746" s="1" t="str">
        <f t="shared" si="58"/>
        <v>3816321</v>
      </c>
      <c r="C746" s="1">
        <v>745</v>
      </c>
      <c r="D746" s="4">
        <v>38163</v>
      </c>
      <c r="E746" s="1">
        <v>0</v>
      </c>
      <c r="F746" s="1">
        <v>21</v>
      </c>
      <c r="G746" s="1">
        <v>20</v>
      </c>
      <c r="H746" s="1">
        <v>2</v>
      </c>
      <c r="I746" s="1">
        <v>0</v>
      </c>
      <c r="J746" s="2" t="str">
        <f t="shared" si="59"/>
        <v>NYD</v>
      </c>
      <c r="K746" s="2" t="str">
        <f t="shared" si="60"/>
        <v>@FDH</v>
      </c>
      <c r="L746" s="1" t="str">
        <f t="shared" si="61"/>
        <v>745,6/25/2004,0,21,20,2,0</v>
      </c>
    </row>
    <row r="747" spans="1:12" x14ac:dyDescent="0.2">
      <c r="A747" s="1" t="str">
        <f t="shared" si="57"/>
        <v>381651</v>
      </c>
      <c r="B747" s="1" t="str">
        <f t="shared" si="58"/>
        <v>3816522</v>
      </c>
      <c r="C747" s="1">
        <v>746</v>
      </c>
      <c r="D747" s="4">
        <v>38165</v>
      </c>
      <c r="E747" s="1">
        <v>0</v>
      </c>
      <c r="F747" s="1">
        <v>22</v>
      </c>
      <c r="G747" s="1">
        <v>1</v>
      </c>
      <c r="H747" s="1">
        <v>2</v>
      </c>
      <c r="I747" s="1">
        <v>0</v>
      </c>
      <c r="J747" s="2" t="str">
        <f t="shared" si="59"/>
        <v>CBB</v>
      </c>
      <c r="K747" s="2" t="str">
        <f t="shared" si="60"/>
        <v>@FFR</v>
      </c>
      <c r="L747" s="1" t="str">
        <f t="shared" si="61"/>
        <v>746,6/27/2004,0,22,1,2,0</v>
      </c>
    </row>
    <row r="748" spans="1:12" x14ac:dyDescent="0.2">
      <c r="A748" s="1" t="str">
        <f t="shared" si="57"/>
        <v>381654</v>
      </c>
      <c r="B748" s="1" t="str">
        <f t="shared" si="58"/>
        <v>3816523</v>
      </c>
      <c r="C748" s="1">
        <v>747</v>
      </c>
      <c r="D748" s="4">
        <v>38165</v>
      </c>
      <c r="E748" s="1">
        <v>0</v>
      </c>
      <c r="F748" s="1">
        <v>23</v>
      </c>
      <c r="G748" s="1">
        <v>4</v>
      </c>
      <c r="H748" s="1">
        <v>2</v>
      </c>
      <c r="I748" s="1">
        <v>0</v>
      </c>
      <c r="J748" s="2" t="str">
        <f t="shared" si="59"/>
        <v>BRK</v>
      </c>
      <c r="K748" s="2" t="str">
        <f t="shared" si="60"/>
        <v>@NNN</v>
      </c>
      <c r="L748" s="1" t="str">
        <f t="shared" si="61"/>
        <v>747,6/27/2004,0,23,4,2,0</v>
      </c>
    </row>
    <row r="749" spans="1:12" x14ac:dyDescent="0.2">
      <c r="A749" s="1" t="str">
        <f t="shared" si="57"/>
        <v>381655</v>
      </c>
      <c r="B749" s="1" t="str">
        <f t="shared" si="58"/>
        <v>3816524</v>
      </c>
      <c r="C749" s="1">
        <v>748</v>
      </c>
      <c r="D749" s="4">
        <v>38165</v>
      </c>
      <c r="E749" s="1">
        <v>0</v>
      </c>
      <c r="F749" s="1">
        <v>24</v>
      </c>
      <c r="G749" s="1">
        <v>5</v>
      </c>
      <c r="H749" s="1">
        <v>2</v>
      </c>
      <c r="I749" s="1">
        <v>0</v>
      </c>
      <c r="J749" s="2" t="str">
        <f t="shared" si="59"/>
        <v>PHI</v>
      </c>
      <c r="K749" s="2" t="str">
        <f t="shared" si="60"/>
        <v>@OKO</v>
      </c>
      <c r="L749" s="1" t="str">
        <f t="shared" si="61"/>
        <v>748,6/27/2004,0,24,5,2,0</v>
      </c>
    </row>
    <row r="750" spans="1:12" x14ac:dyDescent="0.2">
      <c r="A750" s="1" t="str">
        <f t="shared" si="57"/>
        <v>381657</v>
      </c>
      <c r="B750" s="1" t="str">
        <f t="shared" si="58"/>
        <v>381652</v>
      </c>
      <c r="C750" s="1">
        <v>749</v>
      </c>
      <c r="D750" s="4">
        <v>38165</v>
      </c>
      <c r="E750" s="1">
        <v>0</v>
      </c>
      <c r="F750" s="1">
        <v>2</v>
      </c>
      <c r="G750" s="1">
        <v>7</v>
      </c>
      <c r="H750" s="1">
        <v>2</v>
      </c>
      <c r="I750" s="1">
        <v>0</v>
      </c>
      <c r="J750" s="2" t="str">
        <f t="shared" si="59"/>
        <v>NEP</v>
      </c>
      <c r="K750" s="2" t="str">
        <f t="shared" si="60"/>
        <v>@BAR</v>
      </c>
      <c r="L750" s="1" t="str">
        <f t="shared" si="61"/>
        <v>749,6/27/2004,0,2,7,2,0</v>
      </c>
    </row>
    <row r="751" spans="1:12" x14ac:dyDescent="0.2">
      <c r="A751" s="1" t="str">
        <f t="shared" si="57"/>
        <v>381658</v>
      </c>
      <c r="B751" s="1" t="str">
        <f t="shared" si="58"/>
        <v>3816510</v>
      </c>
      <c r="C751" s="1">
        <v>750</v>
      </c>
      <c r="D751" s="4">
        <v>38165</v>
      </c>
      <c r="E751" s="1">
        <v>0</v>
      </c>
      <c r="F751" s="1">
        <v>10</v>
      </c>
      <c r="G751" s="1">
        <v>8</v>
      </c>
      <c r="H751" s="1">
        <v>2</v>
      </c>
      <c r="I751" s="1">
        <v>0</v>
      </c>
      <c r="J751" s="2" t="str">
        <f t="shared" si="59"/>
        <v>REN</v>
      </c>
      <c r="K751" s="2" t="str">
        <f t="shared" si="60"/>
        <v>@CTW</v>
      </c>
      <c r="L751" s="1" t="str">
        <f t="shared" si="61"/>
        <v>750,6/27/2004,0,10,8,2,0</v>
      </c>
    </row>
    <row r="752" spans="1:12" x14ac:dyDescent="0.2">
      <c r="A752" s="1" t="str">
        <f t="shared" si="57"/>
        <v>381659</v>
      </c>
      <c r="B752" s="1" t="str">
        <f t="shared" si="58"/>
        <v>381653</v>
      </c>
      <c r="C752" s="1">
        <v>751</v>
      </c>
      <c r="D752" s="4">
        <v>38165</v>
      </c>
      <c r="E752" s="1">
        <v>0</v>
      </c>
      <c r="F752" s="1">
        <v>3</v>
      </c>
      <c r="G752" s="1">
        <v>9</v>
      </c>
      <c r="H752" s="1">
        <v>2</v>
      </c>
      <c r="I752" s="1">
        <v>0</v>
      </c>
      <c r="J752" s="2" t="str">
        <f t="shared" si="59"/>
        <v>TEW</v>
      </c>
      <c r="K752" s="2" t="str">
        <f t="shared" si="60"/>
        <v>@CIN</v>
      </c>
      <c r="L752" s="1" t="str">
        <f t="shared" si="61"/>
        <v>751,6/27/2004,0,3,9,2,0</v>
      </c>
    </row>
    <row r="753" spans="1:12" x14ac:dyDescent="0.2">
      <c r="A753" s="1" t="str">
        <f t="shared" si="57"/>
        <v>3816512</v>
      </c>
      <c r="B753" s="1" t="str">
        <f t="shared" si="58"/>
        <v>3816521</v>
      </c>
      <c r="C753" s="1">
        <v>752</v>
      </c>
      <c r="D753" s="4">
        <v>38165</v>
      </c>
      <c r="E753" s="1">
        <v>0</v>
      </c>
      <c r="F753" s="1">
        <v>21</v>
      </c>
      <c r="G753" s="1">
        <v>12</v>
      </c>
      <c r="H753" s="1">
        <v>2</v>
      </c>
      <c r="I753" s="1">
        <v>0</v>
      </c>
      <c r="J753" s="2" t="str">
        <f t="shared" si="59"/>
        <v>NYD</v>
      </c>
      <c r="K753" s="2" t="str">
        <f t="shared" si="60"/>
        <v>@RMO</v>
      </c>
      <c r="L753" s="1" t="str">
        <f t="shared" si="61"/>
        <v>752,6/27/2004,0,21,12,2,0</v>
      </c>
    </row>
    <row r="754" spans="1:12" x14ac:dyDescent="0.2">
      <c r="A754" s="1" t="str">
        <f t="shared" si="57"/>
        <v>3816513</v>
      </c>
      <c r="B754" s="1" t="str">
        <f t="shared" si="58"/>
        <v>3816514</v>
      </c>
      <c r="C754" s="1">
        <v>753</v>
      </c>
      <c r="D754" s="4">
        <v>38165</v>
      </c>
      <c r="E754" s="1">
        <v>0</v>
      </c>
      <c r="F754" s="1">
        <v>14</v>
      </c>
      <c r="G754" s="1">
        <v>13</v>
      </c>
      <c r="H754" s="1">
        <v>2</v>
      </c>
      <c r="I754" s="1">
        <v>0</v>
      </c>
      <c r="J754" s="2" t="str">
        <f t="shared" si="59"/>
        <v>CEN</v>
      </c>
      <c r="K754" s="2" t="str">
        <f t="shared" si="60"/>
        <v>@BBG</v>
      </c>
      <c r="L754" s="1" t="str">
        <f t="shared" si="61"/>
        <v>753,6/27/2004,0,14,13,2,0</v>
      </c>
    </row>
    <row r="755" spans="1:12" x14ac:dyDescent="0.2">
      <c r="A755" s="1" t="str">
        <f t="shared" si="57"/>
        <v>3816516</v>
      </c>
      <c r="B755" s="1" t="str">
        <f t="shared" si="58"/>
        <v>3816511</v>
      </c>
      <c r="C755" s="1">
        <v>754</v>
      </c>
      <c r="D755" s="4">
        <v>38165</v>
      </c>
      <c r="E755" s="1">
        <v>0</v>
      </c>
      <c r="F755" s="1">
        <v>11</v>
      </c>
      <c r="G755" s="1">
        <v>16</v>
      </c>
      <c r="H755" s="1">
        <v>2</v>
      </c>
      <c r="I755" s="1">
        <v>0</v>
      </c>
      <c r="J755" s="2" t="str">
        <f t="shared" si="59"/>
        <v>HAR</v>
      </c>
      <c r="K755" s="2" t="str">
        <f t="shared" si="60"/>
        <v>@DIG</v>
      </c>
      <c r="L755" s="1" t="str">
        <f t="shared" si="61"/>
        <v>754,6/27/2004,0,11,16,2,0</v>
      </c>
    </row>
    <row r="756" spans="1:12" x14ac:dyDescent="0.2">
      <c r="A756" s="1" t="str">
        <f t="shared" si="57"/>
        <v>3816517</v>
      </c>
      <c r="B756" s="1" t="str">
        <f t="shared" si="58"/>
        <v>3816520</v>
      </c>
      <c r="C756" s="1">
        <v>755</v>
      </c>
      <c r="D756" s="4">
        <v>38165</v>
      </c>
      <c r="E756" s="1">
        <v>0</v>
      </c>
      <c r="F756" s="1">
        <v>20</v>
      </c>
      <c r="G756" s="1">
        <v>17</v>
      </c>
      <c r="H756" s="1">
        <v>2</v>
      </c>
      <c r="I756" s="1">
        <v>0</v>
      </c>
      <c r="J756" s="2" t="str">
        <f t="shared" si="59"/>
        <v>FDH</v>
      </c>
      <c r="K756" s="2" t="str">
        <f t="shared" si="60"/>
        <v>@GAR</v>
      </c>
      <c r="L756" s="1" t="str">
        <f t="shared" si="61"/>
        <v>755,6/27/2004,0,20,17,2,0</v>
      </c>
    </row>
    <row r="757" spans="1:12" x14ac:dyDescent="0.2">
      <c r="A757" s="1" t="str">
        <f t="shared" si="57"/>
        <v>381661</v>
      </c>
      <c r="B757" s="1" t="str">
        <f t="shared" si="58"/>
        <v>3816622</v>
      </c>
      <c r="C757" s="1">
        <v>756</v>
      </c>
      <c r="D757" s="4">
        <v>38166</v>
      </c>
      <c r="E757" s="1">
        <v>0</v>
      </c>
      <c r="F757" s="1">
        <v>22</v>
      </c>
      <c r="G757" s="1">
        <v>1</v>
      </c>
      <c r="H757" s="1">
        <v>2</v>
      </c>
      <c r="I757" s="1">
        <v>0</v>
      </c>
      <c r="J757" s="2" t="str">
        <f t="shared" si="59"/>
        <v>CBB</v>
      </c>
      <c r="K757" s="2" t="str">
        <f t="shared" si="60"/>
        <v>@FFR</v>
      </c>
      <c r="L757" s="1" t="str">
        <f t="shared" si="61"/>
        <v>756,6/28/2004,0,22,1,2,0</v>
      </c>
    </row>
    <row r="758" spans="1:12" x14ac:dyDescent="0.2">
      <c r="A758" s="1" t="str">
        <f t="shared" si="57"/>
        <v>381664</v>
      </c>
      <c r="B758" s="1" t="str">
        <f t="shared" si="58"/>
        <v>3816623</v>
      </c>
      <c r="C758" s="1">
        <v>757</v>
      </c>
      <c r="D758" s="4">
        <v>38166</v>
      </c>
      <c r="E758" s="1">
        <v>0</v>
      </c>
      <c r="F758" s="1">
        <v>23</v>
      </c>
      <c r="G758" s="1">
        <v>4</v>
      </c>
      <c r="H758" s="1">
        <v>2</v>
      </c>
      <c r="I758" s="1">
        <v>0</v>
      </c>
      <c r="J758" s="2" t="str">
        <f t="shared" si="59"/>
        <v>BRK</v>
      </c>
      <c r="K758" s="2" t="str">
        <f t="shared" si="60"/>
        <v>@NNN</v>
      </c>
      <c r="L758" s="1" t="str">
        <f t="shared" si="61"/>
        <v>757,6/28/2004,0,23,4,2,0</v>
      </c>
    </row>
    <row r="759" spans="1:12" x14ac:dyDescent="0.2">
      <c r="A759" s="1" t="str">
        <f t="shared" si="57"/>
        <v>381665</v>
      </c>
      <c r="B759" s="1" t="str">
        <f t="shared" si="58"/>
        <v>3816624</v>
      </c>
      <c r="C759" s="1">
        <v>758</v>
      </c>
      <c r="D759" s="4">
        <v>38166</v>
      </c>
      <c r="E759" s="1">
        <v>0</v>
      </c>
      <c r="F759" s="1">
        <v>24</v>
      </c>
      <c r="G759" s="1">
        <v>5</v>
      </c>
      <c r="H759" s="1">
        <v>2</v>
      </c>
      <c r="I759" s="1">
        <v>0</v>
      </c>
      <c r="J759" s="2" t="str">
        <f t="shared" si="59"/>
        <v>PHI</v>
      </c>
      <c r="K759" s="2" t="str">
        <f t="shared" si="60"/>
        <v>@OKO</v>
      </c>
      <c r="L759" s="1" t="str">
        <f t="shared" si="61"/>
        <v>758,6/28/2004,0,24,5,2,0</v>
      </c>
    </row>
    <row r="760" spans="1:12" x14ac:dyDescent="0.2">
      <c r="A760" s="1" t="str">
        <f t="shared" si="57"/>
        <v>381667</v>
      </c>
      <c r="B760" s="1" t="str">
        <f t="shared" si="58"/>
        <v>381662</v>
      </c>
      <c r="C760" s="1">
        <v>759</v>
      </c>
      <c r="D760" s="4">
        <v>38166</v>
      </c>
      <c r="E760" s="1">
        <v>0</v>
      </c>
      <c r="F760" s="1">
        <v>2</v>
      </c>
      <c r="G760" s="1">
        <v>7</v>
      </c>
      <c r="H760" s="1">
        <v>2</v>
      </c>
      <c r="I760" s="1">
        <v>0</v>
      </c>
      <c r="J760" s="2" t="str">
        <f t="shared" si="59"/>
        <v>NEP</v>
      </c>
      <c r="K760" s="2" t="str">
        <f t="shared" si="60"/>
        <v>@BAR</v>
      </c>
      <c r="L760" s="1" t="str">
        <f t="shared" si="61"/>
        <v>759,6/28/2004,0,2,7,2,0</v>
      </c>
    </row>
    <row r="761" spans="1:12" x14ac:dyDescent="0.2">
      <c r="A761" s="1" t="str">
        <f t="shared" si="57"/>
        <v>381668</v>
      </c>
      <c r="B761" s="1" t="str">
        <f t="shared" si="58"/>
        <v>3816610</v>
      </c>
      <c r="C761" s="1">
        <v>760</v>
      </c>
      <c r="D761" s="4">
        <v>38166</v>
      </c>
      <c r="E761" s="1">
        <v>0</v>
      </c>
      <c r="F761" s="1">
        <v>10</v>
      </c>
      <c r="G761" s="1">
        <v>8</v>
      </c>
      <c r="H761" s="1">
        <v>2</v>
      </c>
      <c r="I761" s="1">
        <v>0</v>
      </c>
      <c r="J761" s="2" t="str">
        <f t="shared" si="59"/>
        <v>REN</v>
      </c>
      <c r="K761" s="2" t="str">
        <f t="shared" si="60"/>
        <v>@CTW</v>
      </c>
      <c r="L761" s="1" t="str">
        <f t="shared" si="61"/>
        <v>760,6/28/2004,0,10,8,2,0</v>
      </c>
    </row>
    <row r="762" spans="1:12" x14ac:dyDescent="0.2">
      <c r="A762" s="1" t="str">
        <f t="shared" si="57"/>
        <v>381669</v>
      </c>
      <c r="B762" s="1" t="str">
        <f t="shared" si="58"/>
        <v>381663</v>
      </c>
      <c r="C762" s="1">
        <v>761</v>
      </c>
      <c r="D762" s="4">
        <v>38166</v>
      </c>
      <c r="E762" s="1">
        <v>0</v>
      </c>
      <c r="F762" s="1">
        <v>3</v>
      </c>
      <c r="G762" s="1">
        <v>9</v>
      </c>
      <c r="H762" s="1">
        <v>2</v>
      </c>
      <c r="I762" s="1">
        <v>0</v>
      </c>
      <c r="J762" s="2" t="str">
        <f t="shared" si="59"/>
        <v>TEW</v>
      </c>
      <c r="K762" s="2" t="str">
        <f t="shared" si="60"/>
        <v>@CIN</v>
      </c>
      <c r="L762" s="1" t="str">
        <f t="shared" si="61"/>
        <v>761,6/28/2004,0,3,9,2,0</v>
      </c>
    </row>
    <row r="763" spans="1:12" x14ac:dyDescent="0.2">
      <c r="A763" s="1" t="str">
        <f t="shared" si="57"/>
        <v>3816612</v>
      </c>
      <c r="B763" s="1" t="str">
        <f t="shared" si="58"/>
        <v>3816621</v>
      </c>
      <c r="C763" s="1">
        <v>762</v>
      </c>
      <c r="D763" s="4">
        <v>38166</v>
      </c>
      <c r="E763" s="1">
        <v>0</v>
      </c>
      <c r="F763" s="1">
        <v>21</v>
      </c>
      <c r="G763" s="1">
        <v>12</v>
      </c>
      <c r="H763" s="1">
        <v>2</v>
      </c>
      <c r="I763" s="1">
        <v>0</v>
      </c>
      <c r="J763" s="2" t="str">
        <f t="shared" si="59"/>
        <v>NYD</v>
      </c>
      <c r="K763" s="2" t="str">
        <f t="shared" si="60"/>
        <v>@RMO</v>
      </c>
      <c r="L763" s="1" t="str">
        <f t="shared" si="61"/>
        <v>762,6/28/2004,0,21,12,2,0</v>
      </c>
    </row>
    <row r="764" spans="1:12" x14ac:dyDescent="0.2">
      <c r="A764" s="1" t="str">
        <f t="shared" si="57"/>
        <v>3816613</v>
      </c>
      <c r="B764" s="1" t="str">
        <f t="shared" si="58"/>
        <v>3816614</v>
      </c>
      <c r="C764" s="1">
        <v>763</v>
      </c>
      <c r="D764" s="4">
        <v>38166</v>
      </c>
      <c r="E764" s="1">
        <v>0</v>
      </c>
      <c r="F764" s="1">
        <v>14</v>
      </c>
      <c r="G764" s="1">
        <v>13</v>
      </c>
      <c r="H764" s="1">
        <v>2</v>
      </c>
      <c r="I764" s="1">
        <v>0</v>
      </c>
      <c r="J764" s="2" t="str">
        <f t="shared" si="59"/>
        <v>CEN</v>
      </c>
      <c r="K764" s="2" t="str">
        <f t="shared" si="60"/>
        <v>@BBG</v>
      </c>
      <c r="L764" s="1" t="str">
        <f t="shared" si="61"/>
        <v>763,6/28/2004,0,14,13,2,0</v>
      </c>
    </row>
    <row r="765" spans="1:12" x14ac:dyDescent="0.2">
      <c r="A765" s="1" t="str">
        <f t="shared" si="57"/>
        <v>3816616</v>
      </c>
      <c r="B765" s="1" t="str">
        <f t="shared" si="58"/>
        <v>3816611</v>
      </c>
      <c r="C765" s="1">
        <v>764</v>
      </c>
      <c r="D765" s="4">
        <v>38166</v>
      </c>
      <c r="E765" s="1">
        <v>0</v>
      </c>
      <c r="F765" s="1">
        <v>11</v>
      </c>
      <c r="G765" s="1">
        <v>16</v>
      </c>
      <c r="H765" s="1">
        <v>2</v>
      </c>
      <c r="I765" s="1">
        <v>0</v>
      </c>
      <c r="J765" s="2" t="str">
        <f t="shared" si="59"/>
        <v>HAR</v>
      </c>
      <c r="K765" s="2" t="str">
        <f t="shared" si="60"/>
        <v>@DIG</v>
      </c>
      <c r="L765" s="1" t="str">
        <f t="shared" si="61"/>
        <v>764,6/28/2004,0,11,16,2,0</v>
      </c>
    </row>
    <row r="766" spans="1:12" x14ac:dyDescent="0.2">
      <c r="A766" s="1" t="str">
        <f t="shared" si="57"/>
        <v>3816617</v>
      </c>
      <c r="B766" s="1" t="str">
        <f t="shared" si="58"/>
        <v>3816620</v>
      </c>
      <c r="C766" s="1">
        <v>765</v>
      </c>
      <c r="D766" s="4">
        <v>38166</v>
      </c>
      <c r="E766" s="1">
        <v>0</v>
      </c>
      <c r="F766" s="1">
        <v>20</v>
      </c>
      <c r="G766" s="1">
        <v>17</v>
      </c>
      <c r="H766" s="1">
        <v>2</v>
      </c>
      <c r="I766" s="1">
        <v>0</v>
      </c>
      <c r="J766" s="2" t="str">
        <f t="shared" si="59"/>
        <v>FDH</v>
      </c>
      <c r="K766" s="2" t="str">
        <f t="shared" si="60"/>
        <v>@GAR</v>
      </c>
      <c r="L766" s="1" t="str">
        <f t="shared" si="61"/>
        <v>765,6/28/2004,0,20,17,2,0</v>
      </c>
    </row>
    <row r="767" spans="1:12" x14ac:dyDescent="0.2">
      <c r="A767" s="1" t="str">
        <f t="shared" si="57"/>
        <v>381671</v>
      </c>
      <c r="B767" s="1" t="str">
        <f t="shared" si="58"/>
        <v>3816722</v>
      </c>
      <c r="C767" s="1">
        <v>766</v>
      </c>
      <c r="D767" s="4">
        <v>38167</v>
      </c>
      <c r="E767" s="1">
        <v>0</v>
      </c>
      <c r="F767" s="1">
        <v>22</v>
      </c>
      <c r="G767" s="1">
        <v>1</v>
      </c>
      <c r="H767" s="1">
        <v>2</v>
      </c>
      <c r="I767" s="1">
        <v>0</v>
      </c>
      <c r="J767" s="2" t="str">
        <f t="shared" si="59"/>
        <v>CBB</v>
      </c>
      <c r="K767" s="2" t="str">
        <f t="shared" si="60"/>
        <v>@FFR</v>
      </c>
      <c r="L767" s="1" t="str">
        <f t="shared" si="61"/>
        <v>766,6/29/2004,0,22,1,2,0</v>
      </c>
    </row>
    <row r="768" spans="1:12" x14ac:dyDescent="0.2">
      <c r="A768" s="1" t="str">
        <f t="shared" si="57"/>
        <v>381674</v>
      </c>
      <c r="B768" s="1" t="str">
        <f t="shared" si="58"/>
        <v>3816723</v>
      </c>
      <c r="C768" s="1">
        <v>767</v>
      </c>
      <c r="D768" s="4">
        <v>38167</v>
      </c>
      <c r="E768" s="1">
        <v>0</v>
      </c>
      <c r="F768" s="1">
        <v>23</v>
      </c>
      <c r="G768" s="1">
        <v>4</v>
      </c>
      <c r="H768" s="1">
        <v>2</v>
      </c>
      <c r="I768" s="1">
        <v>0</v>
      </c>
      <c r="J768" s="2" t="str">
        <f t="shared" si="59"/>
        <v>BRK</v>
      </c>
      <c r="K768" s="2" t="str">
        <f t="shared" si="60"/>
        <v>@NNN</v>
      </c>
      <c r="L768" s="1" t="str">
        <f t="shared" si="61"/>
        <v>767,6/29/2004,0,23,4,2,0</v>
      </c>
    </row>
    <row r="769" spans="1:12" x14ac:dyDescent="0.2">
      <c r="A769" s="1" t="str">
        <f t="shared" si="57"/>
        <v>381675</v>
      </c>
      <c r="B769" s="1" t="str">
        <f t="shared" si="58"/>
        <v>3816724</v>
      </c>
      <c r="C769" s="1">
        <v>768</v>
      </c>
      <c r="D769" s="4">
        <v>38167</v>
      </c>
      <c r="E769" s="1">
        <v>0</v>
      </c>
      <c r="F769" s="1">
        <v>24</v>
      </c>
      <c r="G769" s="1">
        <v>5</v>
      </c>
      <c r="H769" s="1">
        <v>2</v>
      </c>
      <c r="I769" s="1">
        <v>0</v>
      </c>
      <c r="J769" s="2" t="str">
        <f t="shared" si="59"/>
        <v>PHI</v>
      </c>
      <c r="K769" s="2" t="str">
        <f t="shared" si="60"/>
        <v>@OKO</v>
      </c>
      <c r="L769" s="1" t="str">
        <f t="shared" si="61"/>
        <v>768,6/29/2004,0,24,5,2,0</v>
      </c>
    </row>
    <row r="770" spans="1:12" x14ac:dyDescent="0.2">
      <c r="A770" s="1" t="str">
        <f t="shared" ref="A770:A829" si="62">D770&amp;G770</f>
        <v>381677</v>
      </c>
      <c r="B770" s="1" t="str">
        <f t="shared" ref="B770:B829" si="63">D770&amp;F770</f>
        <v>381672</v>
      </c>
      <c r="C770" s="1">
        <v>769</v>
      </c>
      <c r="D770" s="4">
        <v>38167</v>
      </c>
      <c r="E770" s="1">
        <v>0</v>
      </c>
      <c r="F770" s="1">
        <v>2</v>
      </c>
      <c r="G770" s="1">
        <v>7</v>
      </c>
      <c r="H770" s="1">
        <v>2</v>
      </c>
      <c r="I770" s="1">
        <v>0</v>
      </c>
      <c r="J770" s="2" t="str">
        <f t="shared" ref="J770:J833" si="64">VLOOKUP(F770,$M$2:$N$21,2,0)</f>
        <v>NEP</v>
      </c>
      <c r="K770" s="2" t="str">
        <f t="shared" ref="K770:K833" si="65">"@"&amp;VLOOKUP(G770,$M$2:$N$21,2,0)</f>
        <v>@BAR</v>
      </c>
      <c r="L770" s="1" t="str">
        <f t="shared" ref="L770:L829" si="66">C770&amp;","&amp;MONTH(D770)&amp;"/"&amp;DAY(D770)&amp;"/"&amp;YEAR(D770)&amp;","&amp;E770&amp;","&amp;F770&amp;","&amp;G770&amp;","&amp;H770&amp;","&amp;I770</f>
        <v>769,6/29/2004,0,2,7,2,0</v>
      </c>
    </row>
    <row r="771" spans="1:12" x14ac:dyDescent="0.2">
      <c r="A771" s="1" t="str">
        <f t="shared" si="62"/>
        <v>381678</v>
      </c>
      <c r="B771" s="1" t="str">
        <f t="shared" si="63"/>
        <v>3816710</v>
      </c>
      <c r="C771" s="1">
        <v>770</v>
      </c>
      <c r="D771" s="4">
        <v>38167</v>
      </c>
      <c r="E771" s="1">
        <v>0</v>
      </c>
      <c r="F771" s="1">
        <v>10</v>
      </c>
      <c r="G771" s="1">
        <v>8</v>
      </c>
      <c r="H771" s="1">
        <v>2</v>
      </c>
      <c r="I771" s="1">
        <v>0</v>
      </c>
      <c r="J771" s="2" t="str">
        <f t="shared" si="64"/>
        <v>REN</v>
      </c>
      <c r="K771" s="2" t="str">
        <f t="shared" si="65"/>
        <v>@CTW</v>
      </c>
      <c r="L771" s="1" t="str">
        <f t="shared" si="66"/>
        <v>770,6/29/2004,0,10,8,2,0</v>
      </c>
    </row>
    <row r="772" spans="1:12" x14ac:dyDescent="0.2">
      <c r="A772" s="1" t="str">
        <f t="shared" si="62"/>
        <v>381679</v>
      </c>
      <c r="B772" s="1" t="str">
        <f t="shared" si="63"/>
        <v>381673</v>
      </c>
      <c r="C772" s="1">
        <v>771</v>
      </c>
      <c r="D772" s="4">
        <v>38167</v>
      </c>
      <c r="E772" s="1">
        <v>0</v>
      </c>
      <c r="F772" s="1">
        <v>3</v>
      </c>
      <c r="G772" s="1">
        <v>9</v>
      </c>
      <c r="H772" s="1">
        <v>2</v>
      </c>
      <c r="I772" s="1">
        <v>0</v>
      </c>
      <c r="J772" s="2" t="str">
        <f t="shared" si="64"/>
        <v>TEW</v>
      </c>
      <c r="K772" s="2" t="str">
        <f t="shared" si="65"/>
        <v>@CIN</v>
      </c>
      <c r="L772" s="1" t="str">
        <f t="shared" si="66"/>
        <v>771,6/29/2004,0,3,9,2,0</v>
      </c>
    </row>
    <row r="773" spans="1:12" x14ac:dyDescent="0.2">
      <c r="A773" s="1" t="str">
        <f t="shared" si="62"/>
        <v>3816712</v>
      </c>
      <c r="B773" s="1" t="str">
        <f t="shared" si="63"/>
        <v>3816721</v>
      </c>
      <c r="C773" s="1">
        <v>772</v>
      </c>
      <c r="D773" s="4">
        <v>38167</v>
      </c>
      <c r="E773" s="1">
        <v>0</v>
      </c>
      <c r="F773" s="1">
        <v>21</v>
      </c>
      <c r="G773" s="1">
        <v>12</v>
      </c>
      <c r="H773" s="1">
        <v>2</v>
      </c>
      <c r="I773" s="1">
        <v>0</v>
      </c>
      <c r="J773" s="2" t="str">
        <f t="shared" si="64"/>
        <v>NYD</v>
      </c>
      <c r="K773" s="2" t="str">
        <f t="shared" si="65"/>
        <v>@RMO</v>
      </c>
      <c r="L773" s="1" t="str">
        <f t="shared" si="66"/>
        <v>772,6/29/2004,0,21,12,2,0</v>
      </c>
    </row>
    <row r="774" spans="1:12" x14ac:dyDescent="0.2">
      <c r="A774" s="1" t="str">
        <f t="shared" si="62"/>
        <v>3816713</v>
      </c>
      <c r="B774" s="1" t="str">
        <f t="shared" si="63"/>
        <v>3816714</v>
      </c>
      <c r="C774" s="1">
        <v>773</v>
      </c>
      <c r="D774" s="4">
        <v>38167</v>
      </c>
      <c r="E774" s="1">
        <v>0</v>
      </c>
      <c r="F774" s="1">
        <v>14</v>
      </c>
      <c r="G774" s="1">
        <v>13</v>
      </c>
      <c r="H774" s="1">
        <v>2</v>
      </c>
      <c r="I774" s="1">
        <v>0</v>
      </c>
      <c r="J774" s="2" t="str">
        <f t="shared" si="64"/>
        <v>CEN</v>
      </c>
      <c r="K774" s="2" t="str">
        <f t="shared" si="65"/>
        <v>@BBG</v>
      </c>
      <c r="L774" s="1" t="str">
        <f t="shared" si="66"/>
        <v>773,6/29/2004,0,14,13,2,0</v>
      </c>
    </row>
    <row r="775" spans="1:12" x14ac:dyDescent="0.2">
      <c r="A775" s="1" t="str">
        <f t="shared" si="62"/>
        <v>3816716</v>
      </c>
      <c r="B775" s="1" t="str">
        <f t="shared" si="63"/>
        <v>3816711</v>
      </c>
      <c r="C775" s="1">
        <v>774</v>
      </c>
      <c r="D775" s="4">
        <v>38167</v>
      </c>
      <c r="E775" s="1">
        <v>0</v>
      </c>
      <c r="F775" s="1">
        <v>11</v>
      </c>
      <c r="G775" s="1">
        <v>16</v>
      </c>
      <c r="H775" s="1">
        <v>2</v>
      </c>
      <c r="I775" s="1">
        <v>0</v>
      </c>
      <c r="J775" s="2" t="str">
        <f t="shared" si="64"/>
        <v>HAR</v>
      </c>
      <c r="K775" s="2" t="str">
        <f t="shared" si="65"/>
        <v>@DIG</v>
      </c>
      <c r="L775" s="1" t="str">
        <f t="shared" si="66"/>
        <v>774,6/29/2004,0,11,16,2,0</v>
      </c>
    </row>
    <row r="776" spans="1:12" x14ac:dyDescent="0.2">
      <c r="A776" s="1" t="str">
        <f t="shared" si="62"/>
        <v>3816717</v>
      </c>
      <c r="B776" s="1" t="str">
        <f t="shared" si="63"/>
        <v>3816720</v>
      </c>
      <c r="C776" s="1">
        <v>775</v>
      </c>
      <c r="D776" s="4">
        <v>38167</v>
      </c>
      <c r="E776" s="1">
        <v>0</v>
      </c>
      <c r="F776" s="1">
        <v>20</v>
      </c>
      <c r="G776" s="1">
        <v>17</v>
      </c>
      <c r="H776" s="1">
        <v>2</v>
      </c>
      <c r="I776" s="1">
        <v>0</v>
      </c>
      <c r="J776" s="2" t="str">
        <f t="shared" si="64"/>
        <v>FDH</v>
      </c>
      <c r="K776" s="2" t="str">
        <f t="shared" si="65"/>
        <v>@GAR</v>
      </c>
      <c r="L776" s="1" t="str">
        <f t="shared" si="66"/>
        <v>775,6/29/2004,0,20,17,2,0</v>
      </c>
    </row>
    <row r="777" spans="1:12" x14ac:dyDescent="0.2">
      <c r="A777" s="1" t="str">
        <f t="shared" si="62"/>
        <v>381681</v>
      </c>
      <c r="B777" s="1" t="str">
        <f t="shared" si="63"/>
        <v>3816822</v>
      </c>
      <c r="C777" s="1">
        <v>776</v>
      </c>
      <c r="D777" s="4">
        <v>38168</v>
      </c>
      <c r="E777" s="1">
        <v>0</v>
      </c>
      <c r="F777" s="1">
        <v>22</v>
      </c>
      <c r="G777" s="1">
        <v>1</v>
      </c>
      <c r="H777" s="1">
        <v>2</v>
      </c>
      <c r="I777" s="1">
        <v>0</v>
      </c>
      <c r="J777" s="2" t="str">
        <f t="shared" si="64"/>
        <v>CBB</v>
      </c>
      <c r="K777" s="2" t="str">
        <f t="shared" si="65"/>
        <v>@FFR</v>
      </c>
      <c r="L777" s="1" t="str">
        <f t="shared" si="66"/>
        <v>776,6/30/2004,0,22,1,2,0</v>
      </c>
    </row>
    <row r="778" spans="1:12" x14ac:dyDescent="0.2">
      <c r="A778" s="1" t="str">
        <f t="shared" si="62"/>
        <v>381684</v>
      </c>
      <c r="B778" s="1" t="str">
        <f t="shared" si="63"/>
        <v>3816823</v>
      </c>
      <c r="C778" s="1">
        <v>777</v>
      </c>
      <c r="D778" s="4">
        <v>38168</v>
      </c>
      <c r="E778" s="1">
        <v>0</v>
      </c>
      <c r="F778" s="1">
        <v>23</v>
      </c>
      <c r="G778" s="1">
        <v>4</v>
      </c>
      <c r="H778" s="1">
        <v>2</v>
      </c>
      <c r="I778" s="1">
        <v>0</v>
      </c>
      <c r="J778" s="2" t="str">
        <f t="shared" si="64"/>
        <v>BRK</v>
      </c>
      <c r="K778" s="2" t="str">
        <f t="shared" si="65"/>
        <v>@NNN</v>
      </c>
      <c r="L778" s="1" t="str">
        <f t="shared" si="66"/>
        <v>777,6/30/2004,0,23,4,2,0</v>
      </c>
    </row>
    <row r="779" spans="1:12" x14ac:dyDescent="0.2">
      <c r="A779" s="1" t="str">
        <f t="shared" si="62"/>
        <v>381685</v>
      </c>
      <c r="B779" s="1" t="str">
        <f t="shared" si="63"/>
        <v>3816824</v>
      </c>
      <c r="C779" s="1">
        <v>778</v>
      </c>
      <c r="D779" s="4">
        <v>38168</v>
      </c>
      <c r="E779" s="1">
        <v>0</v>
      </c>
      <c r="F779" s="1">
        <v>24</v>
      </c>
      <c r="G779" s="1">
        <v>5</v>
      </c>
      <c r="H779" s="1">
        <v>2</v>
      </c>
      <c r="I779" s="1">
        <v>0</v>
      </c>
      <c r="J779" s="2" t="str">
        <f t="shared" si="64"/>
        <v>PHI</v>
      </c>
      <c r="K779" s="2" t="str">
        <f t="shared" si="65"/>
        <v>@OKO</v>
      </c>
      <c r="L779" s="1" t="str">
        <f t="shared" si="66"/>
        <v>778,6/30/2004,0,24,5,2,0</v>
      </c>
    </row>
    <row r="780" spans="1:12" x14ac:dyDescent="0.2">
      <c r="A780" s="1" t="str">
        <f t="shared" si="62"/>
        <v>381687</v>
      </c>
      <c r="B780" s="1" t="str">
        <f t="shared" si="63"/>
        <v>381682</v>
      </c>
      <c r="C780" s="1">
        <v>779</v>
      </c>
      <c r="D780" s="4">
        <v>38168</v>
      </c>
      <c r="E780" s="1">
        <v>0</v>
      </c>
      <c r="F780" s="1">
        <v>2</v>
      </c>
      <c r="G780" s="1">
        <v>7</v>
      </c>
      <c r="H780" s="1">
        <v>2</v>
      </c>
      <c r="I780" s="1">
        <v>0</v>
      </c>
      <c r="J780" s="2" t="str">
        <f t="shared" si="64"/>
        <v>NEP</v>
      </c>
      <c r="K780" s="2" t="str">
        <f t="shared" si="65"/>
        <v>@BAR</v>
      </c>
      <c r="L780" s="1" t="str">
        <f t="shared" si="66"/>
        <v>779,6/30/2004,0,2,7,2,0</v>
      </c>
    </row>
    <row r="781" spans="1:12" x14ac:dyDescent="0.2">
      <c r="A781" s="1" t="str">
        <f t="shared" si="62"/>
        <v>381688</v>
      </c>
      <c r="B781" s="1" t="str">
        <f t="shared" si="63"/>
        <v>3816810</v>
      </c>
      <c r="C781" s="1">
        <v>780</v>
      </c>
      <c r="D781" s="4">
        <v>38168</v>
      </c>
      <c r="E781" s="1">
        <v>0</v>
      </c>
      <c r="F781" s="1">
        <v>10</v>
      </c>
      <c r="G781" s="1">
        <v>8</v>
      </c>
      <c r="H781" s="1">
        <v>2</v>
      </c>
      <c r="I781" s="1">
        <v>0</v>
      </c>
      <c r="J781" s="2" t="str">
        <f t="shared" si="64"/>
        <v>REN</v>
      </c>
      <c r="K781" s="2" t="str">
        <f t="shared" si="65"/>
        <v>@CTW</v>
      </c>
      <c r="L781" s="1" t="str">
        <f t="shared" si="66"/>
        <v>780,6/30/2004,0,10,8,2,0</v>
      </c>
    </row>
    <row r="782" spans="1:12" x14ac:dyDescent="0.2">
      <c r="A782" s="1" t="str">
        <f t="shared" si="62"/>
        <v>381689</v>
      </c>
      <c r="B782" s="1" t="str">
        <f t="shared" si="63"/>
        <v>381683</v>
      </c>
      <c r="C782" s="1">
        <v>781</v>
      </c>
      <c r="D782" s="4">
        <v>38168</v>
      </c>
      <c r="E782" s="1">
        <v>0</v>
      </c>
      <c r="F782" s="1">
        <v>3</v>
      </c>
      <c r="G782" s="1">
        <v>9</v>
      </c>
      <c r="H782" s="1">
        <v>2</v>
      </c>
      <c r="I782" s="1">
        <v>0</v>
      </c>
      <c r="J782" s="2" t="str">
        <f t="shared" si="64"/>
        <v>TEW</v>
      </c>
      <c r="K782" s="2" t="str">
        <f t="shared" si="65"/>
        <v>@CIN</v>
      </c>
      <c r="L782" s="1" t="str">
        <f t="shared" si="66"/>
        <v>781,6/30/2004,0,3,9,2,0</v>
      </c>
    </row>
    <row r="783" spans="1:12" x14ac:dyDescent="0.2">
      <c r="A783" s="1" t="str">
        <f t="shared" si="62"/>
        <v>3816812</v>
      </c>
      <c r="B783" s="1" t="str">
        <f t="shared" si="63"/>
        <v>3816821</v>
      </c>
      <c r="C783" s="1">
        <v>782</v>
      </c>
      <c r="D783" s="4">
        <v>38168</v>
      </c>
      <c r="E783" s="1">
        <v>0</v>
      </c>
      <c r="F783" s="1">
        <v>21</v>
      </c>
      <c r="G783" s="1">
        <v>12</v>
      </c>
      <c r="H783" s="1">
        <v>2</v>
      </c>
      <c r="I783" s="1">
        <v>0</v>
      </c>
      <c r="J783" s="2" t="str">
        <f t="shared" si="64"/>
        <v>NYD</v>
      </c>
      <c r="K783" s="2" t="str">
        <f t="shared" si="65"/>
        <v>@RMO</v>
      </c>
      <c r="L783" s="1" t="str">
        <f t="shared" si="66"/>
        <v>782,6/30/2004,0,21,12,2,0</v>
      </c>
    </row>
    <row r="784" spans="1:12" x14ac:dyDescent="0.2">
      <c r="A784" s="1" t="str">
        <f t="shared" si="62"/>
        <v>3816813</v>
      </c>
      <c r="B784" s="1" t="str">
        <f t="shared" si="63"/>
        <v>3816814</v>
      </c>
      <c r="C784" s="1">
        <v>783</v>
      </c>
      <c r="D784" s="4">
        <v>38168</v>
      </c>
      <c r="E784" s="1">
        <v>0</v>
      </c>
      <c r="F784" s="1">
        <v>14</v>
      </c>
      <c r="G784" s="1">
        <v>13</v>
      </c>
      <c r="H784" s="1">
        <v>2</v>
      </c>
      <c r="I784" s="1">
        <v>0</v>
      </c>
      <c r="J784" s="2" t="str">
        <f t="shared" si="64"/>
        <v>CEN</v>
      </c>
      <c r="K784" s="2" t="str">
        <f t="shared" si="65"/>
        <v>@BBG</v>
      </c>
      <c r="L784" s="1" t="str">
        <f t="shared" si="66"/>
        <v>783,6/30/2004,0,14,13,2,0</v>
      </c>
    </row>
    <row r="785" spans="1:12" x14ac:dyDescent="0.2">
      <c r="A785" s="1" t="str">
        <f t="shared" si="62"/>
        <v>3816816</v>
      </c>
      <c r="B785" s="1" t="str">
        <f t="shared" si="63"/>
        <v>3816811</v>
      </c>
      <c r="C785" s="1">
        <v>784</v>
      </c>
      <c r="D785" s="4">
        <v>38168</v>
      </c>
      <c r="E785" s="1">
        <v>0</v>
      </c>
      <c r="F785" s="1">
        <v>11</v>
      </c>
      <c r="G785" s="1">
        <v>16</v>
      </c>
      <c r="H785" s="1">
        <v>2</v>
      </c>
      <c r="I785" s="1">
        <v>0</v>
      </c>
      <c r="J785" s="2" t="str">
        <f t="shared" si="64"/>
        <v>HAR</v>
      </c>
      <c r="K785" s="2" t="str">
        <f t="shared" si="65"/>
        <v>@DIG</v>
      </c>
      <c r="L785" s="1" t="str">
        <f t="shared" si="66"/>
        <v>784,6/30/2004,0,11,16,2,0</v>
      </c>
    </row>
    <row r="786" spans="1:12" x14ac:dyDescent="0.2">
      <c r="A786" s="1" t="str">
        <f t="shared" si="62"/>
        <v>3816817</v>
      </c>
      <c r="B786" s="1" t="str">
        <f t="shared" si="63"/>
        <v>3816820</v>
      </c>
      <c r="C786" s="1">
        <v>785</v>
      </c>
      <c r="D786" s="4">
        <v>38168</v>
      </c>
      <c r="E786" s="1">
        <v>0</v>
      </c>
      <c r="F786" s="1">
        <v>20</v>
      </c>
      <c r="G786" s="1">
        <v>17</v>
      </c>
      <c r="H786" s="1">
        <v>2</v>
      </c>
      <c r="I786" s="1">
        <v>0</v>
      </c>
      <c r="J786" s="2" t="str">
        <f t="shared" si="64"/>
        <v>FDH</v>
      </c>
      <c r="K786" s="2" t="str">
        <f t="shared" si="65"/>
        <v>@GAR</v>
      </c>
      <c r="L786" s="1" t="str">
        <f t="shared" si="66"/>
        <v>785,6/30/2004,0,20,17,2,0</v>
      </c>
    </row>
    <row r="787" spans="1:12" x14ac:dyDescent="0.2">
      <c r="A787" s="1" t="str">
        <f t="shared" si="62"/>
        <v>3816920</v>
      </c>
      <c r="B787" s="1" t="str">
        <f t="shared" si="63"/>
        <v>3816911</v>
      </c>
      <c r="C787" s="1">
        <v>786</v>
      </c>
      <c r="D787" s="4">
        <v>38169</v>
      </c>
      <c r="E787" s="1">
        <v>0</v>
      </c>
      <c r="F787" s="1">
        <v>11</v>
      </c>
      <c r="G787" s="1">
        <v>20</v>
      </c>
      <c r="H787" s="1">
        <v>2</v>
      </c>
      <c r="I787" s="1">
        <v>0</v>
      </c>
      <c r="J787" s="2" t="str">
        <f t="shared" si="64"/>
        <v>HAR</v>
      </c>
      <c r="K787" s="2" t="str">
        <f t="shared" si="65"/>
        <v>@FDH</v>
      </c>
      <c r="L787" s="1" t="str">
        <f t="shared" si="66"/>
        <v>786,7/1/2004,0,11,20,2,0</v>
      </c>
    </row>
    <row r="788" spans="1:12" x14ac:dyDescent="0.2">
      <c r="A788" s="1" t="str">
        <f t="shared" si="62"/>
        <v>381692</v>
      </c>
      <c r="B788" s="1" t="str">
        <f t="shared" si="63"/>
        <v>3816921</v>
      </c>
      <c r="C788" s="1">
        <v>787</v>
      </c>
      <c r="D788" s="4">
        <v>38169</v>
      </c>
      <c r="E788" s="1">
        <v>0</v>
      </c>
      <c r="F788" s="1">
        <v>21</v>
      </c>
      <c r="G788" s="1">
        <v>2</v>
      </c>
      <c r="H788" s="1">
        <v>2</v>
      </c>
      <c r="I788" s="1">
        <v>0</v>
      </c>
      <c r="J788" s="2" t="str">
        <f t="shared" si="64"/>
        <v>NYD</v>
      </c>
      <c r="K788" s="2" t="str">
        <f t="shared" si="65"/>
        <v>@NEP</v>
      </c>
      <c r="L788" s="1" t="str">
        <f t="shared" si="66"/>
        <v>787,7/1/2004,0,21,2,2,0</v>
      </c>
    </row>
    <row r="789" spans="1:12" x14ac:dyDescent="0.2">
      <c r="A789" s="1" t="str">
        <f t="shared" si="62"/>
        <v>381693</v>
      </c>
      <c r="B789" s="1" t="str">
        <f t="shared" si="63"/>
        <v>3816922</v>
      </c>
      <c r="C789" s="1">
        <v>788</v>
      </c>
      <c r="D789" s="4">
        <v>38169</v>
      </c>
      <c r="E789" s="1">
        <v>0</v>
      </c>
      <c r="F789" s="1">
        <v>22</v>
      </c>
      <c r="G789" s="1">
        <v>3</v>
      </c>
      <c r="H789" s="1">
        <v>2</v>
      </c>
      <c r="I789" s="1">
        <v>0</v>
      </c>
      <c r="J789" s="2" t="str">
        <f t="shared" si="64"/>
        <v>CBB</v>
      </c>
      <c r="K789" s="2" t="str">
        <f t="shared" si="65"/>
        <v>@TEW</v>
      </c>
      <c r="L789" s="1" t="str">
        <f t="shared" si="66"/>
        <v>788,7/1/2004,0,22,3,2,0</v>
      </c>
    </row>
    <row r="790" spans="1:12" x14ac:dyDescent="0.2">
      <c r="A790" s="1" t="str">
        <f t="shared" si="62"/>
        <v>381697</v>
      </c>
      <c r="B790" s="1" t="str">
        <f t="shared" si="63"/>
        <v>3816912</v>
      </c>
      <c r="C790" s="1">
        <v>789</v>
      </c>
      <c r="D790" s="4">
        <v>38169</v>
      </c>
      <c r="E790" s="1">
        <v>0</v>
      </c>
      <c r="F790" s="1">
        <v>12</v>
      </c>
      <c r="G790" s="1">
        <v>7</v>
      </c>
      <c r="H790" s="1">
        <v>2</v>
      </c>
      <c r="I790" s="1">
        <v>0</v>
      </c>
      <c r="J790" s="2" t="str">
        <f t="shared" si="64"/>
        <v>RMO</v>
      </c>
      <c r="K790" s="2" t="str">
        <f t="shared" si="65"/>
        <v>@BAR</v>
      </c>
      <c r="L790" s="1" t="str">
        <f t="shared" si="66"/>
        <v>789,7/1/2004,0,12,7,2,0</v>
      </c>
    </row>
    <row r="791" spans="1:12" x14ac:dyDescent="0.2">
      <c r="A791" s="1" t="str">
        <f t="shared" si="62"/>
        <v>381698</v>
      </c>
      <c r="B791" s="1" t="str">
        <f t="shared" si="63"/>
        <v>381694</v>
      </c>
      <c r="C791" s="1">
        <v>790</v>
      </c>
      <c r="D791" s="4">
        <v>38169</v>
      </c>
      <c r="E791" s="1">
        <v>0</v>
      </c>
      <c r="F791" s="1">
        <v>4</v>
      </c>
      <c r="G791" s="1">
        <v>8</v>
      </c>
      <c r="H791" s="1">
        <v>2</v>
      </c>
      <c r="I791" s="1">
        <v>0</v>
      </c>
      <c r="J791" s="2" t="str">
        <f t="shared" si="64"/>
        <v>NNN</v>
      </c>
      <c r="K791" s="2" t="str">
        <f t="shared" si="65"/>
        <v>@CTW</v>
      </c>
      <c r="L791" s="1" t="str">
        <f t="shared" si="66"/>
        <v>790,7/1/2004,0,4,8,2,0</v>
      </c>
    </row>
    <row r="792" spans="1:12" x14ac:dyDescent="0.2">
      <c r="A792" s="1" t="str">
        <f t="shared" si="62"/>
        <v>381699</v>
      </c>
      <c r="B792" s="1" t="str">
        <f t="shared" si="63"/>
        <v>381691</v>
      </c>
      <c r="C792" s="1">
        <v>791</v>
      </c>
      <c r="D792" s="4">
        <v>38169</v>
      </c>
      <c r="E792" s="1">
        <v>0</v>
      </c>
      <c r="F792" s="1">
        <v>1</v>
      </c>
      <c r="G792" s="1">
        <v>9</v>
      </c>
      <c r="H792" s="1">
        <v>2</v>
      </c>
      <c r="I792" s="1">
        <v>0</v>
      </c>
      <c r="J792" s="2" t="str">
        <f t="shared" si="64"/>
        <v>FFR</v>
      </c>
      <c r="K792" s="2" t="str">
        <f t="shared" si="65"/>
        <v>@CIN</v>
      </c>
      <c r="L792" s="1" t="str">
        <f t="shared" si="66"/>
        <v>791,7/1/2004,0,1,9,2,0</v>
      </c>
    </row>
    <row r="793" spans="1:12" x14ac:dyDescent="0.2">
      <c r="A793" s="1" t="str">
        <f t="shared" si="62"/>
        <v>3816910</v>
      </c>
      <c r="B793" s="1" t="str">
        <f t="shared" si="63"/>
        <v>3816923</v>
      </c>
      <c r="C793" s="1">
        <v>792</v>
      </c>
      <c r="D793" s="4">
        <v>38169</v>
      </c>
      <c r="E793" s="1">
        <v>0</v>
      </c>
      <c r="F793" s="1">
        <v>23</v>
      </c>
      <c r="G793" s="1">
        <v>10</v>
      </c>
      <c r="H793" s="1">
        <v>2</v>
      </c>
      <c r="I793" s="1">
        <v>0</v>
      </c>
      <c r="J793" s="2" t="str">
        <f t="shared" si="64"/>
        <v>BRK</v>
      </c>
      <c r="K793" s="2" t="str">
        <f t="shared" si="65"/>
        <v>@REN</v>
      </c>
      <c r="L793" s="1" t="str">
        <f t="shared" si="66"/>
        <v>792,7/1/2004,0,23,10,2,0</v>
      </c>
    </row>
    <row r="794" spans="1:12" x14ac:dyDescent="0.2">
      <c r="A794" s="1" t="str">
        <f t="shared" si="62"/>
        <v>3816913</v>
      </c>
      <c r="B794" s="1" t="str">
        <f t="shared" si="63"/>
        <v>381695</v>
      </c>
      <c r="C794" s="1">
        <v>793</v>
      </c>
      <c r="D794" s="4">
        <v>38169</v>
      </c>
      <c r="E794" s="1">
        <v>0</v>
      </c>
      <c r="F794" s="1">
        <v>5</v>
      </c>
      <c r="G794" s="1">
        <v>13</v>
      </c>
      <c r="H794" s="1">
        <v>2</v>
      </c>
      <c r="I794" s="1">
        <v>0</v>
      </c>
      <c r="J794" s="2" t="str">
        <f t="shared" si="64"/>
        <v>OKO</v>
      </c>
      <c r="K794" s="2" t="str">
        <f t="shared" si="65"/>
        <v>@BBG</v>
      </c>
      <c r="L794" s="1" t="str">
        <f t="shared" si="66"/>
        <v>793,7/1/2004,0,5,13,2,0</v>
      </c>
    </row>
    <row r="795" spans="1:12" x14ac:dyDescent="0.2">
      <c r="A795" s="1" t="str">
        <f t="shared" si="62"/>
        <v>3816914</v>
      </c>
      <c r="B795" s="1" t="str">
        <f t="shared" si="63"/>
        <v>3816924</v>
      </c>
      <c r="C795" s="1">
        <v>794</v>
      </c>
      <c r="D795" s="4">
        <v>38169</v>
      </c>
      <c r="E795" s="1">
        <v>0</v>
      </c>
      <c r="F795" s="1">
        <v>24</v>
      </c>
      <c r="G795" s="1">
        <v>14</v>
      </c>
      <c r="H795" s="1">
        <v>2</v>
      </c>
      <c r="I795" s="1">
        <v>0</v>
      </c>
      <c r="J795" s="2" t="str">
        <f t="shared" si="64"/>
        <v>PHI</v>
      </c>
      <c r="K795" s="2" t="str">
        <f t="shared" si="65"/>
        <v>@CEN</v>
      </c>
      <c r="L795" s="1" t="str">
        <f t="shared" si="66"/>
        <v>794,7/1/2004,0,24,14,2,0</v>
      </c>
    </row>
    <row r="796" spans="1:12" x14ac:dyDescent="0.2">
      <c r="A796" s="1" t="str">
        <f t="shared" si="62"/>
        <v>3816917</v>
      </c>
      <c r="B796" s="1" t="str">
        <f t="shared" si="63"/>
        <v>3816916</v>
      </c>
      <c r="C796" s="1">
        <v>795</v>
      </c>
      <c r="D796" s="4">
        <v>38169</v>
      </c>
      <c r="E796" s="1">
        <v>0</v>
      </c>
      <c r="F796" s="1">
        <v>16</v>
      </c>
      <c r="G796" s="1">
        <v>17</v>
      </c>
      <c r="H796" s="1">
        <v>2</v>
      </c>
      <c r="I796" s="1">
        <v>0</v>
      </c>
      <c r="J796" s="2" t="str">
        <f t="shared" si="64"/>
        <v>DIG</v>
      </c>
      <c r="K796" s="2" t="str">
        <f t="shared" si="65"/>
        <v>@GAR</v>
      </c>
      <c r="L796" s="1" t="str">
        <f t="shared" si="66"/>
        <v>795,7/1/2004,0,16,17,2,0</v>
      </c>
    </row>
    <row r="797" spans="1:12" x14ac:dyDescent="0.2">
      <c r="A797" s="1" t="str">
        <f t="shared" si="62"/>
        <v>381702</v>
      </c>
      <c r="B797" s="1" t="str">
        <f t="shared" si="63"/>
        <v>3817021</v>
      </c>
      <c r="C797" s="1">
        <v>796</v>
      </c>
      <c r="D797" s="4">
        <v>38170</v>
      </c>
      <c r="E797" s="1">
        <v>0</v>
      </c>
      <c r="F797" s="1">
        <v>21</v>
      </c>
      <c r="G797" s="1">
        <v>2</v>
      </c>
      <c r="H797" s="1">
        <v>2</v>
      </c>
      <c r="I797" s="1">
        <v>0</v>
      </c>
      <c r="J797" s="2" t="str">
        <f t="shared" si="64"/>
        <v>NYD</v>
      </c>
      <c r="K797" s="2" t="str">
        <f t="shared" si="65"/>
        <v>@NEP</v>
      </c>
      <c r="L797" s="1" t="str">
        <f t="shared" si="66"/>
        <v>796,7/2/2004,0,21,2,2,0</v>
      </c>
    </row>
    <row r="798" spans="1:12" x14ac:dyDescent="0.2">
      <c r="A798" s="1" t="str">
        <f t="shared" si="62"/>
        <v>381703</v>
      </c>
      <c r="B798" s="1" t="str">
        <f t="shared" si="63"/>
        <v>3817022</v>
      </c>
      <c r="C798" s="1">
        <v>797</v>
      </c>
      <c r="D798" s="4">
        <v>38170</v>
      </c>
      <c r="E798" s="1">
        <v>0</v>
      </c>
      <c r="F798" s="1">
        <v>22</v>
      </c>
      <c r="G798" s="1">
        <v>3</v>
      </c>
      <c r="H798" s="1">
        <v>2</v>
      </c>
      <c r="I798" s="1">
        <v>0</v>
      </c>
      <c r="J798" s="2" t="str">
        <f t="shared" si="64"/>
        <v>CBB</v>
      </c>
      <c r="K798" s="2" t="str">
        <f t="shared" si="65"/>
        <v>@TEW</v>
      </c>
      <c r="L798" s="1" t="str">
        <f t="shared" si="66"/>
        <v>797,7/2/2004,0,22,3,2,0</v>
      </c>
    </row>
    <row r="799" spans="1:12" x14ac:dyDescent="0.2">
      <c r="A799" s="1" t="str">
        <f t="shared" si="62"/>
        <v>381707</v>
      </c>
      <c r="B799" s="1" t="str">
        <f t="shared" si="63"/>
        <v>3817012</v>
      </c>
      <c r="C799" s="1">
        <v>798</v>
      </c>
      <c r="D799" s="4">
        <v>38170</v>
      </c>
      <c r="E799" s="1">
        <v>0</v>
      </c>
      <c r="F799" s="1">
        <v>12</v>
      </c>
      <c r="G799" s="1">
        <v>7</v>
      </c>
      <c r="H799" s="1">
        <v>2</v>
      </c>
      <c r="I799" s="1">
        <v>0</v>
      </c>
      <c r="J799" s="2" t="str">
        <f t="shared" si="64"/>
        <v>RMO</v>
      </c>
      <c r="K799" s="2" t="str">
        <f t="shared" si="65"/>
        <v>@BAR</v>
      </c>
      <c r="L799" s="1" t="str">
        <f t="shared" si="66"/>
        <v>798,7/2/2004,0,12,7,2,0</v>
      </c>
    </row>
    <row r="800" spans="1:12" x14ac:dyDescent="0.2">
      <c r="A800" s="1" t="str">
        <f t="shared" si="62"/>
        <v>381708</v>
      </c>
      <c r="B800" s="1" t="str">
        <f t="shared" si="63"/>
        <v>381704</v>
      </c>
      <c r="C800" s="1">
        <v>799</v>
      </c>
      <c r="D800" s="4">
        <v>38170</v>
      </c>
      <c r="E800" s="1">
        <v>0</v>
      </c>
      <c r="F800" s="1">
        <v>4</v>
      </c>
      <c r="G800" s="1">
        <v>8</v>
      </c>
      <c r="H800" s="1">
        <v>2</v>
      </c>
      <c r="I800" s="1">
        <v>0</v>
      </c>
      <c r="J800" s="2" t="str">
        <f t="shared" si="64"/>
        <v>NNN</v>
      </c>
      <c r="K800" s="2" t="str">
        <f t="shared" si="65"/>
        <v>@CTW</v>
      </c>
      <c r="L800" s="1" t="str">
        <f t="shared" si="66"/>
        <v>799,7/2/2004,0,4,8,2,0</v>
      </c>
    </row>
    <row r="801" spans="1:12" x14ac:dyDescent="0.2">
      <c r="A801" s="1" t="str">
        <f t="shared" si="62"/>
        <v>381709</v>
      </c>
      <c r="B801" s="1" t="str">
        <f t="shared" si="63"/>
        <v>381701</v>
      </c>
      <c r="C801" s="1">
        <v>800</v>
      </c>
      <c r="D801" s="4">
        <v>38170</v>
      </c>
      <c r="E801" s="1">
        <v>0</v>
      </c>
      <c r="F801" s="1">
        <v>1</v>
      </c>
      <c r="G801" s="1">
        <v>9</v>
      </c>
      <c r="H801" s="1">
        <v>2</v>
      </c>
      <c r="I801" s="1">
        <v>0</v>
      </c>
      <c r="J801" s="2" t="str">
        <f t="shared" si="64"/>
        <v>FFR</v>
      </c>
      <c r="K801" s="2" t="str">
        <f t="shared" si="65"/>
        <v>@CIN</v>
      </c>
      <c r="L801" s="1" t="str">
        <f t="shared" si="66"/>
        <v>800,7/2/2004,0,1,9,2,0</v>
      </c>
    </row>
    <row r="802" spans="1:12" x14ac:dyDescent="0.2">
      <c r="A802" s="1" t="str">
        <f t="shared" si="62"/>
        <v>3817010</v>
      </c>
      <c r="B802" s="1" t="str">
        <f t="shared" si="63"/>
        <v>3817023</v>
      </c>
      <c r="C802" s="1">
        <v>801</v>
      </c>
      <c r="D802" s="4">
        <v>38170</v>
      </c>
      <c r="E802" s="1">
        <v>0</v>
      </c>
      <c r="F802" s="1">
        <v>23</v>
      </c>
      <c r="G802" s="1">
        <v>10</v>
      </c>
      <c r="H802" s="1">
        <v>2</v>
      </c>
      <c r="I802" s="1">
        <v>0</v>
      </c>
      <c r="J802" s="2" t="str">
        <f t="shared" si="64"/>
        <v>BRK</v>
      </c>
      <c r="K802" s="2" t="str">
        <f t="shared" si="65"/>
        <v>@REN</v>
      </c>
      <c r="L802" s="1" t="str">
        <f t="shared" si="66"/>
        <v>801,7/2/2004,0,23,10,2,0</v>
      </c>
    </row>
    <row r="803" spans="1:12" x14ac:dyDescent="0.2">
      <c r="A803" s="1" t="str">
        <f t="shared" si="62"/>
        <v>3817013</v>
      </c>
      <c r="B803" s="1" t="str">
        <f t="shared" si="63"/>
        <v>381705</v>
      </c>
      <c r="C803" s="1">
        <v>802</v>
      </c>
      <c r="D803" s="4">
        <v>38170</v>
      </c>
      <c r="E803" s="1">
        <v>0</v>
      </c>
      <c r="F803" s="1">
        <v>5</v>
      </c>
      <c r="G803" s="1">
        <v>13</v>
      </c>
      <c r="H803" s="1">
        <v>2</v>
      </c>
      <c r="I803" s="1">
        <v>0</v>
      </c>
      <c r="J803" s="2" t="str">
        <f t="shared" si="64"/>
        <v>OKO</v>
      </c>
      <c r="K803" s="2" t="str">
        <f t="shared" si="65"/>
        <v>@BBG</v>
      </c>
      <c r="L803" s="1" t="str">
        <f t="shared" si="66"/>
        <v>802,7/2/2004,0,5,13,2,0</v>
      </c>
    </row>
    <row r="804" spans="1:12" x14ac:dyDescent="0.2">
      <c r="A804" s="1" t="str">
        <f t="shared" si="62"/>
        <v>3817014</v>
      </c>
      <c r="B804" s="1" t="str">
        <f t="shared" si="63"/>
        <v>3817024</v>
      </c>
      <c r="C804" s="1">
        <v>803</v>
      </c>
      <c r="D804" s="4">
        <v>38170</v>
      </c>
      <c r="E804" s="1">
        <v>0</v>
      </c>
      <c r="F804" s="1">
        <v>24</v>
      </c>
      <c r="G804" s="1">
        <v>14</v>
      </c>
      <c r="H804" s="1">
        <v>2</v>
      </c>
      <c r="I804" s="1">
        <v>0</v>
      </c>
      <c r="J804" s="2" t="str">
        <f t="shared" si="64"/>
        <v>PHI</v>
      </c>
      <c r="K804" s="2" t="str">
        <f t="shared" si="65"/>
        <v>@CEN</v>
      </c>
      <c r="L804" s="1" t="str">
        <f t="shared" si="66"/>
        <v>803,7/2/2004,0,24,14,2,0</v>
      </c>
    </row>
    <row r="805" spans="1:12" x14ac:dyDescent="0.2">
      <c r="A805" s="1" t="str">
        <f t="shared" si="62"/>
        <v>3817017</v>
      </c>
      <c r="B805" s="1" t="str">
        <f t="shared" si="63"/>
        <v>3817016</v>
      </c>
      <c r="C805" s="1">
        <v>804</v>
      </c>
      <c r="D805" s="4">
        <v>38170</v>
      </c>
      <c r="E805" s="1">
        <v>0</v>
      </c>
      <c r="F805" s="1">
        <v>16</v>
      </c>
      <c r="G805" s="1">
        <v>17</v>
      </c>
      <c r="H805" s="1">
        <v>2</v>
      </c>
      <c r="I805" s="1">
        <v>0</v>
      </c>
      <c r="J805" s="2" t="str">
        <f t="shared" si="64"/>
        <v>DIG</v>
      </c>
      <c r="K805" s="2" t="str">
        <f t="shared" si="65"/>
        <v>@GAR</v>
      </c>
      <c r="L805" s="1" t="str">
        <f t="shared" si="66"/>
        <v>804,7/2/2004,0,16,17,2,0</v>
      </c>
    </row>
    <row r="806" spans="1:12" x14ac:dyDescent="0.2">
      <c r="A806" s="1" t="str">
        <f t="shared" si="62"/>
        <v>3817020</v>
      </c>
      <c r="B806" s="1" t="str">
        <f t="shared" si="63"/>
        <v>3817011</v>
      </c>
      <c r="C806" s="1">
        <v>805</v>
      </c>
      <c r="D806" s="4">
        <v>38170</v>
      </c>
      <c r="E806" s="1">
        <v>0</v>
      </c>
      <c r="F806" s="1">
        <v>11</v>
      </c>
      <c r="G806" s="1">
        <v>20</v>
      </c>
      <c r="H806" s="1">
        <v>2</v>
      </c>
      <c r="I806" s="1">
        <v>0</v>
      </c>
      <c r="J806" s="2" t="str">
        <f t="shared" si="64"/>
        <v>HAR</v>
      </c>
      <c r="K806" s="2" t="str">
        <f t="shared" si="65"/>
        <v>@FDH</v>
      </c>
      <c r="L806" s="1" t="str">
        <f t="shared" si="66"/>
        <v>805,7/2/2004,0,11,20,2,0</v>
      </c>
    </row>
    <row r="807" spans="1:12" x14ac:dyDescent="0.2">
      <c r="A807" s="1" t="str">
        <f t="shared" si="62"/>
        <v>381712</v>
      </c>
      <c r="B807" s="1" t="str">
        <f t="shared" si="63"/>
        <v>3817121</v>
      </c>
      <c r="C807" s="1">
        <v>806</v>
      </c>
      <c r="D807" s="4">
        <v>38171</v>
      </c>
      <c r="E807" s="1">
        <v>0</v>
      </c>
      <c r="F807" s="1">
        <v>21</v>
      </c>
      <c r="G807" s="1">
        <v>2</v>
      </c>
      <c r="H807" s="1">
        <v>2</v>
      </c>
      <c r="I807" s="1">
        <v>0</v>
      </c>
      <c r="J807" s="2" t="str">
        <f t="shared" si="64"/>
        <v>NYD</v>
      </c>
      <c r="K807" s="2" t="str">
        <f t="shared" si="65"/>
        <v>@NEP</v>
      </c>
      <c r="L807" s="1" t="str">
        <f t="shared" si="66"/>
        <v>806,7/3/2004,0,21,2,2,0</v>
      </c>
    </row>
    <row r="808" spans="1:12" x14ac:dyDescent="0.2">
      <c r="A808" s="1" t="str">
        <f t="shared" si="62"/>
        <v>381713</v>
      </c>
      <c r="B808" s="1" t="str">
        <f t="shared" si="63"/>
        <v>3817122</v>
      </c>
      <c r="C808" s="1">
        <v>807</v>
      </c>
      <c r="D808" s="4">
        <v>38171</v>
      </c>
      <c r="E808" s="1">
        <v>0</v>
      </c>
      <c r="F808" s="1">
        <v>22</v>
      </c>
      <c r="G808" s="1">
        <v>3</v>
      </c>
      <c r="H808" s="1">
        <v>2</v>
      </c>
      <c r="I808" s="1">
        <v>0</v>
      </c>
      <c r="J808" s="2" t="str">
        <f t="shared" si="64"/>
        <v>CBB</v>
      </c>
      <c r="K808" s="2" t="str">
        <f t="shared" si="65"/>
        <v>@TEW</v>
      </c>
      <c r="L808" s="1" t="str">
        <f t="shared" si="66"/>
        <v>807,7/3/2004,0,22,3,2,0</v>
      </c>
    </row>
    <row r="809" spans="1:12" x14ac:dyDescent="0.2">
      <c r="A809" s="1" t="str">
        <f t="shared" si="62"/>
        <v>381717</v>
      </c>
      <c r="B809" s="1" t="str">
        <f t="shared" si="63"/>
        <v>3817112</v>
      </c>
      <c r="C809" s="1">
        <v>808</v>
      </c>
      <c r="D809" s="4">
        <v>38171</v>
      </c>
      <c r="E809" s="1">
        <v>0</v>
      </c>
      <c r="F809" s="1">
        <v>12</v>
      </c>
      <c r="G809" s="1">
        <v>7</v>
      </c>
      <c r="H809" s="1">
        <v>2</v>
      </c>
      <c r="I809" s="1">
        <v>0</v>
      </c>
      <c r="J809" s="2" t="str">
        <f t="shared" si="64"/>
        <v>RMO</v>
      </c>
      <c r="K809" s="2" t="str">
        <f t="shared" si="65"/>
        <v>@BAR</v>
      </c>
      <c r="L809" s="1" t="str">
        <f t="shared" si="66"/>
        <v>808,7/3/2004,0,12,7,2,0</v>
      </c>
    </row>
    <row r="810" spans="1:12" x14ac:dyDescent="0.2">
      <c r="A810" s="1" t="str">
        <f t="shared" si="62"/>
        <v>381718</v>
      </c>
      <c r="B810" s="1" t="str">
        <f t="shared" si="63"/>
        <v>381714</v>
      </c>
      <c r="C810" s="1">
        <v>809</v>
      </c>
      <c r="D810" s="4">
        <v>38171</v>
      </c>
      <c r="E810" s="1">
        <v>0</v>
      </c>
      <c r="F810" s="1">
        <v>4</v>
      </c>
      <c r="G810" s="1">
        <v>8</v>
      </c>
      <c r="H810" s="1">
        <v>2</v>
      </c>
      <c r="I810" s="1">
        <v>0</v>
      </c>
      <c r="J810" s="2" t="str">
        <f t="shared" si="64"/>
        <v>NNN</v>
      </c>
      <c r="K810" s="2" t="str">
        <f t="shared" si="65"/>
        <v>@CTW</v>
      </c>
      <c r="L810" s="1" t="str">
        <f t="shared" si="66"/>
        <v>809,7/3/2004,0,4,8,2,0</v>
      </c>
    </row>
    <row r="811" spans="1:12" x14ac:dyDescent="0.2">
      <c r="A811" s="1" t="str">
        <f t="shared" si="62"/>
        <v>381719</v>
      </c>
      <c r="B811" s="1" t="str">
        <f t="shared" si="63"/>
        <v>381711</v>
      </c>
      <c r="C811" s="1">
        <v>810</v>
      </c>
      <c r="D811" s="4">
        <v>38171</v>
      </c>
      <c r="E811" s="1">
        <v>0</v>
      </c>
      <c r="F811" s="1">
        <v>1</v>
      </c>
      <c r="G811" s="1">
        <v>9</v>
      </c>
      <c r="H811" s="1">
        <v>2</v>
      </c>
      <c r="I811" s="1">
        <v>0</v>
      </c>
      <c r="J811" s="2" t="str">
        <f t="shared" si="64"/>
        <v>FFR</v>
      </c>
      <c r="K811" s="2" t="str">
        <f t="shared" si="65"/>
        <v>@CIN</v>
      </c>
      <c r="L811" s="1" t="str">
        <f t="shared" si="66"/>
        <v>810,7/3/2004,0,1,9,2,0</v>
      </c>
    </row>
    <row r="812" spans="1:12" x14ac:dyDescent="0.2">
      <c r="A812" s="1" t="str">
        <f t="shared" si="62"/>
        <v>3817110</v>
      </c>
      <c r="B812" s="1" t="str">
        <f t="shared" si="63"/>
        <v>3817123</v>
      </c>
      <c r="C812" s="1">
        <v>811</v>
      </c>
      <c r="D812" s="4">
        <v>38171</v>
      </c>
      <c r="E812" s="1">
        <v>0</v>
      </c>
      <c r="F812" s="1">
        <v>23</v>
      </c>
      <c r="G812" s="1">
        <v>10</v>
      </c>
      <c r="H812" s="1">
        <v>2</v>
      </c>
      <c r="I812" s="1">
        <v>0</v>
      </c>
      <c r="J812" s="2" t="str">
        <f t="shared" si="64"/>
        <v>BRK</v>
      </c>
      <c r="K812" s="2" t="str">
        <f t="shared" si="65"/>
        <v>@REN</v>
      </c>
      <c r="L812" s="1" t="str">
        <f t="shared" si="66"/>
        <v>811,7/3/2004,0,23,10,2,0</v>
      </c>
    </row>
    <row r="813" spans="1:12" x14ac:dyDescent="0.2">
      <c r="A813" s="1" t="str">
        <f t="shared" si="62"/>
        <v>3817113</v>
      </c>
      <c r="B813" s="1" t="str">
        <f t="shared" si="63"/>
        <v>381715</v>
      </c>
      <c r="C813" s="1">
        <v>812</v>
      </c>
      <c r="D813" s="4">
        <v>38171</v>
      </c>
      <c r="E813" s="1">
        <v>0</v>
      </c>
      <c r="F813" s="1">
        <v>5</v>
      </c>
      <c r="G813" s="1">
        <v>13</v>
      </c>
      <c r="H813" s="1">
        <v>2</v>
      </c>
      <c r="I813" s="1">
        <v>0</v>
      </c>
      <c r="J813" s="2" t="str">
        <f t="shared" si="64"/>
        <v>OKO</v>
      </c>
      <c r="K813" s="2" t="str">
        <f t="shared" si="65"/>
        <v>@BBG</v>
      </c>
      <c r="L813" s="1" t="str">
        <f t="shared" si="66"/>
        <v>812,7/3/2004,0,5,13,2,0</v>
      </c>
    </row>
    <row r="814" spans="1:12" x14ac:dyDescent="0.2">
      <c r="A814" s="1" t="str">
        <f t="shared" si="62"/>
        <v>3817114</v>
      </c>
      <c r="B814" s="1" t="str">
        <f t="shared" si="63"/>
        <v>3817124</v>
      </c>
      <c r="C814" s="1">
        <v>813</v>
      </c>
      <c r="D814" s="4">
        <v>38171</v>
      </c>
      <c r="E814" s="1">
        <v>0</v>
      </c>
      <c r="F814" s="1">
        <v>24</v>
      </c>
      <c r="G814" s="1">
        <v>14</v>
      </c>
      <c r="H814" s="1">
        <v>2</v>
      </c>
      <c r="I814" s="1">
        <v>0</v>
      </c>
      <c r="J814" s="2" t="str">
        <f t="shared" si="64"/>
        <v>PHI</v>
      </c>
      <c r="K814" s="2" t="str">
        <f t="shared" si="65"/>
        <v>@CEN</v>
      </c>
      <c r="L814" s="1" t="str">
        <f t="shared" si="66"/>
        <v>813,7/3/2004,0,24,14,2,0</v>
      </c>
    </row>
    <row r="815" spans="1:12" x14ac:dyDescent="0.2">
      <c r="A815" s="1" t="str">
        <f t="shared" si="62"/>
        <v>3817117</v>
      </c>
      <c r="B815" s="1" t="str">
        <f t="shared" si="63"/>
        <v>3817116</v>
      </c>
      <c r="C815" s="1">
        <v>814</v>
      </c>
      <c r="D815" s="4">
        <v>38171</v>
      </c>
      <c r="E815" s="1">
        <v>0</v>
      </c>
      <c r="F815" s="1">
        <v>16</v>
      </c>
      <c r="G815" s="1">
        <v>17</v>
      </c>
      <c r="H815" s="1">
        <v>2</v>
      </c>
      <c r="I815" s="1">
        <v>0</v>
      </c>
      <c r="J815" s="2" t="str">
        <f t="shared" si="64"/>
        <v>DIG</v>
      </c>
      <c r="K815" s="2" t="str">
        <f t="shared" si="65"/>
        <v>@GAR</v>
      </c>
      <c r="L815" s="1" t="str">
        <f t="shared" si="66"/>
        <v>814,7/3/2004,0,16,17,2,0</v>
      </c>
    </row>
    <row r="816" spans="1:12" x14ac:dyDescent="0.2">
      <c r="A816" s="1" t="str">
        <f t="shared" si="62"/>
        <v>3817120</v>
      </c>
      <c r="B816" s="1" t="str">
        <f t="shared" si="63"/>
        <v>3817111</v>
      </c>
      <c r="C816" s="1">
        <v>815</v>
      </c>
      <c r="D816" s="4">
        <v>38171</v>
      </c>
      <c r="E816" s="1">
        <v>0</v>
      </c>
      <c r="F816" s="1">
        <v>11</v>
      </c>
      <c r="G816" s="1">
        <v>20</v>
      </c>
      <c r="H816" s="1">
        <v>2</v>
      </c>
      <c r="I816" s="1">
        <v>0</v>
      </c>
      <c r="J816" s="2" t="str">
        <f t="shared" si="64"/>
        <v>HAR</v>
      </c>
      <c r="K816" s="2" t="str">
        <f t="shared" si="65"/>
        <v>@FDH</v>
      </c>
      <c r="L816" s="1" t="str">
        <f t="shared" si="66"/>
        <v>815,7/3/2004,0,11,20,2,0</v>
      </c>
    </row>
    <row r="817" spans="1:12" x14ac:dyDescent="0.2">
      <c r="A817" s="1" t="str">
        <f t="shared" si="62"/>
        <v>381722</v>
      </c>
      <c r="B817" s="1" t="str">
        <f t="shared" si="63"/>
        <v>3817221</v>
      </c>
      <c r="C817" s="1">
        <v>816</v>
      </c>
      <c r="D817" s="4">
        <v>38172</v>
      </c>
      <c r="E817" s="1">
        <v>0</v>
      </c>
      <c r="F817" s="1">
        <v>21</v>
      </c>
      <c r="G817" s="1">
        <v>2</v>
      </c>
      <c r="H817" s="1">
        <v>2</v>
      </c>
      <c r="I817" s="1">
        <v>0</v>
      </c>
      <c r="J817" s="2" t="str">
        <f t="shared" si="64"/>
        <v>NYD</v>
      </c>
      <c r="K817" s="2" t="str">
        <f t="shared" si="65"/>
        <v>@NEP</v>
      </c>
      <c r="L817" s="1" t="str">
        <f t="shared" si="66"/>
        <v>816,7/4/2004,0,21,2,2,0</v>
      </c>
    </row>
    <row r="818" spans="1:12" x14ac:dyDescent="0.2">
      <c r="A818" s="1" t="str">
        <f t="shared" si="62"/>
        <v>381723</v>
      </c>
      <c r="B818" s="1" t="str">
        <f t="shared" si="63"/>
        <v>3817222</v>
      </c>
      <c r="C818" s="1">
        <v>817</v>
      </c>
      <c r="D818" s="4">
        <v>38172</v>
      </c>
      <c r="E818" s="1">
        <v>0</v>
      </c>
      <c r="F818" s="1">
        <v>22</v>
      </c>
      <c r="G818" s="1">
        <v>3</v>
      </c>
      <c r="H818" s="1">
        <v>2</v>
      </c>
      <c r="I818" s="1">
        <v>0</v>
      </c>
      <c r="J818" s="2" t="str">
        <f t="shared" si="64"/>
        <v>CBB</v>
      </c>
      <c r="K818" s="2" t="str">
        <f t="shared" si="65"/>
        <v>@TEW</v>
      </c>
      <c r="L818" s="1" t="str">
        <f t="shared" si="66"/>
        <v>817,7/4/2004,0,22,3,2,0</v>
      </c>
    </row>
    <row r="819" spans="1:12" x14ac:dyDescent="0.2">
      <c r="A819" s="1" t="str">
        <f t="shared" si="62"/>
        <v>381727</v>
      </c>
      <c r="B819" s="1" t="str">
        <f t="shared" si="63"/>
        <v>3817212</v>
      </c>
      <c r="C819" s="1">
        <v>818</v>
      </c>
      <c r="D819" s="4">
        <v>38172</v>
      </c>
      <c r="E819" s="1">
        <v>0</v>
      </c>
      <c r="F819" s="1">
        <v>12</v>
      </c>
      <c r="G819" s="1">
        <v>7</v>
      </c>
      <c r="H819" s="1">
        <v>2</v>
      </c>
      <c r="I819" s="1">
        <v>0</v>
      </c>
      <c r="J819" s="2" t="str">
        <f t="shared" si="64"/>
        <v>RMO</v>
      </c>
      <c r="K819" s="2" t="str">
        <f t="shared" si="65"/>
        <v>@BAR</v>
      </c>
      <c r="L819" s="1" t="str">
        <f t="shared" si="66"/>
        <v>818,7/4/2004,0,12,7,2,0</v>
      </c>
    </row>
    <row r="820" spans="1:12" x14ac:dyDescent="0.2">
      <c r="A820" s="1" t="str">
        <f t="shared" si="62"/>
        <v>381728</v>
      </c>
      <c r="B820" s="1" t="str">
        <f t="shared" si="63"/>
        <v>381724</v>
      </c>
      <c r="C820" s="1">
        <v>819</v>
      </c>
      <c r="D820" s="4">
        <v>38172</v>
      </c>
      <c r="E820" s="1">
        <v>0</v>
      </c>
      <c r="F820" s="1">
        <v>4</v>
      </c>
      <c r="G820" s="1">
        <v>8</v>
      </c>
      <c r="H820" s="1">
        <v>2</v>
      </c>
      <c r="I820" s="1">
        <v>0</v>
      </c>
      <c r="J820" s="2" t="str">
        <f t="shared" si="64"/>
        <v>NNN</v>
      </c>
      <c r="K820" s="2" t="str">
        <f t="shared" si="65"/>
        <v>@CTW</v>
      </c>
      <c r="L820" s="1" t="str">
        <f t="shared" si="66"/>
        <v>819,7/4/2004,0,4,8,2,0</v>
      </c>
    </row>
    <row r="821" spans="1:12" x14ac:dyDescent="0.2">
      <c r="A821" s="1" t="str">
        <f t="shared" si="62"/>
        <v>381729</v>
      </c>
      <c r="B821" s="1" t="str">
        <f t="shared" si="63"/>
        <v>381721</v>
      </c>
      <c r="C821" s="1">
        <v>820</v>
      </c>
      <c r="D821" s="4">
        <v>38172</v>
      </c>
      <c r="E821" s="1">
        <v>0</v>
      </c>
      <c r="F821" s="1">
        <v>1</v>
      </c>
      <c r="G821" s="1">
        <v>9</v>
      </c>
      <c r="H821" s="1">
        <v>2</v>
      </c>
      <c r="I821" s="1">
        <v>0</v>
      </c>
      <c r="J821" s="2" t="str">
        <f t="shared" si="64"/>
        <v>FFR</v>
      </c>
      <c r="K821" s="2" t="str">
        <f t="shared" si="65"/>
        <v>@CIN</v>
      </c>
      <c r="L821" s="1" t="str">
        <f t="shared" si="66"/>
        <v>820,7/4/2004,0,1,9,2,0</v>
      </c>
    </row>
    <row r="822" spans="1:12" x14ac:dyDescent="0.2">
      <c r="A822" s="1" t="str">
        <f t="shared" si="62"/>
        <v>3817210</v>
      </c>
      <c r="B822" s="1" t="str">
        <f t="shared" si="63"/>
        <v>3817223</v>
      </c>
      <c r="C822" s="1">
        <v>821</v>
      </c>
      <c r="D822" s="4">
        <v>38172</v>
      </c>
      <c r="E822" s="1">
        <v>0</v>
      </c>
      <c r="F822" s="1">
        <v>23</v>
      </c>
      <c r="G822" s="1">
        <v>10</v>
      </c>
      <c r="H822" s="1">
        <v>2</v>
      </c>
      <c r="I822" s="1">
        <v>0</v>
      </c>
      <c r="J822" s="2" t="str">
        <f t="shared" si="64"/>
        <v>BRK</v>
      </c>
      <c r="K822" s="2" t="str">
        <f t="shared" si="65"/>
        <v>@REN</v>
      </c>
      <c r="L822" s="1" t="str">
        <f t="shared" si="66"/>
        <v>821,7/4/2004,0,23,10,2,0</v>
      </c>
    </row>
    <row r="823" spans="1:12" x14ac:dyDescent="0.2">
      <c r="A823" s="1" t="str">
        <f t="shared" si="62"/>
        <v>3817213</v>
      </c>
      <c r="B823" s="1" t="str">
        <f t="shared" si="63"/>
        <v>381725</v>
      </c>
      <c r="C823" s="1">
        <v>822</v>
      </c>
      <c r="D823" s="4">
        <v>38172</v>
      </c>
      <c r="E823" s="1">
        <v>0</v>
      </c>
      <c r="F823" s="1">
        <v>5</v>
      </c>
      <c r="G823" s="1">
        <v>13</v>
      </c>
      <c r="H823" s="1">
        <v>2</v>
      </c>
      <c r="I823" s="1">
        <v>0</v>
      </c>
      <c r="J823" s="2" t="str">
        <f t="shared" si="64"/>
        <v>OKO</v>
      </c>
      <c r="K823" s="2" t="str">
        <f t="shared" si="65"/>
        <v>@BBG</v>
      </c>
      <c r="L823" s="1" t="str">
        <f t="shared" si="66"/>
        <v>822,7/4/2004,0,5,13,2,0</v>
      </c>
    </row>
    <row r="824" spans="1:12" x14ac:dyDescent="0.2">
      <c r="A824" s="1" t="str">
        <f t="shared" si="62"/>
        <v>3817214</v>
      </c>
      <c r="B824" s="1" t="str">
        <f t="shared" si="63"/>
        <v>3817224</v>
      </c>
      <c r="C824" s="1">
        <v>823</v>
      </c>
      <c r="D824" s="4">
        <v>38172</v>
      </c>
      <c r="E824" s="1">
        <v>0</v>
      </c>
      <c r="F824" s="1">
        <v>24</v>
      </c>
      <c r="G824" s="1">
        <v>14</v>
      </c>
      <c r="H824" s="1">
        <v>2</v>
      </c>
      <c r="I824" s="1">
        <v>0</v>
      </c>
      <c r="J824" s="2" t="str">
        <f t="shared" si="64"/>
        <v>PHI</v>
      </c>
      <c r="K824" s="2" t="str">
        <f t="shared" si="65"/>
        <v>@CEN</v>
      </c>
      <c r="L824" s="1" t="str">
        <f t="shared" si="66"/>
        <v>823,7/4/2004,0,24,14,2,0</v>
      </c>
    </row>
    <row r="825" spans="1:12" x14ac:dyDescent="0.2">
      <c r="A825" s="1" t="str">
        <f t="shared" si="62"/>
        <v>3817217</v>
      </c>
      <c r="B825" s="1" t="str">
        <f t="shared" si="63"/>
        <v>3817216</v>
      </c>
      <c r="C825" s="1">
        <v>824</v>
      </c>
      <c r="D825" s="4">
        <v>38172</v>
      </c>
      <c r="E825" s="1">
        <v>0</v>
      </c>
      <c r="F825" s="1">
        <v>16</v>
      </c>
      <c r="G825" s="1">
        <v>17</v>
      </c>
      <c r="H825" s="1">
        <v>2</v>
      </c>
      <c r="I825" s="1">
        <v>0</v>
      </c>
      <c r="J825" s="2" t="str">
        <f t="shared" si="64"/>
        <v>DIG</v>
      </c>
      <c r="K825" s="2" t="str">
        <f t="shared" si="65"/>
        <v>@GAR</v>
      </c>
      <c r="L825" s="1" t="str">
        <f t="shared" si="66"/>
        <v>824,7/4/2004,0,16,17,2,0</v>
      </c>
    </row>
    <row r="826" spans="1:12" x14ac:dyDescent="0.2">
      <c r="A826" s="1" t="str">
        <f t="shared" si="62"/>
        <v>3817220</v>
      </c>
      <c r="B826" s="1" t="str">
        <f t="shared" si="63"/>
        <v>3817211</v>
      </c>
      <c r="C826" s="1">
        <v>825</v>
      </c>
      <c r="D826" s="4">
        <v>38172</v>
      </c>
      <c r="E826" s="1">
        <v>0</v>
      </c>
      <c r="F826" s="1">
        <v>11</v>
      </c>
      <c r="G826" s="1">
        <v>20</v>
      </c>
      <c r="H826" s="1">
        <v>2</v>
      </c>
      <c r="I826" s="1">
        <v>0</v>
      </c>
      <c r="J826" s="2" t="str">
        <f t="shared" si="64"/>
        <v>HAR</v>
      </c>
      <c r="K826" s="2" t="str">
        <f t="shared" si="65"/>
        <v>@FDH</v>
      </c>
      <c r="L826" s="1" t="str">
        <f t="shared" si="66"/>
        <v>825,7/4/2004,0,11,20,2,0</v>
      </c>
    </row>
    <row r="827" spans="1:12" x14ac:dyDescent="0.2">
      <c r="A827" s="1" t="str">
        <f t="shared" si="62"/>
        <v>381731</v>
      </c>
      <c r="B827" s="1" t="str">
        <f t="shared" si="63"/>
        <v>3817313</v>
      </c>
      <c r="C827" s="1">
        <v>826</v>
      </c>
      <c r="D827" s="4">
        <v>38173</v>
      </c>
      <c r="E827" s="1">
        <v>0</v>
      </c>
      <c r="F827" s="1">
        <v>13</v>
      </c>
      <c r="G827" s="1">
        <v>1</v>
      </c>
      <c r="H827" s="1">
        <v>2</v>
      </c>
      <c r="I827" s="1">
        <v>0</v>
      </c>
      <c r="J827" s="2" t="str">
        <f t="shared" si="64"/>
        <v>BBG</v>
      </c>
      <c r="K827" s="2" t="str">
        <f t="shared" si="65"/>
        <v>@FFR</v>
      </c>
      <c r="L827" s="1" t="str">
        <f t="shared" si="66"/>
        <v>826,7/5/2004,0,13,1,2,0</v>
      </c>
    </row>
    <row r="828" spans="1:12" x14ac:dyDescent="0.2">
      <c r="A828" s="1" t="str">
        <f t="shared" si="62"/>
        <v>381734</v>
      </c>
      <c r="B828" s="1" t="str">
        <f t="shared" si="63"/>
        <v>3817317</v>
      </c>
      <c r="C828" s="1">
        <v>827</v>
      </c>
      <c r="D828" s="4">
        <v>38173</v>
      </c>
      <c r="E828" s="1">
        <v>0</v>
      </c>
      <c r="F828" s="1">
        <v>17</v>
      </c>
      <c r="G828" s="1">
        <v>4</v>
      </c>
      <c r="H828" s="1">
        <v>2</v>
      </c>
      <c r="I828" s="1">
        <v>0</v>
      </c>
      <c r="J828" s="2" t="str">
        <f t="shared" si="64"/>
        <v>GAR</v>
      </c>
      <c r="K828" s="2" t="str">
        <f t="shared" si="65"/>
        <v>@NNN</v>
      </c>
      <c r="L828" s="1" t="str">
        <f t="shared" si="66"/>
        <v>827,7/5/2004,0,17,4,2,0</v>
      </c>
    </row>
    <row r="829" spans="1:12" x14ac:dyDescent="0.2">
      <c r="A829" s="1" t="str">
        <f t="shared" si="62"/>
        <v>381735</v>
      </c>
      <c r="B829" s="1" t="str">
        <f t="shared" si="63"/>
        <v>381737</v>
      </c>
      <c r="C829" s="1">
        <v>828</v>
      </c>
      <c r="D829" s="4">
        <v>38173</v>
      </c>
      <c r="E829" s="1">
        <v>0</v>
      </c>
      <c r="F829" s="1">
        <v>7</v>
      </c>
      <c r="G829" s="1">
        <v>5</v>
      </c>
      <c r="H829" s="1">
        <v>2</v>
      </c>
      <c r="I829" s="1">
        <v>0</v>
      </c>
      <c r="J829" s="2" t="str">
        <f t="shared" si="64"/>
        <v>BAR</v>
      </c>
      <c r="K829" s="2" t="str">
        <f t="shared" si="65"/>
        <v>@OKO</v>
      </c>
      <c r="L829" s="1" t="str">
        <f t="shared" si="66"/>
        <v>828,7/5/2004,0,7,5,2,0</v>
      </c>
    </row>
    <row r="830" spans="1:12" x14ac:dyDescent="0.2">
      <c r="A830" s="1" t="str">
        <f t="shared" ref="A830:A881" si="67">D830&amp;G830</f>
        <v>3817311</v>
      </c>
      <c r="B830" s="1" t="str">
        <f t="shared" ref="B830:B881" si="68">D830&amp;F830</f>
        <v>381733</v>
      </c>
      <c r="C830" s="1">
        <v>829</v>
      </c>
      <c r="D830" s="4">
        <v>38173</v>
      </c>
      <c r="E830" s="1">
        <v>0</v>
      </c>
      <c r="F830" s="1">
        <v>3</v>
      </c>
      <c r="G830" s="1">
        <v>11</v>
      </c>
      <c r="H830" s="1">
        <v>2</v>
      </c>
      <c r="I830" s="1">
        <v>0</v>
      </c>
      <c r="J830" s="2" t="str">
        <f t="shared" si="64"/>
        <v>TEW</v>
      </c>
      <c r="K830" s="2" t="str">
        <f t="shared" si="65"/>
        <v>@HAR</v>
      </c>
      <c r="L830" s="1" t="str">
        <f t="shared" ref="L830:L881" si="69">C830&amp;","&amp;MONTH(D830)&amp;"/"&amp;DAY(D830)&amp;"/"&amp;YEAR(D830)&amp;","&amp;E830&amp;","&amp;F830&amp;","&amp;G830&amp;","&amp;H830&amp;","&amp;I830</f>
        <v>829,7/5/2004,0,3,11,2,0</v>
      </c>
    </row>
    <row r="831" spans="1:12" x14ac:dyDescent="0.2">
      <c r="A831" s="1" t="str">
        <f t="shared" si="67"/>
        <v>3817312</v>
      </c>
      <c r="B831" s="1" t="str">
        <f t="shared" si="68"/>
        <v>381738</v>
      </c>
      <c r="C831" s="1">
        <v>830</v>
      </c>
      <c r="D831" s="4">
        <v>38173</v>
      </c>
      <c r="E831" s="1">
        <v>0</v>
      </c>
      <c r="F831" s="1">
        <v>8</v>
      </c>
      <c r="G831" s="1">
        <v>12</v>
      </c>
      <c r="H831" s="1">
        <v>2</v>
      </c>
      <c r="I831" s="1">
        <v>0</v>
      </c>
      <c r="J831" s="2" t="str">
        <f t="shared" si="64"/>
        <v>CTW</v>
      </c>
      <c r="K831" s="2" t="str">
        <f t="shared" si="65"/>
        <v>@RMO</v>
      </c>
      <c r="L831" s="1" t="str">
        <f t="shared" si="69"/>
        <v>830,7/5/2004,0,8,12,2,0</v>
      </c>
    </row>
    <row r="832" spans="1:12" x14ac:dyDescent="0.2">
      <c r="A832" s="1" t="str">
        <f t="shared" si="67"/>
        <v>3817316</v>
      </c>
      <c r="B832" s="1" t="str">
        <f t="shared" si="68"/>
        <v>381739</v>
      </c>
      <c r="C832" s="1">
        <v>831</v>
      </c>
      <c r="D832" s="4">
        <v>38173</v>
      </c>
      <c r="E832" s="1">
        <v>0</v>
      </c>
      <c r="F832" s="1">
        <v>9</v>
      </c>
      <c r="G832" s="1">
        <v>16</v>
      </c>
      <c r="H832" s="1">
        <v>2</v>
      </c>
      <c r="I832" s="1">
        <v>0</v>
      </c>
      <c r="J832" s="2" t="str">
        <f t="shared" si="64"/>
        <v>CIN</v>
      </c>
      <c r="K832" s="2" t="str">
        <f t="shared" si="65"/>
        <v>@DIG</v>
      </c>
      <c r="L832" s="1" t="str">
        <f t="shared" si="69"/>
        <v>831,7/5/2004,0,9,16,2,0</v>
      </c>
    </row>
    <row r="833" spans="1:12" x14ac:dyDescent="0.2">
      <c r="A833" s="1" t="str">
        <f t="shared" si="67"/>
        <v>3817321</v>
      </c>
      <c r="B833" s="1" t="str">
        <f t="shared" si="68"/>
        <v>3817310</v>
      </c>
      <c r="C833" s="1">
        <v>832</v>
      </c>
      <c r="D833" s="4">
        <v>38173</v>
      </c>
      <c r="E833" s="1">
        <v>0</v>
      </c>
      <c r="F833" s="1">
        <v>10</v>
      </c>
      <c r="G833" s="1">
        <v>21</v>
      </c>
      <c r="H833" s="1">
        <v>2</v>
      </c>
      <c r="I833" s="1">
        <v>0</v>
      </c>
      <c r="J833" s="2" t="str">
        <f t="shared" si="64"/>
        <v>REN</v>
      </c>
      <c r="K833" s="2" t="str">
        <f t="shared" si="65"/>
        <v>@NYD</v>
      </c>
      <c r="L833" s="1" t="str">
        <f t="shared" si="69"/>
        <v>832,7/5/2004,0,10,21,2,0</v>
      </c>
    </row>
    <row r="834" spans="1:12" x14ac:dyDescent="0.2">
      <c r="A834" s="1" t="str">
        <f t="shared" si="67"/>
        <v>3817322</v>
      </c>
      <c r="B834" s="1" t="str">
        <f t="shared" si="68"/>
        <v>3817314</v>
      </c>
      <c r="C834" s="1">
        <v>833</v>
      </c>
      <c r="D834" s="4">
        <v>38173</v>
      </c>
      <c r="E834" s="1">
        <v>0</v>
      </c>
      <c r="F834" s="1">
        <v>14</v>
      </c>
      <c r="G834" s="1">
        <v>22</v>
      </c>
      <c r="H834" s="1">
        <v>2</v>
      </c>
      <c r="I834" s="1">
        <v>0</v>
      </c>
      <c r="J834" s="2" t="str">
        <f t="shared" ref="J834:J897" si="70">VLOOKUP(F834,$M$2:$N$21,2,0)</f>
        <v>CEN</v>
      </c>
      <c r="K834" s="2" t="str">
        <f t="shared" ref="K834:K897" si="71">"@"&amp;VLOOKUP(G834,$M$2:$N$21,2,0)</f>
        <v>@CBB</v>
      </c>
      <c r="L834" s="1" t="str">
        <f t="shared" si="69"/>
        <v>833,7/5/2004,0,14,22,2,0</v>
      </c>
    </row>
    <row r="835" spans="1:12" x14ac:dyDescent="0.2">
      <c r="A835" s="1" t="str">
        <f t="shared" si="67"/>
        <v>3817323</v>
      </c>
      <c r="B835" s="1" t="str">
        <f t="shared" si="68"/>
        <v>3817320</v>
      </c>
      <c r="C835" s="1">
        <v>834</v>
      </c>
      <c r="D835" s="4">
        <v>38173</v>
      </c>
      <c r="E835" s="1">
        <v>0</v>
      </c>
      <c r="F835" s="1">
        <v>20</v>
      </c>
      <c r="G835" s="1">
        <v>23</v>
      </c>
      <c r="H835" s="1">
        <v>2</v>
      </c>
      <c r="I835" s="1">
        <v>0</v>
      </c>
      <c r="J835" s="2" t="str">
        <f t="shared" si="70"/>
        <v>FDH</v>
      </c>
      <c r="K835" s="2" t="str">
        <f t="shared" si="71"/>
        <v>@BRK</v>
      </c>
      <c r="L835" s="1" t="str">
        <f t="shared" si="69"/>
        <v>834,7/5/2004,0,20,23,2,0</v>
      </c>
    </row>
    <row r="836" spans="1:12" x14ac:dyDescent="0.2">
      <c r="A836" s="1" t="str">
        <f t="shared" si="67"/>
        <v>3817324</v>
      </c>
      <c r="B836" s="1" t="str">
        <f t="shared" si="68"/>
        <v>381732</v>
      </c>
      <c r="C836" s="1">
        <v>835</v>
      </c>
      <c r="D836" s="4">
        <v>38173</v>
      </c>
      <c r="E836" s="1">
        <v>0</v>
      </c>
      <c r="F836" s="1">
        <v>2</v>
      </c>
      <c r="G836" s="1">
        <v>24</v>
      </c>
      <c r="H836" s="1">
        <v>2</v>
      </c>
      <c r="I836" s="1">
        <v>0</v>
      </c>
      <c r="J836" s="2" t="str">
        <f t="shared" si="70"/>
        <v>NEP</v>
      </c>
      <c r="K836" s="2" t="str">
        <f t="shared" si="71"/>
        <v>@PHI</v>
      </c>
      <c r="L836" s="1" t="str">
        <f t="shared" si="69"/>
        <v>835,7/5/2004,0,2,24,2,0</v>
      </c>
    </row>
    <row r="837" spans="1:12" x14ac:dyDescent="0.2">
      <c r="A837" s="1" t="str">
        <f t="shared" si="67"/>
        <v>381741</v>
      </c>
      <c r="B837" s="1" t="str">
        <f t="shared" si="68"/>
        <v>3817413</v>
      </c>
      <c r="C837" s="1">
        <v>836</v>
      </c>
      <c r="D837" s="4">
        <v>38174</v>
      </c>
      <c r="E837" s="1">
        <v>0</v>
      </c>
      <c r="F837" s="1">
        <v>13</v>
      </c>
      <c r="G837" s="1">
        <v>1</v>
      </c>
      <c r="H837" s="1">
        <v>2</v>
      </c>
      <c r="I837" s="1">
        <v>0</v>
      </c>
      <c r="J837" s="2" t="str">
        <f t="shared" si="70"/>
        <v>BBG</v>
      </c>
      <c r="K837" s="2" t="str">
        <f t="shared" si="71"/>
        <v>@FFR</v>
      </c>
      <c r="L837" s="1" t="str">
        <f t="shared" si="69"/>
        <v>836,7/6/2004,0,13,1,2,0</v>
      </c>
    </row>
    <row r="838" spans="1:12" x14ac:dyDescent="0.2">
      <c r="A838" s="1" t="str">
        <f t="shared" si="67"/>
        <v>3817424</v>
      </c>
      <c r="B838" s="1" t="str">
        <f t="shared" si="68"/>
        <v>381742</v>
      </c>
      <c r="C838" s="1">
        <v>837</v>
      </c>
      <c r="D838" s="4">
        <v>38174</v>
      </c>
      <c r="E838" s="1">
        <v>0</v>
      </c>
      <c r="F838" s="1">
        <v>2</v>
      </c>
      <c r="G838" s="1">
        <v>24</v>
      </c>
      <c r="H838" s="1">
        <v>2</v>
      </c>
      <c r="I838" s="1">
        <v>0</v>
      </c>
      <c r="J838" s="2" t="str">
        <f t="shared" si="70"/>
        <v>NEP</v>
      </c>
      <c r="K838" s="2" t="str">
        <f t="shared" si="71"/>
        <v>@PHI</v>
      </c>
      <c r="L838" s="1" t="str">
        <f t="shared" si="69"/>
        <v>837,7/6/2004,0,2,24,2,0</v>
      </c>
    </row>
    <row r="839" spans="1:12" x14ac:dyDescent="0.2">
      <c r="A839" s="1" t="str">
        <f t="shared" si="67"/>
        <v>381744</v>
      </c>
      <c r="B839" s="1" t="str">
        <f t="shared" si="68"/>
        <v>3817417</v>
      </c>
      <c r="C839" s="1">
        <v>838</v>
      </c>
      <c r="D839" s="4">
        <v>38174</v>
      </c>
      <c r="E839" s="1">
        <v>0</v>
      </c>
      <c r="F839" s="1">
        <v>17</v>
      </c>
      <c r="G839" s="1">
        <v>4</v>
      </c>
      <c r="H839" s="1">
        <v>2</v>
      </c>
      <c r="I839" s="1">
        <v>0</v>
      </c>
      <c r="J839" s="2" t="str">
        <f t="shared" si="70"/>
        <v>GAR</v>
      </c>
      <c r="K839" s="2" t="str">
        <f t="shared" si="71"/>
        <v>@NNN</v>
      </c>
      <c r="L839" s="1" t="str">
        <f t="shared" si="69"/>
        <v>838,7/6/2004,0,17,4,2,0</v>
      </c>
    </row>
    <row r="840" spans="1:12" x14ac:dyDescent="0.2">
      <c r="A840" s="1" t="str">
        <f t="shared" si="67"/>
        <v>381745</v>
      </c>
      <c r="B840" s="1" t="str">
        <f t="shared" si="68"/>
        <v>381747</v>
      </c>
      <c r="C840" s="1">
        <v>839</v>
      </c>
      <c r="D840" s="4">
        <v>38174</v>
      </c>
      <c r="E840" s="1">
        <v>0</v>
      </c>
      <c r="F840" s="1">
        <v>7</v>
      </c>
      <c r="G840" s="1">
        <v>5</v>
      </c>
      <c r="H840" s="1">
        <v>2</v>
      </c>
      <c r="I840" s="1">
        <v>0</v>
      </c>
      <c r="J840" s="2" t="str">
        <f t="shared" si="70"/>
        <v>BAR</v>
      </c>
      <c r="K840" s="2" t="str">
        <f t="shared" si="71"/>
        <v>@OKO</v>
      </c>
      <c r="L840" s="1" t="str">
        <f t="shared" si="69"/>
        <v>839,7/6/2004,0,7,5,2,0</v>
      </c>
    </row>
    <row r="841" spans="1:12" x14ac:dyDescent="0.2">
      <c r="A841" s="1" t="str">
        <f t="shared" si="67"/>
        <v>3817411</v>
      </c>
      <c r="B841" s="1" t="str">
        <f t="shared" si="68"/>
        <v>381743</v>
      </c>
      <c r="C841" s="1">
        <v>840</v>
      </c>
      <c r="D841" s="4">
        <v>38174</v>
      </c>
      <c r="E841" s="1">
        <v>0</v>
      </c>
      <c r="F841" s="1">
        <v>3</v>
      </c>
      <c r="G841" s="1">
        <v>11</v>
      </c>
      <c r="H841" s="1">
        <v>2</v>
      </c>
      <c r="I841" s="1">
        <v>0</v>
      </c>
      <c r="J841" s="2" t="str">
        <f t="shared" si="70"/>
        <v>TEW</v>
      </c>
      <c r="K841" s="2" t="str">
        <f t="shared" si="71"/>
        <v>@HAR</v>
      </c>
      <c r="L841" s="1" t="str">
        <f t="shared" si="69"/>
        <v>840,7/6/2004,0,3,11,2,0</v>
      </c>
    </row>
    <row r="842" spans="1:12" x14ac:dyDescent="0.2">
      <c r="A842" s="1" t="str">
        <f t="shared" si="67"/>
        <v>3817412</v>
      </c>
      <c r="B842" s="1" t="str">
        <f t="shared" si="68"/>
        <v>381748</v>
      </c>
      <c r="C842" s="1">
        <v>841</v>
      </c>
      <c r="D842" s="4">
        <v>38174</v>
      </c>
      <c r="E842" s="1">
        <v>0</v>
      </c>
      <c r="F842" s="1">
        <v>8</v>
      </c>
      <c r="G842" s="1">
        <v>12</v>
      </c>
      <c r="H842" s="1">
        <v>2</v>
      </c>
      <c r="I842" s="1">
        <v>0</v>
      </c>
      <c r="J842" s="2" t="str">
        <f t="shared" si="70"/>
        <v>CTW</v>
      </c>
      <c r="K842" s="2" t="str">
        <f t="shared" si="71"/>
        <v>@RMO</v>
      </c>
      <c r="L842" s="1" t="str">
        <f t="shared" si="69"/>
        <v>841,7/6/2004,0,8,12,2,0</v>
      </c>
    </row>
    <row r="843" spans="1:12" x14ac:dyDescent="0.2">
      <c r="A843" s="1" t="str">
        <f t="shared" si="67"/>
        <v>3817416</v>
      </c>
      <c r="B843" s="1" t="str">
        <f t="shared" si="68"/>
        <v>381749</v>
      </c>
      <c r="C843" s="1">
        <v>842</v>
      </c>
      <c r="D843" s="4">
        <v>38174</v>
      </c>
      <c r="E843" s="1">
        <v>0</v>
      </c>
      <c r="F843" s="1">
        <v>9</v>
      </c>
      <c r="G843" s="1">
        <v>16</v>
      </c>
      <c r="H843" s="1">
        <v>2</v>
      </c>
      <c r="I843" s="1">
        <v>0</v>
      </c>
      <c r="J843" s="2" t="str">
        <f t="shared" si="70"/>
        <v>CIN</v>
      </c>
      <c r="K843" s="2" t="str">
        <f t="shared" si="71"/>
        <v>@DIG</v>
      </c>
      <c r="L843" s="1" t="str">
        <f t="shared" si="69"/>
        <v>842,7/6/2004,0,9,16,2,0</v>
      </c>
    </row>
    <row r="844" spans="1:12" x14ac:dyDescent="0.2">
      <c r="A844" s="1" t="str">
        <f t="shared" si="67"/>
        <v>3817421</v>
      </c>
      <c r="B844" s="1" t="str">
        <f t="shared" si="68"/>
        <v>3817410</v>
      </c>
      <c r="C844" s="1">
        <v>843</v>
      </c>
      <c r="D844" s="4">
        <v>38174</v>
      </c>
      <c r="E844" s="1">
        <v>0</v>
      </c>
      <c r="F844" s="1">
        <v>10</v>
      </c>
      <c r="G844" s="1">
        <v>21</v>
      </c>
      <c r="H844" s="1">
        <v>2</v>
      </c>
      <c r="I844" s="1">
        <v>0</v>
      </c>
      <c r="J844" s="2" t="str">
        <f t="shared" si="70"/>
        <v>REN</v>
      </c>
      <c r="K844" s="2" t="str">
        <f t="shared" si="71"/>
        <v>@NYD</v>
      </c>
      <c r="L844" s="1" t="str">
        <f t="shared" si="69"/>
        <v>843,7/6/2004,0,10,21,2,0</v>
      </c>
    </row>
    <row r="845" spans="1:12" x14ac:dyDescent="0.2">
      <c r="A845" s="1" t="str">
        <f t="shared" si="67"/>
        <v>3817422</v>
      </c>
      <c r="B845" s="1" t="str">
        <f t="shared" si="68"/>
        <v>3817414</v>
      </c>
      <c r="C845" s="1">
        <v>844</v>
      </c>
      <c r="D845" s="4">
        <v>38174</v>
      </c>
      <c r="E845" s="1">
        <v>0</v>
      </c>
      <c r="F845" s="1">
        <v>14</v>
      </c>
      <c r="G845" s="1">
        <v>22</v>
      </c>
      <c r="H845" s="1">
        <v>2</v>
      </c>
      <c r="I845" s="1">
        <v>0</v>
      </c>
      <c r="J845" s="2" t="str">
        <f t="shared" si="70"/>
        <v>CEN</v>
      </c>
      <c r="K845" s="2" t="str">
        <f t="shared" si="71"/>
        <v>@CBB</v>
      </c>
      <c r="L845" s="1" t="str">
        <f t="shared" si="69"/>
        <v>844,7/6/2004,0,14,22,2,0</v>
      </c>
    </row>
    <row r="846" spans="1:12" x14ac:dyDescent="0.2">
      <c r="A846" s="1" t="str">
        <f t="shared" si="67"/>
        <v>3817423</v>
      </c>
      <c r="B846" s="1" t="str">
        <f t="shared" si="68"/>
        <v>3817420</v>
      </c>
      <c r="C846" s="1">
        <v>845</v>
      </c>
      <c r="D846" s="4">
        <v>38174</v>
      </c>
      <c r="E846" s="1">
        <v>0</v>
      </c>
      <c r="F846" s="1">
        <v>20</v>
      </c>
      <c r="G846" s="1">
        <v>23</v>
      </c>
      <c r="H846" s="1">
        <v>2</v>
      </c>
      <c r="I846" s="1">
        <v>0</v>
      </c>
      <c r="J846" s="2" t="str">
        <f t="shared" si="70"/>
        <v>FDH</v>
      </c>
      <c r="K846" s="2" t="str">
        <f t="shared" si="71"/>
        <v>@BRK</v>
      </c>
      <c r="L846" s="1" t="str">
        <f t="shared" si="69"/>
        <v>845,7/6/2004,0,20,23,2,0</v>
      </c>
    </row>
    <row r="847" spans="1:12" x14ac:dyDescent="0.2">
      <c r="A847" s="1" t="str">
        <f t="shared" si="67"/>
        <v>3817514</v>
      </c>
      <c r="B847" s="1" t="str">
        <f t="shared" si="68"/>
        <v>381757</v>
      </c>
      <c r="C847" s="1">
        <v>846</v>
      </c>
      <c r="D847" s="4">
        <v>38175</v>
      </c>
      <c r="E847" s="1">
        <v>0</v>
      </c>
      <c r="F847" s="1">
        <v>7</v>
      </c>
      <c r="G847" s="1">
        <v>14</v>
      </c>
      <c r="H847" s="1">
        <v>2</v>
      </c>
      <c r="I847" s="1">
        <v>0</v>
      </c>
      <c r="J847" s="2" t="str">
        <f t="shared" si="70"/>
        <v>BAR</v>
      </c>
      <c r="K847" s="2" t="str">
        <f t="shared" si="71"/>
        <v>@CEN</v>
      </c>
      <c r="L847" s="1" t="str">
        <f t="shared" si="69"/>
        <v>846,7/7/2004,0,7,14,2,0</v>
      </c>
    </row>
    <row r="848" spans="1:12" x14ac:dyDescent="0.2">
      <c r="A848" s="1" t="str">
        <f t="shared" si="67"/>
        <v>3817522</v>
      </c>
      <c r="B848" s="1" t="str">
        <f t="shared" si="68"/>
        <v>381755</v>
      </c>
      <c r="C848" s="1">
        <v>847</v>
      </c>
      <c r="D848" s="4">
        <v>38175</v>
      </c>
      <c r="E848" s="1">
        <v>0</v>
      </c>
      <c r="F848" s="1">
        <v>5</v>
      </c>
      <c r="G848" s="1">
        <v>22</v>
      </c>
      <c r="H848" s="1">
        <v>2</v>
      </c>
      <c r="I848" s="1">
        <v>0</v>
      </c>
      <c r="J848" s="2" t="str">
        <f t="shared" si="70"/>
        <v>OKO</v>
      </c>
      <c r="K848" s="2" t="str">
        <f t="shared" si="71"/>
        <v>@CBB</v>
      </c>
      <c r="L848" s="1" t="str">
        <f t="shared" si="69"/>
        <v>847,7/7/2004,0,5,22,2,0</v>
      </c>
    </row>
    <row r="849" spans="1:12" x14ac:dyDescent="0.2">
      <c r="A849" s="1" t="str">
        <f t="shared" si="67"/>
        <v>3817521</v>
      </c>
      <c r="B849" s="1" t="str">
        <f t="shared" si="68"/>
        <v>3817511</v>
      </c>
      <c r="C849" s="1">
        <v>848</v>
      </c>
      <c r="D849" s="4">
        <v>38175</v>
      </c>
      <c r="E849" s="1">
        <v>0</v>
      </c>
      <c r="F849" s="1">
        <v>11</v>
      </c>
      <c r="G849" s="1">
        <v>21</v>
      </c>
      <c r="H849" s="1">
        <v>2</v>
      </c>
      <c r="I849" s="1">
        <v>0</v>
      </c>
      <c r="J849" s="2" t="str">
        <f t="shared" si="70"/>
        <v>HAR</v>
      </c>
      <c r="K849" s="2" t="str">
        <f t="shared" si="71"/>
        <v>@NYD</v>
      </c>
      <c r="L849" s="1" t="str">
        <f t="shared" si="69"/>
        <v>848,7/7/2004,0,11,21,2,0</v>
      </c>
    </row>
    <row r="850" spans="1:12" x14ac:dyDescent="0.2">
      <c r="A850" s="1" t="str">
        <f t="shared" si="67"/>
        <v>3817614</v>
      </c>
      <c r="B850" s="1" t="str">
        <f t="shared" si="68"/>
        <v>381767</v>
      </c>
      <c r="C850" s="1">
        <v>849</v>
      </c>
      <c r="D850" s="4">
        <v>38176</v>
      </c>
      <c r="E850" s="1">
        <v>0</v>
      </c>
      <c r="F850" s="1">
        <v>7</v>
      </c>
      <c r="G850" s="1">
        <v>14</v>
      </c>
      <c r="H850" s="1">
        <v>2</v>
      </c>
      <c r="I850" s="1">
        <v>0</v>
      </c>
      <c r="J850" s="2" t="str">
        <f t="shared" si="70"/>
        <v>BAR</v>
      </c>
      <c r="K850" s="2" t="str">
        <f t="shared" si="71"/>
        <v>@CEN</v>
      </c>
      <c r="L850" s="1" t="str">
        <f t="shared" si="69"/>
        <v>849,7/8/2004,0,7,14,2,0</v>
      </c>
    </row>
    <row r="851" spans="1:12" x14ac:dyDescent="0.2">
      <c r="A851" s="1" t="str">
        <f t="shared" si="67"/>
        <v>3817617</v>
      </c>
      <c r="B851" s="1" t="str">
        <f t="shared" si="68"/>
        <v>3817613</v>
      </c>
      <c r="C851" s="1">
        <v>850</v>
      </c>
      <c r="D851" s="4">
        <v>38176</v>
      </c>
      <c r="E851" s="1">
        <v>0</v>
      </c>
      <c r="F851" s="1">
        <v>13</v>
      </c>
      <c r="G851" s="1">
        <v>17</v>
      </c>
      <c r="H851" s="1">
        <v>2</v>
      </c>
      <c r="I851" s="1">
        <v>0</v>
      </c>
      <c r="J851" s="2" t="str">
        <f t="shared" si="70"/>
        <v>BBG</v>
      </c>
      <c r="K851" s="2" t="str">
        <f t="shared" si="71"/>
        <v>@GAR</v>
      </c>
      <c r="L851" s="1" t="str">
        <f t="shared" si="69"/>
        <v>850,7/8/2004,0,13,17,2,0</v>
      </c>
    </row>
    <row r="852" spans="1:12" x14ac:dyDescent="0.2">
      <c r="A852" s="1" t="str">
        <f t="shared" si="67"/>
        <v>3817621</v>
      </c>
      <c r="B852" s="1" t="str">
        <f t="shared" si="68"/>
        <v>3817611</v>
      </c>
      <c r="C852" s="1">
        <v>851</v>
      </c>
      <c r="D852" s="4">
        <v>38176</v>
      </c>
      <c r="E852" s="1">
        <v>0</v>
      </c>
      <c r="F852" s="1">
        <v>11</v>
      </c>
      <c r="G852" s="1">
        <v>21</v>
      </c>
      <c r="H852" s="1">
        <v>2</v>
      </c>
      <c r="I852" s="1">
        <v>0</v>
      </c>
      <c r="J852" s="2" t="str">
        <f t="shared" si="70"/>
        <v>HAR</v>
      </c>
      <c r="K852" s="2" t="str">
        <f t="shared" si="71"/>
        <v>@NYD</v>
      </c>
      <c r="L852" s="1" t="str">
        <f t="shared" si="69"/>
        <v>851,7/8/2004,0,11,21,2,0</v>
      </c>
    </row>
    <row r="853" spans="1:12" x14ac:dyDescent="0.2">
      <c r="A853" s="1" t="str">
        <f t="shared" si="67"/>
        <v>381768</v>
      </c>
      <c r="B853" s="1" t="str">
        <f t="shared" si="68"/>
        <v>381769</v>
      </c>
      <c r="C853" s="1">
        <v>852</v>
      </c>
      <c r="D853" s="4">
        <v>38176</v>
      </c>
      <c r="E853" s="1">
        <v>0</v>
      </c>
      <c r="F853" s="1">
        <v>9</v>
      </c>
      <c r="G853" s="1">
        <v>8</v>
      </c>
      <c r="H853" s="1">
        <v>2</v>
      </c>
      <c r="I853" s="1">
        <v>0</v>
      </c>
      <c r="J853" s="2" t="str">
        <f t="shared" si="70"/>
        <v>CIN</v>
      </c>
      <c r="K853" s="2" t="str">
        <f t="shared" si="71"/>
        <v>@CTW</v>
      </c>
      <c r="L853" s="1" t="str">
        <f t="shared" si="69"/>
        <v>852,7/8/2004,0,9,8,2,0</v>
      </c>
    </row>
    <row r="854" spans="1:12" x14ac:dyDescent="0.2">
      <c r="A854" s="1" t="str">
        <f t="shared" si="67"/>
        <v>381762</v>
      </c>
      <c r="B854" s="1" t="str">
        <f t="shared" si="68"/>
        <v>3817620</v>
      </c>
      <c r="C854" s="1">
        <v>853</v>
      </c>
      <c r="D854" s="4">
        <v>38176</v>
      </c>
      <c r="E854" s="1">
        <v>0</v>
      </c>
      <c r="F854" s="1">
        <v>20</v>
      </c>
      <c r="G854" s="1">
        <v>2</v>
      </c>
      <c r="H854" s="1">
        <v>2</v>
      </c>
      <c r="I854" s="1">
        <v>0</v>
      </c>
      <c r="J854" s="2" t="str">
        <f t="shared" si="70"/>
        <v>FDH</v>
      </c>
      <c r="K854" s="2" t="str">
        <f t="shared" si="71"/>
        <v>@NEP</v>
      </c>
      <c r="L854" s="1" t="str">
        <f t="shared" si="69"/>
        <v>853,7/8/2004,0,20,2,2,0</v>
      </c>
    </row>
    <row r="855" spans="1:12" x14ac:dyDescent="0.2">
      <c r="A855" s="1" t="str">
        <f t="shared" si="67"/>
        <v>381764</v>
      </c>
      <c r="B855" s="1" t="str">
        <f t="shared" si="68"/>
        <v>381761</v>
      </c>
      <c r="C855" s="1">
        <v>854</v>
      </c>
      <c r="D855" s="4">
        <v>38176</v>
      </c>
      <c r="E855" s="1">
        <v>0</v>
      </c>
      <c r="F855" s="1">
        <v>1</v>
      </c>
      <c r="G855" s="1">
        <v>4</v>
      </c>
      <c r="H855" s="1">
        <v>2</v>
      </c>
      <c r="I855" s="1">
        <v>0</v>
      </c>
      <c r="J855" s="2" t="str">
        <f t="shared" si="70"/>
        <v>FFR</v>
      </c>
      <c r="K855" s="2" t="str">
        <f t="shared" si="71"/>
        <v>@NNN</v>
      </c>
      <c r="L855" s="1" t="str">
        <f t="shared" si="69"/>
        <v>854,7/8/2004,0,1,4,2,0</v>
      </c>
    </row>
    <row r="856" spans="1:12" x14ac:dyDescent="0.2">
      <c r="A856" s="1" t="str">
        <f t="shared" si="67"/>
        <v>3817610</v>
      </c>
      <c r="B856" s="1" t="str">
        <f t="shared" si="68"/>
        <v>381763</v>
      </c>
      <c r="C856" s="1">
        <v>855</v>
      </c>
      <c r="D856" s="4">
        <v>38176</v>
      </c>
      <c r="E856" s="1">
        <v>0</v>
      </c>
      <c r="F856" s="1">
        <v>3</v>
      </c>
      <c r="G856" s="1">
        <v>10</v>
      </c>
      <c r="H856" s="1">
        <v>2</v>
      </c>
      <c r="I856" s="1">
        <v>0</v>
      </c>
      <c r="J856" s="2" t="str">
        <f t="shared" si="70"/>
        <v>TEW</v>
      </c>
      <c r="K856" s="2" t="str">
        <f t="shared" si="71"/>
        <v>@REN</v>
      </c>
      <c r="L856" s="1" t="str">
        <f t="shared" si="69"/>
        <v>855,7/8/2004,0,3,10,2,0</v>
      </c>
    </row>
    <row r="857" spans="1:12" x14ac:dyDescent="0.2">
      <c r="A857" s="1" t="str">
        <f t="shared" si="67"/>
        <v>3817612</v>
      </c>
      <c r="B857" s="1" t="str">
        <f t="shared" si="68"/>
        <v>3817616</v>
      </c>
      <c r="C857" s="1">
        <v>856</v>
      </c>
      <c r="D857" s="4">
        <v>38176</v>
      </c>
      <c r="E857" s="1">
        <v>0</v>
      </c>
      <c r="F857" s="1">
        <v>16</v>
      </c>
      <c r="G857" s="1">
        <v>12</v>
      </c>
      <c r="H857" s="1">
        <v>2</v>
      </c>
      <c r="I857" s="1">
        <v>0</v>
      </c>
      <c r="J857" s="2" t="str">
        <f t="shared" si="70"/>
        <v>DIG</v>
      </c>
      <c r="K857" s="2" t="str">
        <f t="shared" si="71"/>
        <v>@RMO</v>
      </c>
      <c r="L857" s="1" t="str">
        <f t="shared" si="69"/>
        <v>856,7/8/2004,0,16,12,2,0</v>
      </c>
    </row>
    <row r="858" spans="1:12" x14ac:dyDescent="0.2">
      <c r="A858" s="1" t="str">
        <f t="shared" si="67"/>
        <v>3817624</v>
      </c>
      <c r="B858" s="1" t="str">
        <f t="shared" si="68"/>
        <v>3817623</v>
      </c>
      <c r="C858" s="1">
        <v>857</v>
      </c>
      <c r="D858" s="4">
        <v>38176</v>
      </c>
      <c r="E858" s="1">
        <v>0</v>
      </c>
      <c r="F858" s="1">
        <v>23</v>
      </c>
      <c r="G858" s="1">
        <v>24</v>
      </c>
      <c r="H858" s="1">
        <v>2</v>
      </c>
      <c r="I858" s="1">
        <v>0</v>
      </c>
      <c r="J858" s="2" t="str">
        <f t="shared" si="70"/>
        <v>BRK</v>
      </c>
      <c r="K858" s="2" t="str">
        <f t="shared" si="71"/>
        <v>@PHI</v>
      </c>
      <c r="L858" s="1" t="str">
        <f t="shared" si="69"/>
        <v>857,7/8/2004,0,23,24,2,0</v>
      </c>
    </row>
    <row r="859" spans="1:12" x14ac:dyDescent="0.2">
      <c r="A859" s="1" t="str">
        <f t="shared" si="67"/>
        <v>3817622</v>
      </c>
      <c r="B859" s="1" t="str">
        <f t="shared" si="68"/>
        <v>381765</v>
      </c>
      <c r="C859" s="1">
        <v>858</v>
      </c>
      <c r="D859" s="4">
        <v>38176</v>
      </c>
      <c r="E859" s="1">
        <v>0</v>
      </c>
      <c r="F859" s="1">
        <v>5</v>
      </c>
      <c r="G859" s="1">
        <v>22</v>
      </c>
      <c r="H859" s="1">
        <v>2</v>
      </c>
      <c r="I859" s="1">
        <v>0</v>
      </c>
      <c r="J859" s="2" t="str">
        <f t="shared" si="70"/>
        <v>OKO</v>
      </c>
      <c r="K859" s="2" t="str">
        <f t="shared" si="71"/>
        <v>@CBB</v>
      </c>
      <c r="L859" s="1" t="str">
        <f t="shared" si="69"/>
        <v>858,7/8/2004,0,5,22,2,0</v>
      </c>
    </row>
    <row r="860" spans="1:12" x14ac:dyDescent="0.2">
      <c r="A860" s="1" t="str">
        <f t="shared" si="67"/>
        <v>381772</v>
      </c>
      <c r="B860" s="1" t="str">
        <f t="shared" si="68"/>
        <v>3817720</v>
      </c>
      <c r="C860" s="1">
        <v>859</v>
      </c>
      <c r="D860" s="4">
        <v>38177</v>
      </c>
      <c r="E860" s="1">
        <v>0</v>
      </c>
      <c r="F860" s="1">
        <v>20</v>
      </c>
      <c r="G860" s="1">
        <v>2</v>
      </c>
      <c r="H860" s="1">
        <v>2</v>
      </c>
      <c r="I860" s="1">
        <v>0</v>
      </c>
      <c r="J860" s="2" t="str">
        <f t="shared" si="70"/>
        <v>FDH</v>
      </c>
      <c r="K860" s="2" t="str">
        <f t="shared" si="71"/>
        <v>@NEP</v>
      </c>
      <c r="L860" s="1" t="str">
        <f t="shared" si="69"/>
        <v>859,7/9/2004,0,20,2,2,0</v>
      </c>
    </row>
    <row r="861" spans="1:12" x14ac:dyDescent="0.2">
      <c r="A861" s="1" t="str">
        <f t="shared" si="67"/>
        <v>381774</v>
      </c>
      <c r="B861" s="1" t="str">
        <f t="shared" si="68"/>
        <v>381771</v>
      </c>
      <c r="C861" s="1">
        <v>860</v>
      </c>
      <c r="D861" s="4">
        <v>38177</v>
      </c>
      <c r="E861" s="1">
        <v>0</v>
      </c>
      <c r="F861" s="1">
        <v>1</v>
      </c>
      <c r="G861" s="1">
        <v>4</v>
      </c>
      <c r="H861" s="1">
        <v>2</v>
      </c>
      <c r="I861" s="1">
        <v>0</v>
      </c>
      <c r="J861" s="2" t="str">
        <f t="shared" si="70"/>
        <v>FFR</v>
      </c>
      <c r="K861" s="2" t="str">
        <f t="shared" si="71"/>
        <v>@NNN</v>
      </c>
      <c r="L861" s="1" t="str">
        <f t="shared" si="69"/>
        <v>860,7/9/2004,0,1,4,2,0</v>
      </c>
    </row>
    <row r="862" spans="1:12" x14ac:dyDescent="0.2">
      <c r="A862" s="1" t="str">
        <f t="shared" si="67"/>
        <v>381778</v>
      </c>
      <c r="B862" s="1" t="str">
        <f t="shared" si="68"/>
        <v>381779</v>
      </c>
      <c r="C862" s="1">
        <v>861</v>
      </c>
      <c r="D862" s="4">
        <v>38177</v>
      </c>
      <c r="E862" s="1">
        <v>0</v>
      </c>
      <c r="F862" s="1">
        <v>9</v>
      </c>
      <c r="G862" s="1">
        <v>8</v>
      </c>
      <c r="H862" s="1">
        <v>2</v>
      </c>
      <c r="I862" s="1">
        <v>0</v>
      </c>
      <c r="J862" s="2" t="str">
        <f t="shared" si="70"/>
        <v>CIN</v>
      </c>
      <c r="K862" s="2" t="str">
        <f t="shared" si="71"/>
        <v>@CTW</v>
      </c>
      <c r="L862" s="1" t="str">
        <f t="shared" si="69"/>
        <v>861,7/9/2004,0,9,8,2,0</v>
      </c>
    </row>
    <row r="863" spans="1:12" x14ac:dyDescent="0.2">
      <c r="A863" s="1" t="str">
        <f t="shared" si="67"/>
        <v>3817710</v>
      </c>
      <c r="B863" s="1" t="str">
        <f t="shared" si="68"/>
        <v>381773</v>
      </c>
      <c r="C863" s="1">
        <v>862</v>
      </c>
      <c r="D863" s="4">
        <v>38177</v>
      </c>
      <c r="E863" s="1">
        <v>0</v>
      </c>
      <c r="F863" s="1">
        <v>3</v>
      </c>
      <c r="G863" s="1">
        <v>10</v>
      </c>
      <c r="H863" s="1">
        <v>2</v>
      </c>
      <c r="I863" s="1">
        <v>0</v>
      </c>
      <c r="J863" s="2" t="str">
        <f t="shared" si="70"/>
        <v>TEW</v>
      </c>
      <c r="K863" s="2" t="str">
        <f t="shared" si="71"/>
        <v>@REN</v>
      </c>
      <c r="L863" s="1" t="str">
        <f t="shared" si="69"/>
        <v>862,7/9/2004,0,3,10,2,0</v>
      </c>
    </row>
    <row r="864" spans="1:12" x14ac:dyDescent="0.2">
      <c r="A864" s="1" t="str">
        <f t="shared" si="67"/>
        <v>3817714</v>
      </c>
      <c r="B864" s="1" t="str">
        <f t="shared" si="68"/>
        <v>381777</v>
      </c>
      <c r="C864" s="1">
        <v>863</v>
      </c>
      <c r="D864" s="4">
        <v>38177</v>
      </c>
      <c r="E864" s="1">
        <v>0</v>
      </c>
      <c r="F864" s="1">
        <v>7</v>
      </c>
      <c r="G864" s="1">
        <v>14</v>
      </c>
      <c r="H864" s="1">
        <v>2</v>
      </c>
      <c r="I864" s="1">
        <v>0</v>
      </c>
      <c r="J864" s="2" t="str">
        <f t="shared" si="70"/>
        <v>BAR</v>
      </c>
      <c r="K864" s="2" t="str">
        <f t="shared" si="71"/>
        <v>@CEN</v>
      </c>
      <c r="L864" s="1" t="str">
        <f t="shared" si="69"/>
        <v>863,7/9/2004,0,7,14,2,0</v>
      </c>
    </row>
    <row r="865" spans="1:12" x14ac:dyDescent="0.2">
      <c r="A865" s="1" t="str">
        <f t="shared" si="67"/>
        <v>3817717</v>
      </c>
      <c r="B865" s="1" t="str">
        <f t="shared" si="68"/>
        <v>3817713</v>
      </c>
      <c r="C865" s="1">
        <v>864</v>
      </c>
      <c r="D865" s="4">
        <v>38177</v>
      </c>
      <c r="E865" s="1">
        <v>0</v>
      </c>
      <c r="F865" s="1">
        <v>13</v>
      </c>
      <c r="G865" s="1">
        <v>17</v>
      </c>
      <c r="H865" s="1">
        <v>2</v>
      </c>
      <c r="I865" s="1">
        <v>0</v>
      </c>
      <c r="J865" s="2" t="str">
        <f t="shared" si="70"/>
        <v>BBG</v>
      </c>
      <c r="K865" s="2" t="str">
        <f t="shared" si="71"/>
        <v>@GAR</v>
      </c>
      <c r="L865" s="1" t="str">
        <f t="shared" si="69"/>
        <v>864,7/9/2004,0,13,17,2,0</v>
      </c>
    </row>
    <row r="866" spans="1:12" x14ac:dyDescent="0.2">
      <c r="A866" s="1" t="str">
        <f t="shared" si="67"/>
        <v>3817721</v>
      </c>
      <c r="B866" s="1" t="str">
        <f t="shared" si="68"/>
        <v>3817711</v>
      </c>
      <c r="C866" s="1">
        <v>865</v>
      </c>
      <c r="D866" s="4">
        <v>38177</v>
      </c>
      <c r="E866" s="1">
        <v>0</v>
      </c>
      <c r="F866" s="1">
        <v>11</v>
      </c>
      <c r="G866" s="1">
        <v>21</v>
      </c>
      <c r="H866" s="1">
        <v>2</v>
      </c>
      <c r="I866" s="1">
        <v>0</v>
      </c>
      <c r="J866" s="2" t="str">
        <f t="shared" si="70"/>
        <v>HAR</v>
      </c>
      <c r="K866" s="2" t="str">
        <f t="shared" si="71"/>
        <v>@NYD</v>
      </c>
      <c r="L866" s="1" t="str">
        <f t="shared" si="69"/>
        <v>865,7/9/2004,0,11,21,2,0</v>
      </c>
    </row>
    <row r="867" spans="1:12" x14ac:dyDescent="0.2">
      <c r="A867" s="1" t="str">
        <f t="shared" si="67"/>
        <v>3817722</v>
      </c>
      <c r="B867" s="1" t="str">
        <f t="shared" si="68"/>
        <v>381775</v>
      </c>
      <c r="C867" s="1">
        <v>866</v>
      </c>
      <c r="D867" s="4">
        <v>38177</v>
      </c>
      <c r="E867" s="1">
        <v>0</v>
      </c>
      <c r="F867" s="1">
        <v>5</v>
      </c>
      <c r="G867" s="1">
        <v>22</v>
      </c>
      <c r="H867" s="1">
        <v>2</v>
      </c>
      <c r="I867" s="1">
        <v>0</v>
      </c>
      <c r="J867" s="2" t="str">
        <f t="shared" si="70"/>
        <v>OKO</v>
      </c>
      <c r="K867" s="2" t="str">
        <f t="shared" si="71"/>
        <v>@CBB</v>
      </c>
      <c r="L867" s="1" t="str">
        <f t="shared" si="69"/>
        <v>866,7/9/2004,0,5,22,2,0</v>
      </c>
    </row>
    <row r="868" spans="1:12" x14ac:dyDescent="0.2">
      <c r="A868" s="1" t="str">
        <f t="shared" si="67"/>
        <v>3817724</v>
      </c>
      <c r="B868" s="1" t="str">
        <f t="shared" si="68"/>
        <v>3817723</v>
      </c>
      <c r="C868" s="1">
        <v>867</v>
      </c>
      <c r="D868" s="4">
        <v>38177</v>
      </c>
      <c r="E868" s="1">
        <v>0</v>
      </c>
      <c r="F868" s="1">
        <v>23</v>
      </c>
      <c r="G868" s="1">
        <v>24</v>
      </c>
      <c r="H868" s="1">
        <v>2</v>
      </c>
      <c r="I868" s="1">
        <v>0</v>
      </c>
      <c r="J868" s="2" t="str">
        <f t="shared" si="70"/>
        <v>BRK</v>
      </c>
      <c r="K868" s="2" t="str">
        <f t="shared" si="71"/>
        <v>@PHI</v>
      </c>
      <c r="L868" s="1" t="str">
        <f t="shared" si="69"/>
        <v>867,7/9/2004,0,23,24,2,0</v>
      </c>
    </row>
    <row r="869" spans="1:12" x14ac:dyDescent="0.2">
      <c r="A869" s="1" t="str">
        <f t="shared" si="67"/>
        <v>3817712</v>
      </c>
      <c r="B869" s="1" t="str">
        <f t="shared" si="68"/>
        <v>3817716</v>
      </c>
      <c r="C869" s="1">
        <v>868</v>
      </c>
      <c r="D869" s="4">
        <v>38177</v>
      </c>
      <c r="E869" s="1">
        <v>0</v>
      </c>
      <c r="F869" s="1">
        <v>16</v>
      </c>
      <c r="G869" s="1">
        <v>12</v>
      </c>
      <c r="H869" s="1">
        <v>2</v>
      </c>
      <c r="I869" s="1">
        <v>0</v>
      </c>
      <c r="J869" s="2" t="str">
        <f t="shared" si="70"/>
        <v>DIG</v>
      </c>
      <c r="K869" s="2" t="str">
        <f t="shared" si="71"/>
        <v>@RMO</v>
      </c>
      <c r="L869" s="1" t="str">
        <f t="shared" si="69"/>
        <v>868,7/9/2004,0,16,12,2,0</v>
      </c>
    </row>
    <row r="870" spans="1:12" x14ac:dyDescent="0.2">
      <c r="A870" s="1" t="str">
        <f t="shared" si="67"/>
        <v>381782</v>
      </c>
      <c r="B870" s="1" t="str">
        <f t="shared" si="68"/>
        <v>3817820</v>
      </c>
      <c r="C870" s="1">
        <v>869</v>
      </c>
      <c r="D870" s="4">
        <v>38178</v>
      </c>
      <c r="E870" s="1">
        <v>0</v>
      </c>
      <c r="F870" s="1">
        <v>20</v>
      </c>
      <c r="G870" s="1">
        <v>2</v>
      </c>
      <c r="H870" s="1">
        <v>2</v>
      </c>
      <c r="I870" s="1">
        <v>0</v>
      </c>
      <c r="J870" s="2" t="str">
        <f t="shared" si="70"/>
        <v>FDH</v>
      </c>
      <c r="K870" s="2" t="str">
        <f t="shared" si="71"/>
        <v>@NEP</v>
      </c>
      <c r="L870" s="1" t="str">
        <f t="shared" si="69"/>
        <v>869,7/10/2004,0,20,2,2,0</v>
      </c>
    </row>
    <row r="871" spans="1:12" x14ac:dyDescent="0.2">
      <c r="A871" s="1" t="str">
        <f t="shared" si="67"/>
        <v>381784</v>
      </c>
      <c r="B871" s="1" t="str">
        <f t="shared" si="68"/>
        <v>381781</v>
      </c>
      <c r="C871" s="1">
        <v>870</v>
      </c>
      <c r="D871" s="4">
        <v>38178</v>
      </c>
      <c r="E871" s="1">
        <v>0</v>
      </c>
      <c r="F871" s="1">
        <v>1</v>
      </c>
      <c r="G871" s="1">
        <v>4</v>
      </c>
      <c r="H871" s="1">
        <v>2</v>
      </c>
      <c r="I871" s="1">
        <v>0</v>
      </c>
      <c r="J871" s="2" t="str">
        <f t="shared" si="70"/>
        <v>FFR</v>
      </c>
      <c r="K871" s="2" t="str">
        <f t="shared" si="71"/>
        <v>@NNN</v>
      </c>
      <c r="L871" s="1" t="str">
        <f t="shared" si="69"/>
        <v>870,7/10/2004,0,1,4,2,0</v>
      </c>
    </row>
    <row r="872" spans="1:12" x14ac:dyDescent="0.2">
      <c r="A872" s="1" t="str">
        <f t="shared" si="67"/>
        <v>381788</v>
      </c>
      <c r="B872" s="1" t="str">
        <f t="shared" si="68"/>
        <v>381789</v>
      </c>
      <c r="C872" s="1">
        <v>871</v>
      </c>
      <c r="D872" s="4">
        <v>38178</v>
      </c>
      <c r="E872" s="1">
        <v>0</v>
      </c>
      <c r="F872" s="1">
        <v>9</v>
      </c>
      <c r="G872" s="1">
        <v>8</v>
      </c>
      <c r="H872" s="1">
        <v>2</v>
      </c>
      <c r="I872" s="1">
        <v>0</v>
      </c>
      <c r="J872" s="2" t="str">
        <f t="shared" si="70"/>
        <v>CIN</v>
      </c>
      <c r="K872" s="2" t="str">
        <f t="shared" si="71"/>
        <v>@CTW</v>
      </c>
      <c r="L872" s="1" t="str">
        <f t="shared" si="69"/>
        <v>871,7/10/2004,0,9,8,2,0</v>
      </c>
    </row>
    <row r="873" spans="1:12" x14ac:dyDescent="0.2">
      <c r="A873" s="1" t="str">
        <f t="shared" si="67"/>
        <v>3817810</v>
      </c>
      <c r="B873" s="1" t="str">
        <f t="shared" si="68"/>
        <v>381783</v>
      </c>
      <c r="C873" s="1">
        <v>872</v>
      </c>
      <c r="D873" s="4">
        <v>38178</v>
      </c>
      <c r="E873" s="1">
        <v>0</v>
      </c>
      <c r="F873" s="1">
        <v>3</v>
      </c>
      <c r="G873" s="1">
        <v>10</v>
      </c>
      <c r="H873" s="1">
        <v>2</v>
      </c>
      <c r="I873" s="1">
        <v>0</v>
      </c>
      <c r="J873" s="2" t="str">
        <f t="shared" si="70"/>
        <v>TEW</v>
      </c>
      <c r="K873" s="2" t="str">
        <f t="shared" si="71"/>
        <v>@REN</v>
      </c>
      <c r="L873" s="1" t="str">
        <f t="shared" si="69"/>
        <v>872,7/10/2004,0,3,10,2,0</v>
      </c>
    </row>
    <row r="874" spans="1:12" x14ac:dyDescent="0.2">
      <c r="A874" s="1" t="str">
        <f t="shared" si="67"/>
        <v>3817812</v>
      </c>
      <c r="B874" s="1" t="str">
        <f t="shared" si="68"/>
        <v>3817816</v>
      </c>
      <c r="C874" s="1">
        <v>873</v>
      </c>
      <c r="D874" s="4">
        <v>38178</v>
      </c>
      <c r="E874" s="1">
        <v>0</v>
      </c>
      <c r="F874" s="1">
        <v>16</v>
      </c>
      <c r="G874" s="1">
        <v>12</v>
      </c>
      <c r="H874" s="1">
        <v>2</v>
      </c>
      <c r="I874" s="1">
        <v>0</v>
      </c>
      <c r="J874" s="2" t="str">
        <f t="shared" si="70"/>
        <v>DIG</v>
      </c>
      <c r="K874" s="2" t="str">
        <f t="shared" si="71"/>
        <v>@RMO</v>
      </c>
      <c r="L874" s="1" t="str">
        <f t="shared" si="69"/>
        <v>873,7/10/2004,0,16,12,2,0</v>
      </c>
    </row>
    <row r="875" spans="1:12" x14ac:dyDescent="0.2">
      <c r="A875" s="1" t="str">
        <f t="shared" si="67"/>
        <v>3817817</v>
      </c>
      <c r="B875" s="1" t="str">
        <f t="shared" si="68"/>
        <v>3817813</v>
      </c>
      <c r="C875" s="1">
        <v>874</v>
      </c>
      <c r="D875" s="4">
        <v>38178</v>
      </c>
      <c r="E875" s="1">
        <v>0</v>
      </c>
      <c r="F875" s="1">
        <v>13</v>
      </c>
      <c r="G875" s="1">
        <v>17</v>
      </c>
      <c r="H875" s="1">
        <v>2</v>
      </c>
      <c r="I875" s="1">
        <v>0</v>
      </c>
      <c r="J875" s="2" t="str">
        <f t="shared" si="70"/>
        <v>BBG</v>
      </c>
      <c r="K875" s="2" t="str">
        <f t="shared" si="71"/>
        <v>@GAR</v>
      </c>
      <c r="L875" s="1" t="str">
        <f t="shared" si="69"/>
        <v>874,7/10/2004,0,13,17,2,0</v>
      </c>
    </row>
    <row r="876" spans="1:12" x14ac:dyDescent="0.2">
      <c r="A876" s="1" t="str">
        <f t="shared" si="67"/>
        <v>3817821</v>
      </c>
      <c r="B876" s="1" t="str">
        <f t="shared" si="68"/>
        <v>3817811</v>
      </c>
      <c r="C876" s="1">
        <v>875</v>
      </c>
      <c r="D876" s="4">
        <v>38178</v>
      </c>
      <c r="E876" s="1">
        <v>0</v>
      </c>
      <c r="F876" s="1">
        <v>11</v>
      </c>
      <c r="G876" s="1">
        <v>21</v>
      </c>
      <c r="H876" s="1">
        <v>2</v>
      </c>
      <c r="I876" s="1">
        <v>0</v>
      </c>
      <c r="J876" s="2" t="str">
        <f t="shared" si="70"/>
        <v>HAR</v>
      </c>
      <c r="K876" s="2" t="str">
        <f t="shared" si="71"/>
        <v>@NYD</v>
      </c>
      <c r="L876" s="1" t="str">
        <f t="shared" si="69"/>
        <v>875,7/10/2004,0,11,21,2,0</v>
      </c>
    </row>
    <row r="877" spans="1:12" x14ac:dyDescent="0.2">
      <c r="A877" s="1" t="str">
        <f t="shared" si="67"/>
        <v>3817822</v>
      </c>
      <c r="B877" s="1" t="str">
        <f t="shared" si="68"/>
        <v>381785</v>
      </c>
      <c r="C877" s="1">
        <v>876</v>
      </c>
      <c r="D877" s="4">
        <v>38178</v>
      </c>
      <c r="E877" s="1">
        <v>0</v>
      </c>
      <c r="F877" s="1">
        <v>5</v>
      </c>
      <c r="G877" s="1">
        <v>22</v>
      </c>
      <c r="H877" s="1">
        <v>2</v>
      </c>
      <c r="I877" s="1">
        <v>0</v>
      </c>
      <c r="J877" s="2" t="str">
        <f t="shared" si="70"/>
        <v>OKO</v>
      </c>
      <c r="K877" s="2" t="str">
        <f t="shared" si="71"/>
        <v>@CBB</v>
      </c>
      <c r="L877" s="1" t="str">
        <f t="shared" si="69"/>
        <v>876,7/10/2004,0,5,22,2,0</v>
      </c>
    </row>
    <row r="878" spans="1:12" x14ac:dyDescent="0.2">
      <c r="A878" s="1" t="str">
        <f t="shared" si="67"/>
        <v>3817824</v>
      </c>
      <c r="B878" s="1" t="str">
        <f t="shared" si="68"/>
        <v>3817823</v>
      </c>
      <c r="C878" s="1">
        <v>877</v>
      </c>
      <c r="D878" s="4">
        <v>38178</v>
      </c>
      <c r="E878" s="1">
        <v>0</v>
      </c>
      <c r="F878" s="1">
        <v>23</v>
      </c>
      <c r="G878" s="1">
        <v>24</v>
      </c>
      <c r="H878" s="1">
        <v>2</v>
      </c>
      <c r="I878" s="1">
        <v>0</v>
      </c>
      <c r="J878" s="2" t="str">
        <f t="shared" si="70"/>
        <v>BRK</v>
      </c>
      <c r="K878" s="2" t="str">
        <f t="shared" si="71"/>
        <v>@PHI</v>
      </c>
      <c r="L878" s="1" t="str">
        <f t="shared" si="69"/>
        <v>877,7/10/2004,0,23,24,2,0</v>
      </c>
    </row>
    <row r="879" spans="1:12" x14ac:dyDescent="0.2">
      <c r="A879" s="1" t="str">
        <f t="shared" si="67"/>
        <v>3817814</v>
      </c>
      <c r="B879" s="1" t="str">
        <f t="shared" si="68"/>
        <v>381787</v>
      </c>
      <c r="C879" s="1">
        <v>878</v>
      </c>
      <c r="D879" s="4">
        <v>38178</v>
      </c>
      <c r="E879" s="1">
        <v>0</v>
      </c>
      <c r="F879" s="1">
        <v>7</v>
      </c>
      <c r="G879" s="1">
        <v>14</v>
      </c>
      <c r="H879" s="1">
        <v>2</v>
      </c>
      <c r="I879" s="1">
        <v>0</v>
      </c>
      <c r="J879" s="2" t="str">
        <f t="shared" si="70"/>
        <v>BAR</v>
      </c>
      <c r="K879" s="2" t="str">
        <f t="shared" si="71"/>
        <v>@CEN</v>
      </c>
      <c r="L879" s="1" t="str">
        <f t="shared" si="69"/>
        <v>878,7/10/2004,0,7,14,2,0</v>
      </c>
    </row>
    <row r="880" spans="1:12" x14ac:dyDescent="0.2">
      <c r="A880" s="1" t="str">
        <f t="shared" si="67"/>
        <v>381792</v>
      </c>
      <c r="B880" s="1" t="str">
        <f t="shared" si="68"/>
        <v>3817920</v>
      </c>
      <c r="C880" s="1">
        <v>879</v>
      </c>
      <c r="D880" s="4">
        <v>38179</v>
      </c>
      <c r="E880" s="1">
        <v>0</v>
      </c>
      <c r="F880" s="1">
        <v>20</v>
      </c>
      <c r="G880" s="1">
        <v>2</v>
      </c>
      <c r="H880" s="1">
        <v>2</v>
      </c>
      <c r="I880" s="1">
        <v>0</v>
      </c>
      <c r="J880" s="2" t="str">
        <f t="shared" si="70"/>
        <v>FDH</v>
      </c>
      <c r="K880" s="2" t="str">
        <f t="shared" si="71"/>
        <v>@NEP</v>
      </c>
      <c r="L880" s="1" t="str">
        <f t="shared" si="69"/>
        <v>879,7/11/2004,0,20,2,2,0</v>
      </c>
    </row>
    <row r="881" spans="1:12" x14ac:dyDescent="0.2">
      <c r="A881" s="1" t="str">
        <f t="shared" si="67"/>
        <v>381794</v>
      </c>
      <c r="B881" s="1" t="str">
        <f t="shared" si="68"/>
        <v>381791</v>
      </c>
      <c r="C881" s="1">
        <v>880</v>
      </c>
      <c r="D881" s="4">
        <v>38179</v>
      </c>
      <c r="E881" s="1">
        <v>0</v>
      </c>
      <c r="F881" s="1">
        <v>1</v>
      </c>
      <c r="G881" s="1">
        <v>4</v>
      </c>
      <c r="H881" s="1">
        <v>2</v>
      </c>
      <c r="I881" s="1">
        <v>0</v>
      </c>
      <c r="J881" s="2" t="str">
        <f t="shared" si="70"/>
        <v>FFR</v>
      </c>
      <c r="K881" s="2" t="str">
        <f t="shared" si="71"/>
        <v>@NNN</v>
      </c>
      <c r="L881" s="1" t="str">
        <f t="shared" si="69"/>
        <v>880,7/11/2004,0,1,4,2,0</v>
      </c>
    </row>
    <row r="882" spans="1:12" x14ac:dyDescent="0.2">
      <c r="A882" s="1" t="str">
        <f t="shared" ref="A882:A933" si="72">D882&amp;G882</f>
        <v>381795</v>
      </c>
      <c r="B882" s="1" t="str">
        <f t="shared" ref="B882:B933" si="73">D882&amp;F882</f>
        <v>3817922</v>
      </c>
      <c r="C882" s="1">
        <v>881</v>
      </c>
      <c r="D882" s="4">
        <v>38179</v>
      </c>
      <c r="E882" s="1">
        <v>0</v>
      </c>
      <c r="F882" s="1">
        <v>22</v>
      </c>
      <c r="G882" s="1">
        <v>5</v>
      </c>
      <c r="H882" s="1">
        <v>2</v>
      </c>
      <c r="I882" s="1">
        <v>0</v>
      </c>
      <c r="J882" s="2" t="str">
        <f t="shared" si="70"/>
        <v>CBB</v>
      </c>
      <c r="K882" s="2" t="str">
        <f t="shared" si="71"/>
        <v>@OKO</v>
      </c>
      <c r="L882" s="1" t="str">
        <f t="shared" ref="L882:L933" si="74">C882&amp;","&amp;MONTH(D882)&amp;"/"&amp;DAY(D882)&amp;"/"&amp;YEAR(D882)&amp;","&amp;E882&amp;","&amp;F882&amp;","&amp;G882&amp;","&amp;H882&amp;","&amp;I882</f>
        <v>881,7/11/2004,0,22,5,2,0</v>
      </c>
    </row>
    <row r="883" spans="1:12" x14ac:dyDescent="0.2">
      <c r="A883" s="1" t="str">
        <f t="shared" si="72"/>
        <v>381797</v>
      </c>
      <c r="B883" s="1" t="str">
        <f t="shared" si="73"/>
        <v>3817914</v>
      </c>
      <c r="C883" s="1">
        <v>882</v>
      </c>
      <c r="D883" s="4">
        <v>38179</v>
      </c>
      <c r="E883" s="1">
        <v>0</v>
      </c>
      <c r="F883" s="1">
        <v>14</v>
      </c>
      <c r="G883" s="1">
        <v>7</v>
      </c>
      <c r="H883" s="1">
        <v>2</v>
      </c>
      <c r="I883" s="1">
        <v>0</v>
      </c>
      <c r="J883" s="2" t="str">
        <f t="shared" si="70"/>
        <v>CEN</v>
      </c>
      <c r="K883" s="2" t="str">
        <f t="shared" si="71"/>
        <v>@BAR</v>
      </c>
      <c r="L883" s="1" t="str">
        <f t="shared" si="74"/>
        <v>882,7/11/2004,0,14,7,2,0</v>
      </c>
    </row>
    <row r="884" spans="1:12" x14ac:dyDescent="0.2">
      <c r="A884" s="1" t="str">
        <f t="shared" si="72"/>
        <v>381798</v>
      </c>
      <c r="B884" s="1" t="str">
        <f t="shared" si="73"/>
        <v>381799</v>
      </c>
      <c r="C884" s="1">
        <v>883</v>
      </c>
      <c r="D884" s="4">
        <v>38179</v>
      </c>
      <c r="E884" s="1">
        <v>0</v>
      </c>
      <c r="F884" s="1">
        <v>9</v>
      </c>
      <c r="G884" s="1">
        <v>8</v>
      </c>
      <c r="H884" s="1">
        <v>2</v>
      </c>
      <c r="I884" s="1">
        <v>0</v>
      </c>
      <c r="J884" s="2" t="str">
        <f t="shared" si="70"/>
        <v>CIN</v>
      </c>
      <c r="K884" s="2" t="str">
        <f t="shared" si="71"/>
        <v>@CTW</v>
      </c>
      <c r="L884" s="1" t="str">
        <f t="shared" si="74"/>
        <v>883,7/11/2004,0,9,8,2,0</v>
      </c>
    </row>
    <row r="885" spans="1:12" x14ac:dyDescent="0.2">
      <c r="A885" s="1" t="str">
        <f t="shared" si="72"/>
        <v>3817910</v>
      </c>
      <c r="B885" s="1" t="str">
        <f t="shared" si="73"/>
        <v>381793</v>
      </c>
      <c r="C885" s="1">
        <v>884</v>
      </c>
      <c r="D885" s="4">
        <v>38179</v>
      </c>
      <c r="E885" s="1">
        <v>0</v>
      </c>
      <c r="F885" s="1">
        <v>3</v>
      </c>
      <c r="G885" s="1">
        <v>10</v>
      </c>
      <c r="H885" s="1">
        <v>2</v>
      </c>
      <c r="I885" s="1">
        <v>0</v>
      </c>
      <c r="J885" s="2" t="str">
        <f t="shared" si="70"/>
        <v>TEW</v>
      </c>
      <c r="K885" s="2" t="str">
        <f t="shared" si="71"/>
        <v>@REN</v>
      </c>
      <c r="L885" s="1" t="str">
        <f t="shared" si="74"/>
        <v>884,7/11/2004,0,3,10,2,0</v>
      </c>
    </row>
    <row r="886" spans="1:12" x14ac:dyDescent="0.2">
      <c r="A886" s="1" t="str">
        <f t="shared" si="72"/>
        <v>3817912</v>
      </c>
      <c r="B886" s="1" t="str">
        <f t="shared" si="73"/>
        <v>3817916</v>
      </c>
      <c r="C886" s="1">
        <v>885</v>
      </c>
      <c r="D886" s="4">
        <v>38179</v>
      </c>
      <c r="E886" s="1">
        <v>0</v>
      </c>
      <c r="F886" s="1">
        <v>16</v>
      </c>
      <c r="G886" s="1">
        <v>12</v>
      </c>
      <c r="H886" s="1">
        <v>2</v>
      </c>
      <c r="I886" s="1">
        <v>0</v>
      </c>
      <c r="J886" s="2" t="str">
        <f t="shared" si="70"/>
        <v>DIG</v>
      </c>
      <c r="K886" s="2" t="str">
        <f t="shared" si="71"/>
        <v>@RMO</v>
      </c>
      <c r="L886" s="1" t="str">
        <f t="shared" si="74"/>
        <v>885,7/11/2004,0,16,12,2,0</v>
      </c>
    </row>
    <row r="887" spans="1:12" x14ac:dyDescent="0.2">
      <c r="A887" s="1" t="str">
        <f t="shared" si="72"/>
        <v>3817917</v>
      </c>
      <c r="B887" s="1" t="str">
        <f t="shared" si="73"/>
        <v>3817913</v>
      </c>
      <c r="C887" s="1">
        <v>886</v>
      </c>
      <c r="D887" s="4">
        <v>38179</v>
      </c>
      <c r="E887" s="1">
        <v>0</v>
      </c>
      <c r="F887" s="1">
        <v>13</v>
      </c>
      <c r="G887" s="1">
        <v>17</v>
      </c>
      <c r="H887" s="1">
        <v>2</v>
      </c>
      <c r="I887" s="1">
        <v>0</v>
      </c>
      <c r="J887" s="2" t="str">
        <f t="shared" si="70"/>
        <v>BBG</v>
      </c>
      <c r="K887" s="2" t="str">
        <f t="shared" si="71"/>
        <v>@GAR</v>
      </c>
      <c r="L887" s="1" t="str">
        <f t="shared" si="74"/>
        <v>886,7/11/2004,0,13,17,2,0</v>
      </c>
    </row>
    <row r="888" spans="1:12" x14ac:dyDescent="0.2">
      <c r="A888" s="1" t="str">
        <f t="shared" si="72"/>
        <v>3817921</v>
      </c>
      <c r="B888" s="1" t="str">
        <f t="shared" si="73"/>
        <v>3817911</v>
      </c>
      <c r="C888" s="1">
        <v>887</v>
      </c>
      <c r="D888" s="4">
        <v>38179</v>
      </c>
      <c r="E888" s="1">
        <v>0</v>
      </c>
      <c r="F888" s="1">
        <v>11</v>
      </c>
      <c r="G888" s="1">
        <v>21</v>
      </c>
      <c r="H888" s="1">
        <v>2</v>
      </c>
      <c r="I888" s="1">
        <v>0</v>
      </c>
      <c r="J888" s="2" t="str">
        <f t="shared" si="70"/>
        <v>HAR</v>
      </c>
      <c r="K888" s="2" t="str">
        <f t="shared" si="71"/>
        <v>@NYD</v>
      </c>
      <c r="L888" s="1" t="str">
        <f t="shared" si="74"/>
        <v>887,7/11/2004,0,11,21,2,0</v>
      </c>
    </row>
    <row r="889" spans="1:12" x14ac:dyDescent="0.2">
      <c r="A889" s="1" t="str">
        <f t="shared" si="72"/>
        <v>3817924</v>
      </c>
      <c r="B889" s="1" t="str">
        <f t="shared" si="73"/>
        <v>3817923</v>
      </c>
      <c r="C889" s="1">
        <v>888</v>
      </c>
      <c r="D889" s="4">
        <v>38179</v>
      </c>
      <c r="E889" s="1">
        <v>0</v>
      </c>
      <c r="F889" s="1">
        <v>23</v>
      </c>
      <c r="G889" s="1">
        <v>24</v>
      </c>
      <c r="H889" s="1">
        <v>2</v>
      </c>
      <c r="I889" s="1">
        <v>0</v>
      </c>
      <c r="J889" s="2" t="str">
        <f t="shared" si="70"/>
        <v>BRK</v>
      </c>
      <c r="K889" s="2" t="str">
        <f t="shared" si="71"/>
        <v>@PHI</v>
      </c>
      <c r="L889" s="1" t="str">
        <f t="shared" si="74"/>
        <v>888,7/11/2004,0,23,24,2,0</v>
      </c>
    </row>
    <row r="890" spans="1:12" x14ac:dyDescent="0.2">
      <c r="A890" s="1" t="str">
        <f t="shared" si="72"/>
        <v>381804</v>
      </c>
      <c r="B890" s="1" t="str">
        <f t="shared" si="73"/>
        <v>381801</v>
      </c>
      <c r="C890" s="1">
        <v>889</v>
      </c>
      <c r="D890" s="4">
        <v>38180</v>
      </c>
      <c r="E890" s="1">
        <v>0</v>
      </c>
      <c r="F890" s="1">
        <v>1</v>
      </c>
      <c r="G890" s="1">
        <v>4</v>
      </c>
      <c r="H890" s="1">
        <v>2</v>
      </c>
      <c r="I890" s="1">
        <v>0</v>
      </c>
      <c r="J890" s="2" t="str">
        <f t="shared" si="70"/>
        <v>FFR</v>
      </c>
      <c r="K890" s="2" t="str">
        <f t="shared" si="71"/>
        <v>@NNN</v>
      </c>
      <c r="L890" s="1" t="str">
        <f t="shared" si="74"/>
        <v>889,7/12/2004,0,1,4,2,0</v>
      </c>
    </row>
    <row r="891" spans="1:12" x14ac:dyDescent="0.2">
      <c r="A891" s="1" t="str">
        <f t="shared" si="72"/>
        <v>381805</v>
      </c>
      <c r="B891" s="1" t="str">
        <f t="shared" si="73"/>
        <v>3818022</v>
      </c>
      <c r="C891" s="1">
        <v>890</v>
      </c>
      <c r="D891" s="4">
        <v>38180</v>
      </c>
      <c r="E891" s="1">
        <v>0</v>
      </c>
      <c r="F891" s="1">
        <v>22</v>
      </c>
      <c r="G891" s="1">
        <v>5</v>
      </c>
      <c r="H891" s="1">
        <v>2</v>
      </c>
      <c r="I891" s="1">
        <v>0</v>
      </c>
      <c r="J891" s="2" t="str">
        <f t="shared" si="70"/>
        <v>CBB</v>
      </c>
      <c r="K891" s="2" t="str">
        <f t="shared" si="71"/>
        <v>@OKO</v>
      </c>
      <c r="L891" s="1" t="str">
        <f t="shared" si="74"/>
        <v>890,7/12/2004,0,22,5,2,0</v>
      </c>
    </row>
    <row r="892" spans="1:12" x14ac:dyDescent="0.2">
      <c r="A892" s="1" t="str">
        <f t="shared" si="72"/>
        <v>381807</v>
      </c>
      <c r="B892" s="1" t="str">
        <f t="shared" si="73"/>
        <v>3818014</v>
      </c>
      <c r="C892" s="1">
        <v>891</v>
      </c>
      <c r="D892" s="4">
        <v>38180</v>
      </c>
      <c r="E892" s="1">
        <v>0</v>
      </c>
      <c r="F892" s="1">
        <v>14</v>
      </c>
      <c r="G892" s="1">
        <v>7</v>
      </c>
      <c r="H892" s="1">
        <v>2</v>
      </c>
      <c r="I892" s="1">
        <v>0</v>
      </c>
      <c r="J892" s="2" t="str">
        <f t="shared" si="70"/>
        <v>CEN</v>
      </c>
      <c r="K892" s="2" t="str">
        <f t="shared" si="71"/>
        <v>@BAR</v>
      </c>
      <c r="L892" s="1" t="str">
        <f t="shared" si="74"/>
        <v>891,7/12/2004,0,14,7,2,0</v>
      </c>
    </row>
    <row r="893" spans="1:12" x14ac:dyDescent="0.2">
      <c r="A893" s="1" t="str">
        <f t="shared" si="72"/>
        <v>381808</v>
      </c>
      <c r="B893" s="1" t="str">
        <f t="shared" si="73"/>
        <v>381809</v>
      </c>
      <c r="C893" s="1">
        <v>892</v>
      </c>
      <c r="D893" s="4">
        <v>38180</v>
      </c>
      <c r="E893" s="1">
        <v>0</v>
      </c>
      <c r="F893" s="1">
        <v>9</v>
      </c>
      <c r="G893" s="1">
        <v>8</v>
      </c>
      <c r="H893" s="1">
        <v>2</v>
      </c>
      <c r="I893" s="1">
        <v>0</v>
      </c>
      <c r="J893" s="2" t="str">
        <f t="shared" si="70"/>
        <v>CIN</v>
      </c>
      <c r="K893" s="2" t="str">
        <f t="shared" si="71"/>
        <v>@CTW</v>
      </c>
      <c r="L893" s="1" t="str">
        <f t="shared" si="74"/>
        <v>892,7/12/2004,0,9,8,2,0</v>
      </c>
    </row>
    <row r="894" spans="1:12" x14ac:dyDescent="0.2">
      <c r="A894" s="1" t="str">
        <f t="shared" si="72"/>
        <v>3818010</v>
      </c>
      <c r="B894" s="1" t="str">
        <f t="shared" si="73"/>
        <v>381803</v>
      </c>
      <c r="C894" s="1">
        <v>893</v>
      </c>
      <c r="D894" s="4">
        <v>38180</v>
      </c>
      <c r="E894" s="1">
        <v>0</v>
      </c>
      <c r="F894" s="1">
        <v>3</v>
      </c>
      <c r="G894" s="1">
        <v>10</v>
      </c>
      <c r="H894" s="1">
        <v>2</v>
      </c>
      <c r="I894" s="1">
        <v>0</v>
      </c>
      <c r="J894" s="2" t="str">
        <f t="shared" si="70"/>
        <v>TEW</v>
      </c>
      <c r="K894" s="2" t="str">
        <f t="shared" si="71"/>
        <v>@REN</v>
      </c>
      <c r="L894" s="1" t="str">
        <f t="shared" si="74"/>
        <v>893,7/12/2004,0,3,10,2,0</v>
      </c>
    </row>
    <row r="895" spans="1:12" x14ac:dyDescent="0.2">
      <c r="A895" s="1" t="str">
        <f t="shared" si="72"/>
        <v>3818012</v>
      </c>
      <c r="B895" s="1" t="str">
        <f t="shared" si="73"/>
        <v>3818016</v>
      </c>
      <c r="C895" s="1">
        <v>894</v>
      </c>
      <c r="D895" s="4">
        <v>38180</v>
      </c>
      <c r="E895" s="1">
        <v>0</v>
      </c>
      <c r="F895" s="1">
        <v>16</v>
      </c>
      <c r="G895" s="1">
        <v>12</v>
      </c>
      <c r="H895" s="1">
        <v>2</v>
      </c>
      <c r="I895" s="1">
        <v>0</v>
      </c>
      <c r="J895" s="2" t="str">
        <f t="shared" si="70"/>
        <v>DIG</v>
      </c>
      <c r="K895" s="2" t="str">
        <f t="shared" si="71"/>
        <v>@RMO</v>
      </c>
      <c r="L895" s="1" t="str">
        <f t="shared" si="74"/>
        <v>894,7/12/2004,0,16,12,2,0</v>
      </c>
    </row>
    <row r="896" spans="1:12" x14ac:dyDescent="0.2">
      <c r="A896" s="1" t="str">
        <f t="shared" si="72"/>
        <v>3818017</v>
      </c>
      <c r="B896" s="1" t="str">
        <f t="shared" si="73"/>
        <v>3818013</v>
      </c>
      <c r="C896" s="1">
        <v>895</v>
      </c>
      <c r="D896" s="4">
        <v>38180</v>
      </c>
      <c r="E896" s="1">
        <v>0</v>
      </c>
      <c r="F896" s="1">
        <v>13</v>
      </c>
      <c r="G896" s="1">
        <v>17</v>
      </c>
      <c r="H896" s="1">
        <v>2</v>
      </c>
      <c r="I896" s="1">
        <v>0</v>
      </c>
      <c r="J896" s="2" t="str">
        <f t="shared" si="70"/>
        <v>BBG</v>
      </c>
      <c r="K896" s="2" t="str">
        <f t="shared" si="71"/>
        <v>@GAR</v>
      </c>
      <c r="L896" s="1" t="str">
        <f t="shared" si="74"/>
        <v>895,7/12/2004,0,13,17,2,0</v>
      </c>
    </row>
    <row r="897" spans="1:12" x14ac:dyDescent="0.2">
      <c r="A897" s="1" t="str">
        <f t="shared" si="72"/>
        <v>3818021</v>
      </c>
      <c r="B897" s="1" t="str">
        <f t="shared" si="73"/>
        <v>3818011</v>
      </c>
      <c r="C897" s="1">
        <v>896</v>
      </c>
      <c r="D897" s="4">
        <v>38180</v>
      </c>
      <c r="E897" s="1">
        <v>0</v>
      </c>
      <c r="F897" s="1">
        <v>11</v>
      </c>
      <c r="G897" s="1">
        <v>21</v>
      </c>
      <c r="H897" s="1">
        <v>2</v>
      </c>
      <c r="I897" s="1">
        <v>0</v>
      </c>
      <c r="J897" s="2" t="str">
        <f t="shared" si="70"/>
        <v>HAR</v>
      </c>
      <c r="K897" s="2" t="str">
        <f t="shared" si="71"/>
        <v>@NYD</v>
      </c>
      <c r="L897" s="1" t="str">
        <f t="shared" si="74"/>
        <v>896,7/12/2004,0,11,21,2,0</v>
      </c>
    </row>
    <row r="898" spans="1:12" x14ac:dyDescent="0.2">
      <c r="A898" s="1" t="str">
        <f t="shared" si="72"/>
        <v>3818024</v>
      </c>
      <c r="B898" s="1" t="str">
        <f t="shared" si="73"/>
        <v>3818023</v>
      </c>
      <c r="C898" s="1">
        <v>897</v>
      </c>
      <c r="D898" s="4">
        <v>38180</v>
      </c>
      <c r="E898" s="1">
        <v>0</v>
      </c>
      <c r="F898" s="1">
        <v>23</v>
      </c>
      <c r="G898" s="1">
        <v>24</v>
      </c>
      <c r="H898" s="1">
        <v>2</v>
      </c>
      <c r="I898" s="1">
        <v>0</v>
      </c>
      <c r="J898" s="2" t="str">
        <f t="shared" ref="J898:J961" si="75">VLOOKUP(F898,$M$2:$N$21,2,0)</f>
        <v>BRK</v>
      </c>
      <c r="K898" s="2" t="str">
        <f t="shared" ref="K898:K961" si="76">"@"&amp;VLOOKUP(G898,$M$2:$N$21,2,0)</f>
        <v>@PHI</v>
      </c>
      <c r="L898" s="1" t="str">
        <f t="shared" si="74"/>
        <v>897,7/12/2004,0,23,24,2,0</v>
      </c>
    </row>
    <row r="899" spans="1:12" x14ac:dyDescent="0.2">
      <c r="A899" s="1" t="str">
        <f t="shared" si="72"/>
        <v>381802</v>
      </c>
      <c r="B899" s="1" t="str">
        <f t="shared" si="73"/>
        <v>3818020</v>
      </c>
      <c r="C899" s="1">
        <v>898</v>
      </c>
      <c r="D899" s="4">
        <v>38180</v>
      </c>
      <c r="E899" s="1">
        <v>0</v>
      </c>
      <c r="F899" s="1">
        <v>20</v>
      </c>
      <c r="G899" s="1">
        <v>2</v>
      </c>
      <c r="H899" s="1">
        <v>2</v>
      </c>
      <c r="I899" s="1">
        <v>0</v>
      </c>
      <c r="J899" s="2" t="str">
        <f t="shared" si="75"/>
        <v>FDH</v>
      </c>
      <c r="K899" s="2" t="str">
        <f t="shared" si="76"/>
        <v>@NEP</v>
      </c>
      <c r="L899" s="1" t="str">
        <f t="shared" si="74"/>
        <v>898,7/12/2004,0,20,2,2,0</v>
      </c>
    </row>
    <row r="900" spans="1:12" x14ac:dyDescent="0.2">
      <c r="A900" s="1" t="str">
        <f t="shared" si="72"/>
        <v>381821</v>
      </c>
      <c r="B900" s="1" t="str">
        <f t="shared" si="73"/>
        <v>381823</v>
      </c>
      <c r="C900" s="1">
        <v>899</v>
      </c>
      <c r="D900" s="4">
        <v>38182</v>
      </c>
      <c r="E900" s="1">
        <v>0</v>
      </c>
      <c r="F900" s="1">
        <v>3</v>
      </c>
      <c r="G900" s="1">
        <v>1</v>
      </c>
      <c r="H900" s="1">
        <v>2</v>
      </c>
      <c r="I900" s="1">
        <v>0</v>
      </c>
      <c r="J900" s="2" t="str">
        <f t="shared" si="75"/>
        <v>TEW</v>
      </c>
      <c r="K900" s="2" t="str">
        <f t="shared" si="76"/>
        <v>@FFR</v>
      </c>
      <c r="L900" s="1" t="str">
        <f t="shared" si="74"/>
        <v>899,7/14/2004,0,3,1,2,0</v>
      </c>
    </row>
    <row r="901" spans="1:12" x14ac:dyDescent="0.2">
      <c r="A901" s="1" t="str">
        <f t="shared" si="72"/>
        <v>381824</v>
      </c>
      <c r="B901" s="1" t="str">
        <f t="shared" si="73"/>
        <v>3818210</v>
      </c>
      <c r="C901" s="1">
        <v>900</v>
      </c>
      <c r="D901" s="4">
        <v>38182</v>
      </c>
      <c r="E901" s="1">
        <v>0</v>
      </c>
      <c r="F901" s="1">
        <v>10</v>
      </c>
      <c r="G901" s="1">
        <v>4</v>
      </c>
      <c r="H901" s="1">
        <v>2</v>
      </c>
      <c r="I901" s="1">
        <v>0</v>
      </c>
      <c r="J901" s="2" t="str">
        <f t="shared" si="75"/>
        <v>REN</v>
      </c>
      <c r="K901" s="2" t="str">
        <f t="shared" si="76"/>
        <v>@NNN</v>
      </c>
      <c r="L901" s="1" t="str">
        <f t="shared" si="74"/>
        <v>900,7/14/2004,0,10,4,2,0</v>
      </c>
    </row>
    <row r="902" spans="1:12" x14ac:dyDescent="0.2">
      <c r="A902" s="1" t="str">
        <f t="shared" si="72"/>
        <v>381825</v>
      </c>
      <c r="B902" s="1" t="str">
        <f t="shared" si="73"/>
        <v>3818214</v>
      </c>
      <c r="C902" s="1">
        <v>901</v>
      </c>
      <c r="D902" s="4">
        <v>38182</v>
      </c>
      <c r="E902" s="1">
        <v>0</v>
      </c>
      <c r="F902" s="1">
        <v>14</v>
      </c>
      <c r="G902" s="1">
        <v>5</v>
      </c>
      <c r="H902" s="1">
        <v>2</v>
      </c>
      <c r="I902" s="1">
        <v>0</v>
      </c>
      <c r="J902" s="2" t="str">
        <f t="shared" si="75"/>
        <v>CEN</v>
      </c>
      <c r="K902" s="2" t="str">
        <f t="shared" si="76"/>
        <v>@OKO</v>
      </c>
      <c r="L902" s="1" t="str">
        <f t="shared" si="74"/>
        <v>901,7/14/2004,0,14,5,2,0</v>
      </c>
    </row>
    <row r="903" spans="1:12" x14ac:dyDescent="0.2">
      <c r="A903" s="1" t="str">
        <f t="shared" si="72"/>
        <v>3818211</v>
      </c>
      <c r="B903" s="1" t="str">
        <f t="shared" si="73"/>
        <v>3818213</v>
      </c>
      <c r="C903" s="1">
        <v>902</v>
      </c>
      <c r="D903" s="4">
        <v>38182</v>
      </c>
      <c r="E903" s="1">
        <v>0</v>
      </c>
      <c r="F903" s="1">
        <v>13</v>
      </c>
      <c r="G903" s="1">
        <v>11</v>
      </c>
      <c r="H903" s="1">
        <v>2</v>
      </c>
      <c r="I903" s="1">
        <v>0</v>
      </c>
      <c r="J903" s="2" t="str">
        <f t="shared" si="75"/>
        <v>BBG</v>
      </c>
      <c r="K903" s="2" t="str">
        <f t="shared" si="76"/>
        <v>@HAR</v>
      </c>
      <c r="L903" s="1" t="str">
        <f t="shared" si="74"/>
        <v>902,7/14/2004,0,13,11,2,0</v>
      </c>
    </row>
    <row r="904" spans="1:12" x14ac:dyDescent="0.2">
      <c r="A904" s="1" t="str">
        <f t="shared" si="72"/>
        <v>3818212</v>
      </c>
      <c r="B904" s="1" t="str">
        <f t="shared" si="73"/>
        <v>381822</v>
      </c>
      <c r="C904" s="1">
        <v>903</v>
      </c>
      <c r="D904" s="4">
        <v>38182</v>
      </c>
      <c r="E904" s="1">
        <v>0</v>
      </c>
      <c r="F904" s="1">
        <v>2</v>
      </c>
      <c r="G904" s="1">
        <v>12</v>
      </c>
      <c r="H904" s="1">
        <v>2</v>
      </c>
      <c r="I904" s="1">
        <v>0</v>
      </c>
      <c r="J904" s="2" t="str">
        <f t="shared" si="75"/>
        <v>NEP</v>
      </c>
      <c r="K904" s="2" t="str">
        <f t="shared" si="76"/>
        <v>@RMO</v>
      </c>
      <c r="L904" s="1" t="str">
        <f t="shared" si="74"/>
        <v>903,7/14/2004,0,2,12,2,0</v>
      </c>
    </row>
    <row r="905" spans="1:12" x14ac:dyDescent="0.2">
      <c r="A905" s="1" t="str">
        <f t="shared" si="72"/>
        <v>3818216</v>
      </c>
      <c r="B905" s="1" t="str">
        <f t="shared" si="73"/>
        <v>3818220</v>
      </c>
      <c r="C905" s="1">
        <v>904</v>
      </c>
      <c r="D905" s="4">
        <v>38182</v>
      </c>
      <c r="E905" s="1">
        <v>0</v>
      </c>
      <c r="F905" s="1">
        <v>20</v>
      </c>
      <c r="G905" s="1">
        <v>16</v>
      </c>
      <c r="H905" s="1">
        <v>2</v>
      </c>
      <c r="I905" s="1">
        <v>0</v>
      </c>
      <c r="J905" s="2" t="str">
        <f t="shared" si="75"/>
        <v>FDH</v>
      </c>
      <c r="K905" s="2" t="str">
        <f t="shared" si="76"/>
        <v>@DIG</v>
      </c>
      <c r="L905" s="1" t="str">
        <f t="shared" si="74"/>
        <v>904,7/14/2004,0,20,16,2,0</v>
      </c>
    </row>
    <row r="906" spans="1:12" x14ac:dyDescent="0.2">
      <c r="A906" s="1" t="str">
        <f t="shared" si="72"/>
        <v>3818221</v>
      </c>
      <c r="B906" s="1" t="str">
        <f t="shared" si="73"/>
        <v>3818217</v>
      </c>
      <c r="C906" s="1">
        <v>905</v>
      </c>
      <c r="D906" s="4">
        <v>38182</v>
      </c>
      <c r="E906" s="1">
        <v>0</v>
      </c>
      <c r="F906" s="1">
        <v>17</v>
      </c>
      <c r="G906" s="1">
        <v>21</v>
      </c>
      <c r="H906" s="1">
        <v>2</v>
      </c>
      <c r="I906" s="1">
        <v>0</v>
      </c>
      <c r="J906" s="2" t="str">
        <f t="shared" si="75"/>
        <v>GAR</v>
      </c>
      <c r="K906" s="2" t="str">
        <f t="shared" si="76"/>
        <v>@NYD</v>
      </c>
      <c r="L906" s="1" t="str">
        <f t="shared" si="74"/>
        <v>905,7/14/2004,0,17,21,2,0</v>
      </c>
    </row>
    <row r="907" spans="1:12" x14ac:dyDescent="0.2">
      <c r="A907" s="1" t="str">
        <f t="shared" si="72"/>
        <v>3818222</v>
      </c>
      <c r="B907" s="1" t="str">
        <f t="shared" si="73"/>
        <v>381827</v>
      </c>
      <c r="C907" s="1">
        <v>906</v>
      </c>
      <c r="D907" s="4">
        <v>38182</v>
      </c>
      <c r="E907" s="1">
        <v>0</v>
      </c>
      <c r="F907" s="1">
        <v>7</v>
      </c>
      <c r="G907" s="1">
        <v>22</v>
      </c>
      <c r="H907" s="1">
        <v>2</v>
      </c>
      <c r="I907" s="1">
        <v>0</v>
      </c>
      <c r="J907" s="2" t="str">
        <f t="shared" si="75"/>
        <v>BAR</v>
      </c>
      <c r="K907" s="2" t="str">
        <f t="shared" si="76"/>
        <v>@CBB</v>
      </c>
      <c r="L907" s="1" t="str">
        <f t="shared" si="74"/>
        <v>906,7/14/2004,0,7,22,2,0</v>
      </c>
    </row>
    <row r="908" spans="1:12" x14ac:dyDescent="0.2">
      <c r="A908" s="1" t="str">
        <f t="shared" si="72"/>
        <v>3818223</v>
      </c>
      <c r="B908" s="1" t="str">
        <f t="shared" si="73"/>
        <v>381829</v>
      </c>
      <c r="C908" s="1">
        <v>907</v>
      </c>
      <c r="D908" s="4">
        <v>38182</v>
      </c>
      <c r="E908" s="1">
        <v>0</v>
      </c>
      <c r="F908" s="1">
        <v>9</v>
      </c>
      <c r="G908" s="1">
        <v>23</v>
      </c>
      <c r="H908" s="1">
        <v>2</v>
      </c>
      <c r="I908" s="1">
        <v>0</v>
      </c>
      <c r="J908" s="2" t="str">
        <f t="shared" si="75"/>
        <v>CIN</v>
      </c>
      <c r="K908" s="2" t="str">
        <f t="shared" si="76"/>
        <v>@BRK</v>
      </c>
      <c r="L908" s="1" t="str">
        <f t="shared" si="74"/>
        <v>907,7/14/2004,0,9,23,2,0</v>
      </c>
    </row>
    <row r="909" spans="1:12" x14ac:dyDescent="0.2">
      <c r="A909" s="1" t="str">
        <f t="shared" si="72"/>
        <v>3818224</v>
      </c>
      <c r="B909" s="1" t="str">
        <f t="shared" si="73"/>
        <v>381828</v>
      </c>
      <c r="C909" s="1">
        <v>908</v>
      </c>
      <c r="D909" s="4">
        <v>38182</v>
      </c>
      <c r="E909" s="1">
        <v>0</v>
      </c>
      <c r="F909" s="1">
        <v>8</v>
      </c>
      <c r="G909" s="1">
        <v>24</v>
      </c>
      <c r="H909" s="1">
        <v>2</v>
      </c>
      <c r="I909" s="1">
        <v>0</v>
      </c>
      <c r="J909" s="2" t="str">
        <f t="shared" si="75"/>
        <v>CTW</v>
      </c>
      <c r="K909" s="2" t="str">
        <f t="shared" si="76"/>
        <v>@PHI</v>
      </c>
      <c r="L909" s="1" t="str">
        <f t="shared" si="74"/>
        <v>908,7/14/2004,0,8,24,2,0</v>
      </c>
    </row>
    <row r="910" spans="1:12" x14ac:dyDescent="0.2">
      <c r="A910" s="1" t="str">
        <f t="shared" si="72"/>
        <v>381831</v>
      </c>
      <c r="B910" s="1" t="str">
        <f t="shared" si="73"/>
        <v>381833</v>
      </c>
      <c r="C910" s="1">
        <v>909</v>
      </c>
      <c r="D910" s="4">
        <v>38183</v>
      </c>
      <c r="E910" s="1">
        <v>0</v>
      </c>
      <c r="F910" s="1">
        <v>3</v>
      </c>
      <c r="G910" s="1">
        <v>1</v>
      </c>
      <c r="H910" s="1">
        <v>2</v>
      </c>
      <c r="I910" s="1">
        <v>0</v>
      </c>
      <c r="J910" s="2" t="str">
        <f t="shared" si="75"/>
        <v>TEW</v>
      </c>
      <c r="K910" s="2" t="str">
        <f t="shared" si="76"/>
        <v>@FFR</v>
      </c>
      <c r="L910" s="1" t="str">
        <f t="shared" si="74"/>
        <v>909,7/15/2004,0,3,1,2,0</v>
      </c>
    </row>
    <row r="911" spans="1:12" x14ac:dyDescent="0.2">
      <c r="A911" s="1" t="str">
        <f t="shared" si="72"/>
        <v>381834</v>
      </c>
      <c r="B911" s="1" t="str">
        <f t="shared" si="73"/>
        <v>3818310</v>
      </c>
      <c r="C911" s="1">
        <v>910</v>
      </c>
      <c r="D911" s="4">
        <v>38183</v>
      </c>
      <c r="E911" s="1">
        <v>0</v>
      </c>
      <c r="F911" s="1">
        <v>10</v>
      </c>
      <c r="G911" s="1">
        <v>4</v>
      </c>
      <c r="H911" s="1">
        <v>2</v>
      </c>
      <c r="I911" s="1">
        <v>0</v>
      </c>
      <c r="J911" s="2" t="str">
        <f t="shared" si="75"/>
        <v>REN</v>
      </c>
      <c r="K911" s="2" t="str">
        <f t="shared" si="76"/>
        <v>@NNN</v>
      </c>
      <c r="L911" s="1" t="str">
        <f t="shared" si="74"/>
        <v>910,7/15/2004,0,10,4,2,0</v>
      </c>
    </row>
    <row r="912" spans="1:12" x14ac:dyDescent="0.2">
      <c r="A912" s="1" t="str">
        <f t="shared" si="72"/>
        <v>381835</v>
      </c>
      <c r="B912" s="1" t="str">
        <f t="shared" si="73"/>
        <v>3818314</v>
      </c>
      <c r="C912" s="1">
        <v>911</v>
      </c>
      <c r="D912" s="4">
        <v>38183</v>
      </c>
      <c r="E912" s="1">
        <v>0</v>
      </c>
      <c r="F912" s="1">
        <v>14</v>
      </c>
      <c r="G912" s="1">
        <v>5</v>
      </c>
      <c r="H912" s="1">
        <v>2</v>
      </c>
      <c r="I912" s="1">
        <v>0</v>
      </c>
      <c r="J912" s="2" t="str">
        <f t="shared" si="75"/>
        <v>CEN</v>
      </c>
      <c r="K912" s="2" t="str">
        <f t="shared" si="76"/>
        <v>@OKO</v>
      </c>
      <c r="L912" s="1" t="str">
        <f t="shared" si="74"/>
        <v>911,7/15/2004,0,14,5,2,0</v>
      </c>
    </row>
    <row r="913" spans="1:12" x14ac:dyDescent="0.2">
      <c r="A913" s="1" t="str">
        <f t="shared" si="72"/>
        <v>3818311</v>
      </c>
      <c r="B913" s="1" t="str">
        <f t="shared" si="73"/>
        <v>3818313</v>
      </c>
      <c r="C913" s="1">
        <v>912</v>
      </c>
      <c r="D913" s="4">
        <v>38183</v>
      </c>
      <c r="E913" s="1">
        <v>0</v>
      </c>
      <c r="F913" s="1">
        <v>13</v>
      </c>
      <c r="G913" s="1">
        <v>11</v>
      </c>
      <c r="H913" s="1">
        <v>2</v>
      </c>
      <c r="I913" s="1">
        <v>0</v>
      </c>
      <c r="J913" s="2" t="str">
        <f t="shared" si="75"/>
        <v>BBG</v>
      </c>
      <c r="K913" s="2" t="str">
        <f t="shared" si="76"/>
        <v>@HAR</v>
      </c>
      <c r="L913" s="1" t="str">
        <f t="shared" si="74"/>
        <v>912,7/15/2004,0,13,11,2,0</v>
      </c>
    </row>
    <row r="914" spans="1:12" x14ac:dyDescent="0.2">
      <c r="A914" s="1" t="str">
        <f t="shared" si="72"/>
        <v>3818312</v>
      </c>
      <c r="B914" s="1" t="str">
        <f t="shared" si="73"/>
        <v>381832</v>
      </c>
      <c r="C914" s="1">
        <v>913</v>
      </c>
      <c r="D914" s="4">
        <v>38183</v>
      </c>
      <c r="E914" s="1">
        <v>0</v>
      </c>
      <c r="F914" s="1">
        <v>2</v>
      </c>
      <c r="G914" s="1">
        <v>12</v>
      </c>
      <c r="H914" s="1">
        <v>2</v>
      </c>
      <c r="I914" s="1">
        <v>0</v>
      </c>
      <c r="J914" s="2" t="str">
        <f t="shared" si="75"/>
        <v>NEP</v>
      </c>
      <c r="K914" s="2" t="str">
        <f t="shared" si="76"/>
        <v>@RMO</v>
      </c>
      <c r="L914" s="1" t="str">
        <f t="shared" si="74"/>
        <v>913,7/15/2004,0,2,12,2,0</v>
      </c>
    </row>
    <row r="915" spans="1:12" x14ac:dyDescent="0.2">
      <c r="A915" s="1" t="str">
        <f t="shared" si="72"/>
        <v>3818316</v>
      </c>
      <c r="B915" s="1" t="str">
        <f t="shared" si="73"/>
        <v>3818320</v>
      </c>
      <c r="C915" s="1">
        <v>914</v>
      </c>
      <c r="D915" s="4">
        <v>38183</v>
      </c>
      <c r="E915" s="1">
        <v>0</v>
      </c>
      <c r="F915" s="1">
        <v>20</v>
      </c>
      <c r="G915" s="1">
        <v>16</v>
      </c>
      <c r="H915" s="1">
        <v>2</v>
      </c>
      <c r="I915" s="1">
        <v>0</v>
      </c>
      <c r="J915" s="2" t="str">
        <f t="shared" si="75"/>
        <v>FDH</v>
      </c>
      <c r="K915" s="2" t="str">
        <f t="shared" si="76"/>
        <v>@DIG</v>
      </c>
      <c r="L915" s="1" t="str">
        <f t="shared" si="74"/>
        <v>914,7/15/2004,0,20,16,2,0</v>
      </c>
    </row>
    <row r="916" spans="1:12" x14ac:dyDescent="0.2">
      <c r="A916" s="1" t="str">
        <f t="shared" si="72"/>
        <v>3818321</v>
      </c>
      <c r="B916" s="1" t="str">
        <f t="shared" si="73"/>
        <v>3818317</v>
      </c>
      <c r="C916" s="1">
        <v>915</v>
      </c>
      <c r="D916" s="4">
        <v>38183</v>
      </c>
      <c r="E916" s="1">
        <v>0</v>
      </c>
      <c r="F916" s="1">
        <v>17</v>
      </c>
      <c r="G916" s="1">
        <v>21</v>
      </c>
      <c r="H916" s="1">
        <v>2</v>
      </c>
      <c r="I916" s="1">
        <v>0</v>
      </c>
      <c r="J916" s="2" t="str">
        <f t="shared" si="75"/>
        <v>GAR</v>
      </c>
      <c r="K916" s="2" t="str">
        <f t="shared" si="76"/>
        <v>@NYD</v>
      </c>
      <c r="L916" s="1" t="str">
        <f t="shared" si="74"/>
        <v>915,7/15/2004,0,17,21,2,0</v>
      </c>
    </row>
    <row r="917" spans="1:12" x14ac:dyDescent="0.2">
      <c r="A917" s="1" t="str">
        <f t="shared" si="72"/>
        <v>3818322</v>
      </c>
      <c r="B917" s="1" t="str">
        <f t="shared" si="73"/>
        <v>381837</v>
      </c>
      <c r="C917" s="1">
        <v>916</v>
      </c>
      <c r="D917" s="4">
        <v>38183</v>
      </c>
      <c r="E917" s="1">
        <v>0</v>
      </c>
      <c r="F917" s="1">
        <v>7</v>
      </c>
      <c r="G917" s="1">
        <v>22</v>
      </c>
      <c r="H917" s="1">
        <v>2</v>
      </c>
      <c r="I917" s="1">
        <v>0</v>
      </c>
      <c r="J917" s="2" t="str">
        <f t="shared" si="75"/>
        <v>BAR</v>
      </c>
      <c r="K917" s="2" t="str">
        <f t="shared" si="76"/>
        <v>@CBB</v>
      </c>
      <c r="L917" s="1" t="str">
        <f t="shared" si="74"/>
        <v>916,7/15/2004,0,7,22,2,0</v>
      </c>
    </row>
    <row r="918" spans="1:12" x14ac:dyDescent="0.2">
      <c r="A918" s="1" t="str">
        <f t="shared" si="72"/>
        <v>3818323</v>
      </c>
      <c r="B918" s="1" t="str">
        <f t="shared" si="73"/>
        <v>381839</v>
      </c>
      <c r="C918" s="1">
        <v>917</v>
      </c>
      <c r="D918" s="4">
        <v>38183</v>
      </c>
      <c r="E918" s="1">
        <v>0</v>
      </c>
      <c r="F918" s="1">
        <v>9</v>
      </c>
      <c r="G918" s="1">
        <v>23</v>
      </c>
      <c r="H918" s="1">
        <v>2</v>
      </c>
      <c r="I918" s="1">
        <v>0</v>
      </c>
      <c r="J918" s="2" t="str">
        <f t="shared" si="75"/>
        <v>CIN</v>
      </c>
      <c r="K918" s="2" t="str">
        <f t="shared" si="76"/>
        <v>@BRK</v>
      </c>
      <c r="L918" s="1" t="str">
        <f t="shared" si="74"/>
        <v>917,7/15/2004,0,9,23,2,0</v>
      </c>
    </row>
    <row r="919" spans="1:12" x14ac:dyDescent="0.2">
      <c r="A919" s="1" t="str">
        <f t="shared" si="72"/>
        <v>3818324</v>
      </c>
      <c r="B919" s="1" t="str">
        <f t="shared" si="73"/>
        <v>381838</v>
      </c>
      <c r="C919" s="1">
        <v>918</v>
      </c>
      <c r="D919" s="4">
        <v>38183</v>
      </c>
      <c r="E919" s="1">
        <v>0</v>
      </c>
      <c r="F919" s="1">
        <v>8</v>
      </c>
      <c r="G919" s="1">
        <v>24</v>
      </c>
      <c r="H919" s="1">
        <v>2</v>
      </c>
      <c r="I919" s="1">
        <v>0</v>
      </c>
      <c r="J919" s="2" t="str">
        <f t="shared" si="75"/>
        <v>CTW</v>
      </c>
      <c r="K919" s="2" t="str">
        <f t="shared" si="76"/>
        <v>@PHI</v>
      </c>
      <c r="L919" s="1" t="str">
        <f t="shared" si="74"/>
        <v>918,7/15/2004,0,8,24,2,0</v>
      </c>
    </row>
    <row r="920" spans="1:12" x14ac:dyDescent="0.2">
      <c r="A920" s="1" t="str">
        <f t="shared" si="72"/>
        <v>381841</v>
      </c>
      <c r="B920" s="1" t="str">
        <f t="shared" si="73"/>
        <v>381843</v>
      </c>
      <c r="C920" s="1">
        <v>919</v>
      </c>
      <c r="D920" s="4">
        <v>38184</v>
      </c>
      <c r="E920" s="1">
        <v>0</v>
      </c>
      <c r="F920" s="1">
        <v>3</v>
      </c>
      <c r="G920" s="1">
        <v>1</v>
      </c>
      <c r="H920" s="1">
        <v>2</v>
      </c>
      <c r="I920" s="1">
        <v>0</v>
      </c>
      <c r="J920" s="2" t="str">
        <f t="shared" si="75"/>
        <v>TEW</v>
      </c>
      <c r="K920" s="2" t="str">
        <f t="shared" si="76"/>
        <v>@FFR</v>
      </c>
      <c r="L920" s="1" t="str">
        <f t="shared" si="74"/>
        <v>919,7/16/2004,0,3,1,2,0</v>
      </c>
    </row>
    <row r="921" spans="1:12" x14ac:dyDescent="0.2">
      <c r="A921" s="1" t="str">
        <f t="shared" si="72"/>
        <v>381844</v>
      </c>
      <c r="B921" s="1" t="str">
        <f t="shared" si="73"/>
        <v>3818410</v>
      </c>
      <c r="C921" s="1">
        <v>920</v>
      </c>
      <c r="D921" s="4">
        <v>38184</v>
      </c>
      <c r="E921" s="1">
        <v>0</v>
      </c>
      <c r="F921" s="1">
        <v>10</v>
      </c>
      <c r="G921" s="1">
        <v>4</v>
      </c>
      <c r="H921" s="1">
        <v>2</v>
      </c>
      <c r="I921" s="1">
        <v>0</v>
      </c>
      <c r="J921" s="2" t="str">
        <f t="shared" si="75"/>
        <v>REN</v>
      </c>
      <c r="K921" s="2" t="str">
        <f t="shared" si="76"/>
        <v>@NNN</v>
      </c>
      <c r="L921" s="1" t="str">
        <f t="shared" si="74"/>
        <v>920,7/16/2004,0,10,4,2,0</v>
      </c>
    </row>
    <row r="922" spans="1:12" x14ac:dyDescent="0.2">
      <c r="A922" s="1" t="str">
        <f t="shared" si="72"/>
        <v>381845</v>
      </c>
      <c r="B922" s="1" t="str">
        <f t="shared" si="73"/>
        <v>3818414</v>
      </c>
      <c r="C922" s="1">
        <v>921</v>
      </c>
      <c r="D922" s="4">
        <v>38184</v>
      </c>
      <c r="E922" s="1">
        <v>0</v>
      </c>
      <c r="F922" s="1">
        <v>14</v>
      </c>
      <c r="G922" s="1">
        <v>5</v>
      </c>
      <c r="H922" s="1">
        <v>2</v>
      </c>
      <c r="I922" s="1">
        <v>0</v>
      </c>
      <c r="J922" s="2" t="str">
        <f t="shared" si="75"/>
        <v>CEN</v>
      </c>
      <c r="K922" s="2" t="str">
        <f t="shared" si="76"/>
        <v>@OKO</v>
      </c>
      <c r="L922" s="1" t="str">
        <f t="shared" si="74"/>
        <v>921,7/16/2004,0,14,5,2,0</v>
      </c>
    </row>
    <row r="923" spans="1:12" x14ac:dyDescent="0.2">
      <c r="A923" s="1" t="str">
        <f t="shared" si="72"/>
        <v>3818411</v>
      </c>
      <c r="B923" s="1" t="str">
        <f t="shared" si="73"/>
        <v>3818413</v>
      </c>
      <c r="C923" s="1">
        <v>922</v>
      </c>
      <c r="D923" s="4">
        <v>38184</v>
      </c>
      <c r="E923" s="1">
        <v>0</v>
      </c>
      <c r="F923" s="1">
        <v>13</v>
      </c>
      <c r="G923" s="1">
        <v>11</v>
      </c>
      <c r="H923" s="1">
        <v>2</v>
      </c>
      <c r="I923" s="1">
        <v>0</v>
      </c>
      <c r="J923" s="2" t="str">
        <f t="shared" si="75"/>
        <v>BBG</v>
      </c>
      <c r="K923" s="2" t="str">
        <f t="shared" si="76"/>
        <v>@HAR</v>
      </c>
      <c r="L923" s="1" t="str">
        <f t="shared" si="74"/>
        <v>922,7/16/2004,0,13,11,2,0</v>
      </c>
    </row>
    <row r="924" spans="1:12" x14ac:dyDescent="0.2">
      <c r="A924" s="1" t="str">
        <f t="shared" si="72"/>
        <v>3818412</v>
      </c>
      <c r="B924" s="1" t="str">
        <f t="shared" si="73"/>
        <v>381842</v>
      </c>
      <c r="C924" s="1">
        <v>923</v>
      </c>
      <c r="D924" s="4">
        <v>38184</v>
      </c>
      <c r="E924" s="1">
        <v>0</v>
      </c>
      <c r="F924" s="1">
        <v>2</v>
      </c>
      <c r="G924" s="1">
        <v>12</v>
      </c>
      <c r="H924" s="1">
        <v>2</v>
      </c>
      <c r="I924" s="1">
        <v>0</v>
      </c>
      <c r="J924" s="2" t="str">
        <f t="shared" si="75"/>
        <v>NEP</v>
      </c>
      <c r="K924" s="2" t="str">
        <f t="shared" si="76"/>
        <v>@RMO</v>
      </c>
      <c r="L924" s="1" t="str">
        <f t="shared" si="74"/>
        <v>923,7/16/2004,0,2,12,2,0</v>
      </c>
    </row>
    <row r="925" spans="1:12" x14ac:dyDescent="0.2">
      <c r="A925" s="1" t="str">
        <f t="shared" si="72"/>
        <v>3818416</v>
      </c>
      <c r="B925" s="1" t="str">
        <f t="shared" si="73"/>
        <v>3818420</v>
      </c>
      <c r="C925" s="1">
        <v>924</v>
      </c>
      <c r="D925" s="4">
        <v>38184</v>
      </c>
      <c r="E925" s="1">
        <v>0</v>
      </c>
      <c r="F925" s="1">
        <v>20</v>
      </c>
      <c r="G925" s="1">
        <v>16</v>
      </c>
      <c r="H925" s="1">
        <v>2</v>
      </c>
      <c r="I925" s="1">
        <v>0</v>
      </c>
      <c r="J925" s="2" t="str">
        <f t="shared" si="75"/>
        <v>FDH</v>
      </c>
      <c r="K925" s="2" t="str">
        <f t="shared" si="76"/>
        <v>@DIG</v>
      </c>
      <c r="L925" s="1" t="str">
        <f t="shared" si="74"/>
        <v>924,7/16/2004,0,20,16,2,0</v>
      </c>
    </row>
    <row r="926" spans="1:12" x14ac:dyDescent="0.2">
      <c r="A926" s="1" t="str">
        <f t="shared" si="72"/>
        <v>3818421</v>
      </c>
      <c r="B926" s="1" t="str">
        <f t="shared" si="73"/>
        <v>3818417</v>
      </c>
      <c r="C926" s="1">
        <v>925</v>
      </c>
      <c r="D926" s="4">
        <v>38184</v>
      </c>
      <c r="E926" s="1">
        <v>0</v>
      </c>
      <c r="F926" s="1">
        <v>17</v>
      </c>
      <c r="G926" s="1">
        <v>21</v>
      </c>
      <c r="H926" s="1">
        <v>2</v>
      </c>
      <c r="I926" s="1">
        <v>0</v>
      </c>
      <c r="J926" s="2" t="str">
        <f t="shared" si="75"/>
        <v>GAR</v>
      </c>
      <c r="K926" s="2" t="str">
        <f t="shared" si="76"/>
        <v>@NYD</v>
      </c>
      <c r="L926" s="1" t="str">
        <f t="shared" si="74"/>
        <v>925,7/16/2004,0,17,21,2,0</v>
      </c>
    </row>
    <row r="927" spans="1:12" x14ac:dyDescent="0.2">
      <c r="A927" s="1" t="str">
        <f t="shared" si="72"/>
        <v>3818422</v>
      </c>
      <c r="B927" s="1" t="str">
        <f t="shared" si="73"/>
        <v>381847</v>
      </c>
      <c r="C927" s="1">
        <v>926</v>
      </c>
      <c r="D927" s="4">
        <v>38184</v>
      </c>
      <c r="E927" s="1">
        <v>0</v>
      </c>
      <c r="F927" s="1">
        <v>7</v>
      </c>
      <c r="G927" s="1">
        <v>22</v>
      </c>
      <c r="H927" s="1">
        <v>2</v>
      </c>
      <c r="I927" s="1">
        <v>0</v>
      </c>
      <c r="J927" s="2" t="str">
        <f t="shared" si="75"/>
        <v>BAR</v>
      </c>
      <c r="K927" s="2" t="str">
        <f t="shared" si="76"/>
        <v>@CBB</v>
      </c>
      <c r="L927" s="1" t="str">
        <f t="shared" si="74"/>
        <v>926,7/16/2004,0,7,22,2,0</v>
      </c>
    </row>
    <row r="928" spans="1:12" x14ac:dyDescent="0.2">
      <c r="A928" s="1" t="str">
        <f t="shared" si="72"/>
        <v>3818423</v>
      </c>
      <c r="B928" s="1" t="str">
        <f t="shared" si="73"/>
        <v>381849</v>
      </c>
      <c r="C928" s="1">
        <v>927</v>
      </c>
      <c r="D928" s="4">
        <v>38184</v>
      </c>
      <c r="E928" s="1">
        <v>0</v>
      </c>
      <c r="F928" s="1">
        <v>9</v>
      </c>
      <c r="G928" s="1">
        <v>23</v>
      </c>
      <c r="H928" s="1">
        <v>2</v>
      </c>
      <c r="I928" s="1">
        <v>0</v>
      </c>
      <c r="J928" s="2" t="str">
        <f t="shared" si="75"/>
        <v>CIN</v>
      </c>
      <c r="K928" s="2" t="str">
        <f t="shared" si="76"/>
        <v>@BRK</v>
      </c>
      <c r="L928" s="1" t="str">
        <f t="shared" si="74"/>
        <v>927,7/16/2004,0,9,23,2,0</v>
      </c>
    </row>
    <row r="929" spans="1:12" x14ac:dyDescent="0.2">
      <c r="A929" s="1" t="str">
        <f t="shared" si="72"/>
        <v>3818424</v>
      </c>
      <c r="B929" s="1" t="str">
        <f t="shared" si="73"/>
        <v>381848</v>
      </c>
      <c r="C929" s="1">
        <v>928</v>
      </c>
      <c r="D929" s="4">
        <v>38184</v>
      </c>
      <c r="E929" s="1">
        <v>0</v>
      </c>
      <c r="F929" s="1">
        <v>8</v>
      </c>
      <c r="G929" s="1">
        <v>24</v>
      </c>
      <c r="H929" s="1">
        <v>2</v>
      </c>
      <c r="I929" s="1">
        <v>0</v>
      </c>
      <c r="J929" s="2" t="str">
        <f t="shared" si="75"/>
        <v>CTW</v>
      </c>
      <c r="K929" s="2" t="str">
        <f t="shared" si="76"/>
        <v>@PHI</v>
      </c>
      <c r="L929" s="1" t="str">
        <f t="shared" si="74"/>
        <v>928,7/16/2004,0,8,24,2,0</v>
      </c>
    </row>
    <row r="930" spans="1:12" x14ac:dyDescent="0.2">
      <c r="A930" s="1" t="str">
        <f t="shared" si="72"/>
        <v>3818523</v>
      </c>
      <c r="B930" s="1" t="str">
        <f t="shared" si="73"/>
        <v>381859</v>
      </c>
      <c r="C930" s="1">
        <v>929</v>
      </c>
      <c r="D930" s="4">
        <v>38185</v>
      </c>
      <c r="E930" s="1">
        <v>0</v>
      </c>
      <c r="F930" s="1">
        <v>9</v>
      </c>
      <c r="G930" s="1">
        <v>23</v>
      </c>
      <c r="H930" s="1">
        <v>2</v>
      </c>
      <c r="I930" s="1">
        <v>0</v>
      </c>
      <c r="J930" s="2" t="str">
        <f t="shared" si="75"/>
        <v>CIN</v>
      </c>
      <c r="K930" s="2" t="str">
        <f t="shared" si="76"/>
        <v>@BRK</v>
      </c>
      <c r="L930" s="1" t="str">
        <f t="shared" si="74"/>
        <v>929,7/17/2004,0,9,23,2,0</v>
      </c>
    </row>
    <row r="931" spans="1:12" x14ac:dyDescent="0.2">
      <c r="A931" s="1" t="str">
        <f t="shared" si="72"/>
        <v>3818524</v>
      </c>
      <c r="B931" s="1" t="str">
        <f t="shared" si="73"/>
        <v>381858</v>
      </c>
      <c r="C931" s="1">
        <v>930</v>
      </c>
      <c r="D931" s="4">
        <v>38185</v>
      </c>
      <c r="E931" s="1">
        <v>0</v>
      </c>
      <c r="F931" s="1">
        <v>8</v>
      </c>
      <c r="G931" s="1">
        <v>24</v>
      </c>
      <c r="H931" s="1">
        <v>2</v>
      </c>
      <c r="I931" s="1">
        <v>0</v>
      </c>
      <c r="J931" s="2" t="str">
        <f t="shared" si="75"/>
        <v>CTW</v>
      </c>
      <c r="K931" s="2" t="str">
        <f t="shared" si="76"/>
        <v>@PHI</v>
      </c>
      <c r="L931" s="1" t="str">
        <f t="shared" si="74"/>
        <v>930,7/17/2004,0,8,24,2,0</v>
      </c>
    </row>
    <row r="932" spans="1:12" x14ac:dyDescent="0.2">
      <c r="A932" s="1" t="str">
        <f t="shared" si="72"/>
        <v>381851</v>
      </c>
      <c r="B932" s="1" t="str">
        <f t="shared" si="73"/>
        <v>381853</v>
      </c>
      <c r="C932" s="1">
        <v>931</v>
      </c>
      <c r="D932" s="4">
        <v>38185</v>
      </c>
      <c r="E932" s="1">
        <v>0</v>
      </c>
      <c r="F932" s="1">
        <v>3</v>
      </c>
      <c r="G932" s="1">
        <v>1</v>
      </c>
      <c r="H932" s="1">
        <v>2</v>
      </c>
      <c r="I932" s="1">
        <v>0</v>
      </c>
      <c r="J932" s="2" t="str">
        <f t="shared" si="75"/>
        <v>TEW</v>
      </c>
      <c r="K932" s="2" t="str">
        <f t="shared" si="76"/>
        <v>@FFR</v>
      </c>
      <c r="L932" s="1" t="str">
        <f t="shared" si="74"/>
        <v>931,7/17/2004,0,3,1,2,0</v>
      </c>
    </row>
    <row r="933" spans="1:12" x14ac:dyDescent="0.2">
      <c r="A933" s="1" t="str">
        <f t="shared" si="72"/>
        <v>381854</v>
      </c>
      <c r="B933" s="1" t="str">
        <f t="shared" si="73"/>
        <v>3818510</v>
      </c>
      <c r="C933" s="1">
        <v>932</v>
      </c>
      <c r="D933" s="4">
        <v>38185</v>
      </c>
      <c r="E933" s="1">
        <v>0</v>
      </c>
      <c r="F933" s="1">
        <v>10</v>
      </c>
      <c r="G933" s="1">
        <v>4</v>
      </c>
      <c r="H933" s="1">
        <v>2</v>
      </c>
      <c r="I933" s="1">
        <v>0</v>
      </c>
      <c r="J933" s="2" t="str">
        <f t="shared" si="75"/>
        <v>REN</v>
      </c>
      <c r="K933" s="2" t="str">
        <f t="shared" si="76"/>
        <v>@NNN</v>
      </c>
      <c r="L933" s="1" t="str">
        <f t="shared" si="74"/>
        <v>932,7/17/2004,0,10,4,2,0</v>
      </c>
    </row>
    <row r="934" spans="1:12" x14ac:dyDescent="0.2">
      <c r="A934" s="1" t="str">
        <f t="shared" ref="A934:A997" si="77">D934&amp;G934</f>
        <v>381855</v>
      </c>
      <c r="B934" s="1" t="str">
        <f t="shared" ref="B934:B997" si="78">D934&amp;F934</f>
        <v>3818514</v>
      </c>
      <c r="C934" s="1">
        <v>933</v>
      </c>
      <c r="D934" s="4">
        <v>38185</v>
      </c>
      <c r="E934" s="1">
        <v>0</v>
      </c>
      <c r="F934" s="1">
        <v>14</v>
      </c>
      <c r="G934" s="1">
        <v>5</v>
      </c>
      <c r="H934" s="1">
        <v>2</v>
      </c>
      <c r="I934" s="1">
        <v>0</v>
      </c>
      <c r="J934" s="2" t="str">
        <f t="shared" si="75"/>
        <v>CEN</v>
      </c>
      <c r="K934" s="2" t="str">
        <f t="shared" si="76"/>
        <v>@OKO</v>
      </c>
      <c r="L934" s="1" t="str">
        <f t="shared" ref="L934:L997" si="79">C934&amp;","&amp;MONTH(D934)&amp;"/"&amp;DAY(D934)&amp;"/"&amp;YEAR(D934)&amp;","&amp;E934&amp;","&amp;F934&amp;","&amp;G934&amp;","&amp;H934&amp;","&amp;I934</f>
        <v>933,7/17/2004,0,14,5,2,0</v>
      </c>
    </row>
    <row r="935" spans="1:12" x14ac:dyDescent="0.2">
      <c r="A935" s="1" t="str">
        <f t="shared" si="77"/>
        <v>3818511</v>
      </c>
      <c r="B935" s="1" t="str">
        <f t="shared" si="78"/>
        <v>3818513</v>
      </c>
      <c r="C935" s="1">
        <v>934</v>
      </c>
      <c r="D935" s="4">
        <v>38185</v>
      </c>
      <c r="E935" s="1">
        <v>0</v>
      </c>
      <c r="F935" s="1">
        <v>13</v>
      </c>
      <c r="G935" s="1">
        <v>11</v>
      </c>
      <c r="H935" s="1">
        <v>2</v>
      </c>
      <c r="I935" s="1">
        <v>0</v>
      </c>
      <c r="J935" s="2" t="str">
        <f t="shared" si="75"/>
        <v>BBG</v>
      </c>
      <c r="K935" s="2" t="str">
        <f t="shared" si="76"/>
        <v>@HAR</v>
      </c>
      <c r="L935" s="1" t="str">
        <f t="shared" si="79"/>
        <v>934,7/17/2004,0,13,11,2,0</v>
      </c>
    </row>
    <row r="936" spans="1:12" x14ac:dyDescent="0.2">
      <c r="A936" s="1" t="str">
        <f t="shared" si="77"/>
        <v>3818512</v>
      </c>
      <c r="B936" s="1" t="str">
        <f t="shared" si="78"/>
        <v>381852</v>
      </c>
      <c r="C936" s="1">
        <v>935</v>
      </c>
      <c r="D936" s="4">
        <v>38185</v>
      </c>
      <c r="E936" s="1">
        <v>0</v>
      </c>
      <c r="F936" s="1">
        <v>2</v>
      </c>
      <c r="G936" s="1">
        <v>12</v>
      </c>
      <c r="H936" s="1">
        <v>2</v>
      </c>
      <c r="I936" s="1">
        <v>0</v>
      </c>
      <c r="J936" s="2" t="str">
        <f t="shared" si="75"/>
        <v>NEP</v>
      </c>
      <c r="K936" s="2" t="str">
        <f t="shared" si="76"/>
        <v>@RMO</v>
      </c>
      <c r="L936" s="1" t="str">
        <f t="shared" si="79"/>
        <v>935,7/17/2004,0,2,12,2,0</v>
      </c>
    </row>
    <row r="937" spans="1:12" x14ac:dyDescent="0.2">
      <c r="A937" s="1" t="str">
        <f t="shared" si="77"/>
        <v>3818516</v>
      </c>
      <c r="B937" s="1" t="str">
        <f t="shared" si="78"/>
        <v>3818520</v>
      </c>
      <c r="C937" s="1">
        <v>936</v>
      </c>
      <c r="D937" s="4">
        <v>38185</v>
      </c>
      <c r="E937" s="1">
        <v>0</v>
      </c>
      <c r="F937" s="1">
        <v>20</v>
      </c>
      <c r="G937" s="1">
        <v>16</v>
      </c>
      <c r="H937" s="1">
        <v>2</v>
      </c>
      <c r="I937" s="1">
        <v>0</v>
      </c>
      <c r="J937" s="2" t="str">
        <f t="shared" si="75"/>
        <v>FDH</v>
      </c>
      <c r="K937" s="2" t="str">
        <f t="shared" si="76"/>
        <v>@DIG</v>
      </c>
      <c r="L937" s="1" t="str">
        <f t="shared" si="79"/>
        <v>936,7/17/2004,0,20,16,2,0</v>
      </c>
    </row>
    <row r="938" spans="1:12" x14ac:dyDescent="0.2">
      <c r="A938" s="1" t="str">
        <f t="shared" si="77"/>
        <v>3818521</v>
      </c>
      <c r="B938" s="1" t="str">
        <f t="shared" si="78"/>
        <v>3818517</v>
      </c>
      <c r="C938" s="1">
        <v>937</v>
      </c>
      <c r="D938" s="4">
        <v>38185</v>
      </c>
      <c r="E938" s="1">
        <v>0</v>
      </c>
      <c r="F938" s="1">
        <v>17</v>
      </c>
      <c r="G938" s="1">
        <v>21</v>
      </c>
      <c r="H938" s="1">
        <v>2</v>
      </c>
      <c r="I938" s="1">
        <v>0</v>
      </c>
      <c r="J938" s="2" t="str">
        <f t="shared" si="75"/>
        <v>GAR</v>
      </c>
      <c r="K938" s="2" t="str">
        <f t="shared" si="76"/>
        <v>@NYD</v>
      </c>
      <c r="L938" s="1" t="str">
        <f t="shared" si="79"/>
        <v>937,7/17/2004,0,17,21,2,0</v>
      </c>
    </row>
    <row r="939" spans="1:12" x14ac:dyDescent="0.2">
      <c r="A939" s="1" t="str">
        <f t="shared" si="77"/>
        <v>3818522</v>
      </c>
      <c r="B939" s="1" t="str">
        <f t="shared" si="78"/>
        <v>381857</v>
      </c>
      <c r="C939" s="1">
        <v>938</v>
      </c>
      <c r="D939" s="4">
        <v>38185</v>
      </c>
      <c r="E939" s="1">
        <v>0</v>
      </c>
      <c r="F939" s="1">
        <v>7</v>
      </c>
      <c r="G939" s="1">
        <v>22</v>
      </c>
      <c r="H939" s="1">
        <v>2</v>
      </c>
      <c r="I939" s="1">
        <v>0</v>
      </c>
      <c r="J939" s="2" t="str">
        <f t="shared" si="75"/>
        <v>BAR</v>
      </c>
      <c r="K939" s="2" t="str">
        <f t="shared" si="76"/>
        <v>@CBB</v>
      </c>
      <c r="L939" s="1" t="str">
        <f t="shared" si="79"/>
        <v>938,7/17/2004,0,7,22,2,0</v>
      </c>
    </row>
    <row r="940" spans="1:12" x14ac:dyDescent="0.2">
      <c r="A940" s="1" t="str">
        <f t="shared" si="77"/>
        <v>381862</v>
      </c>
      <c r="B940" s="1" t="str">
        <f t="shared" si="78"/>
        <v>381863</v>
      </c>
      <c r="C940" s="1">
        <v>939</v>
      </c>
      <c r="D940" s="4">
        <v>38186</v>
      </c>
      <c r="E940" s="1">
        <v>0</v>
      </c>
      <c r="F940" s="1">
        <v>3</v>
      </c>
      <c r="G940" s="1">
        <v>2</v>
      </c>
      <c r="H940" s="1">
        <v>2</v>
      </c>
      <c r="I940" s="1">
        <v>0</v>
      </c>
      <c r="J940" s="2" t="str">
        <f t="shared" si="75"/>
        <v>TEW</v>
      </c>
      <c r="K940" s="2" t="str">
        <f t="shared" si="76"/>
        <v>@NEP</v>
      </c>
      <c r="L940" s="1" t="str">
        <f t="shared" si="79"/>
        <v>939,7/18/2004,0,3,2,2,0</v>
      </c>
    </row>
    <row r="941" spans="1:12" x14ac:dyDescent="0.2">
      <c r="A941" s="1" t="str">
        <f t="shared" si="77"/>
        <v>3818612</v>
      </c>
      <c r="B941" s="1" t="str">
        <f t="shared" si="78"/>
        <v>381861</v>
      </c>
      <c r="C941" s="1">
        <v>940</v>
      </c>
      <c r="D941" s="4">
        <v>38186</v>
      </c>
      <c r="E941" s="1">
        <v>0</v>
      </c>
      <c r="F941" s="1">
        <v>1</v>
      </c>
      <c r="G941" s="1">
        <v>12</v>
      </c>
      <c r="H941" s="1">
        <v>2</v>
      </c>
      <c r="I941" s="1">
        <v>0</v>
      </c>
      <c r="J941" s="2" t="str">
        <f t="shared" si="75"/>
        <v>FFR</v>
      </c>
      <c r="K941" s="2" t="str">
        <f t="shared" si="76"/>
        <v>@RMO</v>
      </c>
      <c r="L941" s="1" t="str">
        <f t="shared" si="79"/>
        <v>940,7/18/2004,0,1,12,2,0</v>
      </c>
    </row>
    <row r="942" spans="1:12" x14ac:dyDescent="0.2">
      <c r="A942" s="1" t="str">
        <f t="shared" si="77"/>
        <v>3818620</v>
      </c>
      <c r="B942" s="1" t="str">
        <f t="shared" si="78"/>
        <v>3818614</v>
      </c>
      <c r="C942" s="1">
        <v>941</v>
      </c>
      <c r="D942" s="4">
        <v>38186</v>
      </c>
      <c r="E942" s="1">
        <v>0</v>
      </c>
      <c r="F942" s="1">
        <v>14</v>
      </c>
      <c r="G942" s="1">
        <v>20</v>
      </c>
      <c r="H942" s="1">
        <v>2</v>
      </c>
      <c r="I942" s="1">
        <v>0</v>
      </c>
      <c r="J942" s="2" t="str">
        <f t="shared" si="75"/>
        <v>CEN</v>
      </c>
      <c r="K942" s="2" t="str">
        <f t="shared" si="76"/>
        <v>@FDH</v>
      </c>
      <c r="L942" s="1" t="str">
        <f t="shared" si="79"/>
        <v>941,7/18/2004,0,14,20,2,0</v>
      </c>
    </row>
    <row r="943" spans="1:12" x14ac:dyDescent="0.2">
      <c r="A943" s="1" t="str">
        <f t="shared" si="77"/>
        <v>3818616</v>
      </c>
      <c r="B943" s="1" t="str">
        <f t="shared" si="78"/>
        <v>381865</v>
      </c>
      <c r="C943" s="1">
        <v>942</v>
      </c>
      <c r="D943" s="4">
        <v>38186</v>
      </c>
      <c r="E943" s="1">
        <v>0</v>
      </c>
      <c r="F943" s="1">
        <v>5</v>
      </c>
      <c r="G943" s="1">
        <v>16</v>
      </c>
      <c r="H943" s="1">
        <v>2</v>
      </c>
      <c r="I943" s="1">
        <v>0</v>
      </c>
      <c r="J943" s="2" t="str">
        <f t="shared" si="75"/>
        <v>OKO</v>
      </c>
      <c r="K943" s="2" t="str">
        <f t="shared" si="76"/>
        <v>@DIG</v>
      </c>
      <c r="L943" s="1" t="str">
        <f t="shared" si="79"/>
        <v>942,7/18/2004,0,5,16,2,0</v>
      </c>
    </row>
    <row r="944" spans="1:12" x14ac:dyDescent="0.2">
      <c r="A944" s="1" t="str">
        <f t="shared" si="77"/>
        <v>3818923</v>
      </c>
      <c r="B944" s="1" t="str">
        <f t="shared" si="78"/>
        <v>3818922</v>
      </c>
      <c r="C944" s="1">
        <v>943</v>
      </c>
      <c r="D944" s="4">
        <v>38189</v>
      </c>
      <c r="E944" s="1">
        <v>0</v>
      </c>
      <c r="F944" s="1">
        <v>22</v>
      </c>
      <c r="G944" s="1">
        <v>23</v>
      </c>
      <c r="H944" s="1">
        <v>2</v>
      </c>
      <c r="I944" s="1">
        <v>0</v>
      </c>
      <c r="J944" s="2" t="str">
        <f t="shared" si="75"/>
        <v>CBB</v>
      </c>
      <c r="K944" s="2" t="str">
        <f t="shared" si="76"/>
        <v>@BRK</v>
      </c>
      <c r="L944" s="1" t="str">
        <f t="shared" si="79"/>
        <v>943,7/21/2004,0,22,23,2,0</v>
      </c>
    </row>
    <row r="945" spans="1:12" x14ac:dyDescent="0.2">
      <c r="A945" s="1" t="str">
        <f t="shared" si="77"/>
        <v>381864</v>
      </c>
      <c r="B945" s="1" t="str">
        <f t="shared" si="78"/>
        <v>3818621</v>
      </c>
      <c r="C945" s="1">
        <v>944</v>
      </c>
      <c r="D945" s="4">
        <v>38186</v>
      </c>
      <c r="E945" s="1">
        <v>0</v>
      </c>
      <c r="F945" s="1">
        <v>21</v>
      </c>
      <c r="G945" s="1">
        <v>4</v>
      </c>
      <c r="H945" s="1">
        <v>2</v>
      </c>
      <c r="I945" s="1">
        <v>0</v>
      </c>
      <c r="J945" s="2" t="str">
        <f t="shared" si="75"/>
        <v>NYD</v>
      </c>
      <c r="K945" s="2" t="str">
        <f t="shared" si="76"/>
        <v>@NNN</v>
      </c>
      <c r="L945" s="1" t="str">
        <f t="shared" si="79"/>
        <v>944,7/18/2004,0,21,4,2,0</v>
      </c>
    </row>
    <row r="946" spans="1:12" x14ac:dyDescent="0.2">
      <c r="A946" s="1" t="str">
        <f t="shared" si="77"/>
        <v>3818924</v>
      </c>
      <c r="B946" s="1" t="str">
        <f t="shared" si="78"/>
        <v>3818911</v>
      </c>
      <c r="C946" s="1">
        <v>945</v>
      </c>
      <c r="D946" s="4">
        <v>38189</v>
      </c>
      <c r="E946" s="1">
        <v>0</v>
      </c>
      <c r="F946" s="1">
        <v>11</v>
      </c>
      <c r="G946" s="1">
        <v>24</v>
      </c>
      <c r="H946" s="1">
        <v>2</v>
      </c>
      <c r="I946" s="1">
        <v>0</v>
      </c>
      <c r="J946" s="2" t="str">
        <f t="shared" si="75"/>
        <v>HAR</v>
      </c>
      <c r="K946" s="2" t="str">
        <f t="shared" si="76"/>
        <v>@PHI</v>
      </c>
      <c r="L946" s="1" t="str">
        <f t="shared" si="79"/>
        <v>945,7/21/2004,0,11,24,2,0</v>
      </c>
    </row>
    <row r="947" spans="1:12" x14ac:dyDescent="0.2">
      <c r="A947" s="1" t="str">
        <f t="shared" si="77"/>
        <v>381869</v>
      </c>
      <c r="B947" s="1" t="str">
        <f t="shared" si="78"/>
        <v>381867</v>
      </c>
      <c r="C947" s="1">
        <v>946</v>
      </c>
      <c r="D947" s="4">
        <v>38186</v>
      </c>
      <c r="E947" s="1">
        <v>0</v>
      </c>
      <c r="F947" s="1">
        <v>7</v>
      </c>
      <c r="G947" s="1">
        <v>9</v>
      </c>
      <c r="H947" s="1">
        <v>2</v>
      </c>
      <c r="I947" s="1">
        <v>0</v>
      </c>
      <c r="J947" s="2" t="str">
        <f t="shared" si="75"/>
        <v>BAR</v>
      </c>
      <c r="K947" s="2" t="str">
        <f t="shared" si="76"/>
        <v>@CIN</v>
      </c>
      <c r="L947" s="1" t="str">
        <f t="shared" si="79"/>
        <v>946,7/18/2004,0,7,9,2,0</v>
      </c>
    </row>
    <row r="948" spans="1:12" x14ac:dyDescent="0.2">
      <c r="A948" s="1" t="str">
        <f t="shared" si="77"/>
        <v>381868</v>
      </c>
      <c r="B948" s="1" t="str">
        <f t="shared" si="78"/>
        <v>3818613</v>
      </c>
      <c r="C948" s="1">
        <v>947</v>
      </c>
      <c r="D948" s="4">
        <v>38186</v>
      </c>
      <c r="E948" s="1">
        <v>0</v>
      </c>
      <c r="F948" s="1">
        <v>13</v>
      </c>
      <c r="G948" s="1">
        <v>8</v>
      </c>
      <c r="H948" s="1">
        <v>2</v>
      </c>
      <c r="I948" s="1">
        <v>0</v>
      </c>
      <c r="J948" s="2" t="str">
        <f t="shared" si="75"/>
        <v>BBG</v>
      </c>
      <c r="K948" s="2" t="str">
        <f t="shared" si="76"/>
        <v>@CTW</v>
      </c>
      <c r="L948" s="1" t="str">
        <f t="shared" si="79"/>
        <v>947,7/18/2004,0,13,8,2,0</v>
      </c>
    </row>
    <row r="949" spans="1:12" x14ac:dyDescent="0.2">
      <c r="A949" s="1" t="str">
        <f t="shared" si="77"/>
        <v>3818617</v>
      </c>
      <c r="B949" s="1" t="str">
        <f t="shared" si="78"/>
        <v>3818610</v>
      </c>
      <c r="C949" s="1">
        <v>948</v>
      </c>
      <c r="D949" s="4">
        <v>38186</v>
      </c>
      <c r="E949" s="1">
        <v>0</v>
      </c>
      <c r="F949" s="1">
        <v>10</v>
      </c>
      <c r="G949" s="1">
        <v>17</v>
      </c>
      <c r="H949" s="1">
        <v>2</v>
      </c>
      <c r="I949" s="1">
        <v>0</v>
      </c>
      <c r="J949" s="2" t="str">
        <f t="shared" si="75"/>
        <v>REN</v>
      </c>
      <c r="K949" s="2" t="str">
        <f t="shared" si="76"/>
        <v>@GAR</v>
      </c>
      <c r="L949" s="1" t="str">
        <f t="shared" si="79"/>
        <v>948,7/18/2004,0,10,17,2,0</v>
      </c>
    </row>
    <row r="950" spans="1:12" x14ac:dyDescent="0.2">
      <c r="A950" s="1" t="str">
        <f t="shared" si="77"/>
        <v>381872</v>
      </c>
      <c r="B950" s="1" t="str">
        <f t="shared" si="78"/>
        <v>381873</v>
      </c>
      <c r="C950" s="1">
        <v>949</v>
      </c>
      <c r="D950" s="4">
        <v>38187</v>
      </c>
      <c r="E950" s="1">
        <v>0</v>
      </c>
      <c r="F950" s="1">
        <v>3</v>
      </c>
      <c r="G950" s="1">
        <v>2</v>
      </c>
      <c r="H950" s="1">
        <v>2</v>
      </c>
      <c r="I950" s="1">
        <v>0</v>
      </c>
      <c r="J950" s="2" t="str">
        <f t="shared" si="75"/>
        <v>TEW</v>
      </c>
      <c r="K950" s="2" t="str">
        <f t="shared" si="76"/>
        <v>@NEP</v>
      </c>
      <c r="L950" s="1" t="str">
        <f t="shared" si="79"/>
        <v>949,7/19/2004,0,3,2,2,0</v>
      </c>
    </row>
    <row r="951" spans="1:12" x14ac:dyDescent="0.2">
      <c r="A951" s="1" t="str">
        <f t="shared" si="77"/>
        <v>381874</v>
      </c>
      <c r="B951" s="1" t="str">
        <f t="shared" si="78"/>
        <v>3818721</v>
      </c>
      <c r="C951" s="1">
        <v>950</v>
      </c>
      <c r="D951" s="4">
        <v>38187</v>
      </c>
      <c r="E951" s="1">
        <v>0</v>
      </c>
      <c r="F951" s="1">
        <v>21</v>
      </c>
      <c r="G951" s="1">
        <v>4</v>
      </c>
      <c r="H951" s="1">
        <v>2</v>
      </c>
      <c r="I951" s="1">
        <v>0</v>
      </c>
      <c r="J951" s="2" t="str">
        <f t="shared" si="75"/>
        <v>NYD</v>
      </c>
      <c r="K951" s="2" t="str">
        <f t="shared" si="76"/>
        <v>@NNN</v>
      </c>
      <c r="L951" s="1" t="str">
        <f t="shared" si="79"/>
        <v>950,7/19/2004,0,21,4,2,0</v>
      </c>
    </row>
    <row r="952" spans="1:12" x14ac:dyDescent="0.2">
      <c r="A952" s="1" t="str">
        <f t="shared" si="77"/>
        <v>381878</v>
      </c>
      <c r="B952" s="1" t="str">
        <f t="shared" si="78"/>
        <v>3818713</v>
      </c>
      <c r="C952" s="1">
        <v>951</v>
      </c>
      <c r="D952" s="4">
        <v>38187</v>
      </c>
      <c r="E952" s="1">
        <v>0</v>
      </c>
      <c r="F952" s="1">
        <v>13</v>
      </c>
      <c r="G952" s="1">
        <v>8</v>
      </c>
      <c r="H952" s="1">
        <v>2</v>
      </c>
      <c r="I952" s="1">
        <v>0</v>
      </c>
      <c r="J952" s="2" t="str">
        <f t="shared" si="75"/>
        <v>BBG</v>
      </c>
      <c r="K952" s="2" t="str">
        <f t="shared" si="76"/>
        <v>@CTW</v>
      </c>
      <c r="L952" s="1" t="str">
        <f t="shared" si="79"/>
        <v>951,7/19/2004,0,13,8,2,0</v>
      </c>
    </row>
    <row r="953" spans="1:12" x14ac:dyDescent="0.2">
      <c r="A953" s="1" t="str">
        <f t="shared" si="77"/>
        <v>381879</v>
      </c>
      <c r="B953" s="1" t="str">
        <f t="shared" si="78"/>
        <v>381877</v>
      </c>
      <c r="C953" s="1">
        <v>952</v>
      </c>
      <c r="D953" s="4">
        <v>38187</v>
      </c>
      <c r="E953" s="1">
        <v>0</v>
      </c>
      <c r="F953" s="1">
        <v>7</v>
      </c>
      <c r="G953" s="1">
        <v>9</v>
      </c>
      <c r="H953" s="1">
        <v>2</v>
      </c>
      <c r="I953" s="1">
        <v>0</v>
      </c>
      <c r="J953" s="2" t="str">
        <f t="shared" si="75"/>
        <v>BAR</v>
      </c>
      <c r="K953" s="2" t="str">
        <f t="shared" si="76"/>
        <v>@CIN</v>
      </c>
      <c r="L953" s="1" t="str">
        <f t="shared" si="79"/>
        <v>952,7/19/2004,0,7,9,2,0</v>
      </c>
    </row>
    <row r="954" spans="1:12" x14ac:dyDescent="0.2">
      <c r="A954" s="1" t="str">
        <f t="shared" si="77"/>
        <v>3818712</v>
      </c>
      <c r="B954" s="1" t="str">
        <f t="shared" si="78"/>
        <v>381871</v>
      </c>
      <c r="C954" s="1">
        <v>953</v>
      </c>
      <c r="D954" s="4">
        <v>38187</v>
      </c>
      <c r="E954" s="1">
        <v>0</v>
      </c>
      <c r="F954" s="1">
        <v>1</v>
      </c>
      <c r="G954" s="1">
        <v>12</v>
      </c>
      <c r="H954" s="1">
        <v>2</v>
      </c>
      <c r="I954" s="1">
        <v>0</v>
      </c>
      <c r="J954" s="2" t="str">
        <f t="shared" si="75"/>
        <v>FFR</v>
      </c>
      <c r="K954" s="2" t="str">
        <f t="shared" si="76"/>
        <v>@RMO</v>
      </c>
      <c r="L954" s="1" t="str">
        <f t="shared" si="79"/>
        <v>953,7/19/2004,0,1,12,2,0</v>
      </c>
    </row>
    <row r="955" spans="1:12" x14ac:dyDescent="0.2">
      <c r="A955" s="1" t="str">
        <f t="shared" si="77"/>
        <v>3818716</v>
      </c>
      <c r="B955" s="1" t="str">
        <f t="shared" si="78"/>
        <v>381875</v>
      </c>
      <c r="C955" s="1">
        <v>954</v>
      </c>
      <c r="D955" s="4">
        <v>38187</v>
      </c>
      <c r="E955" s="1">
        <v>0</v>
      </c>
      <c r="F955" s="1">
        <v>5</v>
      </c>
      <c r="G955" s="1">
        <v>16</v>
      </c>
      <c r="H955" s="1">
        <v>2</v>
      </c>
      <c r="I955" s="1">
        <v>0</v>
      </c>
      <c r="J955" s="2" t="str">
        <f t="shared" si="75"/>
        <v>OKO</v>
      </c>
      <c r="K955" s="2" t="str">
        <f t="shared" si="76"/>
        <v>@DIG</v>
      </c>
      <c r="L955" s="1" t="str">
        <f t="shared" si="79"/>
        <v>954,7/19/2004,0,5,16,2,0</v>
      </c>
    </row>
    <row r="956" spans="1:12" x14ac:dyDescent="0.2">
      <c r="A956" s="1" t="str">
        <f t="shared" si="77"/>
        <v>3818717</v>
      </c>
      <c r="B956" s="1" t="str">
        <f t="shared" si="78"/>
        <v>3818710</v>
      </c>
      <c r="C956" s="1">
        <v>955</v>
      </c>
      <c r="D956" s="4">
        <v>38187</v>
      </c>
      <c r="E956" s="1">
        <v>0</v>
      </c>
      <c r="F956" s="1">
        <v>10</v>
      </c>
      <c r="G956" s="1">
        <v>17</v>
      </c>
      <c r="H956" s="1">
        <v>2</v>
      </c>
      <c r="I956" s="1">
        <v>0</v>
      </c>
      <c r="J956" s="2" t="str">
        <f t="shared" si="75"/>
        <v>REN</v>
      </c>
      <c r="K956" s="2" t="str">
        <f t="shared" si="76"/>
        <v>@GAR</v>
      </c>
      <c r="L956" s="1" t="str">
        <f t="shared" si="79"/>
        <v>955,7/19/2004,0,10,17,2,0</v>
      </c>
    </row>
    <row r="957" spans="1:12" x14ac:dyDescent="0.2">
      <c r="A957" s="1" t="str">
        <f t="shared" si="77"/>
        <v>3818720</v>
      </c>
      <c r="B957" s="1" t="str">
        <f t="shared" si="78"/>
        <v>3818714</v>
      </c>
      <c r="C957" s="1">
        <v>956</v>
      </c>
      <c r="D957" s="4">
        <v>38187</v>
      </c>
      <c r="E957" s="1">
        <v>0</v>
      </c>
      <c r="F957" s="1">
        <v>14</v>
      </c>
      <c r="G957" s="1">
        <v>20</v>
      </c>
      <c r="H957" s="1">
        <v>2</v>
      </c>
      <c r="I957" s="1">
        <v>0</v>
      </c>
      <c r="J957" s="2" t="str">
        <f t="shared" si="75"/>
        <v>CEN</v>
      </c>
      <c r="K957" s="2" t="str">
        <f t="shared" si="76"/>
        <v>@FDH</v>
      </c>
      <c r="L957" s="1" t="str">
        <f t="shared" si="79"/>
        <v>956,7/19/2004,0,14,20,2,0</v>
      </c>
    </row>
    <row r="958" spans="1:12" x14ac:dyDescent="0.2">
      <c r="A958" s="1" t="str">
        <f t="shared" si="77"/>
        <v>3818723</v>
      </c>
      <c r="B958" s="1" t="str">
        <f t="shared" si="78"/>
        <v>3818722</v>
      </c>
      <c r="C958" s="1">
        <v>957</v>
      </c>
      <c r="D958" s="4">
        <v>38187</v>
      </c>
      <c r="E958" s="1">
        <v>0</v>
      </c>
      <c r="F958" s="1">
        <v>22</v>
      </c>
      <c r="G958" s="1">
        <v>23</v>
      </c>
      <c r="H958" s="1">
        <v>2</v>
      </c>
      <c r="I958" s="1">
        <v>0</v>
      </c>
      <c r="J958" s="2" t="str">
        <f t="shared" si="75"/>
        <v>CBB</v>
      </c>
      <c r="K958" s="2" t="str">
        <f t="shared" si="76"/>
        <v>@BRK</v>
      </c>
      <c r="L958" s="1" t="str">
        <f t="shared" si="79"/>
        <v>957,7/19/2004,0,22,23,2,0</v>
      </c>
    </row>
    <row r="959" spans="1:12" x14ac:dyDescent="0.2">
      <c r="A959" s="1" t="str">
        <f t="shared" si="77"/>
        <v>3818724</v>
      </c>
      <c r="B959" s="1" t="str">
        <f t="shared" si="78"/>
        <v>3818711</v>
      </c>
      <c r="C959" s="1">
        <v>958</v>
      </c>
      <c r="D959" s="4">
        <v>38187</v>
      </c>
      <c r="E959" s="1">
        <v>0</v>
      </c>
      <c r="F959" s="1">
        <v>11</v>
      </c>
      <c r="G959" s="1">
        <v>24</v>
      </c>
      <c r="H959" s="1">
        <v>2</v>
      </c>
      <c r="I959" s="1">
        <v>0</v>
      </c>
      <c r="J959" s="2" t="str">
        <f t="shared" si="75"/>
        <v>HAR</v>
      </c>
      <c r="K959" s="2" t="str">
        <f t="shared" si="76"/>
        <v>@PHI</v>
      </c>
      <c r="L959" s="1" t="str">
        <f t="shared" si="79"/>
        <v>958,7/19/2004,0,11,24,2,0</v>
      </c>
    </row>
    <row r="960" spans="1:12" x14ac:dyDescent="0.2">
      <c r="A960" s="1" t="str">
        <f t="shared" si="77"/>
        <v>381882</v>
      </c>
      <c r="B960" s="1" t="str">
        <f t="shared" si="78"/>
        <v>381883</v>
      </c>
      <c r="C960" s="1">
        <v>959</v>
      </c>
      <c r="D960" s="4">
        <v>38188</v>
      </c>
      <c r="E960" s="1">
        <v>0</v>
      </c>
      <c r="F960" s="1">
        <v>3</v>
      </c>
      <c r="G960" s="1">
        <v>2</v>
      </c>
      <c r="H960" s="1">
        <v>2</v>
      </c>
      <c r="I960" s="1">
        <v>0</v>
      </c>
      <c r="J960" s="2" t="str">
        <f t="shared" si="75"/>
        <v>TEW</v>
      </c>
      <c r="K960" s="2" t="str">
        <f t="shared" si="76"/>
        <v>@NEP</v>
      </c>
      <c r="L960" s="1" t="str">
        <f t="shared" si="79"/>
        <v>959,7/20/2004,0,3,2,2,0</v>
      </c>
    </row>
    <row r="961" spans="1:12" x14ac:dyDescent="0.2">
      <c r="A961" s="1" t="str">
        <f t="shared" si="77"/>
        <v>381884</v>
      </c>
      <c r="B961" s="1" t="str">
        <f t="shared" si="78"/>
        <v>3818821</v>
      </c>
      <c r="C961" s="1">
        <v>960</v>
      </c>
      <c r="D961" s="4">
        <v>38188</v>
      </c>
      <c r="E961" s="1">
        <v>0</v>
      </c>
      <c r="F961" s="1">
        <v>21</v>
      </c>
      <c r="G961" s="1">
        <v>4</v>
      </c>
      <c r="H961" s="1">
        <v>2</v>
      </c>
      <c r="I961" s="1">
        <v>0</v>
      </c>
      <c r="J961" s="2" t="str">
        <f t="shared" si="75"/>
        <v>NYD</v>
      </c>
      <c r="K961" s="2" t="str">
        <f t="shared" si="76"/>
        <v>@NNN</v>
      </c>
      <c r="L961" s="1" t="str">
        <f t="shared" si="79"/>
        <v>960,7/20/2004,0,21,4,2,0</v>
      </c>
    </row>
    <row r="962" spans="1:12" x14ac:dyDescent="0.2">
      <c r="A962" s="1" t="str">
        <f t="shared" si="77"/>
        <v>381888</v>
      </c>
      <c r="B962" s="1" t="str">
        <f t="shared" si="78"/>
        <v>3818813</v>
      </c>
      <c r="C962" s="1">
        <v>961</v>
      </c>
      <c r="D962" s="4">
        <v>38188</v>
      </c>
      <c r="E962" s="1">
        <v>0</v>
      </c>
      <c r="F962" s="1">
        <v>13</v>
      </c>
      <c r="G962" s="1">
        <v>8</v>
      </c>
      <c r="H962" s="1">
        <v>2</v>
      </c>
      <c r="I962" s="1">
        <v>0</v>
      </c>
      <c r="J962" s="2" t="str">
        <f t="shared" ref="J962:J1025" si="80">VLOOKUP(F962,$M$2:$N$21,2,0)</f>
        <v>BBG</v>
      </c>
      <c r="K962" s="2" t="str">
        <f t="shared" ref="K962:K1025" si="81">"@"&amp;VLOOKUP(G962,$M$2:$N$21,2,0)</f>
        <v>@CTW</v>
      </c>
      <c r="L962" s="1" t="str">
        <f t="shared" si="79"/>
        <v>961,7/20/2004,0,13,8,2,0</v>
      </c>
    </row>
    <row r="963" spans="1:12" x14ac:dyDescent="0.2">
      <c r="A963" s="1" t="str">
        <f t="shared" si="77"/>
        <v>381889</v>
      </c>
      <c r="B963" s="1" t="str">
        <f t="shared" si="78"/>
        <v>381887</v>
      </c>
      <c r="C963" s="1">
        <v>962</v>
      </c>
      <c r="D963" s="4">
        <v>38188</v>
      </c>
      <c r="E963" s="1">
        <v>0</v>
      </c>
      <c r="F963" s="1">
        <v>7</v>
      </c>
      <c r="G963" s="1">
        <v>9</v>
      </c>
      <c r="H963" s="1">
        <v>2</v>
      </c>
      <c r="I963" s="1">
        <v>0</v>
      </c>
      <c r="J963" s="2" t="str">
        <f t="shared" si="80"/>
        <v>BAR</v>
      </c>
      <c r="K963" s="2" t="str">
        <f t="shared" si="81"/>
        <v>@CIN</v>
      </c>
      <c r="L963" s="1" t="str">
        <f t="shared" si="79"/>
        <v>962,7/20/2004,0,7,9,2,0</v>
      </c>
    </row>
    <row r="964" spans="1:12" x14ac:dyDescent="0.2">
      <c r="A964" s="1" t="str">
        <f t="shared" si="77"/>
        <v>3818812</v>
      </c>
      <c r="B964" s="1" t="str">
        <f t="shared" si="78"/>
        <v>381881</v>
      </c>
      <c r="C964" s="1">
        <v>963</v>
      </c>
      <c r="D964" s="4">
        <v>38188</v>
      </c>
      <c r="E964" s="1">
        <v>0</v>
      </c>
      <c r="F964" s="1">
        <v>1</v>
      </c>
      <c r="G964" s="1">
        <v>12</v>
      </c>
      <c r="H964" s="1">
        <v>2</v>
      </c>
      <c r="I964" s="1">
        <v>0</v>
      </c>
      <c r="J964" s="2" t="str">
        <f t="shared" si="80"/>
        <v>FFR</v>
      </c>
      <c r="K964" s="2" t="str">
        <f t="shared" si="81"/>
        <v>@RMO</v>
      </c>
      <c r="L964" s="1" t="str">
        <f t="shared" si="79"/>
        <v>963,7/20/2004,0,1,12,2,0</v>
      </c>
    </row>
    <row r="965" spans="1:12" x14ac:dyDescent="0.2">
      <c r="A965" s="1" t="str">
        <f t="shared" si="77"/>
        <v>3818816</v>
      </c>
      <c r="B965" s="1" t="str">
        <f t="shared" si="78"/>
        <v>381885</v>
      </c>
      <c r="C965" s="1">
        <v>964</v>
      </c>
      <c r="D965" s="4">
        <v>38188</v>
      </c>
      <c r="E965" s="1">
        <v>0</v>
      </c>
      <c r="F965" s="1">
        <v>5</v>
      </c>
      <c r="G965" s="1">
        <v>16</v>
      </c>
      <c r="H965" s="1">
        <v>2</v>
      </c>
      <c r="I965" s="1">
        <v>0</v>
      </c>
      <c r="J965" s="2" t="str">
        <f t="shared" si="80"/>
        <v>OKO</v>
      </c>
      <c r="K965" s="2" t="str">
        <f t="shared" si="81"/>
        <v>@DIG</v>
      </c>
      <c r="L965" s="1" t="str">
        <f t="shared" si="79"/>
        <v>964,7/20/2004,0,5,16,2,0</v>
      </c>
    </row>
    <row r="966" spans="1:12" x14ac:dyDescent="0.2">
      <c r="A966" s="1" t="str">
        <f t="shared" si="77"/>
        <v>3818817</v>
      </c>
      <c r="B966" s="1" t="str">
        <f t="shared" si="78"/>
        <v>3818810</v>
      </c>
      <c r="C966" s="1">
        <v>965</v>
      </c>
      <c r="D966" s="4">
        <v>38188</v>
      </c>
      <c r="E966" s="1">
        <v>0</v>
      </c>
      <c r="F966" s="1">
        <v>10</v>
      </c>
      <c r="G966" s="1">
        <v>17</v>
      </c>
      <c r="H966" s="1">
        <v>2</v>
      </c>
      <c r="I966" s="1">
        <v>0</v>
      </c>
      <c r="J966" s="2" t="str">
        <f t="shared" si="80"/>
        <v>REN</v>
      </c>
      <c r="K966" s="2" t="str">
        <f t="shared" si="81"/>
        <v>@GAR</v>
      </c>
      <c r="L966" s="1" t="str">
        <f t="shared" si="79"/>
        <v>965,7/20/2004,0,10,17,2,0</v>
      </c>
    </row>
    <row r="967" spans="1:12" x14ac:dyDescent="0.2">
      <c r="A967" s="1" t="str">
        <f t="shared" si="77"/>
        <v>3818820</v>
      </c>
      <c r="B967" s="1" t="str">
        <f t="shared" si="78"/>
        <v>3818814</v>
      </c>
      <c r="C967" s="1">
        <v>966</v>
      </c>
      <c r="D967" s="4">
        <v>38188</v>
      </c>
      <c r="E967" s="1">
        <v>0</v>
      </c>
      <c r="F967" s="1">
        <v>14</v>
      </c>
      <c r="G967" s="1">
        <v>20</v>
      </c>
      <c r="H967" s="1">
        <v>2</v>
      </c>
      <c r="I967" s="1">
        <v>0</v>
      </c>
      <c r="J967" s="2" t="str">
        <f t="shared" si="80"/>
        <v>CEN</v>
      </c>
      <c r="K967" s="2" t="str">
        <f t="shared" si="81"/>
        <v>@FDH</v>
      </c>
      <c r="L967" s="1" t="str">
        <f t="shared" si="79"/>
        <v>966,7/20/2004,0,14,20,2,0</v>
      </c>
    </row>
    <row r="968" spans="1:12" x14ac:dyDescent="0.2">
      <c r="A968" s="1" t="str">
        <f t="shared" si="77"/>
        <v>3818823</v>
      </c>
      <c r="B968" s="1" t="str">
        <f t="shared" si="78"/>
        <v>3818822</v>
      </c>
      <c r="C968" s="1">
        <v>967</v>
      </c>
      <c r="D968" s="4">
        <v>38188</v>
      </c>
      <c r="E968" s="1">
        <v>0</v>
      </c>
      <c r="F968" s="1">
        <v>22</v>
      </c>
      <c r="G968" s="1">
        <v>23</v>
      </c>
      <c r="H968" s="1">
        <v>2</v>
      </c>
      <c r="I968" s="1">
        <v>0</v>
      </c>
      <c r="J968" s="2" t="str">
        <f t="shared" si="80"/>
        <v>CBB</v>
      </c>
      <c r="K968" s="2" t="str">
        <f t="shared" si="81"/>
        <v>@BRK</v>
      </c>
      <c r="L968" s="1" t="str">
        <f t="shared" si="79"/>
        <v>967,7/20/2004,0,22,23,2,0</v>
      </c>
    </row>
    <row r="969" spans="1:12" x14ac:dyDescent="0.2">
      <c r="A969" s="1" t="str">
        <f t="shared" si="77"/>
        <v>3818824</v>
      </c>
      <c r="B969" s="1" t="str">
        <f t="shared" si="78"/>
        <v>3818811</v>
      </c>
      <c r="C969" s="1">
        <v>968</v>
      </c>
      <c r="D969" s="4">
        <v>38188</v>
      </c>
      <c r="E969" s="1">
        <v>0</v>
      </c>
      <c r="F969" s="1">
        <v>11</v>
      </c>
      <c r="G969" s="1">
        <v>24</v>
      </c>
      <c r="H969" s="1">
        <v>2</v>
      </c>
      <c r="I969" s="1">
        <v>0</v>
      </c>
      <c r="J969" s="2" t="str">
        <f t="shared" si="80"/>
        <v>HAR</v>
      </c>
      <c r="K969" s="2" t="str">
        <f t="shared" si="81"/>
        <v>@PHI</v>
      </c>
      <c r="L969" s="1" t="str">
        <f t="shared" si="79"/>
        <v>968,7/20/2004,0,11,24,2,0</v>
      </c>
    </row>
    <row r="970" spans="1:12" x14ac:dyDescent="0.2">
      <c r="A970" s="1" t="str">
        <f t="shared" si="77"/>
        <v>3818916</v>
      </c>
      <c r="B970" s="1" t="str">
        <f t="shared" si="78"/>
        <v>381895</v>
      </c>
      <c r="C970" s="1">
        <v>969</v>
      </c>
      <c r="D970" s="4">
        <v>38189</v>
      </c>
      <c r="E970" s="1">
        <v>0</v>
      </c>
      <c r="F970" s="1">
        <v>5</v>
      </c>
      <c r="G970" s="1">
        <v>16</v>
      </c>
      <c r="H970" s="1">
        <v>2</v>
      </c>
      <c r="I970" s="1">
        <v>0</v>
      </c>
      <c r="J970" s="2" t="str">
        <f t="shared" si="80"/>
        <v>OKO</v>
      </c>
      <c r="K970" s="2" t="str">
        <f t="shared" si="81"/>
        <v>@DIG</v>
      </c>
      <c r="L970" s="1" t="str">
        <f t="shared" si="79"/>
        <v>969,7/21/2004,0,5,16,2,0</v>
      </c>
    </row>
    <row r="971" spans="1:12" x14ac:dyDescent="0.2">
      <c r="A971" s="1" t="str">
        <f t="shared" si="77"/>
        <v>3818920</v>
      </c>
      <c r="B971" s="1" t="str">
        <f t="shared" si="78"/>
        <v>3818914</v>
      </c>
      <c r="C971" s="1">
        <v>970</v>
      </c>
      <c r="D971" s="4">
        <v>38189</v>
      </c>
      <c r="E971" s="1">
        <v>0</v>
      </c>
      <c r="F971" s="1">
        <v>14</v>
      </c>
      <c r="G971" s="1">
        <v>20</v>
      </c>
      <c r="H971" s="1">
        <v>2</v>
      </c>
      <c r="I971" s="1">
        <v>0</v>
      </c>
      <c r="J971" s="2" t="str">
        <f t="shared" si="80"/>
        <v>CEN</v>
      </c>
      <c r="K971" s="2" t="str">
        <f t="shared" si="81"/>
        <v>@FDH</v>
      </c>
      <c r="L971" s="1" t="str">
        <f t="shared" si="79"/>
        <v>970,7/21/2004,0,14,20,2,0</v>
      </c>
    </row>
    <row r="972" spans="1:12" x14ac:dyDescent="0.2">
      <c r="A972" s="1" t="str">
        <f t="shared" si="77"/>
        <v>381892</v>
      </c>
      <c r="B972" s="1" t="str">
        <f t="shared" si="78"/>
        <v>381893</v>
      </c>
      <c r="C972" s="1">
        <v>971</v>
      </c>
      <c r="D972" s="4">
        <v>38189</v>
      </c>
      <c r="E972" s="1">
        <v>0</v>
      </c>
      <c r="F972" s="1">
        <v>3</v>
      </c>
      <c r="G972" s="1">
        <v>2</v>
      </c>
      <c r="H972" s="1">
        <v>2</v>
      </c>
      <c r="I972" s="1">
        <v>0</v>
      </c>
      <c r="J972" s="2" t="str">
        <f t="shared" si="80"/>
        <v>TEW</v>
      </c>
      <c r="K972" s="2" t="str">
        <f t="shared" si="81"/>
        <v>@NEP</v>
      </c>
      <c r="L972" s="1" t="str">
        <f t="shared" si="79"/>
        <v>971,7/21/2004,0,3,2,2,0</v>
      </c>
    </row>
    <row r="973" spans="1:12" x14ac:dyDescent="0.2">
      <c r="A973" s="1" t="str">
        <f t="shared" si="77"/>
        <v>3818912</v>
      </c>
      <c r="B973" s="1" t="str">
        <f t="shared" si="78"/>
        <v>381891</v>
      </c>
      <c r="C973" s="1">
        <v>972</v>
      </c>
      <c r="D973" s="4">
        <v>38189</v>
      </c>
      <c r="E973" s="1">
        <v>0</v>
      </c>
      <c r="F973" s="1">
        <v>1</v>
      </c>
      <c r="G973" s="1">
        <v>12</v>
      </c>
      <c r="H973" s="1">
        <v>2</v>
      </c>
      <c r="I973" s="1">
        <v>0</v>
      </c>
      <c r="J973" s="2" t="str">
        <f t="shared" si="80"/>
        <v>FFR</v>
      </c>
      <c r="K973" s="2" t="str">
        <f t="shared" si="81"/>
        <v>@RMO</v>
      </c>
      <c r="L973" s="1" t="str">
        <f t="shared" si="79"/>
        <v>972,7/21/2004,0,1,12,2,0</v>
      </c>
    </row>
    <row r="974" spans="1:12" x14ac:dyDescent="0.2">
      <c r="A974" s="1" t="str">
        <f t="shared" si="77"/>
        <v>3818917</v>
      </c>
      <c r="B974" s="1" t="str">
        <f t="shared" si="78"/>
        <v>3818910</v>
      </c>
      <c r="C974" s="1">
        <v>973</v>
      </c>
      <c r="D974" s="4">
        <v>38189</v>
      </c>
      <c r="E974" s="1">
        <v>0</v>
      </c>
      <c r="F974" s="1">
        <v>10</v>
      </c>
      <c r="G974" s="1">
        <v>17</v>
      </c>
      <c r="H974" s="1">
        <v>2</v>
      </c>
      <c r="I974" s="1">
        <v>0</v>
      </c>
      <c r="J974" s="2" t="str">
        <f t="shared" si="80"/>
        <v>REN</v>
      </c>
      <c r="K974" s="2" t="str">
        <f t="shared" si="81"/>
        <v>@GAR</v>
      </c>
      <c r="L974" s="1" t="str">
        <f t="shared" si="79"/>
        <v>973,7/21/2004,0,10,17,2,0</v>
      </c>
    </row>
    <row r="975" spans="1:12" x14ac:dyDescent="0.2">
      <c r="A975" s="1" t="str">
        <f t="shared" si="77"/>
        <v>381894</v>
      </c>
      <c r="B975" s="1" t="str">
        <f t="shared" si="78"/>
        <v>3818921</v>
      </c>
      <c r="C975" s="1">
        <v>974</v>
      </c>
      <c r="D975" s="4">
        <v>38189</v>
      </c>
      <c r="E975" s="1">
        <v>0</v>
      </c>
      <c r="F975" s="1">
        <v>21</v>
      </c>
      <c r="G975" s="1">
        <v>4</v>
      </c>
      <c r="H975" s="1">
        <v>2</v>
      </c>
      <c r="I975" s="1">
        <v>0</v>
      </c>
      <c r="J975" s="2" t="str">
        <f t="shared" si="80"/>
        <v>NYD</v>
      </c>
      <c r="K975" s="2" t="str">
        <f t="shared" si="81"/>
        <v>@NNN</v>
      </c>
      <c r="L975" s="1" t="str">
        <f t="shared" si="79"/>
        <v>974,7/21/2004,0,21,4,2,0</v>
      </c>
    </row>
    <row r="976" spans="1:12" x14ac:dyDescent="0.2">
      <c r="A976" s="1" t="str">
        <f t="shared" si="77"/>
        <v>381904</v>
      </c>
      <c r="B976" s="1" t="str">
        <f t="shared" si="78"/>
        <v>3819017</v>
      </c>
      <c r="C976" s="1">
        <v>975</v>
      </c>
      <c r="D976" s="4">
        <v>38190</v>
      </c>
      <c r="E976" s="1">
        <v>0</v>
      </c>
      <c r="F976" s="1">
        <v>17</v>
      </c>
      <c r="G976" s="1">
        <v>4</v>
      </c>
      <c r="H976" s="1">
        <v>2</v>
      </c>
      <c r="I976" s="1">
        <v>0</v>
      </c>
      <c r="J976" s="2" t="str">
        <f t="shared" si="80"/>
        <v>GAR</v>
      </c>
      <c r="K976" s="2" t="str">
        <f t="shared" si="81"/>
        <v>@NNN</v>
      </c>
      <c r="L976" s="1" t="str">
        <f t="shared" si="79"/>
        <v>975,7/22/2004,0,17,4,2,0</v>
      </c>
    </row>
    <row r="977" spans="1:12" x14ac:dyDescent="0.2">
      <c r="A977" s="1" t="str">
        <f t="shared" si="77"/>
        <v>3819021</v>
      </c>
      <c r="B977" s="1" t="str">
        <f t="shared" si="78"/>
        <v>3819010</v>
      </c>
      <c r="C977" s="1">
        <v>976</v>
      </c>
      <c r="D977" s="4">
        <v>38190</v>
      </c>
      <c r="E977" s="1">
        <v>0</v>
      </c>
      <c r="F977" s="1">
        <v>10</v>
      </c>
      <c r="G977" s="1">
        <v>21</v>
      </c>
      <c r="H977" s="1">
        <v>2</v>
      </c>
      <c r="I977" s="1">
        <v>0</v>
      </c>
      <c r="J977" s="2" t="str">
        <f t="shared" si="80"/>
        <v>REN</v>
      </c>
      <c r="K977" s="2" t="str">
        <f t="shared" si="81"/>
        <v>@NYD</v>
      </c>
      <c r="L977" s="1" t="str">
        <f t="shared" si="79"/>
        <v>976,7/22/2004,0,10,21,2,0</v>
      </c>
    </row>
    <row r="978" spans="1:12" x14ac:dyDescent="0.2">
      <c r="A978" s="1" t="str">
        <f t="shared" si="77"/>
        <v>381902</v>
      </c>
      <c r="B978" s="1" t="str">
        <f t="shared" si="78"/>
        <v>381903</v>
      </c>
      <c r="C978" s="1">
        <v>977</v>
      </c>
      <c r="D978" s="4">
        <v>38190</v>
      </c>
      <c r="E978" s="1">
        <v>0</v>
      </c>
      <c r="F978" s="1">
        <v>3</v>
      </c>
      <c r="G978" s="1">
        <v>2</v>
      </c>
      <c r="H978" s="1">
        <v>2</v>
      </c>
      <c r="I978" s="1">
        <v>0</v>
      </c>
      <c r="J978" s="2" t="str">
        <f t="shared" si="80"/>
        <v>TEW</v>
      </c>
      <c r="K978" s="2" t="str">
        <f t="shared" si="81"/>
        <v>@NEP</v>
      </c>
      <c r="L978" s="1" t="str">
        <f t="shared" si="79"/>
        <v>977,7/22/2004,0,3,2,2,0</v>
      </c>
    </row>
    <row r="979" spans="1:12" x14ac:dyDescent="0.2">
      <c r="A979" s="1" t="str">
        <f t="shared" si="77"/>
        <v>381908</v>
      </c>
      <c r="B979" s="1" t="str">
        <f t="shared" si="78"/>
        <v>3819013</v>
      </c>
      <c r="C979" s="1">
        <v>978</v>
      </c>
      <c r="D979" s="4">
        <v>38190</v>
      </c>
      <c r="E979" s="1">
        <v>0</v>
      </c>
      <c r="F979" s="1">
        <v>13</v>
      </c>
      <c r="G979" s="1">
        <v>8</v>
      </c>
      <c r="H979" s="1">
        <v>2</v>
      </c>
      <c r="I979" s="1">
        <v>0</v>
      </c>
      <c r="J979" s="2" t="str">
        <f t="shared" si="80"/>
        <v>BBG</v>
      </c>
      <c r="K979" s="2" t="str">
        <f t="shared" si="81"/>
        <v>@CTW</v>
      </c>
      <c r="L979" s="1" t="str">
        <f t="shared" si="79"/>
        <v>978,7/22/2004,0,13,8,2,0</v>
      </c>
    </row>
    <row r="980" spans="1:12" x14ac:dyDescent="0.2">
      <c r="A980" s="1" t="str">
        <f t="shared" si="77"/>
        <v>381909</v>
      </c>
      <c r="B980" s="1" t="str">
        <f t="shared" si="78"/>
        <v>381907</v>
      </c>
      <c r="C980" s="1">
        <v>979</v>
      </c>
      <c r="D980" s="4">
        <v>38190</v>
      </c>
      <c r="E980" s="1">
        <v>0</v>
      </c>
      <c r="F980" s="1">
        <v>7</v>
      </c>
      <c r="G980" s="1">
        <v>9</v>
      </c>
      <c r="H980" s="1">
        <v>2</v>
      </c>
      <c r="I980" s="1">
        <v>0</v>
      </c>
      <c r="J980" s="2" t="str">
        <f t="shared" si="80"/>
        <v>BAR</v>
      </c>
      <c r="K980" s="2" t="str">
        <f t="shared" si="81"/>
        <v>@CIN</v>
      </c>
      <c r="L980" s="1" t="str">
        <f t="shared" si="79"/>
        <v>979,7/22/2004,0,7,9,2,0</v>
      </c>
    </row>
    <row r="981" spans="1:12" x14ac:dyDescent="0.2">
      <c r="A981" s="1" t="str">
        <f t="shared" si="77"/>
        <v>3819012</v>
      </c>
      <c r="B981" s="1" t="str">
        <f t="shared" si="78"/>
        <v>381901</v>
      </c>
      <c r="C981" s="1">
        <v>980</v>
      </c>
      <c r="D981" s="4">
        <v>38190</v>
      </c>
      <c r="E981" s="1">
        <v>0</v>
      </c>
      <c r="F981" s="1">
        <v>1</v>
      </c>
      <c r="G981" s="1">
        <v>12</v>
      </c>
      <c r="H981" s="1">
        <v>2</v>
      </c>
      <c r="I981" s="1">
        <v>0</v>
      </c>
      <c r="J981" s="2" t="str">
        <f t="shared" si="80"/>
        <v>FFR</v>
      </c>
      <c r="K981" s="2" t="str">
        <f t="shared" si="81"/>
        <v>@RMO</v>
      </c>
      <c r="L981" s="1" t="str">
        <f t="shared" si="79"/>
        <v>980,7/22/2004,0,1,12,2,0</v>
      </c>
    </row>
    <row r="982" spans="1:12" x14ac:dyDescent="0.2">
      <c r="A982" s="1" t="str">
        <f t="shared" si="77"/>
        <v>3819016</v>
      </c>
      <c r="B982" s="1" t="str">
        <f t="shared" si="78"/>
        <v>381905</v>
      </c>
      <c r="C982" s="1">
        <v>981</v>
      </c>
      <c r="D982" s="4">
        <v>38190</v>
      </c>
      <c r="E982" s="1">
        <v>0</v>
      </c>
      <c r="F982" s="1">
        <v>5</v>
      </c>
      <c r="G982" s="1">
        <v>16</v>
      </c>
      <c r="H982" s="1">
        <v>2</v>
      </c>
      <c r="I982" s="1">
        <v>0</v>
      </c>
      <c r="J982" s="2" t="str">
        <f t="shared" si="80"/>
        <v>OKO</v>
      </c>
      <c r="K982" s="2" t="str">
        <f t="shared" si="81"/>
        <v>@DIG</v>
      </c>
      <c r="L982" s="1" t="str">
        <f t="shared" si="79"/>
        <v>981,7/22/2004,0,5,16,2,0</v>
      </c>
    </row>
    <row r="983" spans="1:12" x14ac:dyDescent="0.2">
      <c r="A983" s="1" t="str">
        <f t="shared" si="77"/>
        <v>3819020</v>
      </c>
      <c r="B983" s="1" t="str">
        <f t="shared" si="78"/>
        <v>3819014</v>
      </c>
      <c r="C983" s="1">
        <v>982</v>
      </c>
      <c r="D983" s="4">
        <v>38190</v>
      </c>
      <c r="E983" s="1">
        <v>0</v>
      </c>
      <c r="F983" s="1">
        <v>14</v>
      </c>
      <c r="G983" s="1">
        <v>20</v>
      </c>
      <c r="H983" s="1">
        <v>2</v>
      </c>
      <c r="I983" s="1">
        <v>0</v>
      </c>
      <c r="J983" s="2" t="str">
        <f t="shared" si="80"/>
        <v>CEN</v>
      </c>
      <c r="K983" s="2" t="str">
        <f t="shared" si="81"/>
        <v>@FDH</v>
      </c>
      <c r="L983" s="1" t="str">
        <f t="shared" si="79"/>
        <v>982,7/22/2004,0,14,20,2,0</v>
      </c>
    </row>
    <row r="984" spans="1:12" x14ac:dyDescent="0.2">
      <c r="A984" s="1" t="str">
        <f t="shared" si="77"/>
        <v>3819023</v>
      </c>
      <c r="B984" s="1" t="str">
        <f t="shared" si="78"/>
        <v>3819022</v>
      </c>
      <c r="C984" s="1">
        <v>983</v>
      </c>
      <c r="D984" s="4">
        <v>38190</v>
      </c>
      <c r="E984" s="1">
        <v>0</v>
      </c>
      <c r="F984" s="1">
        <v>22</v>
      </c>
      <c r="G984" s="1">
        <v>23</v>
      </c>
      <c r="H984" s="1">
        <v>2</v>
      </c>
      <c r="I984" s="1">
        <v>0</v>
      </c>
      <c r="J984" s="2" t="str">
        <f t="shared" si="80"/>
        <v>CBB</v>
      </c>
      <c r="K984" s="2" t="str">
        <f t="shared" si="81"/>
        <v>@BRK</v>
      </c>
      <c r="L984" s="1" t="str">
        <f t="shared" si="79"/>
        <v>983,7/22/2004,0,22,23,2,0</v>
      </c>
    </row>
    <row r="985" spans="1:12" x14ac:dyDescent="0.2">
      <c r="A985" s="1" t="str">
        <f t="shared" si="77"/>
        <v>3819024</v>
      </c>
      <c r="B985" s="1" t="str">
        <f t="shared" si="78"/>
        <v>3819011</v>
      </c>
      <c r="C985" s="1">
        <v>984</v>
      </c>
      <c r="D985" s="4">
        <v>38190</v>
      </c>
      <c r="E985" s="1">
        <v>0</v>
      </c>
      <c r="F985" s="1">
        <v>11</v>
      </c>
      <c r="G985" s="1">
        <v>24</v>
      </c>
      <c r="H985" s="1">
        <v>2</v>
      </c>
      <c r="I985" s="1">
        <v>0</v>
      </c>
      <c r="J985" s="2" t="str">
        <f t="shared" si="80"/>
        <v>HAR</v>
      </c>
      <c r="K985" s="2" t="str">
        <f t="shared" si="81"/>
        <v>@PHI</v>
      </c>
      <c r="L985" s="1" t="str">
        <f t="shared" si="79"/>
        <v>984,7/22/2004,0,11,24,2,0</v>
      </c>
    </row>
    <row r="986" spans="1:12" x14ac:dyDescent="0.2">
      <c r="A986" s="1" t="str">
        <f t="shared" si="77"/>
        <v>381912</v>
      </c>
      <c r="B986" s="1" t="str">
        <f t="shared" si="78"/>
        <v>381913</v>
      </c>
      <c r="C986" s="1">
        <v>985</v>
      </c>
      <c r="D986" s="4">
        <v>38191</v>
      </c>
      <c r="E986" s="1">
        <v>0</v>
      </c>
      <c r="F986" s="1">
        <v>3</v>
      </c>
      <c r="G986" s="1">
        <v>2</v>
      </c>
      <c r="H986" s="1">
        <v>2</v>
      </c>
      <c r="I986" s="1">
        <v>0</v>
      </c>
      <c r="J986" s="2" t="str">
        <f t="shared" si="80"/>
        <v>TEW</v>
      </c>
      <c r="K986" s="2" t="str">
        <f t="shared" si="81"/>
        <v>@NEP</v>
      </c>
      <c r="L986" s="1" t="str">
        <f t="shared" si="79"/>
        <v>985,7/23/2004,0,3,2,2,0</v>
      </c>
    </row>
    <row r="987" spans="1:12" x14ac:dyDescent="0.2">
      <c r="A987" s="1" t="str">
        <f t="shared" si="77"/>
        <v>381914</v>
      </c>
      <c r="B987" s="1" t="str">
        <f t="shared" si="78"/>
        <v>3819117</v>
      </c>
      <c r="C987" s="1">
        <v>986</v>
      </c>
      <c r="D987" s="4">
        <v>38191</v>
      </c>
      <c r="E987" s="1">
        <v>0</v>
      </c>
      <c r="F987" s="1">
        <v>17</v>
      </c>
      <c r="G987" s="1">
        <v>4</v>
      </c>
      <c r="H987" s="1">
        <v>2</v>
      </c>
      <c r="I987" s="1">
        <v>0</v>
      </c>
      <c r="J987" s="2" t="str">
        <f t="shared" si="80"/>
        <v>GAR</v>
      </c>
      <c r="K987" s="2" t="str">
        <f t="shared" si="81"/>
        <v>@NNN</v>
      </c>
      <c r="L987" s="1" t="str">
        <f t="shared" si="79"/>
        <v>986,7/23/2004,0,17,4,2,0</v>
      </c>
    </row>
    <row r="988" spans="1:12" x14ac:dyDescent="0.2">
      <c r="A988" s="1" t="str">
        <f t="shared" si="77"/>
        <v>381898</v>
      </c>
      <c r="B988" s="1" t="str">
        <f t="shared" si="78"/>
        <v>3818913</v>
      </c>
      <c r="C988" s="1">
        <v>987</v>
      </c>
      <c r="D988" s="4">
        <v>38189</v>
      </c>
      <c r="E988" s="1">
        <v>0</v>
      </c>
      <c r="F988" s="1">
        <v>13</v>
      </c>
      <c r="G988" s="1">
        <v>8</v>
      </c>
      <c r="H988" s="1">
        <v>2</v>
      </c>
      <c r="I988" s="1">
        <v>0</v>
      </c>
      <c r="J988" s="2" t="str">
        <f t="shared" si="80"/>
        <v>BBG</v>
      </c>
      <c r="K988" s="2" t="str">
        <f t="shared" si="81"/>
        <v>@CTW</v>
      </c>
      <c r="L988" s="1" t="str">
        <f t="shared" si="79"/>
        <v>987,7/21/2004,0,13,8,2,0</v>
      </c>
    </row>
    <row r="989" spans="1:12" x14ac:dyDescent="0.2">
      <c r="A989" s="1" t="str">
        <f t="shared" si="77"/>
        <v>381899</v>
      </c>
      <c r="B989" s="1" t="str">
        <f t="shared" si="78"/>
        <v>381897</v>
      </c>
      <c r="C989" s="1">
        <v>988</v>
      </c>
      <c r="D989" s="4">
        <v>38189</v>
      </c>
      <c r="E989" s="1">
        <v>0</v>
      </c>
      <c r="F989" s="1">
        <v>7</v>
      </c>
      <c r="G989" s="1">
        <v>9</v>
      </c>
      <c r="H989" s="1">
        <v>2</v>
      </c>
      <c r="I989" s="1">
        <v>0</v>
      </c>
      <c r="J989" s="2" t="str">
        <f t="shared" si="80"/>
        <v>BAR</v>
      </c>
      <c r="K989" s="2" t="str">
        <f t="shared" si="81"/>
        <v>@CIN</v>
      </c>
      <c r="L989" s="1" t="str">
        <f t="shared" si="79"/>
        <v>988,7/21/2004,0,7,9,2,0</v>
      </c>
    </row>
    <row r="990" spans="1:12" x14ac:dyDescent="0.2">
      <c r="A990" s="1" t="str">
        <f t="shared" si="77"/>
        <v>3819112</v>
      </c>
      <c r="B990" s="1" t="str">
        <f t="shared" si="78"/>
        <v>381911</v>
      </c>
      <c r="C990" s="1">
        <v>989</v>
      </c>
      <c r="D990" s="4">
        <v>38191</v>
      </c>
      <c r="E990" s="1">
        <v>0</v>
      </c>
      <c r="F990" s="1">
        <v>1</v>
      </c>
      <c r="G990" s="1">
        <v>12</v>
      </c>
      <c r="H990" s="1">
        <v>2</v>
      </c>
      <c r="I990" s="1">
        <v>0</v>
      </c>
      <c r="J990" s="2" t="str">
        <f t="shared" si="80"/>
        <v>FFR</v>
      </c>
      <c r="K990" s="2" t="str">
        <f t="shared" si="81"/>
        <v>@RMO</v>
      </c>
      <c r="L990" s="1" t="str">
        <f t="shared" si="79"/>
        <v>989,7/23/2004,0,1,12,2,0</v>
      </c>
    </row>
    <row r="991" spans="1:12" x14ac:dyDescent="0.2">
      <c r="A991" s="1" t="str">
        <f t="shared" si="77"/>
        <v>3819116</v>
      </c>
      <c r="B991" s="1" t="str">
        <f t="shared" si="78"/>
        <v>381915</v>
      </c>
      <c r="C991" s="1">
        <v>990</v>
      </c>
      <c r="D991" s="4">
        <v>38191</v>
      </c>
      <c r="E991" s="1">
        <v>0</v>
      </c>
      <c r="F991" s="1">
        <v>5</v>
      </c>
      <c r="G991" s="1">
        <v>16</v>
      </c>
      <c r="H991" s="1">
        <v>2</v>
      </c>
      <c r="I991" s="1">
        <v>0</v>
      </c>
      <c r="J991" s="2" t="str">
        <f t="shared" si="80"/>
        <v>OKO</v>
      </c>
      <c r="K991" s="2" t="str">
        <f t="shared" si="81"/>
        <v>@DIG</v>
      </c>
      <c r="L991" s="1" t="str">
        <f t="shared" si="79"/>
        <v>990,7/23/2004,0,5,16,2,0</v>
      </c>
    </row>
    <row r="992" spans="1:12" x14ac:dyDescent="0.2">
      <c r="A992" s="1" t="str">
        <f t="shared" si="77"/>
        <v>3819120</v>
      </c>
      <c r="B992" s="1" t="str">
        <f t="shared" si="78"/>
        <v>3819114</v>
      </c>
      <c r="C992" s="1">
        <v>991</v>
      </c>
      <c r="D992" s="4">
        <v>38191</v>
      </c>
      <c r="E992" s="1">
        <v>0</v>
      </c>
      <c r="F992" s="1">
        <v>14</v>
      </c>
      <c r="G992" s="56">
        <v>20</v>
      </c>
      <c r="H992" s="1">
        <v>2</v>
      </c>
      <c r="I992" s="1">
        <v>0</v>
      </c>
      <c r="J992" s="2" t="str">
        <f t="shared" si="80"/>
        <v>CEN</v>
      </c>
      <c r="K992" s="2" t="str">
        <f t="shared" si="81"/>
        <v>@FDH</v>
      </c>
      <c r="L992" s="1" t="str">
        <f t="shared" si="79"/>
        <v>991,7/23/2004,0,14,20,2,0</v>
      </c>
    </row>
    <row r="993" spans="1:12" x14ac:dyDescent="0.2">
      <c r="A993" s="1" t="str">
        <f t="shared" si="77"/>
        <v>3819121</v>
      </c>
      <c r="B993" s="1" t="str">
        <f t="shared" si="78"/>
        <v>3819110</v>
      </c>
      <c r="C993" s="1">
        <v>992</v>
      </c>
      <c r="D993" s="4">
        <v>38191</v>
      </c>
      <c r="E993" s="1">
        <v>0</v>
      </c>
      <c r="F993" s="1">
        <v>10</v>
      </c>
      <c r="G993" s="1">
        <v>21</v>
      </c>
      <c r="H993" s="1">
        <v>2</v>
      </c>
      <c r="I993" s="1">
        <v>0</v>
      </c>
      <c r="J993" s="2" t="str">
        <f t="shared" si="80"/>
        <v>REN</v>
      </c>
      <c r="K993" s="2" t="str">
        <f t="shared" si="81"/>
        <v>@NYD</v>
      </c>
      <c r="L993" s="1" t="str">
        <f t="shared" si="79"/>
        <v>992,7/23/2004,0,10,21,2,0</v>
      </c>
    </row>
    <row r="994" spans="1:12" x14ac:dyDescent="0.2">
      <c r="A994" s="1" t="str">
        <f t="shared" si="77"/>
        <v>3819123</v>
      </c>
      <c r="B994" s="1" t="str">
        <f t="shared" si="78"/>
        <v>3819122</v>
      </c>
      <c r="C994" s="1">
        <v>993</v>
      </c>
      <c r="D994" s="4">
        <v>38191</v>
      </c>
      <c r="E994" s="1">
        <v>0</v>
      </c>
      <c r="F994" s="1">
        <v>22</v>
      </c>
      <c r="G994" s="1">
        <v>23</v>
      </c>
      <c r="H994" s="1">
        <v>2</v>
      </c>
      <c r="I994" s="1">
        <v>0</v>
      </c>
      <c r="J994" s="2" t="str">
        <f t="shared" si="80"/>
        <v>CBB</v>
      </c>
      <c r="K994" s="2" t="str">
        <f t="shared" si="81"/>
        <v>@BRK</v>
      </c>
      <c r="L994" s="1" t="str">
        <f t="shared" si="79"/>
        <v>993,7/23/2004,0,22,23,2,0</v>
      </c>
    </row>
    <row r="995" spans="1:12" x14ac:dyDescent="0.2">
      <c r="A995" s="1" t="str">
        <f t="shared" si="77"/>
        <v>3819124</v>
      </c>
      <c r="B995" s="1" t="str">
        <f t="shared" si="78"/>
        <v>3819111</v>
      </c>
      <c r="C995" s="1">
        <v>994</v>
      </c>
      <c r="D995" s="4">
        <v>38191</v>
      </c>
      <c r="E995" s="1">
        <v>0</v>
      </c>
      <c r="F995" s="1">
        <v>11</v>
      </c>
      <c r="G995" s="1">
        <v>24</v>
      </c>
      <c r="H995" s="1">
        <v>2</v>
      </c>
      <c r="I995" s="1">
        <v>0</v>
      </c>
      <c r="J995" s="2" t="str">
        <f t="shared" si="80"/>
        <v>HAR</v>
      </c>
      <c r="K995" s="2" t="str">
        <f t="shared" si="81"/>
        <v>@PHI</v>
      </c>
      <c r="L995" s="1" t="str">
        <f t="shared" si="79"/>
        <v>994,7/23/2004,0,11,24,2,0</v>
      </c>
    </row>
    <row r="996" spans="1:12" x14ac:dyDescent="0.2">
      <c r="A996" s="1" t="str">
        <f t="shared" si="77"/>
        <v>381927</v>
      </c>
      <c r="B996" s="1" t="str">
        <f t="shared" si="78"/>
        <v>3819213</v>
      </c>
      <c r="C996" s="1">
        <v>995</v>
      </c>
      <c r="D996" s="4">
        <v>38192</v>
      </c>
      <c r="E996" s="1">
        <v>0</v>
      </c>
      <c r="F996" s="1">
        <v>13</v>
      </c>
      <c r="G996" s="1">
        <v>7</v>
      </c>
      <c r="H996" s="1">
        <v>2</v>
      </c>
      <c r="I996" s="1">
        <v>0</v>
      </c>
      <c r="J996" s="2" t="str">
        <f t="shared" si="80"/>
        <v>BBG</v>
      </c>
      <c r="K996" s="2" t="str">
        <f t="shared" si="81"/>
        <v>@BAR</v>
      </c>
      <c r="L996" s="1" t="str">
        <f t="shared" si="79"/>
        <v>995,7/24/2004,0,13,7,2,0</v>
      </c>
    </row>
    <row r="997" spans="1:12" x14ac:dyDescent="0.2">
      <c r="A997" s="1" t="str">
        <f t="shared" si="77"/>
        <v>381929</v>
      </c>
      <c r="B997" s="1" t="str">
        <f t="shared" si="78"/>
        <v>3819220</v>
      </c>
      <c r="C997" s="1">
        <v>996</v>
      </c>
      <c r="D997" s="4">
        <v>38192</v>
      </c>
      <c r="E997" s="1">
        <v>0</v>
      </c>
      <c r="F997" s="1">
        <v>20</v>
      </c>
      <c r="G997" s="1">
        <v>9</v>
      </c>
      <c r="H997" s="1">
        <v>2</v>
      </c>
      <c r="I997" s="1">
        <v>0</v>
      </c>
      <c r="J997" s="2" t="str">
        <f t="shared" si="80"/>
        <v>FDH</v>
      </c>
      <c r="K997" s="2" t="str">
        <f t="shared" si="81"/>
        <v>@CIN</v>
      </c>
      <c r="L997" s="1" t="str">
        <f t="shared" si="79"/>
        <v>996,7/24/2004,0,20,9,2,0</v>
      </c>
    </row>
    <row r="998" spans="1:12" x14ac:dyDescent="0.2">
      <c r="A998" s="1" t="str">
        <f t="shared" ref="A998:A1061" si="82">D998&amp;G998</f>
        <v>3819216</v>
      </c>
      <c r="B998" s="1" t="str">
        <f t="shared" ref="B998:B1061" si="83">D998&amp;F998</f>
        <v>3819223</v>
      </c>
      <c r="C998" s="1">
        <v>997</v>
      </c>
      <c r="D998" s="4">
        <v>38192</v>
      </c>
      <c r="E998" s="1">
        <v>0</v>
      </c>
      <c r="F998" s="1">
        <v>23</v>
      </c>
      <c r="G998" s="1">
        <v>16</v>
      </c>
      <c r="H998" s="1">
        <v>2</v>
      </c>
      <c r="I998" s="1">
        <v>0</v>
      </c>
      <c r="J998" s="2" t="str">
        <f t="shared" si="80"/>
        <v>BRK</v>
      </c>
      <c r="K998" s="2" t="str">
        <f t="shared" si="81"/>
        <v>@DIG</v>
      </c>
      <c r="L998" s="1" t="str">
        <f t="shared" ref="L998:L1061" si="84">C998&amp;","&amp;MONTH(D998)&amp;"/"&amp;DAY(D998)&amp;"/"&amp;YEAR(D998)&amp;","&amp;E998&amp;","&amp;F998&amp;","&amp;G998&amp;","&amp;H998&amp;","&amp;I998</f>
        <v>997,7/24/2004,0,23,16,2,0</v>
      </c>
    </row>
    <row r="999" spans="1:12" x14ac:dyDescent="0.2">
      <c r="A999" s="1" t="str">
        <f t="shared" si="82"/>
        <v>3819210</v>
      </c>
      <c r="B999" s="1" t="str">
        <f t="shared" si="83"/>
        <v>381922</v>
      </c>
      <c r="C999" s="1">
        <v>998</v>
      </c>
      <c r="D999" s="4">
        <v>38192</v>
      </c>
      <c r="E999" s="1">
        <v>0</v>
      </c>
      <c r="F999" s="1">
        <v>2</v>
      </c>
      <c r="G999" s="1">
        <v>10</v>
      </c>
      <c r="H999" s="1">
        <v>2</v>
      </c>
      <c r="I999" s="1">
        <v>0</v>
      </c>
      <c r="J999" s="2" t="str">
        <f t="shared" si="80"/>
        <v>NEP</v>
      </c>
      <c r="K999" s="2" t="str">
        <f t="shared" si="81"/>
        <v>@REN</v>
      </c>
      <c r="L999" s="1" t="str">
        <f t="shared" si="84"/>
        <v>998,7/24/2004,0,2,10,2,0</v>
      </c>
    </row>
    <row r="1000" spans="1:12" x14ac:dyDescent="0.2">
      <c r="A1000" s="1" t="str">
        <f t="shared" si="82"/>
        <v>381924</v>
      </c>
      <c r="B1000" s="1" t="str">
        <f t="shared" si="83"/>
        <v>3819212</v>
      </c>
      <c r="C1000" s="1">
        <v>999</v>
      </c>
      <c r="D1000" s="4">
        <v>38192</v>
      </c>
      <c r="E1000" s="1">
        <v>0</v>
      </c>
      <c r="F1000" s="1">
        <v>12</v>
      </c>
      <c r="G1000" s="1">
        <v>4</v>
      </c>
      <c r="H1000" s="1">
        <v>2</v>
      </c>
      <c r="I1000" s="1">
        <v>0</v>
      </c>
      <c r="J1000" s="2" t="str">
        <f t="shared" si="80"/>
        <v>RMO</v>
      </c>
      <c r="K1000" s="2" t="str">
        <f t="shared" si="81"/>
        <v>@NNN</v>
      </c>
      <c r="L1000" s="1" t="str">
        <f t="shared" si="84"/>
        <v>999,7/24/2004,0,12,4,2,0</v>
      </c>
    </row>
    <row r="1001" spans="1:12" x14ac:dyDescent="0.2">
      <c r="A1001" s="1" t="str">
        <f t="shared" si="82"/>
        <v>3819217</v>
      </c>
      <c r="B1001" s="1" t="str">
        <f t="shared" si="83"/>
        <v>381928</v>
      </c>
      <c r="C1001" s="1">
        <v>1000</v>
      </c>
      <c r="D1001" s="4">
        <v>38192</v>
      </c>
      <c r="E1001" s="1">
        <v>0</v>
      </c>
      <c r="F1001" s="1">
        <v>8</v>
      </c>
      <c r="G1001" s="1">
        <v>17</v>
      </c>
      <c r="H1001" s="1">
        <v>2</v>
      </c>
      <c r="I1001" s="1">
        <v>0</v>
      </c>
      <c r="J1001" s="2" t="str">
        <f t="shared" si="80"/>
        <v>CTW</v>
      </c>
      <c r="K1001" s="2" t="str">
        <f t="shared" si="81"/>
        <v>@GAR</v>
      </c>
      <c r="L1001" s="1" t="str">
        <f t="shared" si="84"/>
        <v>1000,7/24/2004,0,8,17,2,0</v>
      </c>
    </row>
    <row r="1002" spans="1:12" x14ac:dyDescent="0.2">
      <c r="A1002" s="1" t="str">
        <f t="shared" si="82"/>
        <v>3819214</v>
      </c>
      <c r="B1002" s="1" t="str">
        <f t="shared" si="83"/>
        <v>381923</v>
      </c>
      <c r="C1002" s="1">
        <v>1001</v>
      </c>
      <c r="D1002" s="4">
        <v>38192</v>
      </c>
      <c r="E1002" s="1">
        <v>0</v>
      </c>
      <c r="F1002" s="1">
        <v>3</v>
      </c>
      <c r="G1002" s="1">
        <v>14</v>
      </c>
      <c r="H1002" s="1">
        <v>2</v>
      </c>
      <c r="I1002" s="1">
        <v>0</v>
      </c>
      <c r="J1002" s="2" t="str">
        <f t="shared" si="80"/>
        <v>TEW</v>
      </c>
      <c r="K1002" s="2" t="str">
        <f t="shared" si="81"/>
        <v>@CEN</v>
      </c>
      <c r="L1002" s="1" t="str">
        <f t="shared" si="84"/>
        <v>1001,7/24/2004,0,3,14,2,0</v>
      </c>
    </row>
    <row r="1003" spans="1:12" x14ac:dyDescent="0.2">
      <c r="A1003" s="1" t="str">
        <f t="shared" si="82"/>
        <v>381934</v>
      </c>
      <c r="B1003" s="1" t="str">
        <f t="shared" si="83"/>
        <v>3819312</v>
      </c>
      <c r="C1003" s="1">
        <v>1002</v>
      </c>
      <c r="D1003" s="4">
        <v>38193</v>
      </c>
      <c r="E1003" s="1">
        <v>0</v>
      </c>
      <c r="F1003" s="1">
        <v>12</v>
      </c>
      <c r="G1003" s="1">
        <v>4</v>
      </c>
      <c r="H1003" s="1">
        <v>2</v>
      </c>
      <c r="I1003" s="1">
        <v>0</v>
      </c>
      <c r="J1003" s="2" t="str">
        <f t="shared" si="80"/>
        <v>RMO</v>
      </c>
      <c r="K1003" s="2" t="str">
        <f t="shared" si="81"/>
        <v>@NNN</v>
      </c>
      <c r="L1003" s="1" t="str">
        <f t="shared" si="84"/>
        <v>1002,7/25/2004,0,12,4,2,0</v>
      </c>
    </row>
    <row r="1004" spans="1:12" x14ac:dyDescent="0.2">
      <c r="A1004" s="1" t="str">
        <f t="shared" si="82"/>
        <v>381935</v>
      </c>
      <c r="B1004" s="1" t="str">
        <f t="shared" si="83"/>
        <v>381931</v>
      </c>
      <c r="C1004" s="1">
        <v>1003</v>
      </c>
      <c r="D1004" s="4">
        <v>38193</v>
      </c>
      <c r="E1004" s="1">
        <v>0</v>
      </c>
      <c r="F1004" s="1">
        <v>1</v>
      </c>
      <c r="G1004" s="1">
        <v>5</v>
      </c>
      <c r="H1004" s="1">
        <v>2</v>
      </c>
      <c r="I1004" s="1">
        <v>0</v>
      </c>
      <c r="J1004" s="2" t="str">
        <f t="shared" si="80"/>
        <v>FFR</v>
      </c>
      <c r="K1004" s="2" t="str">
        <f t="shared" si="81"/>
        <v>@OKO</v>
      </c>
      <c r="L1004" s="1" t="str">
        <f t="shared" si="84"/>
        <v>1003,7/25/2004,0,1,5,2,0</v>
      </c>
    </row>
    <row r="1005" spans="1:12" x14ac:dyDescent="0.2">
      <c r="A1005" s="1" t="str">
        <f t="shared" si="82"/>
        <v>381937</v>
      </c>
      <c r="B1005" s="1" t="str">
        <f t="shared" si="83"/>
        <v>3819313</v>
      </c>
      <c r="C1005" s="1">
        <v>1004</v>
      </c>
      <c r="D1005" s="4">
        <v>38193</v>
      </c>
      <c r="E1005" s="1">
        <v>0</v>
      </c>
      <c r="F1005" s="1">
        <v>13</v>
      </c>
      <c r="G1005" s="1">
        <v>7</v>
      </c>
      <c r="H1005" s="1">
        <v>2</v>
      </c>
      <c r="I1005" s="1">
        <v>0</v>
      </c>
      <c r="J1005" s="2" t="str">
        <f t="shared" si="80"/>
        <v>BBG</v>
      </c>
      <c r="K1005" s="2" t="str">
        <f t="shared" si="81"/>
        <v>@BAR</v>
      </c>
      <c r="L1005" s="1" t="str">
        <f t="shared" si="84"/>
        <v>1004,7/25/2004,0,13,7,2,0</v>
      </c>
    </row>
    <row r="1006" spans="1:12" x14ac:dyDescent="0.2">
      <c r="A1006" s="1" t="str">
        <f t="shared" si="82"/>
        <v>381939</v>
      </c>
      <c r="B1006" s="1" t="str">
        <f t="shared" si="83"/>
        <v>3819320</v>
      </c>
      <c r="C1006" s="1">
        <v>1005</v>
      </c>
      <c r="D1006" s="4">
        <v>38193</v>
      </c>
      <c r="E1006" s="1">
        <v>0</v>
      </c>
      <c r="F1006" s="1">
        <v>20</v>
      </c>
      <c r="G1006" s="1">
        <v>9</v>
      </c>
      <c r="H1006" s="1">
        <v>2</v>
      </c>
      <c r="I1006" s="1">
        <v>0</v>
      </c>
      <c r="J1006" s="2" t="str">
        <f t="shared" si="80"/>
        <v>FDH</v>
      </c>
      <c r="K1006" s="2" t="str">
        <f t="shared" si="81"/>
        <v>@CIN</v>
      </c>
      <c r="L1006" s="1" t="str">
        <f t="shared" si="84"/>
        <v>1005,7/25/2004,0,20,9,2,0</v>
      </c>
    </row>
    <row r="1007" spans="1:12" x14ac:dyDescent="0.2">
      <c r="A1007" s="1" t="str">
        <f t="shared" si="82"/>
        <v>3819310</v>
      </c>
      <c r="B1007" s="1" t="str">
        <f t="shared" si="83"/>
        <v>381932</v>
      </c>
      <c r="C1007" s="1">
        <v>1006</v>
      </c>
      <c r="D1007" s="4">
        <v>38193</v>
      </c>
      <c r="E1007" s="1">
        <v>0</v>
      </c>
      <c r="F1007" s="1">
        <v>2</v>
      </c>
      <c r="G1007" s="1">
        <v>10</v>
      </c>
      <c r="H1007" s="1">
        <v>2</v>
      </c>
      <c r="I1007" s="1">
        <v>0</v>
      </c>
      <c r="J1007" s="2" t="str">
        <f t="shared" si="80"/>
        <v>NEP</v>
      </c>
      <c r="K1007" s="2" t="str">
        <f t="shared" si="81"/>
        <v>@REN</v>
      </c>
      <c r="L1007" s="1" t="str">
        <f t="shared" si="84"/>
        <v>1006,7/25/2004,0,2,10,2,0</v>
      </c>
    </row>
    <row r="1008" spans="1:12" x14ac:dyDescent="0.2">
      <c r="A1008" s="1" t="str">
        <f t="shared" si="82"/>
        <v>3819314</v>
      </c>
      <c r="B1008" s="1" t="str">
        <f t="shared" si="83"/>
        <v>381933</v>
      </c>
      <c r="C1008" s="1">
        <v>1007</v>
      </c>
      <c r="D1008" s="4">
        <v>38193</v>
      </c>
      <c r="E1008" s="1">
        <v>0</v>
      </c>
      <c r="F1008" s="1">
        <v>3</v>
      </c>
      <c r="G1008" s="1">
        <v>14</v>
      </c>
      <c r="H1008" s="1">
        <v>2</v>
      </c>
      <c r="I1008" s="1">
        <v>0</v>
      </c>
      <c r="J1008" s="2" t="str">
        <f t="shared" si="80"/>
        <v>TEW</v>
      </c>
      <c r="K1008" s="2" t="str">
        <f t="shared" si="81"/>
        <v>@CEN</v>
      </c>
      <c r="L1008" s="1" t="str">
        <f t="shared" si="84"/>
        <v>1007,7/25/2004,0,3,14,2,0</v>
      </c>
    </row>
    <row r="1009" spans="1:13" x14ac:dyDescent="0.2">
      <c r="A1009" s="1" t="str">
        <f t="shared" si="82"/>
        <v>3819316</v>
      </c>
      <c r="B1009" s="1" t="str">
        <f t="shared" si="83"/>
        <v>3819323</v>
      </c>
      <c r="C1009" s="1">
        <v>1008</v>
      </c>
      <c r="D1009" s="4">
        <v>38193</v>
      </c>
      <c r="E1009" s="1">
        <v>0</v>
      </c>
      <c r="F1009" s="1">
        <v>23</v>
      </c>
      <c r="G1009" s="1">
        <v>16</v>
      </c>
      <c r="H1009" s="1">
        <v>2</v>
      </c>
      <c r="I1009" s="1">
        <v>0</v>
      </c>
      <c r="J1009" s="2" t="str">
        <f t="shared" si="80"/>
        <v>BRK</v>
      </c>
      <c r="K1009" s="2" t="str">
        <f t="shared" si="81"/>
        <v>@DIG</v>
      </c>
      <c r="L1009" s="1" t="str">
        <f t="shared" si="84"/>
        <v>1008,7/25/2004,0,23,16,2,0</v>
      </c>
    </row>
    <row r="1010" spans="1:13" x14ac:dyDescent="0.2">
      <c r="A1010" s="1" t="str">
        <f t="shared" si="82"/>
        <v>3819317</v>
      </c>
      <c r="B1010" s="1" t="str">
        <f t="shared" si="83"/>
        <v>381938</v>
      </c>
      <c r="C1010" s="1">
        <v>1009</v>
      </c>
      <c r="D1010" s="4">
        <v>38193</v>
      </c>
      <c r="E1010" s="1">
        <v>0</v>
      </c>
      <c r="F1010" s="1">
        <v>8</v>
      </c>
      <c r="G1010" s="1">
        <v>17</v>
      </c>
      <c r="H1010" s="1">
        <v>2</v>
      </c>
      <c r="I1010" s="1">
        <v>0</v>
      </c>
      <c r="J1010" s="2" t="str">
        <f t="shared" si="80"/>
        <v>CTW</v>
      </c>
      <c r="K1010" s="2" t="str">
        <f t="shared" si="81"/>
        <v>@GAR</v>
      </c>
      <c r="L1010" s="1" t="str">
        <f t="shared" si="84"/>
        <v>1009,7/25/2004,0,8,17,2,0</v>
      </c>
    </row>
    <row r="1011" spans="1:13" x14ac:dyDescent="0.2">
      <c r="A1011" s="1" t="str">
        <f t="shared" si="82"/>
        <v>3819321</v>
      </c>
      <c r="B1011" s="1" t="str">
        <f t="shared" si="83"/>
        <v>3819324</v>
      </c>
      <c r="C1011" s="1">
        <v>1010</v>
      </c>
      <c r="D1011" s="4">
        <v>38193</v>
      </c>
      <c r="E1011" s="1">
        <v>0</v>
      </c>
      <c r="F1011" s="1">
        <v>24</v>
      </c>
      <c r="G1011" s="1">
        <v>21</v>
      </c>
      <c r="H1011" s="1">
        <v>2</v>
      </c>
      <c r="I1011" s="1">
        <v>0</v>
      </c>
      <c r="J1011" s="2" t="str">
        <f t="shared" si="80"/>
        <v>PHI</v>
      </c>
      <c r="K1011" s="2" t="str">
        <f t="shared" si="81"/>
        <v>@NYD</v>
      </c>
      <c r="L1011" s="1" t="str">
        <f t="shared" si="84"/>
        <v>1010,7/25/2004,0,24,21,2,0</v>
      </c>
    </row>
    <row r="1012" spans="1:13" x14ac:dyDescent="0.2">
      <c r="A1012" s="1" t="str">
        <f t="shared" si="82"/>
        <v>3819322</v>
      </c>
      <c r="B1012" s="1" t="str">
        <f t="shared" si="83"/>
        <v>3819311</v>
      </c>
      <c r="C1012" s="1">
        <v>1011</v>
      </c>
      <c r="D1012" s="4">
        <v>38193</v>
      </c>
      <c r="E1012" s="1">
        <v>0</v>
      </c>
      <c r="F1012" s="1">
        <v>11</v>
      </c>
      <c r="G1012" s="1">
        <v>22</v>
      </c>
      <c r="H1012" s="1">
        <v>2</v>
      </c>
      <c r="I1012" s="1">
        <v>0</v>
      </c>
      <c r="J1012" s="2" t="str">
        <f t="shared" si="80"/>
        <v>HAR</v>
      </c>
      <c r="K1012" s="2" t="str">
        <f t="shared" si="81"/>
        <v>@CBB</v>
      </c>
      <c r="L1012" s="1" t="str">
        <f t="shared" si="84"/>
        <v>1011,7/25/2004,0,11,22,2,0</v>
      </c>
    </row>
    <row r="1013" spans="1:13" x14ac:dyDescent="0.2">
      <c r="A1013" s="1" t="str">
        <f t="shared" si="82"/>
        <v>381944</v>
      </c>
      <c r="B1013" s="1" t="str">
        <f t="shared" si="83"/>
        <v>3819412</v>
      </c>
      <c r="C1013" s="1">
        <v>1012</v>
      </c>
      <c r="D1013" s="4">
        <v>38194</v>
      </c>
      <c r="E1013" s="1">
        <v>0</v>
      </c>
      <c r="F1013" s="1">
        <v>12</v>
      </c>
      <c r="G1013" s="1">
        <v>4</v>
      </c>
      <c r="H1013" s="1">
        <v>2</v>
      </c>
      <c r="I1013" s="1">
        <v>0</v>
      </c>
      <c r="J1013" s="2" t="str">
        <f t="shared" si="80"/>
        <v>RMO</v>
      </c>
      <c r="K1013" s="2" t="str">
        <f t="shared" si="81"/>
        <v>@NNN</v>
      </c>
      <c r="L1013" s="1" t="str">
        <f t="shared" si="84"/>
        <v>1012,7/26/2004,0,12,4,2,0</v>
      </c>
    </row>
    <row r="1014" spans="1:13" x14ac:dyDescent="0.2">
      <c r="A1014" s="1" t="str">
        <f t="shared" si="82"/>
        <v>381945</v>
      </c>
      <c r="B1014" s="1" t="str">
        <f t="shared" si="83"/>
        <v>381941</v>
      </c>
      <c r="C1014" s="1">
        <v>1013</v>
      </c>
      <c r="D1014" s="4">
        <v>38194</v>
      </c>
      <c r="E1014" s="1">
        <v>0</v>
      </c>
      <c r="F1014" s="1">
        <v>1</v>
      </c>
      <c r="G1014" s="1">
        <v>5</v>
      </c>
      <c r="H1014" s="1">
        <v>2</v>
      </c>
      <c r="I1014" s="1">
        <v>0</v>
      </c>
      <c r="J1014" s="2" t="str">
        <f t="shared" si="80"/>
        <v>FFR</v>
      </c>
      <c r="K1014" s="2" t="str">
        <f t="shared" si="81"/>
        <v>@OKO</v>
      </c>
      <c r="L1014" s="1" t="str">
        <f t="shared" si="84"/>
        <v>1013,7/26/2004,0,1,5,2,0</v>
      </c>
    </row>
    <row r="1015" spans="1:13" x14ac:dyDescent="0.2">
      <c r="A1015" s="1" t="str">
        <f t="shared" si="82"/>
        <v>381947</v>
      </c>
      <c r="B1015" s="1" t="str">
        <f t="shared" si="83"/>
        <v>3819413</v>
      </c>
      <c r="C1015" s="1">
        <v>1014</v>
      </c>
      <c r="D1015" s="4">
        <v>38194</v>
      </c>
      <c r="E1015" s="1">
        <v>0</v>
      </c>
      <c r="F1015" s="1">
        <v>13</v>
      </c>
      <c r="G1015" s="1">
        <v>7</v>
      </c>
      <c r="H1015" s="1">
        <v>2</v>
      </c>
      <c r="I1015" s="1">
        <v>0</v>
      </c>
      <c r="J1015" s="2" t="str">
        <f t="shared" si="80"/>
        <v>BBG</v>
      </c>
      <c r="K1015" s="2" t="str">
        <f t="shared" si="81"/>
        <v>@BAR</v>
      </c>
      <c r="L1015" s="1" t="str">
        <f t="shared" si="84"/>
        <v>1014,7/26/2004,0,13,7,2,0</v>
      </c>
    </row>
    <row r="1016" spans="1:13" x14ac:dyDescent="0.2">
      <c r="A1016" s="1" t="str">
        <f t="shared" si="82"/>
        <v>381949</v>
      </c>
      <c r="B1016" s="1" t="str">
        <f t="shared" si="83"/>
        <v>3819420</v>
      </c>
      <c r="C1016" s="1">
        <v>1015</v>
      </c>
      <c r="D1016" s="4">
        <v>38194</v>
      </c>
      <c r="E1016" s="1">
        <v>0</v>
      </c>
      <c r="F1016" s="1">
        <v>20</v>
      </c>
      <c r="G1016" s="1">
        <v>9</v>
      </c>
      <c r="H1016" s="1">
        <v>2</v>
      </c>
      <c r="I1016" s="1">
        <v>0</v>
      </c>
      <c r="J1016" s="2" t="str">
        <f t="shared" si="80"/>
        <v>FDH</v>
      </c>
      <c r="K1016" s="2" t="str">
        <f t="shared" si="81"/>
        <v>@CIN</v>
      </c>
      <c r="L1016" s="1" t="str">
        <f t="shared" si="84"/>
        <v>1015,7/26/2004,0,20,9,2,0</v>
      </c>
    </row>
    <row r="1017" spans="1:13" x14ac:dyDescent="0.2">
      <c r="A1017" s="1" t="str">
        <f t="shared" si="82"/>
        <v>3819410</v>
      </c>
      <c r="B1017" s="1" t="str">
        <f t="shared" si="83"/>
        <v>381942</v>
      </c>
      <c r="C1017" s="1">
        <v>1016</v>
      </c>
      <c r="D1017" s="4">
        <v>38194</v>
      </c>
      <c r="E1017" s="1">
        <v>0</v>
      </c>
      <c r="F1017" s="1">
        <v>2</v>
      </c>
      <c r="G1017" s="1">
        <v>10</v>
      </c>
      <c r="H1017" s="1">
        <v>2</v>
      </c>
      <c r="I1017" s="1">
        <v>0</v>
      </c>
      <c r="J1017" s="2" t="str">
        <f t="shared" si="80"/>
        <v>NEP</v>
      </c>
      <c r="K1017" s="2" t="str">
        <f t="shared" si="81"/>
        <v>@REN</v>
      </c>
      <c r="L1017" s="1" t="str">
        <f t="shared" si="84"/>
        <v>1016,7/26/2004,0,2,10,2,0</v>
      </c>
    </row>
    <row r="1018" spans="1:13" x14ac:dyDescent="0.2">
      <c r="A1018" s="1" t="str">
        <f t="shared" si="82"/>
        <v>3819414</v>
      </c>
      <c r="B1018" s="1" t="str">
        <f t="shared" si="83"/>
        <v>381943</v>
      </c>
      <c r="C1018" s="1">
        <v>1017</v>
      </c>
      <c r="D1018" s="4">
        <v>38194</v>
      </c>
      <c r="E1018" s="1">
        <v>0</v>
      </c>
      <c r="F1018" s="1">
        <v>3</v>
      </c>
      <c r="G1018" s="1">
        <v>14</v>
      </c>
      <c r="H1018" s="1">
        <v>2</v>
      </c>
      <c r="I1018" s="1">
        <v>0</v>
      </c>
      <c r="J1018" s="2" t="str">
        <f t="shared" si="80"/>
        <v>TEW</v>
      </c>
      <c r="K1018" s="2" t="str">
        <f t="shared" si="81"/>
        <v>@CEN</v>
      </c>
      <c r="L1018" s="1" t="str">
        <f t="shared" si="84"/>
        <v>1017,7/26/2004,0,3,14,2,0</v>
      </c>
    </row>
    <row r="1019" spans="1:13" x14ac:dyDescent="0.2">
      <c r="A1019" s="1" t="str">
        <f t="shared" si="82"/>
        <v>3819416</v>
      </c>
      <c r="B1019" s="1" t="str">
        <f t="shared" si="83"/>
        <v>3819423</v>
      </c>
      <c r="C1019" s="1">
        <v>1018</v>
      </c>
      <c r="D1019" s="4">
        <v>38194</v>
      </c>
      <c r="E1019" s="1">
        <v>0</v>
      </c>
      <c r="F1019" s="1">
        <v>23</v>
      </c>
      <c r="G1019" s="1">
        <v>16</v>
      </c>
      <c r="H1019" s="1">
        <v>2</v>
      </c>
      <c r="I1019" s="1">
        <v>0</v>
      </c>
      <c r="J1019" s="2" t="str">
        <f t="shared" si="80"/>
        <v>BRK</v>
      </c>
      <c r="K1019" s="2" t="str">
        <f t="shared" si="81"/>
        <v>@DIG</v>
      </c>
      <c r="L1019" s="1" t="str">
        <f t="shared" si="84"/>
        <v>1018,7/26/2004,0,23,16,2,0</v>
      </c>
    </row>
    <row r="1020" spans="1:13" x14ac:dyDescent="0.2">
      <c r="A1020" s="1" t="str">
        <f t="shared" si="82"/>
        <v>3819417</v>
      </c>
      <c r="B1020" s="1" t="str">
        <f t="shared" si="83"/>
        <v>381948</v>
      </c>
      <c r="C1020" s="1">
        <v>1019</v>
      </c>
      <c r="D1020" s="4">
        <v>38194</v>
      </c>
      <c r="E1020" s="1">
        <v>0</v>
      </c>
      <c r="F1020" s="1">
        <v>8</v>
      </c>
      <c r="G1020" s="1">
        <v>17</v>
      </c>
      <c r="H1020" s="1">
        <v>2</v>
      </c>
      <c r="I1020" s="1">
        <v>0</v>
      </c>
      <c r="J1020" s="2" t="str">
        <f t="shared" si="80"/>
        <v>CTW</v>
      </c>
      <c r="K1020" s="2" t="str">
        <f t="shared" si="81"/>
        <v>@GAR</v>
      </c>
      <c r="L1020" s="1" t="str">
        <f t="shared" si="84"/>
        <v>1019,7/26/2004,0,8,17,2,0</v>
      </c>
      <c r="M1020" s="1">
        <v>20</v>
      </c>
    </row>
    <row r="1021" spans="1:13" x14ac:dyDescent="0.2">
      <c r="A1021" s="1" t="str">
        <f t="shared" si="82"/>
        <v>3819421</v>
      </c>
      <c r="B1021" s="1" t="str">
        <f t="shared" si="83"/>
        <v>3819424</v>
      </c>
      <c r="C1021" s="1">
        <v>1020</v>
      </c>
      <c r="D1021" s="4">
        <v>38194</v>
      </c>
      <c r="E1021" s="1">
        <v>0</v>
      </c>
      <c r="F1021" s="1">
        <v>24</v>
      </c>
      <c r="G1021" s="1">
        <v>21</v>
      </c>
      <c r="H1021" s="1">
        <v>2</v>
      </c>
      <c r="I1021" s="1">
        <v>0</v>
      </c>
      <c r="J1021" s="2" t="str">
        <f t="shared" si="80"/>
        <v>PHI</v>
      </c>
      <c r="K1021" s="2" t="str">
        <f t="shared" si="81"/>
        <v>@NYD</v>
      </c>
      <c r="L1021" s="1" t="str">
        <f t="shared" si="84"/>
        <v>1020,7/26/2004,0,24,21,2,0</v>
      </c>
    </row>
    <row r="1022" spans="1:13" x14ac:dyDescent="0.2">
      <c r="A1022" s="1" t="str">
        <f t="shared" si="82"/>
        <v>3819422</v>
      </c>
      <c r="B1022" s="1" t="str">
        <f t="shared" si="83"/>
        <v>3819411</v>
      </c>
      <c r="C1022" s="1">
        <v>1021</v>
      </c>
      <c r="D1022" s="4">
        <v>38194</v>
      </c>
      <c r="E1022" s="1">
        <v>0</v>
      </c>
      <c r="F1022" s="1">
        <v>11</v>
      </c>
      <c r="G1022" s="1">
        <v>22</v>
      </c>
      <c r="H1022" s="1">
        <v>2</v>
      </c>
      <c r="I1022" s="1">
        <v>0</v>
      </c>
      <c r="J1022" s="2" t="str">
        <f t="shared" si="80"/>
        <v>HAR</v>
      </c>
      <c r="K1022" s="2" t="str">
        <f t="shared" si="81"/>
        <v>@CBB</v>
      </c>
      <c r="L1022" s="1" t="str">
        <f t="shared" si="84"/>
        <v>1021,7/26/2004,0,11,22,2,0</v>
      </c>
    </row>
    <row r="1023" spans="1:13" x14ac:dyDescent="0.2">
      <c r="A1023" s="1" t="str">
        <f t="shared" si="82"/>
        <v>381959</v>
      </c>
      <c r="B1023" s="1" t="str">
        <f t="shared" si="83"/>
        <v>3819520</v>
      </c>
      <c r="C1023" s="1">
        <v>1022</v>
      </c>
      <c r="D1023" s="4">
        <v>38195</v>
      </c>
      <c r="E1023" s="1">
        <v>0</v>
      </c>
      <c r="F1023" s="1">
        <v>20</v>
      </c>
      <c r="G1023" s="1">
        <v>9</v>
      </c>
      <c r="H1023" s="1">
        <v>2</v>
      </c>
      <c r="I1023" s="1">
        <v>0</v>
      </c>
      <c r="J1023" s="2" t="str">
        <f t="shared" si="80"/>
        <v>FDH</v>
      </c>
      <c r="K1023" s="2" t="str">
        <f t="shared" si="81"/>
        <v>@CIN</v>
      </c>
      <c r="L1023" s="1" t="str">
        <f t="shared" si="84"/>
        <v>1022,7/27/2004,0,20,9,2,0</v>
      </c>
    </row>
    <row r="1024" spans="1:13" x14ac:dyDescent="0.2">
      <c r="A1024" s="1" t="str">
        <f t="shared" si="82"/>
        <v>3819510</v>
      </c>
      <c r="B1024" s="1" t="str">
        <f t="shared" si="83"/>
        <v>381952</v>
      </c>
      <c r="C1024" s="1">
        <v>1023</v>
      </c>
      <c r="D1024" s="4">
        <v>38195</v>
      </c>
      <c r="E1024" s="1">
        <v>0</v>
      </c>
      <c r="F1024" s="1">
        <v>2</v>
      </c>
      <c r="G1024" s="1">
        <v>10</v>
      </c>
      <c r="H1024" s="1">
        <v>2</v>
      </c>
      <c r="I1024" s="1">
        <v>0</v>
      </c>
      <c r="J1024" s="2" t="str">
        <f t="shared" si="80"/>
        <v>NEP</v>
      </c>
      <c r="K1024" s="2" t="str">
        <f t="shared" si="81"/>
        <v>@REN</v>
      </c>
      <c r="L1024" s="1" t="str">
        <f t="shared" si="84"/>
        <v>1023,7/27/2004,0,2,10,2,0</v>
      </c>
    </row>
    <row r="1025" spans="1:12" x14ac:dyDescent="0.2">
      <c r="A1025" s="1" t="str">
        <f t="shared" si="82"/>
        <v>3819516</v>
      </c>
      <c r="B1025" s="1" t="str">
        <f t="shared" si="83"/>
        <v>3819523</v>
      </c>
      <c r="C1025" s="1">
        <v>1024</v>
      </c>
      <c r="D1025" s="4">
        <v>38195</v>
      </c>
      <c r="E1025" s="1">
        <v>0</v>
      </c>
      <c r="F1025" s="1">
        <v>23</v>
      </c>
      <c r="G1025" s="1">
        <v>16</v>
      </c>
      <c r="H1025" s="1">
        <v>2</v>
      </c>
      <c r="I1025" s="1">
        <v>0</v>
      </c>
      <c r="J1025" s="2" t="str">
        <f t="shared" si="80"/>
        <v>BRK</v>
      </c>
      <c r="K1025" s="2" t="str">
        <f t="shared" si="81"/>
        <v>@DIG</v>
      </c>
      <c r="L1025" s="1" t="str">
        <f t="shared" si="84"/>
        <v>1024,7/27/2004,0,23,16,2,0</v>
      </c>
    </row>
    <row r="1026" spans="1:12" x14ac:dyDescent="0.2">
      <c r="A1026" s="1" t="str">
        <f t="shared" si="82"/>
        <v>381955</v>
      </c>
      <c r="B1026" s="1" t="str">
        <f t="shared" si="83"/>
        <v>381951</v>
      </c>
      <c r="C1026" s="1">
        <v>1025</v>
      </c>
      <c r="D1026" s="4">
        <v>38195</v>
      </c>
      <c r="E1026" s="1">
        <v>0</v>
      </c>
      <c r="F1026" s="1">
        <v>1</v>
      </c>
      <c r="G1026" s="1">
        <v>5</v>
      </c>
      <c r="H1026" s="1">
        <v>2</v>
      </c>
      <c r="I1026" s="1">
        <v>0</v>
      </c>
      <c r="J1026" s="2" t="str">
        <f t="shared" ref="J1026:J1089" si="85">VLOOKUP(F1026,$M$2:$N$21,2,0)</f>
        <v>FFR</v>
      </c>
      <c r="K1026" s="2" t="str">
        <f t="shared" ref="K1026:K1089" si="86">"@"&amp;VLOOKUP(G1026,$M$2:$N$21,2,0)</f>
        <v>@OKO</v>
      </c>
      <c r="L1026" s="1" t="str">
        <f t="shared" si="84"/>
        <v>1025,7/27/2004,0,1,5,2,0</v>
      </c>
    </row>
    <row r="1027" spans="1:12" x14ac:dyDescent="0.2">
      <c r="A1027" s="1" t="str">
        <f t="shared" si="82"/>
        <v>3819522</v>
      </c>
      <c r="B1027" s="1" t="str">
        <f t="shared" si="83"/>
        <v>3819511</v>
      </c>
      <c r="C1027" s="1">
        <v>1026</v>
      </c>
      <c r="D1027" s="4">
        <v>38195</v>
      </c>
      <c r="E1027" s="1">
        <v>0</v>
      </c>
      <c r="F1027" s="1">
        <v>11</v>
      </c>
      <c r="G1027" s="1">
        <v>22</v>
      </c>
      <c r="H1027" s="1">
        <v>2</v>
      </c>
      <c r="I1027" s="1">
        <v>0</v>
      </c>
      <c r="J1027" s="2" t="str">
        <f t="shared" si="85"/>
        <v>HAR</v>
      </c>
      <c r="K1027" s="2" t="str">
        <f t="shared" si="86"/>
        <v>@CBB</v>
      </c>
      <c r="L1027" s="1" t="str">
        <f t="shared" si="84"/>
        <v>1026,7/27/2004,0,11,22,2,0</v>
      </c>
    </row>
    <row r="1028" spans="1:12" x14ac:dyDescent="0.2">
      <c r="A1028" s="1" t="str">
        <f t="shared" si="82"/>
        <v>381954</v>
      </c>
      <c r="B1028" s="1" t="str">
        <f t="shared" si="83"/>
        <v>3819512</v>
      </c>
      <c r="C1028" s="1">
        <v>1027</v>
      </c>
      <c r="D1028" s="4">
        <v>38195</v>
      </c>
      <c r="E1028" s="1">
        <v>0</v>
      </c>
      <c r="F1028" s="1">
        <v>12</v>
      </c>
      <c r="G1028" s="1">
        <v>4</v>
      </c>
      <c r="H1028" s="1">
        <v>2</v>
      </c>
      <c r="I1028" s="1">
        <v>0</v>
      </c>
      <c r="J1028" s="2" t="str">
        <f t="shared" si="85"/>
        <v>RMO</v>
      </c>
      <c r="K1028" s="2" t="str">
        <f t="shared" si="86"/>
        <v>@NNN</v>
      </c>
      <c r="L1028" s="1" t="str">
        <f t="shared" si="84"/>
        <v>1027,7/27/2004,0,12,4,2,0</v>
      </c>
    </row>
    <row r="1029" spans="1:12" x14ac:dyDescent="0.2">
      <c r="A1029" s="1" t="str">
        <f t="shared" si="82"/>
        <v>3819521</v>
      </c>
      <c r="B1029" s="1" t="str">
        <f t="shared" si="83"/>
        <v>3819524</v>
      </c>
      <c r="C1029" s="1">
        <v>1028</v>
      </c>
      <c r="D1029" s="4">
        <v>38195</v>
      </c>
      <c r="E1029" s="1">
        <v>0</v>
      </c>
      <c r="F1029" s="1">
        <v>24</v>
      </c>
      <c r="G1029" s="1">
        <v>21</v>
      </c>
      <c r="H1029" s="1">
        <v>2</v>
      </c>
      <c r="I1029" s="1">
        <v>0</v>
      </c>
      <c r="J1029" s="2" t="str">
        <f t="shared" si="85"/>
        <v>PHI</v>
      </c>
      <c r="K1029" s="2" t="str">
        <f t="shared" si="86"/>
        <v>@NYD</v>
      </c>
      <c r="L1029" s="1" t="str">
        <f t="shared" si="84"/>
        <v>1028,7/27/2004,0,24,21,2,0</v>
      </c>
    </row>
    <row r="1030" spans="1:12" x14ac:dyDescent="0.2">
      <c r="A1030" s="1" t="str">
        <f t="shared" si="82"/>
        <v>381957</v>
      </c>
      <c r="B1030" s="1" t="str">
        <f t="shared" si="83"/>
        <v>3819513</v>
      </c>
      <c r="C1030" s="1">
        <v>1029</v>
      </c>
      <c r="D1030" s="4">
        <v>38195</v>
      </c>
      <c r="E1030" s="1">
        <v>0</v>
      </c>
      <c r="F1030" s="1">
        <v>13</v>
      </c>
      <c r="G1030" s="1">
        <v>7</v>
      </c>
      <c r="H1030" s="1">
        <v>2</v>
      </c>
      <c r="I1030" s="1">
        <v>0</v>
      </c>
      <c r="J1030" s="2" t="str">
        <f t="shared" si="85"/>
        <v>BBG</v>
      </c>
      <c r="K1030" s="2" t="str">
        <f t="shared" si="86"/>
        <v>@BAR</v>
      </c>
      <c r="L1030" s="1" t="str">
        <f t="shared" si="84"/>
        <v>1029,7/27/2004,0,13,7,2,0</v>
      </c>
    </row>
    <row r="1031" spans="1:12" x14ac:dyDescent="0.2">
      <c r="A1031" s="1" t="str">
        <f t="shared" si="82"/>
        <v>3819623</v>
      </c>
      <c r="B1031" s="1" t="str">
        <f t="shared" si="83"/>
        <v>3819620</v>
      </c>
      <c r="C1031" s="1">
        <v>1030</v>
      </c>
      <c r="D1031" s="4">
        <v>38196</v>
      </c>
      <c r="E1031" s="1">
        <v>0</v>
      </c>
      <c r="F1031" s="1">
        <v>20</v>
      </c>
      <c r="G1031" s="1">
        <v>23</v>
      </c>
      <c r="H1031" s="1">
        <v>2</v>
      </c>
      <c r="I1031" s="1">
        <v>0</v>
      </c>
      <c r="J1031" s="2" t="str">
        <f t="shared" si="85"/>
        <v>FDH</v>
      </c>
      <c r="K1031" s="2" t="str">
        <f t="shared" si="86"/>
        <v>@BRK</v>
      </c>
      <c r="L1031" s="1" t="str">
        <f t="shared" si="84"/>
        <v>1030,7/28/2004,0,20,23,2,0</v>
      </c>
    </row>
    <row r="1032" spans="1:12" x14ac:dyDescent="0.2">
      <c r="A1032" s="1" t="str">
        <f t="shared" si="82"/>
        <v>381964</v>
      </c>
      <c r="B1032" s="1" t="str">
        <f t="shared" si="83"/>
        <v>3819612</v>
      </c>
      <c r="C1032" s="1">
        <v>1031</v>
      </c>
      <c r="D1032" s="4">
        <v>38196</v>
      </c>
      <c r="E1032" s="1">
        <v>0</v>
      </c>
      <c r="F1032" s="1">
        <v>12</v>
      </c>
      <c r="G1032" s="1">
        <v>4</v>
      </c>
      <c r="H1032" s="1">
        <v>2</v>
      </c>
      <c r="I1032" s="1">
        <v>0</v>
      </c>
      <c r="J1032" s="2" t="str">
        <f t="shared" si="85"/>
        <v>RMO</v>
      </c>
      <c r="K1032" s="2" t="str">
        <f t="shared" si="86"/>
        <v>@NNN</v>
      </c>
      <c r="L1032" s="1" t="str">
        <f t="shared" si="84"/>
        <v>1031,7/28/2004,0,12,4,2,0</v>
      </c>
    </row>
    <row r="1033" spans="1:12" x14ac:dyDescent="0.2">
      <c r="A1033" s="1" t="str">
        <f t="shared" si="82"/>
        <v>381965</v>
      </c>
      <c r="B1033" s="1" t="str">
        <f t="shared" si="83"/>
        <v>381961</v>
      </c>
      <c r="C1033" s="1">
        <v>1032</v>
      </c>
      <c r="D1033" s="4">
        <v>38196</v>
      </c>
      <c r="E1033" s="1">
        <v>0</v>
      </c>
      <c r="F1033" s="1">
        <v>1</v>
      </c>
      <c r="G1033" s="1">
        <v>5</v>
      </c>
      <c r="H1033" s="1">
        <v>2</v>
      </c>
      <c r="I1033" s="1">
        <v>0</v>
      </c>
      <c r="J1033" s="2" t="str">
        <f t="shared" si="85"/>
        <v>FFR</v>
      </c>
      <c r="K1033" s="2" t="str">
        <f t="shared" si="86"/>
        <v>@OKO</v>
      </c>
      <c r="L1033" s="1" t="str">
        <f t="shared" si="84"/>
        <v>1032,7/28/2004,0,1,5,2,0</v>
      </c>
    </row>
    <row r="1034" spans="1:12" x14ac:dyDescent="0.2">
      <c r="A1034" s="1" t="str">
        <f t="shared" si="82"/>
        <v>381967</v>
      </c>
      <c r="B1034" s="1" t="str">
        <f t="shared" si="83"/>
        <v>3819613</v>
      </c>
      <c r="C1034" s="1">
        <v>1033</v>
      </c>
      <c r="D1034" s="4">
        <v>38196</v>
      </c>
      <c r="E1034" s="1">
        <v>0</v>
      </c>
      <c r="F1034" s="1">
        <v>13</v>
      </c>
      <c r="G1034" s="1">
        <v>7</v>
      </c>
      <c r="H1034" s="1">
        <v>2</v>
      </c>
      <c r="I1034" s="1">
        <v>0</v>
      </c>
      <c r="J1034" s="2" t="str">
        <f t="shared" si="85"/>
        <v>BBG</v>
      </c>
      <c r="K1034" s="2" t="str">
        <f t="shared" si="86"/>
        <v>@BAR</v>
      </c>
      <c r="L1034" s="1" t="str">
        <f t="shared" si="84"/>
        <v>1033,7/28/2004,0,13,7,2,0</v>
      </c>
    </row>
    <row r="1035" spans="1:12" x14ac:dyDescent="0.2">
      <c r="A1035" s="1" t="str">
        <f t="shared" si="82"/>
        <v>3819610</v>
      </c>
      <c r="B1035" s="1" t="str">
        <f t="shared" si="83"/>
        <v>381962</v>
      </c>
      <c r="C1035" s="1">
        <v>1034</v>
      </c>
      <c r="D1035" s="4">
        <v>38196</v>
      </c>
      <c r="E1035" s="1">
        <v>0</v>
      </c>
      <c r="F1035" s="1">
        <v>2</v>
      </c>
      <c r="G1035" s="1">
        <v>10</v>
      </c>
      <c r="H1035" s="1">
        <v>2</v>
      </c>
      <c r="I1035" s="1">
        <v>0</v>
      </c>
      <c r="J1035" s="2" t="str">
        <f t="shared" si="85"/>
        <v>NEP</v>
      </c>
      <c r="K1035" s="2" t="str">
        <f t="shared" si="86"/>
        <v>@REN</v>
      </c>
      <c r="L1035" s="1" t="str">
        <f t="shared" si="84"/>
        <v>1034,7/28/2004,0,2,10,2,0</v>
      </c>
    </row>
    <row r="1036" spans="1:12" x14ac:dyDescent="0.2">
      <c r="A1036" s="1" t="str">
        <f t="shared" si="82"/>
        <v>3819614</v>
      </c>
      <c r="B1036" s="1" t="str">
        <f t="shared" si="83"/>
        <v>381963</v>
      </c>
      <c r="C1036" s="1">
        <v>1035</v>
      </c>
      <c r="D1036" s="4">
        <v>38196</v>
      </c>
      <c r="E1036" s="1">
        <v>0</v>
      </c>
      <c r="F1036" s="1">
        <v>3</v>
      </c>
      <c r="G1036" s="1">
        <v>14</v>
      </c>
      <c r="H1036" s="1">
        <v>2</v>
      </c>
      <c r="I1036" s="1">
        <v>0</v>
      </c>
      <c r="J1036" s="2" t="str">
        <f t="shared" si="85"/>
        <v>TEW</v>
      </c>
      <c r="K1036" s="2" t="str">
        <f t="shared" si="86"/>
        <v>@CEN</v>
      </c>
      <c r="L1036" s="1" t="str">
        <f t="shared" si="84"/>
        <v>1035,7/28/2004,0,3,14,2,0</v>
      </c>
    </row>
    <row r="1037" spans="1:12" x14ac:dyDescent="0.2">
      <c r="A1037" s="1" t="str">
        <f t="shared" si="82"/>
        <v>3819616</v>
      </c>
      <c r="B1037" s="1" t="str">
        <f t="shared" si="83"/>
        <v>381969</v>
      </c>
      <c r="C1037" s="1">
        <v>1036</v>
      </c>
      <c r="D1037" s="4">
        <v>38196</v>
      </c>
      <c r="E1037" s="1">
        <v>0</v>
      </c>
      <c r="F1037" s="1">
        <v>9</v>
      </c>
      <c r="G1037" s="1">
        <v>16</v>
      </c>
      <c r="H1037" s="1">
        <v>2</v>
      </c>
      <c r="I1037" s="1">
        <v>0</v>
      </c>
      <c r="J1037" s="2" t="str">
        <f t="shared" si="85"/>
        <v>CIN</v>
      </c>
      <c r="K1037" s="2" t="str">
        <f t="shared" si="86"/>
        <v>@DIG</v>
      </c>
      <c r="L1037" s="1" t="str">
        <f t="shared" si="84"/>
        <v>1036,7/28/2004,0,9,16,2,0</v>
      </c>
    </row>
    <row r="1038" spans="1:12" x14ac:dyDescent="0.2">
      <c r="A1038" s="1" t="str">
        <f t="shared" si="82"/>
        <v>3819617</v>
      </c>
      <c r="B1038" s="1" t="str">
        <f t="shared" si="83"/>
        <v>381968</v>
      </c>
      <c r="C1038" s="1">
        <v>1037</v>
      </c>
      <c r="D1038" s="4">
        <v>38196</v>
      </c>
      <c r="E1038" s="1">
        <v>0</v>
      </c>
      <c r="F1038" s="1">
        <v>8</v>
      </c>
      <c r="G1038" s="1">
        <v>17</v>
      </c>
      <c r="H1038" s="1">
        <v>2</v>
      </c>
      <c r="I1038" s="1">
        <v>0</v>
      </c>
      <c r="J1038" s="2" t="str">
        <f t="shared" si="85"/>
        <v>CTW</v>
      </c>
      <c r="K1038" s="2" t="str">
        <f t="shared" si="86"/>
        <v>@GAR</v>
      </c>
      <c r="L1038" s="1" t="str">
        <f t="shared" si="84"/>
        <v>1037,7/28/2004,0,8,17,2,0</v>
      </c>
    </row>
    <row r="1039" spans="1:12" x14ac:dyDescent="0.2">
      <c r="A1039" s="1" t="str">
        <f t="shared" si="82"/>
        <v>3819621</v>
      </c>
      <c r="B1039" s="1" t="str">
        <f t="shared" si="83"/>
        <v>3819624</v>
      </c>
      <c r="C1039" s="1">
        <v>1038</v>
      </c>
      <c r="D1039" s="4">
        <v>38196</v>
      </c>
      <c r="E1039" s="1">
        <v>0</v>
      </c>
      <c r="F1039" s="1">
        <v>24</v>
      </c>
      <c r="G1039" s="1">
        <v>21</v>
      </c>
      <c r="H1039" s="1">
        <v>2</v>
      </c>
      <c r="I1039" s="1">
        <v>0</v>
      </c>
      <c r="J1039" s="2" t="str">
        <f t="shared" si="85"/>
        <v>PHI</v>
      </c>
      <c r="K1039" s="2" t="str">
        <f t="shared" si="86"/>
        <v>@NYD</v>
      </c>
      <c r="L1039" s="1" t="str">
        <f t="shared" si="84"/>
        <v>1038,7/28/2004,0,24,21,2,0</v>
      </c>
    </row>
    <row r="1040" spans="1:12" x14ac:dyDescent="0.2">
      <c r="A1040" s="1" t="str">
        <f t="shared" si="82"/>
        <v>3819622</v>
      </c>
      <c r="B1040" s="1" t="str">
        <f t="shared" si="83"/>
        <v>3819611</v>
      </c>
      <c r="C1040" s="1">
        <v>1039</v>
      </c>
      <c r="D1040" s="4">
        <v>38196</v>
      </c>
      <c r="E1040" s="1">
        <v>0</v>
      </c>
      <c r="F1040" s="1">
        <v>11</v>
      </c>
      <c r="G1040" s="1">
        <v>22</v>
      </c>
      <c r="H1040" s="1">
        <v>2</v>
      </c>
      <c r="I1040" s="1">
        <v>0</v>
      </c>
      <c r="J1040" s="2" t="str">
        <f t="shared" si="85"/>
        <v>HAR</v>
      </c>
      <c r="K1040" s="2" t="str">
        <f t="shared" si="86"/>
        <v>@CBB</v>
      </c>
      <c r="L1040" s="1" t="str">
        <f t="shared" si="84"/>
        <v>1039,7/28/2004,0,11,22,2,0</v>
      </c>
    </row>
    <row r="1041" spans="1:12" x14ac:dyDescent="0.2">
      <c r="A1041" s="1" t="str">
        <f t="shared" si="82"/>
        <v>3819716</v>
      </c>
      <c r="B1041" s="1" t="str">
        <f t="shared" si="83"/>
        <v>381979</v>
      </c>
      <c r="C1041" s="1">
        <v>1040</v>
      </c>
      <c r="D1041" s="4">
        <v>38197</v>
      </c>
      <c r="E1041" s="1">
        <v>0</v>
      </c>
      <c r="F1041" s="1">
        <v>9</v>
      </c>
      <c r="G1041" s="1">
        <v>16</v>
      </c>
      <c r="H1041" s="1">
        <v>2</v>
      </c>
      <c r="I1041" s="1">
        <v>0</v>
      </c>
      <c r="J1041" s="2" t="str">
        <f t="shared" si="85"/>
        <v>CIN</v>
      </c>
      <c r="K1041" s="2" t="str">
        <f t="shared" si="86"/>
        <v>@DIG</v>
      </c>
      <c r="L1041" s="1" t="str">
        <f t="shared" si="84"/>
        <v>1040,7/29/2004,0,9,16,2,0</v>
      </c>
    </row>
    <row r="1042" spans="1:12" x14ac:dyDescent="0.2">
      <c r="A1042" s="1" t="str">
        <f t="shared" si="82"/>
        <v>381974</v>
      </c>
      <c r="B1042" s="1" t="str">
        <f t="shared" si="83"/>
        <v>3819712</v>
      </c>
      <c r="C1042" s="1">
        <v>1041</v>
      </c>
      <c r="D1042" s="4">
        <v>38197</v>
      </c>
      <c r="E1042" s="1">
        <v>0</v>
      </c>
      <c r="F1042" s="1">
        <v>12</v>
      </c>
      <c r="G1042" s="1">
        <v>4</v>
      </c>
      <c r="H1042" s="1">
        <v>2</v>
      </c>
      <c r="I1042" s="1">
        <v>0</v>
      </c>
      <c r="J1042" s="2" t="str">
        <f t="shared" si="85"/>
        <v>RMO</v>
      </c>
      <c r="K1042" s="2" t="str">
        <f t="shared" si="86"/>
        <v>@NNN</v>
      </c>
      <c r="L1042" s="1" t="str">
        <f t="shared" si="84"/>
        <v>1041,7/29/2004,0,12,4,2,0</v>
      </c>
    </row>
    <row r="1043" spans="1:12" x14ac:dyDescent="0.2">
      <c r="A1043" s="1" t="str">
        <f t="shared" si="82"/>
        <v>381975</v>
      </c>
      <c r="B1043" s="1" t="str">
        <f t="shared" si="83"/>
        <v>381971</v>
      </c>
      <c r="C1043" s="1">
        <v>1042</v>
      </c>
      <c r="D1043" s="4">
        <v>38197</v>
      </c>
      <c r="E1043" s="1">
        <v>0</v>
      </c>
      <c r="F1043" s="1">
        <v>1</v>
      </c>
      <c r="G1043" s="1">
        <v>5</v>
      </c>
      <c r="H1043" s="1">
        <v>2</v>
      </c>
      <c r="I1043" s="1">
        <v>0</v>
      </c>
      <c r="J1043" s="2" t="str">
        <f t="shared" si="85"/>
        <v>FFR</v>
      </c>
      <c r="K1043" s="2" t="str">
        <f t="shared" si="86"/>
        <v>@OKO</v>
      </c>
      <c r="L1043" s="1" t="str">
        <f t="shared" si="84"/>
        <v>1042,7/29/2004,0,1,5,2,0</v>
      </c>
    </row>
    <row r="1044" spans="1:12" x14ac:dyDescent="0.2">
      <c r="A1044" s="1" t="str">
        <f t="shared" si="82"/>
        <v>381977</v>
      </c>
      <c r="B1044" s="1" t="str">
        <f t="shared" si="83"/>
        <v>3819713</v>
      </c>
      <c r="C1044" s="1">
        <v>1043</v>
      </c>
      <c r="D1044" s="4">
        <v>38197</v>
      </c>
      <c r="E1044" s="1">
        <v>0</v>
      </c>
      <c r="F1044" s="1">
        <v>13</v>
      </c>
      <c r="G1044" s="1">
        <v>7</v>
      </c>
      <c r="H1044" s="1">
        <v>2</v>
      </c>
      <c r="I1044" s="1">
        <v>0</v>
      </c>
      <c r="J1044" s="2" t="str">
        <f t="shared" si="85"/>
        <v>BBG</v>
      </c>
      <c r="K1044" s="2" t="str">
        <f t="shared" si="86"/>
        <v>@BAR</v>
      </c>
      <c r="L1044" s="1" t="str">
        <f t="shared" si="84"/>
        <v>1043,7/29/2004,0,13,7,2,0</v>
      </c>
    </row>
    <row r="1045" spans="1:12" x14ac:dyDescent="0.2">
      <c r="A1045" s="1" t="str">
        <f t="shared" si="82"/>
        <v>3819710</v>
      </c>
      <c r="B1045" s="1" t="str">
        <f t="shared" si="83"/>
        <v>381972</v>
      </c>
      <c r="C1045" s="1">
        <v>1044</v>
      </c>
      <c r="D1045" s="4">
        <v>38197</v>
      </c>
      <c r="E1045" s="1">
        <v>0</v>
      </c>
      <c r="F1045" s="1">
        <v>2</v>
      </c>
      <c r="G1045" s="1">
        <v>10</v>
      </c>
      <c r="H1045" s="1">
        <v>2</v>
      </c>
      <c r="I1045" s="1">
        <v>0</v>
      </c>
      <c r="J1045" s="2" t="str">
        <f t="shared" si="85"/>
        <v>NEP</v>
      </c>
      <c r="K1045" s="2" t="str">
        <f t="shared" si="86"/>
        <v>@REN</v>
      </c>
      <c r="L1045" s="1" t="str">
        <f t="shared" si="84"/>
        <v>1044,7/29/2004,0,2,10,2,0</v>
      </c>
    </row>
    <row r="1046" spans="1:12" x14ac:dyDescent="0.2">
      <c r="A1046" s="1" t="str">
        <f t="shared" si="82"/>
        <v>3819514</v>
      </c>
      <c r="B1046" s="1" t="str">
        <f t="shared" si="83"/>
        <v>381953</v>
      </c>
      <c r="C1046" s="1">
        <v>1045</v>
      </c>
      <c r="D1046" s="4">
        <v>38195</v>
      </c>
      <c r="E1046" s="1">
        <v>0</v>
      </c>
      <c r="F1046" s="1">
        <v>3</v>
      </c>
      <c r="G1046" s="1">
        <v>14</v>
      </c>
      <c r="H1046" s="1">
        <v>2</v>
      </c>
      <c r="I1046" s="1">
        <v>0</v>
      </c>
      <c r="J1046" s="2" t="str">
        <f t="shared" si="85"/>
        <v>TEW</v>
      </c>
      <c r="K1046" s="2" t="str">
        <f t="shared" si="86"/>
        <v>@CEN</v>
      </c>
      <c r="L1046" s="1" t="str">
        <f t="shared" si="84"/>
        <v>1045,7/27/2004,0,3,14,2,0</v>
      </c>
    </row>
    <row r="1047" spans="1:12" x14ac:dyDescent="0.2">
      <c r="A1047" s="1" t="str">
        <f t="shared" si="82"/>
        <v>3819517</v>
      </c>
      <c r="B1047" s="1" t="str">
        <f t="shared" si="83"/>
        <v>381958</v>
      </c>
      <c r="C1047" s="1">
        <v>1046</v>
      </c>
      <c r="D1047" s="4">
        <v>38195</v>
      </c>
      <c r="E1047" s="1">
        <v>0</v>
      </c>
      <c r="F1047" s="1">
        <v>8</v>
      </c>
      <c r="G1047" s="1">
        <v>17</v>
      </c>
      <c r="H1047" s="1">
        <v>2</v>
      </c>
      <c r="I1047" s="1">
        <v>0</v>
      </c>
      <c r="J1047" s="2" t="str">
        <f t="shared" si="85"/>
        <v>CTW</v>
      </c>
      <c r="K1047" s="2" t="str">
        <f t="shared" si="86"/>
        <v>@GAR</v>
      </c>
      <c r="L1047" s="1" t="str">
        <f t="shared" si="84"/>
        <v>1046,7/27/2004,0,8,17,2,0</v>
      </c>
    </row>
    <row r="1048" spans="1:12" x14ac:dyDescent="0.2">
      <c r="A1048" s="1" t="str">
        <f t="shared" si="82"/>
        <v>3819721</v>
      </c>
      <c r="B1048" s="1" t="str">
        <f t="shared" si="83"/>
        <v>3819724</v>
      </c>
      <c r="C1048" s="1">
        <v>1047</v>
      </c>
      <c r="D1048" s="4">
        <v>38197</v>
      </c>
      <c r="E1048" s="1">
        <v>0</v>
      </c>
      <c r="F1048" s="1">
        <v>24</v>
      </c>
      <c r="G1048" s="1">
        <v>21</v>
      </c>
      <c r="H1048" s="1">
        <v>2</v>
      </c>
      <c r="I1048" s="1">
        <v>0</v>
      </c>
      <c r="J1048" s="2" t="str">
        <f t="shared" si="85"/>
        <v>PHI</v>
      </c>
      <c r="K1048" s="2" t="str">
        <f t="shared" si="86"/>
        <v>@NYD</v>
      </c>
      <c r="L1048" s="1" t="str">
        <f t="shared" si="84"/>
        <v>1047,7/29/2004,0,24,21,2,0</v>
      </c>
    </row>
    <row r="1049" spans="1:12" x14ac:dyDescent="0.2">
      <c r="A1049" s="1" t="str">
        <f t="shared" si="82"/>
        <v>3819722</v>
      </c>
      <c r="B1049" s="1" t="str">
        <f t="shared" si="83"/>
        <v>3819711</v>
      </c>
      <c r="C1049" s="1">
        <v>1048</v>
      </c>
      <c r="D1049" s="4">
        <v>38197</v>
      </c>
      <c r="E1049" s="1">
        <v>0</v>
      </c>
      <c r="F1049" s="1">
        <v>11</v>
      </c>
      <c r="G1049" s="1">
        <v>22</v>
      </c>
      <c r="H1049" s="1">
        <v>2</v>
      </c>
      <c r="I1049" s="1">
        <v>0</v>
      </c>
      <c r="J1049" s="2" t="str">
        <f t="shared" si="85"/>
        <v>HAR</v>
      </c>
      <c r="K1049" s="2" t="str">
        <f t="shared" si="86"/>
        <v>@CBB</v>
      </c>
      <c r="L1049" s="1" t="str">
        <f t="shared" si="84"/>
        <v>1048,7/29/2004,0,11,22,2,0</v>
      </c>
    </row>
    <row r="1050" spans="1:12" x14ac:dyDescent="0.2">
      <c r="A1050" s="1" t="str">
        <f t="shared" si="82"/>
        <v>3819723</v>
      </c>
      <c r="B1050" s="1" t="str">
        <f t="shared" si="83"/>
        <v>3819720</v>
      </c>
      <c r="C1050" s="1">
        <v>1049</v>
      </c>
      <c r="D1050" s="4">
        <v>38197</v>
      </c>
      <c r="E1050" s="1">
        <v>0</v>
      </c>
      <c r="F1050" s="1">
        <v>20</v>
      </c>
      <c r="G1050" s="1">
        <v>23</v>
      </c>
      <c r="H1050" s="1">
        <v>2</v>
      </c>
      <c r="I1050" s="1">
        <v>0</v>
      </c>
      <c r="J1050" s="2" t="str">
        <f t="shared" si="85"/>
        <v>FDH</v>
      </c>
      <c r="K1050" s="2" t="str">
        <f t="shared" si="86"/>
        <v>@BRK</v>
      </c>
      <c r="L1050" s="1" t="str">
        <f t="shared" si="84"/>
        <v>1049,7/29/2004,0,20,23,2,0</v>
      </c>
    </row>
    <row r="1051" spans="1:12" x14ac:dyDescent="0.2">
      <c r="A1051" s="1" t="str">
        <f t="shared" si="82"/>
        <v>381982</v>
      </c>
      <c r="B1051" s="1" t="str">
        <f t="shared" si="83"/>
        <v>381989</v>
      </c>
      <c r="C1051" s="1">
        <v>1050</v>
      </c>
      <c r="D1051" s="4">
        <v>38198</v>
      </c>
      <c r="E1051" s="1">
        <v>0</v>
      </c>
      <c r="F1051" s="1">
        <v>9</v>
      </c>
      <c r="G1051" s="1">
        <v>2</v>
      </c>
      <c r="H1051" s="1">
        <v>2</v>
      </c>
      <c r="I1051" s="1">
        <v>0</v>
      </c>
      <c r="J1051" s="2" t="str">
        <f t="shared" si="85"/>
        <v>CIN</v>
      </c>
      <c r="K1051" s="2" t="str">
        <f t="shared" si="86"/>
        <v>@NEP</v>
      </c>
      <c r="L1051" s="1" t="str">
        <f t="shared" si="84"/>
        <v>1050,7/30/2004,0,9,2,2,0</v>
      </c>
    </row>
    <row r="1052" spans="1:12" x14ac:dyDescent="0.2">
      <c r="A1052" s="1" t="str">
        <f t="shared" si="82"/>
        <v>381983</v>
      </c>
      <c r="B1052" s="1" t="str">
        <f t="shared" si="83"/>
        <v>381988</v>
      </c>
      <c r="C1052" s="1">
        <v>1051</v>
      </c>
      <c r="D1052" s="4">
        <v>38198</v>
      </c>
      <c r="E1052" s="1">
        <v>0</v>
      </c>
      <c r="F1052" s="1">
        <v>8</v>
      </c>
      <c r="G1052" s="1">
        <v>3</v>
      </c>
      <c r="H1052" s="1">
        <v>2</v>
      </c>
      <c r="I1052" s="1">
        <v>0</v>
      </c>
      <c r="J1052" s="2" t="str">
        <f t="shared" si="85"/>
        <v>CTW</v>
      </c>
      <c r="K1052" s="2" t="str">
        <f t="shared" si="86"/>
        <v>@TEW</v>
      </c>
      <c r="L1052" s="1" t="str">
        <f t="shared" si="84"/>
        <v>1051,7/30/2004,0,8,3,2,0</v>
      </c>
    </row>
    <row r="1053" spans="1:12" x14ac:dyDescent="0.2">
      <c r="A1053" s="1" t="str">
        <f t="shared" si="82"/>
        <v>3819810</v>
      </c>
      <c r="B1053" s="1" t="str">
        <f t="shared" si="83"/>
        <v>3819813</v>
      </c>
      <c r="C1053" s="1">
        <v>1052</v>
      </c>
      <c r="D1053" s="4">
        <v>38198</v>
      </c>
      <c r="E1053" s="1">
        <v>0</v>
      </c>
      <c r="F1053" s="1">
        <v>13</v>
      </c>
      <c r="G1053" s="1">
        <v>10</v>
      </c>
      <c r="H1053" s="1">
        <v>2</v>
      </c>
      <c r="I1053" s="1">
        <v>0</v>
      </c>
      <c r="J1053" s="2" t="str">
        <f t="shared" si="85"/>
        <v>BBG</v>
      </c>
      <c r="K1053" s="2" t="str">
        <f t="shared" si="86"/>
        <v>@REN</v>
      </c>
      <c r="L1053" s="1" t="str">
        <f t="shared" si="84"/>
        <v>1052,7/30/2004,0,13,10,2,0</v>
      </c>
    </row>
    <row r="1054" spans="1:12" x14ac:dyDescent="0.2">
      <c r="A1054" s="1" t="str">
        <f t="shared" si="82"/>
        <v>3819811</v>
      </c>
      <c r="B1054" s="1" t="str">
        <f t="shared" si="83"/>
        <v>3819812</v>
      </c>
      <c r="C1054" s="1">
        <v>1053</v>
      </c>
      <c r="D1054" s="4">
        <v>38198</v>
      </c>
      <c r="E1054" s="1">
        <v>0</v>
      </c>
      <c r="F1054" s="1">
        <v>12</v>
      </c>
      <c r="G1054" s="1">
        <v>11</v>
      </c>
      <c r="H1054" s="1">
        <v>2</v>
      </c>
      <c r="I1054" s="1">
        <v>0</v>
      </c>
      <c r="J1054" s="2" t="str">
        <f t="shared" si="85"/>
        <v>RMO</v>
      </c>
      <c r="K1054" s="2" t="str">
        <f t="shared" si="86"/>
        <v>@HAR</v>
      </c>
      <c r="L1054" s="1" t="str">
        <f t="shared" si="84"/>
        <v>1053,7/30/2004,0,12,11,2,0</v>
      </c>
    </row>
    <row r="1055" spans="1:12" x14ac:dyDescent="0.2">
      <c r="A1055" s="1" t="str">
        <f t="shared" si="82"/>
        <v>3819814</v>
      </c>
      <c r="B1055" s="1" t="str">
        <f t="shared" si="83"/>
        <v>3819817</v>
      </c>
      <c r="C1055" s="1">
        <v>1054</v>
      </c>
      <c r="D1055" s="4">
        <v>38198</v>
      </c>
      <c r="E1055" s="1">
        <v>0</v>
      </c>
      <c r="F1055" s="1">
        <v>17</v>
      </c>
      <c r="G1055" s="1">
        <v>14</v>
      </c>
      <c r="H1055" s="1">
        <v>2</v>
      </c>
      <c r="I1055" s="1">
        <v>0</v>
      </c>
      <c r="J1055" s="2" t="str">
        <f t="shared" si="85"/>
        <v>GAR</v>
      </c>
      <c r="K1055" s="2" t="str">
        <f t="shared" si="86"/>
        <v>@CEN</v>
      </c>
      <c r="L1055" s="1" t="str">
        <f t="shared" si="84"/>
        <v>1054,7/30/2004,0,17,14,2,0</v>
      </c>
    </row>
    <row r="1056" spans="1:12" x14ac:dyDescent="0.2">
      <c r="A1056" s="1" t="str">
        <f t="shared" si="82"/>
        <v>3819822</v>
      </c>
      <c r="B1056" s="1" t="str">
        <f t="shared" si="83"/>
        <v>381984</v>
      </c>
      <c r="C1056" s="1">
        <v>1055</v>
      </c>
      <c r="D1056" s="4">
        <v>38198</v>
      </c>
      <c r="E1056" s="1">
        <v>0</v>
      </c>
      <c r="F1056" s="1">
        <v>4</v>
      </c>
      <c r="G1056" s="1">
        <v>22</v>
      </c>
      <c r="H1056" s="1">
        <v>2</v>
      </c>
      <c r="I1056" s="1">
        <v>0</v>
      </c>
      <c r="J1056" s="2" t="str">
        <f t="shared" si="85"/>
        <v>NNN</v>
      </c>
      <c r="K1056" s="2" t="str">
        <f t="shared" si="86"/>
        <v>@CBB</v>
      </c>
      <c r="L1056" s="1" t="str">
        <f t="shared" si="84"/>
        <v>1055,7/30/2004,0,4,22,2,0</v>
      </c>
    </row>
    <row r="1057" spans="1:12" x14ac:dyDescent="0.2">
      <c r="A1057" s="1" t="str">
        <f t="shared" si="82"/>
        <v>3819823</v>
      </c>
      <c r="B1057" s="1" t="str">
        <f t="shared" si="83"/>
        <v>381985</v>
      </c>
      <c r="C1057" s="1">
        <v>1056</v>
      </c>
      <c r="D1057" s="4">
        <v>38198</v>
      </c>
      <c r="E1057" s="1">
        <v>0</v>
      </c>
      <c r="F1057" s="1">
        <v>5</v>
      </c>
      <c r="G1057" s="1">
        <v>23</v>
      </c>
      <c r="H1057" s="1">
        <v>2</v>
      </c>
      <c r="I1057" s="1">
        <v>0</v>
      </c>
      <c r="J1057" s="2" t="str">
        <f t="shared" si="85"/>
        <v>OKO</v>
      </c>
      <c r="K1057" s="2" t="str">
        <f t="shared" si="86"/>
        <v>@BRK</v>
      </c>
      <c r="L1057" s="1" t="str">
        <f t="shared" si="84"/>
        <v>1056,7/30/2004,0,5,23,2,0</v>
      </c>
    </row>
    <row r="1058" spans="1:12" x14ac:dyDescent="0.2">
      <c r="A1058" s="1" t="str">
        <f t="shared" si="82"/>
        <v>3819820</v>
      </c>
      <c r="B1058" s="1" t="str">
        <f t="shared" si="83"/>
        <v>381987</v>
      </c>
      <c r="C1058" s="1">
        <v>1057</v>
      </c>
      <c r="D1058" s="4">
        <v>38198</v>
      </c>
      <c r="E1058" s="1">
        <v>0</v>
      </c>
      <c r="F1058" s="1">
        <v>7</v>
      </c>
      <c r="G1058" s="1">
        <v>20</v>
      </c>
      <c r="H1058" s="1">
        <v>2</v>
      </c>
      <c r="I1058" s="1">
        <v>0</v>
      </c>
      <c r="J1058" s="2" t="str">
        <f t="shared" si="85"/>
        <v>BAR</v>
      </c>
      <c r="K1058" s="2" t="str">
        <f t="shared" si="86"/>
        <v>@FDH</v>
      </c>
      <c r="L1058" s="1" t="str">
        <f t="shared" si="84"/>
        <v>1057,7/30/2004,0,7,20,2,0</v>
      </c>
    </row>
    <row r="1059" spans="1:12" x14ac:dyDescent="0.2">
      <c r="A1059" s="1" t="str">
        <f t="shared" si="82"/>
        <v>3819821</v>
      </c>
      <c r="B1059" s="1" t="str">
        <f t="shared" si="83"/>
        <v>381981</v>
      </c>
      <c r="C1059" s="1">
        <v>1058</v>
      </c>
      <c r="D1059" s="4">
        <v>38198</v>
      </c>
      <c r="E1059" s="1">
        <v>0</v>
      </c>
      <c r="F1059" s="1">
        <v>1</v>
      </c>
      <c r="G1059" s="1">
        <v>21</v>
      </c>
      <c r="H1059" s="1">
        <v>2</v>
      </c>
      <c r="I1059" s="1">
        <v>0</v>
      </c>
      <c r="J1059" s="2" t="str">
        <f t="shared" si="85"/>
        <v>FFR</v>
      </c>
      <c r="K1059" s="2" t="str">
        <f t="shared" si="86"/>
        <v>@NYD</v>
      </c>
      <c r="L1059" s="1" t="str">
        <f t="shared" si="84"/>
        <v>1058,7/30/2004,0,1,21,2,0</v>
      </c>
    </row>
    <row r="1060" spans="1:12" x14ac:dyDescent="0.2">
      <c r="A1060" s="1" t="str">
        <f t="shared" si="82"/>
        <v>3819824</v>
      </c>
      <c r="B1060" s="1" t="str">
        <f t="shared" si="83"/>
        <v>3819816</v>
      </c>
      <c r="C1060" s="1">
        <v>1059</v>
      </c>
      <c r="D1060" s="4">
        <v>38198</v>
      </c>
      <c r="E1060" s="1">
        <v>0</v>
      </c>
      <c r="F1060" s="1">
        <v>16</v>
      </c>
      <c r="G1060" s="1">
        <v>24</v>
      </c>
      <c r="H1060" s="1">
        <v>2</v>
      </c>
      <c r="I1060" s="1">
        <v>0</v>
      </c>
      <c r="J1060" s="2" t="str">
        <f t="shared" si="85"/>
        <v>DIG</v>
      </c>
      <c r="K1060" s="2" t="str">
        <f t="shared" si="86"/>
        <v>@PHI</v>
      </c>
      <c r="L1060" s="1" t="str">
        <f t="shared" si="84"/>
        <v>1059,7/30/2004,0,16,24,2,0</v>
      </c>
    </row>
    <row r="1061" spans="1:12" x14ac:dyDescent="0.2">
      <c r="A1061" s="1" t="str">
        <f t="shared" si="82"/>
        <v>381992</v>
      </c>
      <c r="B1061" s="1" t="str">
        <f t="shared" si="83"/>
        <v>381999</v>
      </c>
      <c r="C1061" s="1">
        <v>1060</v>
      </c>
      <c r="D1061" s="4">
        <v>38199</v>
      </c>
      <c r="E1061" s="1">
        <v>0</v>
      </c>
      <c r="F1061" s="1">
        <v>9</v>
      </c>
      <c r="G1061" s="1">
        <v>2</v>
      </c>
      <c r="H1061" s="1">
        <v>2</v>
      </c>
      <c r="I1061" s="1">
        <v>0</v>
      </c>
      <c r="J1061" s="2" t="str">
        <f t="shared" si="85"/>
        <v>CIN</v>
      </c>
      <c r="K1061" s="2" t="str">
        <f t="shared" si="86"/>
        <v>@NEP</v>
      </c>
      <c r="L1061" s="1" t="str">
        <f t="shared" si="84"/>
        <v>1060,7/31/2004,0,9,2,2,0</v>
      </c>
    </row>
    <row r="1062" spans="1:12" x14ac:dyDescent="0.2">
      <c r="A1062" s="1" t="str">
        <f t="shared" ref="A1062:A1125" si="87">D1062&amp;G1062</f>
        <v>381993</v>
      </c>
      <c r="B1062" s="1" t="str">
        <f t="shared" ref="B1062:B1125" si="88">D1062&amp;F1062</f>
        <v>381998</v>
      </c>
      <c r="C1062" s="1">
        <v>1061</v>
      </c>
      <c r="D1062" s="4">
        <v>38199</v>
      </c>
      <c r="E1062" s="1">
        <v>0</v>
      </c>
      <c r="F1062" s="1">
        <v>8</v>
      </c>
      <c r="G1062" s="1">
        <v>3</v>
      </c>
      <c r="H1062" s="1">
        <v>2</v>
      </c>
      <c r="I1062" s="1">
        <v>0</v>
      </c>
      <c r="J1062" s="2" t="str">
        <f t="shared" si="85"/>
        <v>CTW</v>
      </c>
      <c r="K1062" s="2" t="str">
        <f t="shared" si="86"/>
        <v>@TEW</v>
      </c>
      <c r="L1062" s="1" t="str">
        <f t="shared" ref="L1062:L1125" si="89">C1062&amp;","&amp;MONTH(D1062)&amp;"/"&amp;DAY(D1062)&amp;"/"&amp;YEAR(D1062)&amp;","&amp;E1062&amp;","&amp;F1062&amp;","&amp;G1062&amp;","&amp;H1062&amp;","&amp;I1062</f>
        <v>1061,7/31/2004,0,8,3,2,0</v>
      </c>
    </row>
    <row r="1063" spans="1:12" x14ac:dyDescent="0.2">
      <c r="A1063" s="1" t="str">
        <f t="shared" si="87"/>
        <v>3819910</v>
      </c>
      <c r="B1063" s="1" t="str">
        <f t="shared" si="88"/>
        <v>3819913</v>
      </c>
      <c r="C1063" s="1">
        <v>1062</v>
      </c>
      <c r="D1063" s="4">
        <v>38199</v>
      </c>
      <c r="E1063" s="1">
        <v>0</v>
      </c>
      <c r="F1063" s="1">
        <v>13</v>
      </c>
      <c r="G1063" s="1">
        <v>10</v>
      </c>
      <c r="H1063" s="1">
        <v>2</v>
      </c>
      <c r="I1063" s="1">
        <v>0</v>
      </c>
      <c r="J1063" s="2" t="str">
        <f t="shared" si="85"/>
        <v>BBG</v>
      </c>
      <c r="K1063" s="2" t="str">
        <f t="shared" si="86"/>
        <v>@REN</v>
      </c>
      <c r="L1063" s="1" t="str">
        <f t="shared" si="89"/>
        <v>1062,7/31/2004,0,13,10,2,0</v>
      </c>
    </row>
    <row r="1064" spans="1:12" x14ac:dyDescent="0.2">
      <c r="A1064" s="1" t="str">
        <f t="shared" si="87"/>
        <v>3819911</v>
      </c>
      <c r="B1064" s="1" t="str">
        <f t="shared" si="88"/>
        <v>3819912</v>
      </c>
      <c r="C1064" s="1">
        <v>1063</v>
      </c>
      <c r="D1064" s="4">
        <v>38199</v>
      </c>
      <c r="E1064" s="1">
        <v>0</v>
      </c>
      <c r="F1064" s="1">
        <v>12</v>
      </c>
      <c r="G1064" s="1">
        <v>11</v>
      </c>
      <c r="H1064" s="1">
        <v>2</v>
      </c>
      <c r="I1064" s="1">
        <v>0</v>
      </c>
      <c r="J1064" s="2" t="str">
        <f t="shared" si="85"/>
        <v>RMO</v>
      </c>
      <c r="K1064" s="2" t="str">
        <f t="shared" si="86"/>
        <v>@HAR</v>
      </c>
      <c r="L1064" s="1" t="str">
        <f t="shared" si="89"/>
        <v>1063,7/31/2004,0,12,11,2,0</v>
      </c>
    </row>
    <row r="1065" spans="1:12" x14ac:dyDescent="0.2">
      <c r="A1065" s="1" t="str">
        <f t="shared" si="87"/>
        <v>3819914</v>
      </c>
      <c r="B1065" s="1" t="str">
        <f t="shared" si="88"/>
        <v>3819917</v>
      </c>
      <c r="C1065" s="1">
        <v>1064</v>
      </c>
      <c r="D1065" s="4">
        <v>38199</v>
      </c>
      <c r="E1065" s="1">
        <v>0</v>
      </c>
      <c r="F1065" s="1">
        <v>17</v>
      </c>
      <c r="G1065" s="1">
        <v>14</v>
      </c>
      <c r="H1065" s="1">
        <v>2</v>
      </c>
      <c r="I1065" s="1">
        <v>0</v>
      </c>
      <c r="J1065" s="2" t="str">
        <f t="shared" si="85"/>
        <v>GAR</v>
      </c>
      <c r="K1065" s="2" t="str">
        <f t="shared" si="86"/>
        <v>@CEN</v>
      </c>
      <c r="L1065" s="1" t="str">
        <f t="shared" si="89"/>
        <v>1064,7/31/2004,0,17,14,2,0</v>
      </c>
    </row>
    <row r="1066" spans="1:12" x14ac:dyDescent="0.2">
      <c r="A1066" s="1" t="str">
        <f t="shared" si="87"/>
        <v>3819920</v>
      </c>
      <c r="B1066" s="1" t="str">
        <f t="shared" si="88"/>
        <v>381997</v>
      </c>
      <c r="C1066" s="1">
        <v>1065</v>
      </c>
      <c r="D1066" s="4">
        <v>38199</v>
      </c>
      <c r="E1066" s="1">
        <v>0</v>
      </c>
      <c r="F1066" s="1">
        <v>7</v>
      </c>
      <c r="G1066" s="1">
        <v>20</v>
      </c>
      <c r="H1066" s="1">
        <v>2</v>
      </c>
      <c r="I1066" s="1">
        <v>0</v>
      </c>
      <c r="J1066" s="2" t="str">
        <f t="shared" si="85"/>
        <v>BAR</v>
      </c>
      <c r="K1066" s="2" t="str">
        <f t="shared" si="86"/>
        <v>@FDH</v>
      </c>
      <c r="L1066" s="1" t="str">
        <f t="shared" si="89"/>
        <v>1065,7/31/2004,0,7,20,2,0</v>
      </c>
    </row>
    <row r="1067" spans="1:12" x14ac:dyDescent="0.2">
      <c r="A1067" s="1" t="str">
        <f t="shared" si="87"/>
        <v>3819921</v>
      </c>
      <c r="B1067" s="1" t="str">
        <f t="shared" si="88"/>
        <v>381991</v>
      </c>
      <c r="C1067" s="1">
        <v>1066</v>
      </c>
      <c r="D1067" s="4">
        <v>38199</v>
      </c>
      <c r="E1067" s="1">
        <v>0</v>
      </c>
      <c r="F1067" s="1">
        <v>1</v>
      </c>
      <c r="G1067" s="1">
        <v>21</v>
      </c>
      <c r="H1067" s="1">
        <v>2</v>
      </c>
      <c r="I1067" s="1">
        <v>0</v>
      </c>
      <c r="J1067" s="2" t="str">
        <f t="shared" si="85"/>
        <v>FFR</v>
      </c>
      <c r="K1067" s="2" t="str">
        <f t="shared" si="86"/>
        <v>@NYD</v>
      </c>
      <c r="L1067" s="1" t="str">
        <f t="shared" si="89"/>
        <v>1066,7/31/2004,0,1,21,2,0</v>
      </c>
    </row>
    <row r="1068" spans="1:12" x14ac:dyDescent="0.2">
      <c r="A1068" s="1" t="str">
        <f t="shared" si="87"/>
        <v>3819922</v>
      </c>
      <c r="B1068" s="1" t="str">
        <f t="shared" si="88"/>
        <v>381994</v>
      </c>
      <c r="C1068" s="1">
        <v>1067</v>
      </c>
      <c r="D1068" s="4">
        <v>38199</v>
      </c>
      <c r="E1068" s="1">
        <v>0</v>
      </c>
      <c r="F1068" s="1">
        <v>4</v>
      </c>
      <c r="G1068" s="1">
        <v>22</v>
      </c>
      <c r="H1068" s="1">
        <v>2</v>
      </c>
      <c r="I1068" s="1">
        <v>0</v>
      </c>
      <c r="J1068" s="2" t="str">
        <f t="shared" si="85"/>
        <v>NNN</v>
      </c>
      <c r="K1068" s="2" t="str">
        <f t="shared" si="86"/>
        <v>@CBB</v>
      </c>
      <c r="L1068" s="1" t="str">
        <f t="shared" si="89"/>
        <v>1067,7/31/2004,0,4,22,2,0</v>
      </c>
    </row>
    <row r="1069" spans="1:12" x14ac:dyDescent="0.2">
      <c r="A1069" s="1" t="str">
        <f t="shared" si="87"/>
        <v>3819923</v>
      </c>
      <c r="B1069" s="1" t="str">
        <f t="shared" si="88"/>
        <v>381995</v>
      </c>
      <c r="C1069" s="1">
        <v>1068</v>
      </c>
      <c r="D1069" s="4">
        <v>38199</v>
      </c>
      <c r="E1069" s="1">
        <v>0</v>
      </c>
      <c r="F1069" s="1">
        <v>5</v>
      </c>
      <c r="G1069" s="1">
        <v>23</v>
      </c>
      <c r="H1069" s="1">
        <v>2</v>
      </c>
      <c r="I1069" s="1">
        <v>0</v>
      </c>
      <c r="J1069" s="2" t="str">
        <f t="shared" si="85"/>
        <v>OKO</v>
      </c>
      <c r="K1069" s="2" t="str">
        <f t="shared" si="86"/>
        <v>@BRK</v>
      </c>
      <c r="L1069" s="1" t="str">
        <f t="shared" si="89"/>
        <v>1068,7/31/2004,0,5,23,2,0</v>
      </c>
    </row>
    <row r="1070" spans="1:12" x14ac:dyDescent="0.2">
      <c r="A1070" s="1" t="str">
        <f t="shared" si="87"/>
        <v>3819924</v>
      </c>
      <c r="B1070" s="1" t="str">
        <f t="shared" si="88"/>
        <v>3819916</v>
      </c>
      <c r="C1070" s="1">
        <v>1069</v>
      </c>
      <c r="D1070" s="4">
        <v>38199</v>
      </c>
      <c r="E1070" s="1">
        <v>0</v>
      </c>
      <c r="F1070" s="1">
        <v>16</v>
      </c>
      <c r="G1070" s="1">
        <v>24</v>
      </c>
      <c r="H1070" s="1">
        <v>2</v>
      </c>
      <c r="I1070" s="1">
        <v>0</v>
      </c>
      <c r="J1070" s="2" t="str">
        <f t="shared" si="85"/>
        <v>DIG</v>
      </c>
      <c r="K1070" s="2" t="str">
        <f t="shared" si="86"/>
        <v>@PHI</v>
      </c>
      <c r="L1070" s="1" t="str">
        <f t="shared" si="89"/>
        <v>1069,7/31/2004,0,16,24,2,0</v>
      </c>
    </row>
    <row r="1071" spans="1:12" x14ac:dyDescent="0.2">
      <c r="A1071" s="1" t="str">
        <f t="shared" si="87"/>
        <v>382002</v>
      </c>
      <c r="B1071" s="1" t="str">
        <f t="shared" si="88"/>
        <v>382009</v>
      </c>
      <c r="C1071" s="1">
        <v>1070</v>
      </c>
      <c r="D1071" s="4">
        <v>38200</v>
      </c>
      <c r="E1071" s="1">
        <v>0</v>
      </c>
      <c r="F1071" s="1">
        <v>9</v>
      </c>
      <c r="G1071" s="1">
        <v>2</v>
      </c>
      <c r="H1071" s="1">
        <v>2</v>
      </c>
      <c r="I1071" s="1">
        <v>0</v>
      </c>
      <c r="J1071" s="2" t="str">
        <f t="shared" si="85"/>
        <v>CIN</v>
      </c>
      <c r="K1071" s="2" t="str">
        <f t="shared" si="86"/>
        <v>@NEP</v>
      </c>
      <c r="L1071" s="1" t="str">
        <f t="shared" si="89"/>
        <v>1070,8/1/2004,0,9,2,2,0</v>
      </c>
    </row>
    <row r="1072" spans="1:12" x14ac:dyDescent="0.2">
      <c r="A1072" s="1" t="str">
        <f t="shared" si="87"/>
        <v>382003</v>
      </c>
      <c r="B1072" s="1" t="str">
        <f t="shared" si="88"/>
        <v>382008</v>
      </c>
      <c r="C1072" s="1">
        <v>1071</v>
      </c>
      <c r="D1072" s="4">
        <v>38200</v>
      </c>
      <c r="E1072" s="1">
        <v>0</v>
      </c>
      <c r="F1072" s="1">
        <v>8</v>
      </c>
      <c r="G1072" s="1">
        <v>3</v>
      </c>
      <c r="H1072" s="1">
        <v>2</v>
      </c>
      <c r="I1072" s="1">
        <v>0</v>
      </c>
      <c r="J1072" s="2" t="str">
        <f t="shared" si="85"/>
        <v>CTW</v>
      </c>
      <c r="K1072" s="2" t="str">
        <f t="shared" si="86"/>
        <v>@TEW</v>
      </c>
      <c r="L1072" s="1" t="str">
        <f t="shared" si="89"/>
        <v>1071,8/1/2004,0,8,3,2,0</v>
      </c>
    </row>
    <row r="1073" spans="1:12" x14ac:dyDescent="0.2">
      <c r="A1073" s="1" t="str">
        <f t="shared" si="87"/>
        <v>3820010</v>
      </c>
      <c r="B1073" s="1" t="str">
        <f t="shared" si="88"/>
        <v>3820013</v>
      </c>
      <c r="C1073" s="1">
        <v>1072</v>
      </c>
      <c r="D1073" s="4">
        <v>38200</v>
      </c>
      <c r="E1073" s="1">
        <v>0</v>
      </c>
      <c r="F1073" s="1">
        <v>13</v>
      </c>
      <c r="G1073" s="1">
        <v>10</v>
      </c>
      <c r="H1073" s="1">
        <v>2</v>
      </c>
      <c r="I1073" s="1">
        <v>0</v>
      </c>
      <c r="J1073" s="2" t="str">
        <f t="shared" si="85"/>
        <v>BBG</v>
      </c>
      <c r="K1073" s="2" t="str">
        <f t="shared" si="86"/>
        <v>@REN</v>
      </c>
      <c r="L1073" s="1" t="str">
        <f t="shared" si="89"/>
        <v>1072,8/1/2004,0,13,10,2,0</v>
      </c>
    </row>
    <row r="1074" spans="1:12" x14ac:dyDescent="0.2">
      <c r="A1074" s="1" t="str">
        <f t="shared" si="87"/>
        <v>3820011</v>
      </c>
      <c r="B1074" s="1" t="str">
        <f t="shared" si="88"/>
        <v>3820012</v>
      </c>
      <c r="C1074" s="1">
        <v>1073</v>
      </c>
      <c r="D1074" s="4">
        <v>38200</v>
      </c>
      <c r="E1074" s="1">
        <v>0</v>
      </c>
      <c r="F1074" s="1">
        <v>12</v>
      </c>
      <c r="G1074" s="1">
        <v>11</v>
      </c>
      <c r="H1074" s="1">
        <v>2</v>
      </c>
      <c r="I1074" s="1">
        <v>0</v>
      </c>
      <c r="J1074" s="2" t="str">
        <f t="shared" si="85"/>
        <v>RMO</v>
      </c>
      <c r="K1074" s="2" t="str">
        <f t="shared" si="86"/>
        <v>@HAR</v>
      </c>
      <c r="L1074" s="1" t="str">
        <f t="shared" si="89"/>
        <v>1073,8/1/2004,0,12,11,2,0</v>
      </c>
    </row>
    <row r="1075" spans="1:12" x14ac:dyDescent="0.2">
      <c r="A1075" s="1" t="str">
        <f t="shared" si="87"/>
        <v>3820014</v>
      </c>
      <c r="B1075" s="1" t="str">
        <f t="shared" si="88"/>
        <v>3820017</v>
      </c>
      <c r="C1075" s="1">
        <v>1074</v>
      </c>
      <c r="D1075" s="4">
        <v>38200</v>
      </c>
      <c r="E1075" s="1">
        <v>0</v>
      </c>
      <c r="F1075" s="1">
        <v>17</v>
      </c>
      <c r="G1075" s="1">
        <v>14</v>
      </c>
      <c r="H1075" s="1">
        <v>2</v>
      </c>
      <c r="I1075" s="1">
        <v>0</v>
      </c>
      <c r="J1075" s="2" t="str">
        <f t="shared" si="85"/>
        <v>GAR</v>
      </c>
      <c r="K1075" s="2" t="str">
        <f t="shared" si="86"/>
        <v>@CEN</v>
      </c>
      <c r="L1075" s="1" t="str">
        <f t="shared" si="89"/>
        <v>1074,8/1/2004,0,17,14,2,0</v>
      </c>
    </row>
    <row r="1076" spans="1:12" x14ac:dyDescent="0.2">
      <c r="A1076" s="1" t="str">
        <f t="shared" si="87"/>
        <v>3820020</v>
      </c>
      <c r="B1076" s="1" t="str">
        <f t="shared" si="88"/>
        <v>382007</v>
      </c>
      <c r="C1076" s="1">
        <v>1075</v>
      </c>
      <c r="D1076" s="4">
        <v>38200</v>
      </c>
      <c r="E1076" s="1">
        <v>0</v>
      </c>
      <c r="F1076" s="1">
        <v>7</v>
      </c>
      <c r="G1076" s="1">
        <v>20</v>
      </c>
      <c r="H1076" s="1">
        <v>2</v>
      </c>
      <c r="I1076" s="1">
        <v>0</v>
      </c>
      <c r="J1076" s="2" t="str">
        <f t="shared" si="85"/>
        <v>BAR</v>
      </c>
      <c r="K1076" s="2" t="str">
        <f t="shared" si="86"/>
        <v>@FDH</v>
      </c>
      <c r="L1076" s="1" t="str">
        <f t="shared" si="89"/>
        <v>1075,8/1/2004,0,7,20,2,0</v>
      </c>
    </row>
    <row r="1077" spans="1:12" x14ac:dyDescent="0.2">
      <c r="A1077" s="1" t="str">
        <f t="shared" si="87"/>
        <v>3820021</v>
      </c>
      <c r="B1077" s="1" t="str">
        <f t="shared" si="88"/>
        <v>382001</v>
      </c>
      <c r="C1077" s="1">
        <v>1076</v>
      </c>
      <c r="D1077" s="4">
        <v>38200</v>
      </c>
      <c r="E1077" s="1">
        <v>0</v>
      </c>
      <c r="F1077" s="1">
        <v>1</v>
      </c>
      <c r="G1077" s="1">
        <v>21</v>
      </c>
      <c r="H1077" s="1">
        <v>2</v>
      </c>
      <c r="I1077" s="1">
        <v>0</v>
      </c>
      <c r="J1077" s="2" t="str">
        <f t="shared" si="85"/>
        <v>FFR</v>
      </c>
      <c r="K1077" s="2" t="str">
        <f t="shared" si="86"/>
        <v>@NYD</v>
      </c>
      <c r="L1077" s="1" t="str">
        <f t="shared" si="89"/>
        <v>1076,8/1/2004,0,1,21,2,0</v>
      </c>
    </row>
    <row r="1078" spans="1:12" x14ac:dyDescent="0.2">
      <c r="A1078" s="1" t="str">
        <f t="shared" si="87"/>
        <v>3820022</v>
      </c>
      <c r="B1078" s="1" t="str">
        <f t="shared" si="88"/>
        <v>382004</v>
      </c>
      <c r="C1078" s="1">
        <v>1077</v>
      </c>
      <c r="D1078" s="4">
        <v>38200</v>
      </c>
      <c r="E1078" s="1">
        <v>0</v>
      </c>
      <c r="F1078" s="1">
        <v>4</v>
      </c>
      <c r="G1078" s="1">
        <v>22</v>
      </c>
      <c r="H1078" s="1">
        <v>2</v>
      </c>
      <c r="I1078" s="1">
        <v>0</v>
      </c>
      <c r="J1078" s="2" t="str">
        <f t="shared" si="85"/>
        <v>NNN</v>
      </c>
      <c r="K1078" s="2" t="str">
        <f t="shared" si="86"/>
        <v>@CBB</v>
      </c>
      <c r="L1078" s="1" t="str">
        <f t="shared" si="89"/>
        <v>1077,8/1/2004,0,4,22,2,0</v>
      </c>
    </row>
    <row r="1079" spans="1:12" x14ac:dyDescent="0.2">
      <c r="A1079" s="1" t="str">
        <f t="shared" si="87"/>
        <v>3820023</v>
      </c>
      <c r="B1079" s="1" t="str">
        <f t="shared" si="88"/>
        <v>382005</v>
      </c>
      <c r="C1079" s="1">
        <v>1078</v>
      </c>
      <c r="D1079" s="4">
        <v>38200</v>
      </c>
      <c r="E1079" s="1">
        <v>0</v>
      </c>
      <c r="F1079" s="1">
        <v>5</v>
      </c>
      <c r="G1079" s="1">
        <v>23</v>
      </c>
      <c r="H1079" s="1">
        <v>2</v>
      </c>
      <c r="I1079" s="1">
        <v>0</v>
      </c>
      <c r="J1079" s="2" t="str">
        <f t="shared" si="85"/>
        <v>OKO</v>
      </c>
      <c r="K1079" s="2" t="str">
        <f t="shared" si="86"/>
        <v>@BRK</v>
      </c>
      <c r="L1079" s="1" t="str">
        <f t="shared" si="89"/>
        <v>1078,8/1/2004,0,5,23,2,0</v>
      </c>
    </row>
    <row r="1080" spans="1:12" x14ac:dyDescent="0.2">
      <c r="A1080" s="1" t="str">
        <f t="shared" si="87"/>
        <v>3820024</v>
      </c>
      <c r="B1080" s="1" t="str">
        <f t="shared" si="88"/>
        <v>3820016</v>
      </c>
      <c r="C1080" s="1">
        <v>1079</v>
      </c>
      <c r="D1080" s="4">
        <v>38200</v>
      </c>
      <c r="E1080" s="1">
        <v>0</v>
      </c>
      <c r="F1080" s="1">
        <v>16</v>
      </c>
      <c r="G1080" s="1">
        <v>24</v>
      </c>
      <c r="H1080" s="1">
        <v>2</v>
      </c>
      <c r="I1080" s="1">
        <v>0</v>
      </c>
      <c r="J1080" s="2" t="str">
        <f t="shared" si="85"/>
        <v>DIG</v>
      </c>
      <c r="K1080" s="2" t="str">
        <f t="shared" si="86"/>
        <v>@PHI</v>
      </c>
      <c r="L1080" s="1" t="str">
        <f t="shared" si="89"/>
        <v>1079,8/1/2004,0,16,24,2,0</v>
      </c>
    </row>
    <row r="1081" spans="1:12" x14ac:dyDescent="0.2">
      <c r="A1081" s="1" t="str">
        <f t="shared" si="87"/>
        <v>382012</v>
      </c>
      <c r="B1081" s="1" t="str">
        <f t="shared" si="88"/>
        <v>382019</v>
      </c>
      <c r="C1081" s="1">
        <v>1080</v>
      </c>
      <c r="D1081" s="4">
        <v>38201</v>
      </c>
      <c r="E1081" s="1">
        <v>0</v>
      </c>
      <c r="F1081" s="1">
        <v>9</v>
      </c>
      <c r="G1081" s="1">
        <v>2</v>
      </c>
      <c r="H1081" s="1">
        <v>2</v>
      </c>
      <c r="I1081" s="1">
        <v>0</v>
      </c>
      <c r="J1081" s="2" t="str">
        <f t="shared" si="85"/>
        <v>CIN</v>
      </c>
      <c r="K1081" s="2" t="str">
        <f t="shared" si="86"/>
        <v>@NEP</v>
      </c>
      <c r="L1081" s="1" t="str">
        <f t="shared" si="89"/>
        <v>1080,8/2/2004,0,9,2,2,0</v>
      </c>
    </row>
    <row r="1082" spans="1:12" x14ac:dyDescent="0.2">
      <c r="A1082" s="1" t="str">
        <f t="shared" si="87"/>
        <v>382013</v>
      </c>
      <c r="B1082" s="1" t="str">
        <f t="shared" si="88"/>
        <v>382018</v>
      </c>
      <c r="C1082" s="1">
        <v>1081</v>
      </c>
      <c r="D1082" s="4">
        <v>38201</v>
      </c>
      <c r="E1082" s="1">
        <v>0</v>
      </c>
      <c r="F1082" s="1">
        <v>8</v>
      </c>
      <c r="G1082" s="1">
        <v>3</v>
      </c>
      <c r="H1082" s="1">
        <v>2</v>
      </c>
      <c r="I1082" s="1">
        <v>0</v>
      </c>
      <c r="J1082" s="2" t="str">
        <f t="shared" si="85"/>
        <v>CTW</v>
      </c>
      <c r="K1082" s="2" t="str">
        <f t="shared" si="86"/>
        <v>@TEW</v>
      </c>
      <c r="L1082" s="1" t="str">
        <f t="shared" si="89"/>
        <v>1081,8/2/2004,0,8,3,2,0</v>
      </c>
    </row>
    <row r="1083" spans="1:12" x14ac:dyDescent="0.2">
      <c r="A1083" s="1" t="str">
        <f t="shared" si="87"/>
        <v>3820110</v>
      </c>
      <c r="B1083" s="1" t="str">
        <f t="shared" si="88"/>
        <v>3820113</v>
      </c>
      <c r="C1083" s="1">
        <v>1082</v>
      </c>
      <c r="D1083" s="4">
        <v>38201</v>
      </c>
      <c r="E1083" s="1">
        <v>0</v>
      </c>
      <c r="F1083" s="1">
        <v>13</v>
      </c>
      <c r="G1083" s="1">
        <v>10</v>
      </c>
      <c r="H1083" s="1">
        <v>2</v>
      </c>
      <c r="I1083" s="1">
        <v>0</v>
      </c>
      <c r="J1083" s="2" t="str">
        <f t="shared" si="85"/>
        <v>BBG</v>
      </c>
      <c r="K1083" s="2" t="str">
        <f t="shared" si="86"/>
        <v>@REN</v>
      </c>
      <c r="L1083" s="1" t="str">
        <f t="shared" si="89"/>
        <v>1082,8/2/2004,0,13,10,2,0</v>
      </c>
    </row>
    <row r="1084" spans="1:12" x14ac:dyDescent="0.2">
      <c r="A1084" s="1" t="str">
        <f t="shared" si="87"/>
        <v>3820111</v>
      </c>
      <c r="B1084" s="1" t="str">
        <f t="shared" si="88"/>
        <v>3820112</v>
      </c>
      <c r="C1084" s="1">
        <v>1083</v>
      </c>
      <c r="D1084" s="4">
        <v>38201</v>
      </c>
      <c r="E1084" s="1">
        <v>0</v>
      </c>
      <c r="F1084" s="1">
        <v>12</v>
      </c>
      <c r="G1084" s="1">
        <v>11</v>
      </c>
      <c r="H1084" s="1">
        <v>2</v>
      </c>
      <c r="I1084" s="1">
        <v>0</v>
      </c>
      <c r="J1084" s="2" t="str">
        <f t="shared" si="85"/>
        <v>RMO</v>
      </c>
      <c r="K1084" s="2" t="str">
        <f t="shared" si="86"/>
        <v>@HAR</v>
      </c>
      <c r="L1084" s="1" t="str">
        <f t="shared" si="89"/>
        <v>1083,8/2/2004,0,12,11,2,0</v>
      </c>
    </row>
    <row r="1085" spans="1:12" x14ac:dyDescent="0.2">
      <c r="A1085" s="1" t="str">
        <f t="shared" si="87"/>
        <v>3820114</v>
      </c>
      <c r="B1085" s="1" t="str">
        <f t="shared" si="88"/>
        <v>3820117</v>
      </c>
      <c r="C1085" s="1">
        <v>1084</v>
      </c>
      <c r="D1085" s="4">
        <v>38201</v>
      </c>
      <c r="E1085" s="1">
        <v>0</v>
      </c>
      <c r="F1085" s="1">
        <v>17</v>
      </c>
      <c r="G1085" s="1">
        <v>14</v>
      </c>
      <c r="H1085" s="1">
        <v>2</v>
      </c>
      <c r="I1085" s="1">
        <v>0</v>
      </c>
      <c r="J1085" s="2" t="str">
        <f t="shared" si="85"/>
        <v>GAR</v>
      </c>
      <c r="K1085" s="2" t="str">
        <f t="shared" si="86"/>
        <v>@CEN</v>
      </c>
      <c r="L1085" s="1" t="str">
        <f t="shared" si="89"/>
        <v>1084,8/2/2004,0,17,14,2,0</v>
      </c>
    </row>
    <row r="1086" spans="1:12" x14ac:dyDescent="0.2">
      <c r="A1086" s="1" t="str">
        <f t="shared" si="87"/>
        <v>3820120</v>
      </c>
      <c r="B1086" s="1" t="str">
        <f t="shared" si="88"/>
        <v>382017</v>
      </c>
      <c r="C1086" s="1">
        <v>1085</v>
      </c>
      <c r="D1086" s="4">
        <v>38201</v>
      </c>
      <c r="E1086" s="1">
        <v>0</v>
      </c>
      <c r="F1086" s="1">
        <v>7</v>
      </c>
      <c r="G1086" s="1">
        <v>20</v>
      </c>
      <c r="H1086" s="1">
        <v>2</v>
      </c>
      <c r="I1086" s="1">
        <v>0</v>
      </c>
      <c r="J1086" s="2" t="str">
        <f t="shared" si="85"/>
        <v>BAR</v>
      </c>
      <c r="K1086" s="2" t="str">
        <f t="shared" si="86"/>
        <v>@FDH</v>
      </c>
      <c r="L1086" s="1" t="str">
        <f t="shared" si="89"/>
        <v>1085,8/2/2004,0,7,20,2,0</v>
      </c>
    </row>
    <row r="1087" spans="1:12" x14ac:dyDescent="0.2">
      <c r="A1087" s="1" t="str">
        <f t="shared" si="87"/>
        <v>3820121</v>
      </c>
      <c r="B1087" s="1" t="str">
        <f t="shared" si="88"/>
        <v>382011</v>
      </c>
      <c r="C1087" s="1">
        <v>1086</v>
      </c>
      <c r="D1087" s="4">
        <v>38201</v>
      </c>
      <c r="E1087" s="1">
        <v>0</v>
      </c>
      <c r="F1087" s="1">
        <v>1</v>
      </c>
      <c r="G1087" s="1">
        <v>21</v>
      </c>
      <c r="H1087" s="1">
        <v>2</v>
      </c>
      <c r="I1087" s="1">
        <v>0</v>
      </c>
      <c r="J1087" s="2" t="str">
        <f t="shared" si="85"/>
        <v>FFR</v>
      </c>
      <c r="K1087" s="2" t="str">
        <f t="shared" si="86"/>
        <v>@NYD</v>
      </c>
      <c r="L1087" s="1" t="str">
        <f t="shared" si="89"/>
        <v>1086,8/2/2004,0,1,21,2,0</v>
      </c>
    </row>
    <row r="1088" spans="1:12" x14ac:dyDescent="0.2">
      <c r="A1088" s="1" t="str">
        <f t="shared" si="87"/>
        <v>3820122</v>
      </c>
      <c r="B1088" s="1" t="str">
        <f t="shared" si="88"/>
        <v>382014</v>
      </c>
      <c r="C1088" s="1">
        <v>1087</v>
      </c>
      <c r="D1088" s="4">
        <v>38201</v>
      </c>
      <c r="E1088" s="1">
        <v>0</v>
      </c>
      <c r="F1088" s="1">
        <v>4</v>
      </c>
      <c r="G1088" s="1">
        <v>22</v>
      </c>
      <c r="H1088" s="1">
        <v>2</v>
      </c>
      <c r="I1088" s="1">
        <v>0</v>
      </c>
      <c r="J1088" s="2" t="str">
        <f t="shared" si="85"/>
        <v>NNN</v>
      </c>
      <c r="K1088" s="2" t="str">
        <f t="shared" si="86"/>
        <v>@CBB</v>
      </c>
      <c r="L1088" s="1" t="str">
        <f t="shared" si="89"/>
        <v>1087,8/2/2004,0,4,22,2,0</v>
      </c>
    </row>
    <row r="1089" spans="1:12" x14ac:dyDescent="0.2">
      <c r="A1089" s="1" t="str">
        <f t="shared" si="87"/>
        <v>3820123</v>
      </c>
      <c r="B1089" s="1" t="str">
        <f t="shared" si="88"/>
        <v>382015</v>
      </c>
      <c r="C1089" s="1">
        <v>1088</v>
      </c>
      <c r="D1089" s="4">
        <v>38201</v>
      </c>
      <c r="E1089" s="1">
        <v>0</v>
      </c>
      <c r="F1089" s="1">
        <v>5</v>
      </c>
      <c r="G1089" s="1">
        <v>23</v>
      </c>
      <c r="H1089" s="1">
        <v>2</v>
      </c>
      <c r="I1089" s="1">
        <v>0</v>
      </c>
      <c r="J1089" s="2" t="str">
        <f t="shared" si="85"/>
        <v>OKO</v>
      </c>
      <c r="K1089" s="2" t="str">
        <f t="shared" si="86"/>
        <v>@BRK</v>
      </c>
      <c r="L1089" s="1" t="str">
        <f t="shared" si="89"/>
        <v>1088,8/2/2004,0,5,23,2,0</v>
      </c>
    </row>
    <row r="1090" spans="1:12" x14ac:dyDescent="0.2">
      <c r="A1090" s="1" t="str">
        <f t="shared" si="87"/>
        <v>3820124</v>
      </c>
      <c r="B1090" s="1" t="str">
        <f t="shared" si="88"/>
        <v>3820116</v>
      </c>
      <c r="C1090" s="1">
        <v>1089</v>
      </c>
      <c r="D1090" s="4">
        <v>38201</v>
      </c>
      <c r="E1090" s="1">
        <v>0</v>
      </c>
      <c r="F1090" s="1">
        <v>16</v>
      </c>
      <c r="G1090" s="1">
        <v>24</v>
      </c>
      <c r="H1090" s="1">
        <v>2</v>
      </c>
      <c r="I1090" s="1">
        <v>0</v>
      </c>
      <c r="J1090" s="2" t="str">
        <f t="shared" ref="J1090:J1153" si="90">VLOOKUP(F1090,$M$2:$N$21,2,0)</f>
        <v>DIG</v>
      </c>
      <c r="K1090" s="2" t="str">
        <f t="shared" ref="K1090:K1153" si="91">"@"&amp;VLOOKUP(G1090,$M$2:$N$21,2,0)</f>
        <v>@PHI</v>
      </c>
      <c r="L1090" s="1" t="str">
        <f t="shared" si="89"/>
        <v>1089,8/2/2004,0,16,24,2,0</v>
      </c>
    </row>
    <row r="1091" spans="1:12" x14ac:dyDescent="0.2">
      <c r="A1091" s="1" t="str">
        <f t="shared" si="87"/>
        <v>382041</v>
      </c>
      <c r="B1091" s="1" t="str">
        <f t="shared" si="88"/>
        <v>3820411</v>
      </c>
      <c r="C1091" s="1">
        <v>1090</v>
      </c>
      <c r="D1091" s="4">
        <v>38204</v>
      </c>
      <c r="E1091" s="1">
        <v>0</v>
      </c>
      <c r="F1091" s="1">
        <v>11</v>
      </c>
      <c r="G1091" s="1">
        <v>1</v>
      </c>
      <c r="H1091" s="1">
        <v>2</v>
      </c>
      <c r="I1091" s="1">
        <v>0</v>
      </c>
      <c r="J1091" s="2" t="str">
        <f t="shared" si="90"/>
        <v>HAR</v>
      </c>
      <c r="K1091" s="2" t="str">
        <f t="shared" si="91"/>
        <v>@FFR</v>
      </c>
      <c r="L1091" s="1" t="str">
        <f t="shared" si="89"/>
        <v>1090,8/5/2004,0,11,1,2,0</v>
      </c>
    </row>
    <row r="1092" spans="1:12" x14ac:dyDescent="0.2">
      <c r="A1092" s="1" t="str">
        <f t="shared" si="87"/>
        <v>382042</v>
      </c>
      <c r="B1092" s="1" t="str">
        <f t="shared" si="88"/>
        <v>3820414</v>
      </c>
      <c r="C1092" s="1">
        <v>1091</v>
      </c>
      <c r="D1092" s="4">
        <v>38204</v>
      </c>
      <c r="E1092" s="1">
        <v>0</v>
      </c>
      <c r="F1092" s="1">
        <v>14</v>
      </c>
      <c r="G1092" s="1">
        <v>2</v>
      </c>
      <c r="H1092" s="1">
        <v>2</v>
      </c>
      <c r="I1092" s="1">
        <v>0</v>
      </c>
      <c r="J1092" s="2" t="str">
        <f t="shared" si="90"/>
        <v>CEN</v>
      </c>
      <c r="K1092" s="2" t="str">
        <f t="shared" si="91"/>
        <v>@NEP</v>
      </c>
      <c r="L1092" s="1" t="str">
        <f t="shared" si="89"/>
        <v>1091,8/5/2004,0,14,2,2,0</v>
      </c>
    </row>
    <row r="1093" spans="1:12" x14ac:dyDescent="0.2">
      <c r="A1093" s="1" t="str">
        <f t="shared" si="87"/>
        <v>382074</v>
      </c>
      <c r="B1093" s="1" t="str">
        <f t="shared" si="88"/>
        <v>3820716</v>
      </c>
      <c r="C1093" s="1">
        <v>1092</v>
      </c>
      <c r="D1093" s="4">
        <v>38207</v>
      </c>
      <c r="E1093" s="1">
        <v>0</v>
      </c>
      <c r="F1093" s="1">
        <v>16</v>
      </c>
      <c r="G1093" s="1">
        <v>4</v>
      </c>
      <c r="H1093" s="1">
        <v>2</v>
      </c>
      <c r="I1093" s="1">
        <v>0</v>
      </c>
      <c r="J1093" s="2" t="str">
        <f t="shared" si="90"/>
        <v>DIG</v>
      </c>
      <c r="K1093" s="2" t="str">
        <f t="shared" si="91"/>
        <v>@NNN</v>
      </c>
      <c r="L1093" s="1" t="str">
        <f t="shared" si="89"/>
        <v>1092,8/8/2004,0,16,4,2,0</v>
      </c>
    </row>
    <row r="1094" spans="1:12" x14ac:dyDescent="0.2">
      <c r="A1094" s="1" t="str">
        <f t="shared" si="87"/>
        <v>382028</v>
      </c>
      <c r="B1094" s="1" t="str">
        <f t="shared" si="88"/>
        <v>382027</v>
      </c>
      <c r="C1094" s="1">
        <v>1093</v>
      </c>
      <c r="D1094" s="4">
        <v>38202</v>
      </c>
      <c r="E1094" s="1">
        <v>0</v>
      </c>
      <c r="F1094" s="1">
        <v>7</v>
      </c>
      <c r="G1094" s="1">
        <v>8</v>
      </c>
      <c r="H1094" s="1">
        <v>2</v>
      </c>
      <c r="I1094" s="1">
        <v>0</v>
      </c>
      <c r="J1094" s="2" t="str">
        <f t="shared" si="90"/>
        <v>BAR</v>
      </c>
      <c r="K1094" s="2" t="str">
        <f t="shared" si="91"/>
        <v>@CTW</v>
      </c>
      <c r="L1094" s="1" t="str">
        <f t="shared" si="89"/>
        <v>1093,8/3/2004,0,7,8,2,0</v>
      </c>
    </row>
    <row r="1095" spans="1:12" x14ac:dyDescent="0.2">
      <c r="A1095" s="1" t="str">
        <f t="shared" si="87"/>
        <v>3820410</v>
      </c>
      <c r="B1095" s="1" t="str">
        <f t="shared" si="88"/>
        <v>3820420</v>
      </c>
      <c r="C1095" s="1">
        <v>1094</v>
      </c>
      <c r="D1095" s="4">
        <v>38204</v>
      </c>
      <c r="E1095" s="1">
        <v>0</v>
      </c>
      <c r="F1095" s="1">
        <v>20</v>
      </c>
      <c r="G1095" s="1">
        <v>10</v>
      </c>
      <c r="H1095" s="1">
        <v>2</v>
      </c>
      <c r="I1095" s="1">
        <v>0</v>
      </c>
      <c r="J1095" s="2" t="str">
        <f t="shared" si="90"/>
        <v>FDH</v>
      </c>
      <c r="K1095" s="2" t="str">
        <f t="shared" si="91"/>
        <v>@REN</v>
      </c>
      <c r="L1095" s="1" t="str">
        <f t="shared" si="89"/>
        <v>1094,8/5/2004,0,20,10,2,0</v>
      </c>
    </row>
    <row r="1096" spans="1:12" x14ac:dyDescent="0.2">
      <c r="A1096" s="1" t="str">
        <f t="shared" si="87"/>
        <v>3820712</v>
      </c>
      <c r="B1096" s="1" t="str">
        <f t="shared" si="88"/>
        <v>382075</v>
      </c>
      <c r="C1096" s="1">
        <v>1095</v>
      </c>
      <c r="D1096" s="4">
        <v>38207</v>
      </c>
      <c r="E1096" s="1">
        <v>0</v>
      </c>
      <c r="F1096" s="1">
        <v>5</v>
      </c>
      <c r="G1096" s="1">
        <v>12</v>
      </c>
      <c r="H1096" s="1">
        <v>2</v>
      </c>
      <c r="I1096" s="1">
        <v>0</v>
      </c>
      <c r="J1096" s="2" t="str">
        <f t="shared" si="90"/>
        <v>OKO</v>
      </c>
      <c r="K1096" s="2" t="str">
        <f t="shared" si="91"/>
        <v>@RMO</v>
      </c>
      <c r="L1096" s="1" t="str">
        <f t="shared" si="89"/>
        <v>1095,8/8/2004,0,5,12,2,0</v>
      </c>
    </row>
    <row r="1097" spans="1:12" x14ac:dyDescent="0.2">
      <c r="A1097" s="1" t="str">
        <f t="shared" si="87"/>
        <v>3820413</v>
      </c>
      <c r="B1097" s="1" t="str">
        <f t="shared" si="88"/>
        <v>382043</v>
      </c>
      <c r="C1097" s="1">
        <v>1096</v>
      </c>
      <c r="D1097" s="4">
        <v>38204</v>
      </c>
      <c r="E1097" s="1">
        <v>0</v>
      </c>
      <c r="F1097" s="1">
        <v>3</v>
      </c>
      <c r="G1097" s="1">
        <v>13</v>
      </c>
      <c r="H1097" s="1">
        <v>2</v>
      </c>
      <c r="I1097" s="1">
        <v>0</v>
      </c>
      <c r="J1097" s="2" t="str">
        <f t="shared" si="90"/>
        <v>TEW</v>
      </c>
      <c r="K1097" s="2" t="str">
        <f t="shared" si="91"/>
        <v>@BBG</v>
      </c>
      <c r="L1097" s="1" t="str">
        <f t="shared" si="89"/>
        <v>1096,8/5/2004,0,3,13,2,0</v>
      </c>
    </row>
    <row r="1098" spans="1:12" x14ac:dyDescent="0.2">
      <c r="A1098" s="1" t="str">
        <f t="shared" si="87"/>
        <v>3820217</v>
      </c>
      <c r="B1098" s="1" t="str">
        <f t="shared" si="88"/>
        <v>382029</v>
      </c>
      <c r="C1098" s="1">
        <v>1097</v>
      </c>
      <c r="D1098" s="4">
        <v>38202</v>
      </c>
      <c r="E1098" s="1">
        <v>0</v>
      </c>
      <c r="F1098" s="1">
        <v>9</v>
      </c>
      <c r="G1098" s="1">
        <v>17</v>
      </c>
      <c r="H1098" s="1">
        <v>2</v>
      </c>
      <c r="I1098" s="1">
        <v>0</v>
      </c>
      <c r="J1098" s="2" t="str">
        <f t="shared" si="90"/>
        <v>CIN</v>
      </c>
      <c r="K1098" s="2" t="str">
        <f t="shared" si="91"/>
        <v>@GAR</v>
      </c>
      <c r="L1098" s="1" t="str">
        <f t="shared" si="89"/>
        <v>1097,8/3/2004,0,9,17,2,0</v>
      </c>
    </row>
    <row r="1099" spans="1:12" x14ac:dyDescent="0.2">
      <c r="A1099" s="1" t="str">
        <f t="shared" si="87"/>
        <v>3820221</v>
      </c>
      <c r="B1099" s="1" t="str">
        <f t="shared" si="88"/>
        <v>3820223</v>
      </c>
      <c r="C1099" s="1">
        <v>1098</v>
      </c>
      <c r="D1099" s="4">
        <v>38202</v>
      </c>
      <c r="E1099" s="1">
        <v>0</v>
      </c>
      <c r="F1099" s="1">
        <v>23</v>
      </c>
      <c r="G1099" s="1">
        <v>21</v>
      </c>
      <c r="H1099" s="1">
        <v>2</v>
      </c>
      <c r="I1099" s="1">
        <v>0</v>
      </c>
      <c r="J1099" s="2" t="str">
        <f t="shared" si="90"/>
        <v>BRK</v>
      </c>
      <c r="K1099" s="2" t="str">
        <f t="shared" si="91"/>
        <v>@NYD</v>
      </c>
      <c r="L1099" s="1" t="str">
        <f t="shared" si="89"/>
        <v>1098,8/3/2004,0,23,21,2,0</v>
      </c>
    </row>
    <row r="1100" spans="1:12" x14ac:dyDescent="0.2">
      <c r="A1100" s="1" t="str">
        <f t="shared" si="87"/>
        <v>3820224</v>
      </c>
      <c r="B1100" s="1" t="str">
        <f t="shared" si="88"/>
        <v>3820222</v>
      </c>
      <c r="C1100" s="1">
        <v>1099</v>
      </c>
      <c r="D1100" s="4">
        <v>38202</v>
      </c>
      <c r="E1100" s="1">
        <v>0</v>
      </c>
      <c r="F1100" s="1">
        <v>22</v>
      </c>
      <c r="G1100" s="1">
        <v>24</v>
      </c>
      <c r="H1100" s="1">
        <v>2</v>
      </c>
      <c r="I1100" s="1">
        <v>0</v>
      </c>
      <c r="J1100" s="2" t="str">
        <f t="shared" si="90"/>
        <v>CBB</v>
      </c>
      <c r="K1100" s="2" t="str">
        <f t="shared" si="91"/>
        <v>@PHI</v>
      </c>
      <c r="L1100" s="1" t="str">
        <f t="shared" si="89"/>
        <v>1099,8/3/2004,0,22,24,2,0</v>
      </c>
    </row>
    <row r="1101" spans="1:12" x14ac:dyDescent="0.2">
      <c r="A1101" s="1" t="str">
        <f t="shared" si="87"/>
        <v>382031</v>
      </c>
      <c r="B1101" s="1" t="str">
        <f t="shared" si="88"/>
        <v>3820311</v>
      </c>
      <c r="C1101" s="1">
        <v>1100</v>
      </c>
      <c r="D1101" s="4">
        <v>38203</v>
      </c>
      <c r="E1101" s="1">
        <v>0</v>
      </c>
      <c r="F1101" s="1">
        <v>11</v>
      </c>
      <c r="G1101" s="1">
        <v>1</v>
      </c>
      <c r="H1101" s="1">
        <v>2</v>
      </c>
      <c r="I1101" s="1">
        <v>0</v>
      </c>
      <c r="J1101" s="2" t="str">
        <f t="shared" si="90"/>
        <v>HAR</v>
      </c>
      <c r="K1101" s="2" t="str">
        <f t="shared" si="91"/>
        <v>@FFR</v>
      </c>
      <c r="L1101" s="1" t="str">
        <f t="shared" si="89"/>
        <v>1100,8/4/2004,0,11,1,2,0</v>
      </c>
    </row>
    <row r="1102" spans="1:12" x14ac:dyDescent="0.2">
      <c r="A1102" s="1" t="str">
        <f t="shared" si="87"/>
        <v>382032</v>
      </c>
      <c r="B1102" s="1" t="str">
        <f t="shared" si="88"/>
        <v>3820314</v>
      </c>
      <c r="C1102" s="1">
        <v>1101</v>
      </c>
      <c r="D1102" s="4">
        <v>38203</v>
      </c>
      <c r="E1102" s="1">
        <v>0</v>
      </c>
      <c r="F1102" s="1">
        <v>14</v>
      </c>
      <c r="G1102" s="1">
        <v>2</v>
      </c>
      <c r="H1102" s="1">
        <v>2</v>
      </c>
      <c r="I1102" s="1">
        <v>0</v>
      </c>
      <c r="J1102" s="2" t="str">
        <f t="shared" si="90"/>
        <v>CEN</v>
      </c>
      <c r="K1102" s="2" t="str">
        <f t="shared" si="91"/>
        <v>@NEP</v>
      </c>
      <c r="L1102" s="1" t="str">
        <f t="shared" si="89"/>
        <v>1101,8/4/2004,0,14,2,2,0</v>
      </c>
    </row>
    <row r="1103" spans="1:12" x14ac:dyDescent="0.2">
      <c r="A1103" s="1" t="str">
        <f t="shared" si="87"/>
        <v>382034</v>
      </c>
      <c r="B1103" s="1" t="str">
        <f t="shared" si="88"/>
        <v>3820316</v>
      </c>
      <c r="C1103" s="1">
        <v>1102</v>
      </c>
      <c r="D1103" s="4">
        <v>38203</v>
      </c>
      <c r="E1103" s="1">
        <v>0</v>
      </c>
      <c r="F1103" s="1">
        <v>16</v>
      </c>
      <c r="G1103" s="1">
        <v>4</v>
      </c>
      <c r="H1103" s="1">
        <v>2</v>
      </c>
      <c r="I1103" s="1">
        <v>0</v>
      </c>
      <c r="J1103" s="2" t="str">
        <f t="shared" si="90"/>
        <v>DIG</v>
      </c>
      <c r="K1103" s="2" t="str">
        <f t="shared" si="91"/>
        <v>@NNN</v>
      </c>
      <c r="L1103" s="1" t="str">
        <f t="shared" si="89"/>
        <v>1102,8/4/2004,0,16,4,2,0</v>
      </c>
    </row>
    <row r="1104" spans="1:12" x14ac:dyDescent="0.2">
      <c r="A1104" s="1" t="str">
        <f t="shared" si="87"/>
        <v>382038</v>
      </c>
      <c r="B1104" s="1" t="str">
        <f t="shared" si="88"/>
        <v>382037</v>
      </c>
      <c r="C1104" s="1">
        <v>1103</v>
      </c>
      <c r="D1104" s="4">
        <v>38203</v>
      </c>
      <c r="E1104" s="1">
        <v>0</v>
      </c>
      <c r="F1104" s="1">
        <v>7</v>
      </c>
      <c r="G1104" s="1">
        <v>8</v>
      </c>
      <c r="H1104" s="1">
        <v>2</v>
      </c>
      <c r="I1104" s="1">
        <v>0</v>
      </c>
      <c r="J1104" s="2" t="str">
        <f t="shared" si="90"/>
        <v>BAR</v>
      </c>
      <c r="K1104" s="2" t="str">
        <f t="shared" si="91"/>
        <v>@CTW</v>
      </c>
      <c r="L1104" s="1" t="str">
        <f t="shared" si="89"/>
        <v>1103,8/4/2004,0,7,8,2,0</v>
      </c>
    </row>
    <row r="1105" spans="1:12" x14ac:dyDescent="0.2">
      <c r="A1105" s="1" t="str">
        <f t="shared" si="87"/>
        <v>3820310</v>
      </c>
      <c r="B1105" s="1" t="str">
        <f t="shared" si="88"/>
        <v>3820320</v>
      </c>
      <c r="C1105" s="1">
        <v>1104</v>
      </c>
      <c r="D1105" s="4">
        <v>38203</v>
      </c>
      <c r="E1105" s="1">
        <v>0</v>
      </c>
      <c r="F1105" s="1">
        <v>20</v>
      </c>
      <c r="G1105" s="1">
        <v>10</v>
      </c>
      <c r="H1105" s="1">
        <v>2</v>
      </c>
      <c r="I1105" s="1">
        <v>0</v>
      </c>
      <c r="J1105" s="2" t="str">
        <f t="shared" si="90"/>
        <v>FDH</v>
      </c>
      <c r="K1105" s="2" t="str">
        <f t="shared" si="91"/>
        <v>@REN</v>
      </c>
      <c r="L1105" s="1" t="str">
        <f t="shared" si="89"/>
        <v>1104,8/4/2004,0,20,10,2,0</v>
      </c>
    </row>
    <row r="1106" spans="1:12" x14ac:dyDescent="0.2">
      <c r="A1106" s="1" t="str">
        <f t="shared" si="87"/>
        <v>3820312</v>
      </c>
      <c r="B1106" s="1" t="str">
        <f t="shared" si="88"/>
        <v>382035</v>
      </c>
      <c r="C1106" s="1">
        <v>1105</v>
      </c>
      <c r="D1106" s="4">
        <v>38203</v>
      </c>
      <c r="E1106" s="1">
        <v>0</v>
      </c>
      <c r="F1106" s="1">
        <v>5</v>
      </c>
      <c r="G1106" s="1">
        <v>12</v>
      </c>
      <c r="H1106" s="1">
        <v>2</v>
      </c>
      <c r="I1106" s="1">
        <v>0</v>
      </c>
      <c r="J1106" s="2" t="str">
        <f t="shared" si="90"/>
        <v>OKO</v>
      </c>
      <c r="K1106" s="2" t="str">
        <f t="shared" si="91"/>
        <v>@RMO</v>
      </c>
      <c r="L1106" s="1" t="str">
        <f t="shared" si="89"/>
        <v>1105,8/4/2004,0,5,12,2,0</v>
      </c>
    </row>
    <row r="1107" spans="1:12" x14ac:dyDescent="0.2">
      <c r="A1107" s="1" t="str">
        <f t="shared" si="87"/>
        <v>3820313</v>
      </c>
      <c r="B1107" s="1" t="str">
        <f t="shared" si="88"/>
        <v>382033</v>
      </c>
      <c r="C1107" s="1">
        <v>1106</v>
      </c>
      <c r="D1107" s="4">
        <v>38203</v>
      </c>
      <c r="E1107" s="1">
        <v>0</v>
      </c>
      <c r="F1107" s="1">
        <v>3</v>
      </c>
      <c r="G1107" s="1">
        <v>13</v>
      </c>
      <c r="H1107" s="1">
        <v>2</v>
      </c>
      <c r="I1107" s="1">
        <v>0</v>
      </c>
      <c r="J1107" s="2" t="str">
        <f t="shared" si="90"/>
        <v>TEW</v>
      </c>
      <c r="K1107" s="2" t="str">
        <f t="shared" si="91"/>
        <v>@BBG</v>
      </c>
      <c r="L1107" s="1" t="str">
        <f t="shared" si="89"/>
        <v>1106,8/4/2004,0,3,13,2,0</v>
      </c>
    </row>
    <row r="1108" spans="1:12" x14ac:dyDescent="0.2">
      <c r="A1108" s="1" t="str">
        <f t="shared" si="87"/>
        <v>3820317</v>
      </c>
      <c r="B1108" s="1" t="str">
        <f t="shared" si="88"/>
        <v>382039</v>
      </c>
      <c r="C1108" s="1">
        <v>1107</v>
      </c>
      <c r="D1108" s="4">
        <v>38203</v>
      </c>
      <c r="E1108" s="1">
        <v>0</v>
      </c>
      <c r="F1108" s="1">
        <v>9</v>
      </c>
      <c r="G1108" s="1">
        <v>17</v>
      </c>
      <c r="H1108" s="1">
        <v>2</v>
      </c>
      <c r="I1108" s="1">
        <v>0</v>
      </c>
      <c r="J1108" s="2" t="str">
        <f t="shared" si="90"/>
        <v>CIN</v>
      </c>
      <c r="K1108" s="2" t="str">
        <f t="shared" si="91"/>
        <v>@GAR</v>
      </c>
      <c r="L1108" s="1" t="str">
        <f t="shared" si="89"/>
        <v>1107,8/4/2004,0,9,17,2,0</v>
      </c>
    </row>
    <row r="1109" spans="1:12" x14ac:dyDescent="0.2">
      <c r="A1109" s="1" t="str">
        <f t="shared" si="87"/>
        <v>3820321</v>
      </c>
      <c r="B1109" s="1" t="str">
        <f t="shared" si="88"/>
        <v>3820323</v>
      </c>
      <c r="C1109" s="1">
        <v>1108</v>
      </c>
      <c r="D1109" s="4">
        <v>38203</v>
      </c>
      <c r="E1109" s="1">
        <v>0</v>
      </c>
      <c r="F1109" s="1">
        <v>23</v>
      </c>
      <c r="G1109" s="1">
        <v>21</v>
      </c>
      <c r="H1109" s="1">
        <v>2</v>
      </c>
      <c r="I1109" s="1">
        <v>0</v>
      </c>
      <c r="J1109" s="2" t="str">
        <f t="shared" si="90"/>
        <v>BRK</v>
      </c>
      <c r="K1109" s="2" t="str">
        <f t="shared" si="91"/>
        <v>@NYD</v>
      </c>
      <c r="L1109" s="1" t="str">
        <f t="shared" si="89"/>
        <v>1108,8/4/2004,0,23,21,2,0</v>
      </c>
    </row>
    <row r="1110" spans="1:12" x14ac:dyDescent="0.2">
      <c r="A1110" s="1" t="str">
        <f t="shared" si="87"/>
        <v>3820324</v>
      </c>
      <c r="B1110" s="1" t="str">
        <f t="shared" si="88"/>
        <v>3820322</v>
      </c>
      <c r="C1110" s="1">
        <v>1109</v>
      </c>
      <c r="D1110" s="4">
        <v>38203</v>
      </c>
      <c r="E1110" s="1">
        <v>0</v>
      </c>
      <c r="F1110" s="1">
        <v>22</v>
      </c>
      <c r="G1110" s="1">
        <v>24</v>
      </c>
      <c r="H1110" s="1">
        <v>2</v>
      </c>
      <c r="I1110" s="1">
        <v>0</v>
      </c>
      <c r="J1110" s="2" t="str">
        <f t="shared" si="90"/>
        <v>CBB</v>
      </c>
      <c r="K1110" s="2" t="str">
        <f t="shared" si="91"/>
        <v>@PHI</v>
      </c>
      <c r="L1110" s="1" t="str">
        <f t="shared" si="89"/>
        <v>1109,8/4/2004,0,22,24,2,0</v>
      </c>
    </row>
    <row r="1111" spans="1:12" x14ac:dyDescent="0.2">
      <c r="A1111" s="1" t="str">
        <f t="shared" si="87"/>
        <v>382048</v>
      </c>
      <c r="B1111" s="1" t="str">
        <f t="shared" si="88"/>
        <v>382047</v>
      </c>
      <c r="C1111" s="1">
        <v>1110</v>
      </c>
      <c r="D1111" s="4">
        <v>38204</v>
      </c>
      <c r="E1111" s="1">
        <v>0</v>
      </c>
      <c r="F1111" s="1">
        <v>7</v>
      </c>
      <c r="G1111" s="1">
        <v>8</v>
      </c>
      <c r="H1111" s="1">
        <v>2</v>
      </c>
      <c r="I1111" s="1">
        <v>0</v>
      </c>
      <c r="J1111" s="2" t="str">
        <f t="shared" si="90"/>
        <v>BAR</v>
      </c>
      <c r="K1111" s="2" t="str">
        <f t="shared" si="91"/>
        <v>@CTW</v>
      </c>
      <c r="L1111" s="1" t="str">
        <f t="shared" si="89"/>
        <v>1110,8/5/2004,0,7,8,2,0</v>
      </c>
    </row>
    <row r="1112" spans="1:12" x14ac:dyDescent="0.2">
      <c r="A1112" s="1" t="str">
        <f t="shared" si="87"/>
        <v>3820417</v>
      </c>
      <c r="B1112" s="1" t="str">
        <f t="shared" si="88"/>
        <v>382049</v>
      </c>
      <c r="C1112" s="1">
        <v>1111</v>
      </c>
      <c r="D1112" s="4">
        <v>38204</v>
      </c>
      <c r="E1112" s="1">
        <v>0</v>
      </c>
      <c r="F1112" s="1">
        <v>9</v>
      </c>
      <c r="G1112" s="1">
        <v>17</v>
      </c>
      <c r="H1112" s="1">
        <v>2</v>
      </c>
      <c r="I1112" s="1">
        <v>0</v>
      </c>
      <c r="J1112" s="2" t="str">
        <f t="shared" si="90"/>
        <v>CIN</v>
      </c>
      <c r="K1112" s="2" t="str">
        <f t="shared" si="91"/>
        <v>@GAR</v>
      </c>
      <c r="L1112" s="1" t="str">
        <f t="shared" si="89"/>
        <v>1111,8/5/2004,0,9,17,2,0</v>
      </c>
    </row>
    <row r="1113" spans="1:12" x14ac:dyDescent="0.2">
      <c r="A1113" s="1" t="str">
        <f t="shared" si="87"/>
        <v>3820424</v>
      </c>
      <c r="B1113" s="1" t="str">
        <f t="shared" si="88"/>
        <v>3820422</v>
      </c>
      <c r="C1113" s="1">
        <v>1112</v>
      </c>
      <c r="D1113" s="4">
        <v>38204</v>
      </c>
      <c r="E1113" s="1">
        <v>0</v>
      </c>
      <c r="F1113" s="1">
        <v>22</v>
      </c>
      <c r="G1113" s="1">
        <v>24</v>
      </c>
      <c r="H1113" s="1">
        <v>2</v>
      </c>
      <c r="I1113" s="1">
        <v>0</v>
      </c>
      <c r="J1113" s="2" t="str">
        <f t="shared" si="90"/>
        <v>CBB</v>
      </c>
      <c r="K1113" s="2" t="str">
        <f t="shared" si="91"/>
        <v>@PHI</v>
      </c>
      <c r="L1113" s="1" t="str">
        <f t="shared" si="89"/>
        <v>1112,8/5/2004,0,22,24,2,0</v>
      </c>
    </row>
    <row r="1114" spans="1:12" x14ac:dyDescent="0.2">
      <c r="A1114" s="1" t="str">
        <f t="shared" si="87"/>
        <v>382044</v>
      </c>
      <c r="B1114" s="1" t="str">
        <f t="shared" si="88"/>
        <v>3820416</v>
      </c>
      <c r="C1114" s="1">
        <v>1113</v>
      </c>
      <c r="D1114" s="4">
        <v>38204</v>
      </c>
      <c r="E1114" s="1">
        <v>0</v>
      </c>
      <c r="F1114" s="1">
        <v>16</v>
      </c>
      <c r="G1114" s="1">
        <v>4</v>
      </c>
      <c r="H1114" s="1">
        <v>2</v>
      </c>
      <c r="I1114" s="1">
        <v>0</v>
      </c>
      <c r="J1114" s="2" t="str">
        <f t="shared" si="90"/>
        <v>DIG</v>
      </c>
      <c r="K1114" s="2" t="str">
        <f t="shared" si="91"/>
        <v>@NNN</v>
      </c>
      <c r="L1114" s="1" t="str">
        <f t="shared" si="89"/>
        <v>1113,8/5/2004,0,16,4,2,0</v>
      </c>
    </row>
    <row r="1115" spans="1:12" x14ac:dyDescent="0.2">
      <c r="A1115" s="1" t="str">
        <f t="shared" si="87"/>
        <v>3820421</v>
      </c>
      <c r="B1115" s="1" t="str">
        <f t="shared" si="88"/>
        <v>3820423</v>
      </c>
      <c r="C1115" s="1">
        <v>1114</v>
      </c>
      <c r="D1115" s="4">
        <v>38204</v>
      </c>
      <c r="E1115" s="1">
        <v>0</v>
      </c>
      <c r="F1115" s="1">
        <v>23</v>
      </c>
      <c r="G1115" s="1">
        <v>21</v>
      </c>
      <c r="H1115" s="1">
        <v>2</v>
      </c>
      <c r="I1115" s="1">
        <v>0</v>
      </c>
      <c r="J1115" s="2" t="str">
        <f t="shared" si="90"/>
        <v>BRK</v>
      </c>
      <c r="K1115" s="2" t="str">
        <f t="shared" si="91"/>
        <v>@NYD</v>
      </c>
      <c r="L1115" s="1" t="str">
        <f t="shared" si="89"/>
        <v>1114,8/5/2004,0,23,21,2,0</v>
      </c>
    </row>
    <row r="1116" spans="1:12" x14ac:dyDescent="0.2">
      <c r="A1116" s="1" t="str">
        <f t="shared" si="87"/>
        <v>3820412</v>
      </c>
      <c r="B1116" s="1" t="str">
        <f t="shared" si="88"/>
        <v>382045</v>
      </c>
      <c r="C1116" s="1">
        <v>1115</v>
      </c>
      <c r="D1116" s="4">
        <v>38204</v>
      </c>
      <c r="E1116" s="1">
        <v>0</v>
      </c>
      <c r="F1116" s="1">
        <v>5</v>
      </c>
      <c r="G1116" s="1">
        <v>12</v>
      </c>
      <c r="H1116" s="1">
        <v>2</v>
      </c>
      <c r="I1116" s="1">
        <v>0</v>
      </c>
      <c r="J1116" s="2" t="str">
        <f t="shared" si="90"/>
        <v>OKO</v>
      </c>
      <c r="K1116" s="2" t="str">
        <f t="shared" si="91"/>
        <v>@RMO</v>
      </c>
      <c r="L1116" s="1" t="str">
        <f t="shared" si="89"/>
        <v>1115,8/5/2004,0,5,12,2,0</v>
      </c>
    </row>
    <row r="1117" spans="1:12" x14ac:dyDescent="0.2">
      <c r="A1117" s="1" t="str">
        <f t="shared" si="87"/>
        <v>382051</v>
      </c>
      <c r="B1117" s="1" t="str">
        <f t="shared" si="88"/>
        <v>3820513</v>
      </c>
      <c r="C1117" s="1">
        <v>1116</v>
      </c>
      <c r="D1117" s="4">
        <v>38205</v>
      </c>
      <c r="E1117" s="1">
        <v>0</v>
      </c>
      <c r="F1117" s="1">
        <v>13</v>
      </c>
      <c r="G1117" s="1">
        <v>1</v>
      </c>
      <c r="H1117" s="1">
        <v>2</v>
      </c>
      <c r="I1117" s="1">
        <v>0</v>
      </c>
      <c r="J1117" s="2" t="str">
        <f t="shared" si="90"/>
        <v>BBG</v>
      </c>
      <c r="K1117" s="2" t="str">
        <f t="shared" si="91"/>
        <v>@FFR</v>
      </c>
      <c r="L1117" s="1" t="str">
        <f t="shared" si="89"/>
        <v>1116,8/6/2004,0,13,1,2,0</v>
      </c>
    </row>
    <row r="1118" spans="1:12" x14ac:dyDescent="0.2">
      <c r="A1118" s="1" t="str">
        <f t="shared" si="87"/>
        <v>382052</v>
      </c>
      <c r="B1118" s="1" t="str">
        <f t="shared" si="88"/>
        <v>3820514</v>
      </c>
      <c r="C1118" s="1">
        <v>1117</v>
      </c>
      <c r="D1118" s="4">
        <v>38205</v>
      </c>
      <c r="E1118" s="1">
        <v>0</v>
      </c>
      <c r="F1118" s="1">
        <v>14</v>
      </c>
      <c r="G1118" s="1">
        <v>2</v>
      </c>
      <c r="H1118" s="1">
        <v>2</v>
      </c>
      <c r="I1118" s="1">
        <v>0</v>
      </c>
      <c r="J1118" s="2" t="str">
        <f t="shared" si="90"/>
        <v>CEN</v>
      </c>
      <c r="K1118" s="2" t="str">
        <f t="shared" si="91"/>
        <v>@NEP</v>
      </c>
      <c r="L1118" s="1" t="str">
        <f t="shared" si="89"/>
        <v>1117,8/6/2004,0,14,2,2,0</v>
      </c>
    </row>
    <row r="1119" spans="1:12" x14ac:dyDescent="0.2">
      <c r="A1119" s="1" t="str">
        <f t="shared" si="87"/>
        <v>382054</v>
      </c>
      <c r="B1119" s="1" t="str">
        <f t="shared" si="88"/>
        <v>3820516</v>
      </c>
      <c r="C1119" s="1">
        <v>1118</v>
      </c>
      <c r="D1119" s="4">
        <v>38205</v>
      </c>
      <c r="E1119" s="1">
        <v>0</v>
      </c>
      <c r="F1119" s="1">
        <v>16</v>
      </c>
      <c r="G1119" s="1">
        <v>4</v>
      </c>
      <c r="H1119" s="1">
        <v>2</v>
      </c>
      <c r="I1119" s="1">
        <v>0</v>
      </c>
      <c r="J1119" s="2" t="str">
        <f t="shared" si="90"/>
        <v>DIG</v>
      </c>
      <c r="K1119" s="2" t="str">
        <f t="shared" si="91"/>
        <v>@NNN</v>
      </c>
      <c r="L1119" s="1" t="str">
        <f t="shared" si="89"/>
        <v>1118,8/6/2004,0,16,4,2,0</v>
      </c>
    </row>
    <row r="1120" spans="1:12" x14ac:dyDescent="0.2">
      <c r="A1120" s="1" t="str">
        <f t="shared" si="87"/>
        <v>382058</v>
      </c>
      <c r="B1120" s="1" t="str">
        <f t="shared" si="88"/>
        <v>382057</v>
      </c>
      <c r="C1120" s="1">
        <v>1119</v>
      </c>
      <c r="D1120" s="4">
        <v>38205</v>
      </c>
      <c r="E1120" s="1">
        <v>0</v>
      </c>
      <c r="F1120" s="1">
        <v>7</v>
      </c>
      <c r="G1120" s="1">
        <v>8</v>
      </c>
      <c r="H1120" s="1">
        <v>2</v>
      </c>
      <c r="I1120" s="1">
        <v>0</v>
      </c>
      <c r="J1120" s="2" t="str">
        <f t="shared" si="90"/>
        <v>BAR</v>
      </c>
      <c r="K1120" s="2" t="str">
        <f t="shared" si="91"/>
        <v>@CTW</v>
      </c>
      <c r="L1120" s="1" t="str">
        <f t="shared" si="89"/>
        <v>1119,8/6/2004,0,7,8,2,0</v>
      </c>
    </row>
    <row r="1121" spans="1:12" x14ac:dyDescent="0.2">
      <c r="A1121" s="1" t="str">
        <f t="shared" si="87"/>
        <v>3820510</v>
      </c>
      <c r="B1121" s="1" t="str">
        <f t="shared" si="88"/>
        <v>3820520</v>
      </c>
      <c r="C1121" s="1">
        <v>1120</v>
      </c>
      <c r="D1121" s="4">
        <v>38205</v>
      </c>
      <c r="E1121" s="1">
        <v>0</v>
      </c>
      <c r="F1121" s="1">
        <v>20</v>
      </c>
      <c r="G1121" s="1">
        <v>10</v>
      </c>
      <c r="H1121" s="1">
        <v>2</v>
      </c>
      <c r="I1121" s="1">
        <v>0</v>
      </c>
      <c r="J1121" s="2" t="str">
        <f t="shared" si="90"/>
        <v>FDH</v>
      </c>
      <c r="K1121" s="2" t="str">
        <f t="shared" si="91"/>
        <v>@REN</v>
      </c>
      <c r="L1121" s="1" t="str">
        <f t="shared" si="89"/>
        <v>1120,8/6/2004,0,20,10,2,0</v>
      </c>
    </row>
    <row r="1122" spans="1:12" x14ac:dyDescent="0.2">
      <c r="A1122" s="1" t="str">
        <f t="shared" si="87"/>
        <v>3820511</v>
      </c>
      <c r="B1122" s="1" t="str">
        <f t="shared" si="88"/>
        <v>382053</v>
      </c>
      <c r="C1122" s="1">
        <v>1121</v>
      </c>
      <c r="D1122" s="4">
        <v>38205</v>
      </c>
      <c r="E1122" s="1">
        <v>0</v>
      </c>
      <c r="F1122" s="1">
        <v>3</v>
      </c>
      <c r="G1122" s="1">
        <v>11</v>
      </c>
      <c r="H1122" s="1">
        <v>2</v>
      </c>
      <c r="I1122" s="1">
        <v>0</v>
      </c>
      <c r="J1122" s="2" t="str">
        <f t="shared" si="90"/>
        <v>TEW</v>
      </c>
      <c r="K1122" s="2" t="str">
        <f t="shared" si="91"/>
        <v>@HAR</v>
      </c>
      <c r="L1122" s="1" t="str">
        <f t="shared" si="89"/>
        <v>1121,8/6/2004,0,3,11,2,0</v>
      </c>
    </row>
    <row r="1123" spans="1:12" x14ac:dyDescent="0.2">
      <c r="A1123" s="1" t="str">
        <f t="shared" si="87"/>
        <v>3820512</v>
      </c>
      <c r="B1123" s="1" t="str">
        <f t="shared" si="88"/>
        <v>382055</v>
      </c>
      <c r="C1123" s="1">
        <v>1122</v>
      </c>
      <c r="D1123" s="4">
        <v>38205</v>
      </c>
      <c r="E1123" s="1">
        <v>0</v>
      </c>
      <c r="F1123" s="1">
        <v>5</v>
      </c>
      <c r="G1123" s="1">
        <v>12</v>
      </c>
      <c r="H1123" s="1">
        <v>2</v>
      </c>
      <c r="I1123" s="1">
        <v>0</v>
      </c>
      <c r="J1123" s="2" t="str">
        <f t="shared" si="90"/>
        <v>OKO</v>
      </c>
      <c r="K1123" s="2" t="str">
        <f t="shared" si="91"/>
        <v>@RMO</v>
      </c>
      <c r="L1123" s="1" t="str">
        <f t="shared" si="89"/>
        <v>1122,8/6/2004,0,5,12,2,0</v>
      </c>
    </row>
    <row r="1124" spans="1:12" x14ac:dyDescent="0.2">
      <c r="A1124" s="1" t="str">
        <f t="shared" si="87"/>
        <v>3820517</v>
      </c>
      <c r="B1124" s="1" t="str">
        <f t="shared" si="88"/>
        <v>382059</v>
      </c>
      <c r="C1124" s="1">
        <v>1123</v>
      </c>
      <c r="D1124" s="4">
        <v>38205</v>
      </c>
      <c r="E1124" s="1">
        <v>0</v>
      </c>
      <c r="F1124" s="1">
        <v>9</v>
      </c>
      <c r="G1124" s="1">
        <v>17</v>
      </c>
      <c r="H1124" s="1">
        <v>2</v>
      </c>
      <c r="I1124" s="1">
        <v>0</v>
      </c>
      <c r="J1124" s="2" t="str">
        <f t="shared" si="90"/>
        <v>CIN</v>
      </c>
      <c r="K1124" s="2" t="str">
        <f t="shared" si="91"/>
        <v>@GAR</v>
      </c>
      <c r="L1124" s="1" t="str">
        <f t="shared" si="89"/>
        <v>1123,8/6/2004,0,9,17,2,0</v>
      </c>
    </row>
    <row r="1125" spans="1:12" x14ac:dyDescent="0.2">
      <c r="A1125" s="1" t="str">
        <f t="shared" si="87"/>
        <v>3820521</v>
      </c>
      <c r="B1125" s="1" t="str">
        <f t="shared" si="88"/>
        <v>3820523</v>
      </c>
      <c r="C1125" s="1">
        <v>1124</v>
      </c>
      <c r="D1125" s="4">
        <v>38205</v>
      </c>
      <c r="E1125" s="1">
        <v>0</v>
      </c>
      <c r="F1125" s="1">
        <v>23</v>
      </c>
      <c r="G1125" s="1">
        <v>21</v>
      </c>
      <c r="H1125" s="1">
        <v>2</v>
      </c>
      <c r="I1125" s="1">
        <v>0</v>
      </c>
      <c r="J1125" s="2" t="str">
        <f t="shared" si="90"/>
        <v>BRK</v>
      </c>
      <c r="K1125" s="2" t="str">
        <f t="shared" si="91"/>
        <v>@NYD</v>
      </c>
      <c r="L1125" s="1" t="str">
        <f t="shared" si="89"/>
        <v>1124,8/6/2004,0,23,21,2,0</v>
      </c>
    </row>
    <row r="1126" spans="1:12" x14ac:dyDescent="0.2">
      <c r="A1126" s="1" t="str">
        <f t="shared" ref="A1126:A1189" si="92">D1126&amp;G1126</f>
        <v>3820524</v>
      </c>
      <c r="B1126" s="1" t="str">
        <f t="shared" ref="B1126:B1189" si="93">D1126&amp;F1126</f>
        <v>3820522</v>
      </c>
      <c r="C1126" s="1">
        <v>1125</v>
      </c>
      <c r="D1126" s="4">
        <v>38205</v>
      </c>
      <c r="E1126" s="1">
        <v>0</v>
      </c>
      <c r="F1126" s="1">
        <v>22</v>
      </c>
      <c r="G1126" s="1">
        <v>24</v>
      </c>
      <c r="H1126" s="1">
        <v>2</v>
      </c>
      <c r="I1126" s="1">
        <v>0</v>
      </c>
      <c r="J1126" s="2" t="str">
        <f t="shared" si="90"/>
        <v>CBB</v>
      </c>
      <c r="K1126" s="2" t="str">
        <f t="shared" si="91"/>
        <v>@PHI</v>
      </c>
      <c r="L1126" s="1" t="str">
        <f t="shared" ref="L1126:L1189" si="94">C1126&amp;","&amp;MONTH(D1126)&amp;"/"&amp;DAY(D1126)&amp;"/"&amp;YEAR(D1126)&amp;","&amp;E1126&amp;","&amp;F1126&amp;","&amp;G1126&amp;","&amp;H1126&amp;","&amp;I1126</f>
        <v>1125,8/6/2004,0,22,24,2,0</v>
      </c>
    </row>
    <row r="1127" spans="1:12" x14ac:dyDescent="0.2">
      <c r="A1127" s="1" t="str">
        <f t="shared" si="92"/>
        <v>382061</v>
      </c>
      <c r="B1127" s="1" t="str">
        <f t="shared" si="93"/>
        <v>3820613</v>
      </c>
      <c r="C1127" s="1">
        <v>1126</v>
      </c>
      <c r="D1127" s="4">
        <v>38206</v>
      </c>
      <c r="E1127" s="1">
        <v>0</v>
      </c>
      <c r="F1127" s="1">
        <v>13</v>
      </c>
      <c r="G1127" s="1">
        <v>1</v>
      </c>
      <c r="H1127" s="1">
        <v>2</v>
      </c>
      <c r="I1127" s="1">
        <v>0</v>
      </c>
      <c r="J1127" s="2" t="str">
        <f t="shared" si="90"/>
        <v>BBG</v>
      </c>
      <c r="K1127" s="2" t="str">
        <f t="shared" si="91"/>
        <v>@FFR</v>
      </c>
      <c r="L1127" s="1" t="str">
        <f t="shared" si="94"/>
        <v>1126,8/7/2004,0,13,1,2,0</v>
      </c>
    </row>
    <row r="1128" spans="1:12" x14ac:dyDescent="0.2">
      <c r="A1128" s="1" t="str">
        <f t="shared" si="92"/>
        <v>382062</v>
      </c>
      <c r="B1128" s="1" t="str">
        <f t="shared" si="93"/>
        <v>3820614</v>
      </c>
      <c r="C1128" s="1">
        <v>1127</v>
      </c>
      <c r="D1128" s="4">
        <v>38206</v>
      </c>
      <c r="E1128" s="1">
        <v>0</v>
      </c>
      <c r="F1128" s="1">
        <v>14</v>
      </c>
      <c r="G1128" s="1">
        <v>2</v>
      </c>
      <c r="H1128" s="1">
        <v>2</v>
      </c>
      <c r="I1128" s="1">
        <v>0</v>
      </c>
      <c r="J1128" s="2" t="str">
        <f t="shared" si="90"/>
        <v>CEN</v>
      </c>
      <c r="K1128" s="2" t="str">
        <f t="shared" si="91"/>
        <v>@NEP</v>
      </c>
      <c r="L1128" s="1" t="str">
        <f t="shared" si="94"/>
        <v>1127,8/7/2004,0,14,2,2,0</v>
      </c>
    </row>
    <row r="1129" spans="1:12" x14ac:dyDescent="0.2">
      <c r="A1129" s="1" t="str">
        <f t="shared" si="92"/>
        <v>382064</v>
      </c>
      <c r="B1129" s="1" t="str">
        <f t="shared" si="93"/>
        <v>3820616</v>
      </c>
      <c r="C1129" s="1">
        <v>1128</v>
      </c>
      <c r="D1129" s="4">
        <v>38206</v>
      </c>
      <c r="E1129" s="1">
        <v>0</v>
      </c>
      <c r="F1129" s="1">
        <v>16</v>
      </c>
      <c r="G1129" s="1">
        <v>4</v>
      </c>
      <c r="H1129" s="1">
        <v>2</v>
      </c>
      <c r="I1129" s="1">
        <v>0</v>
      </c>
      <c r="J1129" s="2" t="str">
        <f t="shared" si="90"/>
        <v>DIG</v>
      </c>
      <c r="K1129" s="2" t="str">
        <f t="shared" si="91"/>
        <v>@NNN</v>
      </c>
      <c r="L1129" s="1" t="str">
        <f t="shared" si="94"/>
        <v>1128,8/7/2004,0,16,4,2,0</v>
      </c>
    </row>
    <row r="1130" spans="1:12" x14ac:dyDescent="0.2">
      <c r="A1130" s="1" t="str">
        <f t="shared" si="92"/>
        <v>382068</v>
      </c>
      <c r="B1130" s="1" t="str">
        <f t="shared" si="93"/>
        <v>382067</v>
      </c>
      <c r="C1130" s="1">
        <v>1129</v>
      </c>
      <c r="D1130" s="4">
        <v>38206</v>
      </c>
      <c r="E1130" s="1">
        <v>0</v>
      </c>
      <c r="F1130" s="1">
        <v>7</v>
      </c>
      <c r="G1130" s="1">
        <v>8</v>
      </c>
      <c r="H1130" s="1">
        <v>2</v>
      </c>
      <c r="I1130" s="1">
        <v>0</v>
      </c>
      <c r="J1130" s="2" t="str">
        <f t="shared" si="90"/>
        <v>BAR</v>
      </c>
      <c r="K1130" s="2" t="str">
        <f t="shared" si="91"/>
        <v>@CTW</v>
      </c>
      <c r="L1130" s="1" t="str">
        <f t="shared" si="94"/>
        <v>1129,8/7/2004,0,7,8,2,0</v>
      </c>
    </row>
    <row r="1131" spans="1:12" x14ac:dyDescent="0.2">
      <c r="A1131" s="1" t="str">
        <f t="shared" si="92"/>
        <v>3820610</v>
      </c>
      <c r="B1131" s="1" t="str">
        <f t="shared" si="93"/>
        <v>3820620</v>
      </c>
      <c r="C1131" s="1">
        <v>1130</v>
      </c>
      <c r="D1131" s="4">
        <v>38206</v>
      </c>
      <c r="E1131" s="1">
        <v>0</v>
      </c>
      <c r="F1131" s="1">
        <v>20</v>
      </c>
      <c r="G1131" s="1">
        <v>10</v>
      </c>
      <c r="H1131" s="1">
        <v>2</v>
      </c>
      <c r="I1131" s="1">
        <v>0</v>
      </c>
      <c r="J1131" s="2" t="str">
        <f t="shared" si="90"/>
        <v>FDH</v>
      </c>
      <c r="K1131" s="2" t="str">
        <f t="shared" si="91"/>
        <v>@REN</v>
      </c>
      <c r="L1131" s="1" t="str">
        <f t="shared" si="94"/>
        <v>1130,8/7/2004,0,20,10,2,0</v>
      </c>
    </row>
    <row r="1132" spans="1:12" x14ac:dyDescent="0.2">
      <c r="A1132" s="1" t="str">
        <f t="shared" si="92"/>
        <v>3820611</v>
      </c>
      <c r="B1132" s="1" t="str">
        <f t="shared" si="93"/>
        <v>382063</v>
      </c>
      <c r="C1132" s="1">
        <v>1131</v>
      </c>
      <c r="D1132" s="4">
        <v>38206</v>
      </c>
      <c r="E1132" s="1">
        <v>0</v>
      </c>
      <c r="F1132" s="1">
        <v>3</v>
      </c>
      <c r="G1132" s="1">
        <v>11</v>
      </c>
      <c r="H1132" s="1">
        <v>2</v>
      </c>
      <c r="I1132" s="1">
        <v>0</v>
      </c>
      <c r="J1132" s="2" t="str">
        <f t="shared" si="90"/>
        <v>TEW</v>
      </c>
      <c r="K1132" s="2" t="str">
        <f t="shared" si="91"/>
        <v>@HAR</v>
      </c>
      <c r="L1132" s="1" t="str">
        <f t="shared" si="94"/>
        <v>1131,8/7/2004,0,3,11,2,0</v>
      </c>
    </row>
    <row r="1133" spans="1:12" x14ac:dyDescent="0.2">
      <c r="A1133" s="1" t="str">
        <f t="shared" si="92"/>
        <v>3820612</v>
      </c>
      <c r="B1133" s="1" t="str">
        <f t="shared" si="93"/>
        <v>382065</v>
      </c>
      <c r="C1133" s="1">
        <v>1132</v>
      </c>
      <c r="D1133" s="4">
        <v>38206</v>
      </c>
      <c r="E1133" s="1">
        <v>0</v>
      </c>
      <c r="F1133" s="1">
        <v>5</v>
      </c>
      <c r="G1133" s="1">
        <v>12</v>
      </c>
      <c r="H1133" s="1">
        <v>2</v>
      </c>
      <c r="I1133" s="1">
        <v>0</v>
      </c>
      <c r="J1133" s="2" t="str">
        <f t="shared" si="90"/>
        <v>OKO</v>
      </c>
      <c r="K1133" s="2" t="str">
        <f t="shared" si="91"/>
        <v>@RMO</v>
      </c>
      <c r="L1133" s="1" t="str">
        <f t="shared" si="94"/>
        <v>1132,8/7/2004,0,5,12,2,0</v>
      </c>
    </row>
    <row r="1134" spans="1:12" x14ac:dyDescent="0.2">
      <c r="A1134" s="1" t="str">
        <f t="shared" si="92"/>
        <v>3820617</v>
      </c>
      <c r="B1134" s="1" t="str">
        <f t="shared" si="93"/>
        <v>382069</v>
      </c>
      <c r="C1134" s="1">
        <v>1133</v>
      </c>
      <c r="D1134" s="4">
        <v>38206</v>
      </c>
      <c r="E1134" s="1">
        <v>0</v>
      </c>
      <c r="F1134" s="1">
        <v>9</v>
      </c>
      <c r="G1134" s="1">
        <v>17</v>
      </c>
      <c r="H1134" s="1">
        <v>2</v>
      </c>
      <c r="I1134" s="1">
        <v>0</v>
      </c>
      <c r="J1134" s="2" t="str">
        <f t="shared" si="90"/>
        <v>CIN</v>
      </c>
      <c r="K1134" s="2" t="str">
        <f t="shared" si="91"/>
        <v>@GAR</v>
      </c>
      <c r="L1134" s="1" t="str">
        <f t="shared" si="94"/>
        <v>1133,8/7/2004,0,9,17,2,0</v>
      </c>
    </row>
    <row r="1135" spans="1:12" x14ac:dyDescent="0.2">
      <c r="A1135" s="1" t="str">
        <f t="shared" si="92"/>
        <v>3820621</v>
      </c>
      <c r="B1135" s="1" t="str">
        <f t="shared" si="93"/>
        <v>3820623</v>
      </c>
      <c r="C1135" s="1">
        <v>1134</v>
      </c>
      <c r="D1135" s="4">
        <v>38206</v>
      </c>
      <c r="E1135" s="1">
        <v>0</v>
      </c>
      <c r="F1135" s="1">
        <v>23</v>
      </c>
      <c r="G1135" s="1">
        <v>21</v>
      </c>
      <c r="H1135" s="1">
        <v>2</v>
      </c>
      <c r="I1135" s="1">
        <v>0</v>
      </c>
      <c r="J1135" s="2" t="str">
        <f t="shared" si="90"/>
        <v>BRK</v>
      </c>
      <c r="K1135" s="2" t="str">
        <f t="shared" si="91"/>
        <v>@NYD</v>
      </c>
      <c r="L1135" s="1" t="str">
        <f t="shared" si="94"/>
        <v>1134,8/7/2004,0,23,21,2,0</v>
      </c>
    </row>
    <row r="1136" spans="1:12" x14ac:dyDescent="0.2">
      <c r="A1136" s="1" t="str">
        <f t="shared" si="92"/>
        <v>3820624</v>
      </c>
      <c r="B1136" s="1" t="str">
        <f t="shared" si="93"/>
        <v>3820622</v>
      </c>
      <c r="C1136" s="1">
        <v>1135</v>
      </c>
      <c r="D1136" s="4">
        <v>38206</v>
      </c>
      <c r="E1136" s="1">
        <v>0</v>
      </c>
      <c r="F1136" s="1">
        <v>22</v>
      </c>
      <c r="G1136" s="1">
        <v>24</v>
      </c>
      <c r="H1136" s="1">
        <v>2</v>
      </c>
      <c r="I1136" s="1">
        <v>0</v>
      </c>
      <c r="J1136" s="2" t="str">
        <f t="shared" si="90"/>
        <v>CBB</v>
      </c>
      <c r="K1136" s="2" t="str">
        <f t="shared" si="91"/>
        <v>@PHI</v>
      </c>
      <c r="L1136" s="1" t="str">
        <f t="shared" si="94"/>
        <v>1135,8/7/2004,0,22,24,2,0</v>
      </c>
    </row>
    <row r="1137" spans="1:12" x14ac:dyDescent="0.2">
      <c r="A1137" s="1" t="str">
        <f t="shared" si="92"/>
        <v>382078</v>
      </c>
      <c r="B1137" s="1" t="str">
        <f t="shared" si="93"/>
        <v>382077</v>
      </c>
      <c r="C1137" s="1">
        <v>1136</v>
      </c>
      <c r="D1137" s="4">
        <v>38207</v>
      </c>
      <c r="E1137" s="1">
        <v>0</v>
      </c>
      <c r="F1137" s="1">
        <v>7</v>
      </c>
      <c r="G1137" s="1">
        <v>8</v>
      </c>
      <c r="H1137" s="1">
        <v>2</v>
      </c>
      <c r="I1137" s="1">
        <v>0</v>
      </c>
      <c r="J1137" s="2" t="str">
        <f t="shared" si="90"/>
        <v>BAR</v>
      </c>
      <c r="K1137" s="2" t="str">
        <f t="shared" si="91"/>
        <v>@CTW</v>
      </c>
      <c r="L1137" s="1" t="str">
        <f t="shared" si="94"/>
        <v>1136,8/8/2004,0,7,8,2,0</v>
      </c>
    </row>
    <row r="1138" spans="1:12" x14ac:dyDescent="0.2">
      <c r="A1138" s="1" t="str">
        <f t="shared" si="92"/>
        <v>3820717</v>
      </c>
      <c r="B1138" s="1" t="str">
        <f t="shared" si="93"/>
        <v>382079</v>
      </c>
      <c r="C1138" s="1">
        <v>1137</v>
      </c>
      <c r="D1138" s="4">
        <v>38207</v>
      </c>
      <c r="E1138" s="1">
        <v>0</v>
      </c>
      <c r="F1138" s="1">
        <v>9</v>
      </c>
      <c r="G1138" s="1">
        <v>17</v>
      </c>
      <c r="H1138" s="1">
        <v>2</v>
      </c>
      <c r="I1138" s="1">
        <v>0</v>
      </c>
      <c r="J1138" s="2" t="str">
        <f t="shared" si="90"/>
        <v>CIN</v>
      </c>
      <c r="K1138" s="2" t="str">
        <f t="shared" si="91"/>
        <v>@GAR</v>
      </c>
      <c r="L1138" s="1" t="str">
        <f t="shared" si="94"/>
        <v>1137,8/8/2004,0,9,17,2,0</v>
      </c>
    </row>
    <row r="1139" spans="1:12" x14ac:dyDescent="0.2">
      <c r="A1139" s="1" t="str">
        <f t="shared" si="92"/>
        <v>382072</v>
      </c>
      <c r="B1139" s="1" t="str">
        <f t="shared" si="93"/>
        <v>3820714</v>
      </c>
      <c r="C1139" s="1">
        <v>1138</v>
      </c>
      <c r="D1139" s="4">
        <v>38207</v>
      </c>
      <c r="E1139" s="1">
        <v>0</v>
      </c>
      <c r="F1139" s="1">
        <v>14</v>
      </c>
      <c r="G1139" s="1">
        <v>2</v>
      </c>
      <c r="H1139" s="1">
        <v>2</v>
      </c>
      <c r="I1139" s="1">
        <v>0</v>
      </c>
      <c r="J1139" s="2" t="str">
        <f t="shared" si="90"/>
        <v>CEN</v>
      </c>
      <c r="K1139" s="2" t="str">
        <f t="shared" si="91"/>
        <v>@NEP</v>
      </c>
      <c r="L1139" s="1" t="str">
        <f t="shared" si="94"/>
        <v>1138,8/8/2004,0,14,2,2,0</v>
      </c>
    </row>
    <row r="1140" spans="1:12" x14ac:dyDescent="0.2">
      <c r="A1140" s="1" t="str">
        <f t="shared" si="92"/>
        <v>3820710</v>
      </c>
      <c r="B1140" s="1" t="str">
        <f t="shared" si="93"/>
        <v>3820720</v>
      </c>
      <c r="C1140" s="1">
        <v>1139</v>
      </c>
      <c r="D1140" s="4">
        <v>38207</v>
      </c>
      <c r="E1140" s="1">
        <v>0</v>
      </c>
      <c r="F1140" s="1">
        <v>20</v>
      </c>
      <c r="G1140" s="1">
        <v>10</v>
      </c>
      <c r="H1140" s="1">
        <v>2</v>
      </c>
      <c r="I1140" s="1">
        <v>0</v>
      </c>
      <c r="J1140" s="2" t="str">
        <f t="shared" si="90"/>
        <v>FDH</v>
      </c>
      <c r="K1140" s="2" t="str">
        <f t="shared" si="91"/>
        <v>@REN</v>
      </c>
      <c r="L1140" s="1" t="str">
        <f t="shared" si="94"/>
        <v>1139,8/8/2004,0,20,10,2,0</v>
      </c>
    </row>
    <row r="1141" spans="1:12" x14ac:dyDescent="0.2">
      <c r="A1141" s="1" t="str">
        <f t="shared" si="92"/>
        <v>3820724</v>
      </c>
      <c r="B1141" s="1" t="str">
        <f t="shared" si="93"/>
        <v>3820722</v>
      </c>
      <c r="C1141" s="1">
        <v>1140</v>
      </c>
      <c r="D1141" s="4">
        <v>38207</v>
      </c>
      <c r="E1141" s="1">
        <v>0</v>
      </c>
      <c r="F1141" s="1">
        <v>22</v>
      </c>
      <c r="G1141" s="1">
        <v>24</v>
      </c>
      <c r="H1141" s="1">
        <v>2</v>
      </c>
      <c r="I1141" s="1">
        <v>0</v>
      </c>
      <c r="J1141" s="2" t="str">
        <f t="shared" si="90"/>
        <v>CBB</v>
      </c>
      <c r="K1141" s="2" t="str">
        <f t="shared" si="91"/>
        <v>@PHI</v>
      </c>
      <c r="L1141" s="1" t="str">
        <f t="shared" si="94"/>
        <v>1140,8/8/2004,0,22,24,2,0</v>
      </c>
    </row>
    <row r="1142" spans="1:12" x14ac:dyDescent="0.2">
      <c r="A1142" s="1" t="str">
        <f t="shared" si="92"/>
        <v>382084</v>
      </c>
      <c r="B1142" s="1" t="str">
        <f t="shared" si="93"/>
        <v>382085</v>
      </c>
      <c r="C1142" s="1">
        <v>1141</v>
      </c>
      <c r="D1142" s="4">
        <v>38208</v>
      </c>
      <c r="E1142" s="1">
        <v>0</v>
      </c>
      <c r="F1142" s="1">
        <v>5</v>
      </c>
      <c r="G1142" s="1">
        <v>4</v>
      </c>
      <c r="H1142" s="1">
        <v>2</v>
      </c>
      <c r="I1142" s="1">
        <v>0</v>
      </c>
      <c r="J1142" s="2" t="str">
        <f t="shared" si="90"/>
        <v>OKO</v>
      </c>
      <c r="K1142" s="2" t="str">
        <f t="shared" si="91"/>
        <v>@NNN</v>
      </c>
      <c r="L1142" s="1" t="str">
        <f t="shared" si="94"/>
        <v>1141,8/9/2004,0,5,4,2,0</v>
      </c>
    </row>
    <row r="1143" spans="1:12" x14ac:dyDescent="0.2">
      <c r="A1143" s="1" t="str">
        <f t="shared" si="92"/>
        <v>382089</v>
      </c>
      <c r="B1143" s="1" t="str">
        <f t="shared" si="93"/>
        <v>3820813</v>
      </c>
      <c r="C1143" s="1">
        <v>1142</v>
      </c>
      <c r="D1143" s="4">
        <v>38208</v>
      </c>
      <c r="E1143" s="1">
        <v>0</v>
      </c>
      <c r="F1143" s="1">
        <v>13</v>
      </c>
      <c r="G1143" s="1">
        <v>9</v>
      </c>
      <c r="H1143" s="1">
        <v>2</v>
      </c>
      <c r="I1143" s="1">
        <v>0</v>
      </c>
      <c r="J1143" s="2" t="str">
        <f t="shared" si="90"/>
        <v>BBG</v>
      </c>
      <c r="K1143" s="2" t="str">
        <f t="shared" si="91"/>
        <v>@CIN</v>
      </c>
      <c r="L1143" s="1" t="str">
        <f t="shared" si="94"/>
        <v>1142,8/9/2004,0,13,9,2,0</v>
      </c>
    </row>
    <row r="1144" spans="1:12" x14ac:dyDescent="0.2">
      <c r="A1144" s="1" t="str">
        <f t="shared" si="92"/>
        <v>3820817</v>
      </c>
      <c r="B1144" s="1" t="str">
        <f t="shared" si="93"/>
        <v>382087</v>
      </c>
      <c r="C1144" s="1">
        <v>1143</v>
      </c>
      <c r="D1144" s="4">
        <v>38208</v>
      </c>
      <c r="E1144" s="1">
        <v>0</v>
      </c>
      <c r="F1144" s="1">
        <v>7</v>
      </c>
      <c r="G1144" s="1">
        <v>17</v>
      </c>
      <c r="H1144" s="1">
        <v>2</v>
      </c>
      <c r="I1144" s="1">
        <v>0</v>
      </c>
      <c r="J1144" s="2" t="str">
        <f t="shared" si="90"/>
        <v>BAR</v>
      </c>
      <c r="K1144" s="2" t="str">
        <f t="shared" si="91"/>
        <v>@GAR</v>
      </c>
      <c r="L1144" s="1" t="str">
        <f t="shared" si="94"/>
        <v>1143,8/9/2004,0,7,17,2,0</v>
      </c>
    </row>
    <row r="1145" spans="1:12" x14ac:dyDescent="0.2">
      <c r="A1145" s="1" t="str">
        <f t="shared" si="92"/>
        <v>3820820</v>
      </c>
      <c r="B1145" s="1" t="str">
        <f t="shared" si="93"/>
        <v>382083</v>
      </c>
      <c r="C1145" s="1">
        <v>1144</v>
      </c>
      <c r="D1145" s="4">
        <v>38208</v>
      </c>
      <c r="E1145" s="1">
        <v>0</v>
      </c>
      <c r="F1145" s="1">
        <v>3</v>
      </c>
      <c r="G1145" s="1">
        <v>20</v>
      </c>
      <c r="H1145" s="1">
        <v>2</v>
      </c>
      <c r="I1145" s="1">
        <v>0</v>
      </c>
      <c r="J1145" s="2" t="str">
        <f t="shared" si="90"/>
        <v>TEW</v>
      </c>
      <c r="K1145" s="2" t="str">
        <f t="shared" si="91"/>
        <v>@FDH</v>
      </c>
      <c r="L1145" s="1" t="str">
        <f t="shared" si="94"/>
        <v>1144,8/9/2004,0,3,20,2,0</v>
      </c>
    </row>
    <row r="1146" spans="1:12" x14ac:dyDescent="0.2">
      <c r="A1146" s="1" t="str">
        <f t="shared" si="92"/>
        <v>3820821</v>
      </c>
      <c r="B1146" s="1" t="str">
        <f t="shared" si="93"/>
        <v>3820822</v>
      </c>
      <c r="C1146" s="1">
        <v>1145</v>
      </c>
      <c r="D1146" s="4">
        <v>38208</v>
      </c>
      <c r="E1146" s="1">
        <v>0</v>
      </c>
      <c r="F1146" s="1">
        <v>22</v>
      </c>
      <c r="G1146" s="1">
        <v>21</v>
      </c>
      <c r="H1146" s="1">
        <v>2</v>
      </c>
      <c r="I1146" s="1">
        <v>0</v>
      </c>
      <c r="J1146" s="2" t="str">
        <f t="shared" si="90"/>
        <v>CBB</v>
      </c>
      <c r="K1146" s="2" t="str">
        <f t="shared" si="91"/>
        <v>@NYD</v>
      </c>
      <c r="L1146" s="1" t="str">
        <f t="shared" si="94"/>
        <v>1145,8/9/2004,0,22,21,2,0</v>
      </c>
    </row>
    <row r="1147" spans="1:12" x14ac:dyDescent="0.2">
      <c r="A1147" s="1" t="str">
        <f t="shared" si="92"/>
        <v>3820823</v>
      </c>
      <c r="B1147" s="1" t="str">
        <f t="shared" si="93"/>
        <v>3820811</v>
      </c>
      <c r="C1147" s="1">
        <v>1146</v>
      </c>
      <c r="D1147" s="4">
        <v>38208</v>
      </c>
      <c r="E1147" s="1">
        <v>0</v>
      </c>
      <c r="F1147" s="1">
        <v>11</v>
      </c>
      <c r="G1147" s="1">
        <v>23</v>
      </c>
      <c r="H1147" s="1">
        <v>2</v>
      </c>
      <c r="I1147" s="1">
        <v>0</v>
      </c>
      <c r="J1147" s="2" t="str">
        <f t="shared" si="90"/>
        <v>HAR</v>
      </c>
      <c r="K1147" s="2" t="str">
        <f t="shared" si="91"/>
        <v>@BRK</v>
      </c>
      <c r="L1147" s="1" t="str">
        <f t="shared" si="94"/>
        <v>1146,8/9/2004,0,11,23,2,0</v>
      </c>
    </row>
    <row r="1148" spans="1:12" x14ac:dyDescent="0.2">
      <c r="A1148" s="1" t="str">
        <f t="shared" si="92"/>
        <v>3820824</v>
      </c>
      <c r="B1148" s="1" t="str">
        <f t="shared" si="93"/>
        <v>3820812</v>
      </c>
      <c r="C1148" s="1">
        <v>1147</v>
      </c>
      <c r="D1148" s="4">
        <v>38208</v>
      </c>
      <c r="E1148" s="1">
        <v>0</v>
      </c>
      <c r="F1148" s="1">
        <v>12</v>
      </c>
      <c r="G1148" s="1">
        <v>24</v>
      </c>
      <c r="H1148" s="1">
        <v>2</v>
      </c>
      <c r="I1148" s="1">
        <v>0</v>
      </c>
      <c r="J1148" s="2" t="str">
        <f t="shared" si="90"/>
        <v>RMO</v>
      </c>
      <c r="K1148" s="2" t="str">
        <f t="shared" si="91"/>
        <v>@PHI</v>
      </c>
      <c r="L1148" s="1" t="str">
        <f t="shared" si="94"/>
        <v>1147,8/9/2004,0,12,24,2,0</v>
      </c>
    </row>
    <row r="1149" spans="1:12" x14ac:dyDescent="0.2">
      <c r="A1149" s="1" t="str">
        <f t="shared" si="92"/>
        <v>382082</v>
      </c>
      <c r="B1149" s="1" t="str">
        <f t="shared" si="93"/>
        <v>382088</v>
      </c>
      <c r="C1149" s="1">
        <v>1148</v>
      </c>
      <c r="D1149" s="4">
        <v>38208</v>
      </c>
      <c r="E1149" s="1">
        <v>0</v>
      </c>
      <c r="F1149" s="1">
        <v>8</v>
      </c>
      <c r="G1149" s="1">
        <v>2</v>
      </c>
      <c r="H1149" s="1">
        <v>2</v>
      </c>
      <c r="I1149" s="1">
        <v>0</v>
      </c>
      <c r="J1149" s="2" t="str">
        <f t="shared" si="90"/>
        <v>CTW</v>
      </c>
      <c r="K1149" s="2" t="str">
        <f t="shared" si="91"/>
        <v>@NEP</v>
      </c>
      <c r="L1149" s="1" t="str">
        <f t="shared" si="94"/>
        <v>1148,8/9/2004,0,8,2,2,0</v>
      </c>
    </row>
    <row r="1150" spans="1:12" x14ac:dyDescent="0.2">
      <c r="A1150" s="1" t="str">
        <f t="shared" si="92"/>
        <v>3820810</v>
      </c>
      <c r="B1150" s="1" t="str">
        <f t="shared" si="93"/>
        <v>3820814</v>
      </c>
      <c r="C1150" s="1">
        <v>1149</v>
      </c>
      <c r="D1150" s="4">
        <v>38208</v>
      </c>
      <c r="E1150" s="1">
        <v>0</v>
      </c>
      <c r="F1150" s="1">
        <v>14</v>
      </c>
      <c r="G1150" s="1">
        <v>10</v>
      </c>
      <c r="H1150" s="1">
        <v>2</v>
      </c>
      <c r="I1150" s="1">
        <v>0</v>
      </c>
      <c r="J1150" s="2" t="str">
        <f t="shared" si="90"/>
        <v>CEN</v>
      </c>
      <c r="K1150" s="2" t="str">
        <f t="shared" si="91"/>
        <v>@REN</v>
      </c>
      <c r="L1150" s="1" t="str">
        <f t="shared" si="94"/>
        <v>1149,8/9/2004,0,14,10,2,0</v>
      </c>
    </row>
    <row r="1151" spans="1:12" x14ac:dyDescent="0.2">
      <c r="A1151" s="1" t="str">
        <f t="shared" si="92"/>
        <v>3820816</v>
      </c>
      <c r="B1151" s="1" t="str">
        <f t="shared" si="93"/>
        <v>382081</v>
      </c>
      <c r="C1151" s="1">
        <v>1150</v>
      </c>
      <c r="D1151" s="4">
        <v>38208</v>
      </c>
      <c r="E1151" s="1">
        <v>0</v>
      </c>
      <c r="F1151" s="1">
        <v>1</v>
      </c>
      <c r="G1151" s="1">
        <v>16</v>
      </c>
      <c r="H1151" s="1">
        <v>2</v>
      </c>
      <c r="I1151" s="1">
        <v>0</v>
      </c>
      <c r="J1151" s="2" t="str">
        <f t="shared" si="90"/>
        <v>FFR</v>
      </c>
      <c r="K1151" s="2" t="str">
        <f t="shared" si="91"/>
        <v>@DIG</v>
      </c>
      <c r="L1151" s="1" t="str">
        <f t="shared" si="94"/>
        <v>1150,8/9/2004,0,1,16,2,0</v>
      </c>
    </row>
    <row r="1152" spans="1:12" x14ac:dyDescent="0.2">
      <c r="A1152" s="1" t="str">
        <f t="shared" si="92"/>
        <v>382092</v>
      </c>
      <c r="B1152" s="1" t="str">
        <f t="shared" si="93"/>
        <v>382098</v>
      </c>
      <c r="C1152" s="1">
        <v>1151</v>
      </c>
      <c r="D1152" s="4">
        <v>38209</v>
      </c>
      <c r="E1152" s="1">
        <v>0</v>
      </c>
      <c r="F1152" s="1">
        <v>8</v>
      </c>
      <c r="G1152" s="1">
        <v>2</v>
      </c>
      <c r="H1152" s="1">
        <v>2</v>
      </c>
      <c r="I1152" s="1">
        <v>0</v>
      </c>
      <c r="J1152" s="2" t="str">
        <f t="shared" si="90"/>
        <v>CTW</v>
      </c>
      <c r="K1152" s="2" t="str">
        <f t="shared" si="91"/>
        <v>@NEP</v>
      </c>
      <c r="L1152" s="1" t="str">
        <f t="shared" si="94"/>
        <v>1151,8/10/2004,0,8,2,2,0</v>
      </c>
    </row>
    <row r="1153" spans="1:12" x14ac:dyDescent="0.2">
      <c r="A1153" s="1" t="str">
        <f t="shared" si="92"/>
        <v>382094</v>
      </c>
      <c r="B1153" s="1" t="str">
        <f t="shared" si="93"/>
        <v>382095</v>
      </c>
      <c r="C1153" s="1">
        <v>1152</v>
      </c>
      <c r="D1153" s="4">
        <v>38209</v>
      </c>
      <c r="E1153" s="1">
        <v>0</v>
      </c>
      <c r="F1153" s="1">
        <v>5</v>
      </c>
      <c r="G1153" s="1">
        <v>4</v>
      </c>
      <c r="H1153" s="1">
        <v>2</v>
      </c>
      <c r="I1153" s="1">
        <v>0</v>
      </c>
      <c r="J1153" s="2" t="str">
        <f t="shared" si="90"/>
        <v>OKO</v>
      </c>
      <c r="K1153" s="2" t="str">
        <f t="shared" si="91"/>
        <v>@NNN</v>
      </c>
      <c r="L1153" s="1" t="str">
        <f t="shared" si="94"/>
        <v>1152,8/10/2004,0,5,4,2,0</v>
      </c>
    </row>
    <row r="1154" spans="1:12" x14ac:dyDescent="0.2">
      <c r="A1154" s="1" t="str">
        <f t="shared" si="92"/>
        <v>382099</v>
      </c>
      <c r="B1154" s="1" t="str">
        <f t="shared" si="93"/>
        <v>3820913</v>
      </c>
      <c r="C1154" s="1">
        <v>1153</v>
      </c>
      <c r="D1154" s="4">
        <v>38209</v>
      </c>
      <c r="E1154" s="1">
        <v>0</v>
      </c>
      <c r="F1154" s="1">
        <v>13</v>
      </c>
      <c r="G1154" s="1">
        <v>9</v>
      </c>
      <c r="H1154" s="1">
        <v>2</v>
      </c>
      <c r="I1154" s="1">
        <v>0</v>
      </c>
      <c r="J1154" s="2" t="str">
        <f t="shared" ref="J1154:J1217" si="95">VLOOKUP(F1154,$M$2:$N$21,2,0)</f>
        <v>BBG</v>
      </c>
      <c r="K1154" s="2" t="str">
        <f t="shared" ref="K1154:K1217" si="96">"@"&amp;VLOOKUP(G1154,$M$2:$N$21,2,0)</f>
        <v>@CIN</v>
      </c>
      <c r="L1154" s="1" t="str">
        <f t="shared" si="94"/>
        <v>1153,8/10/2004,0,13,9,2,0</v>
      </c>
    </row>
    <row r="1155" spans="1:12" x14ac:dyDescent="0.2">
      <c r="A1155" s="1" t="str">
        <f t="shared" si="92"/>
        <v>3820910</v>
      </c>
      <c r="B1155" s="1" t="str">
        <f t="shared" si="93"/>
        <v>3820914</v>
      </c>
      <c r="C1155" s="1">
        <v>1154</v>
      </c>
      <c r="D1155" s="4">
        <v>38209</v>
      </c>
      <c r="E1155" s="1">
        <v>0</v>
      </c>
      <c r="F1155" s="1">
        <v>14</v>
      </c>
      <c r="G1155" s="1">
        <v>10</v>
      </c>
      <c r="H1155" s="1">
        <v>2</v>
      </c>
      <c r="I1155" s="1">
        <v>0</v>
      </c>
      <c r="J1155" s="2" t="str">
        <f t="shared" si="95"/>
        <v>CEN</v>
      </c>
      <c r="K1155" s="2" t="str">
        <f t="shared" si="96"/>
        <v>@REN</v>
      </c>
      <c r="L1155" s="1" t="str">
        <f t="shared" si="94"/>
        <v>1154,8/10/2004,0,14,10,2,0</v>
      </c>
    </row>
    <row r="1156" spans="1:12" x14ac:dyDescent="0.2">
      <c r="A1156" s="1" t="str">
        <f t="shared" si="92"/>
        <v>3820916</v>
      </c>
      <c r="B1156" s="1" t="str">
        <f t="shared" si="93"/>
        <v>382091</v>
      </c>
      <c r="C1156" s="1">
        <v>1155</v>
      </c>
      <c r="D1156" s="4">
        <v>38209</v>
      </c>
      <c r="E1156" s="1">
        <v>0</v>
      </c>
      <c r="F1156" s="1">
        <v>1</v>
      </c>
      <c r="G1156" s="1">
        <v>16</v>
      </c>
      <c r="H1156" s="1">
        <v>2</v>
      </c>
      <c r="I1156" s="1">
        <v>0</v>
      </c>
      <c r="J1156" s="2" t="str">
        <f t="shared" si="95"/>
        <v>FFR</v>
      </c>
      <c r="K1156" s="2" t="str">
        <f t="shared" si="96"/>
        <v>@DIG</v>
      </c>
      <c r="L1156" s="1" t="str">
        <f t="shared" si="94"/>
        <v>1155,8/10/2004,0,1,16,2,0</v>
      </c>
    </row>
    <row r="1157" spans="1:12" x14ac:dyDescent="0.2">
      <c r="A1157" s="1" t="str">
        <f t="shared" si="92"/>
        <v>3820917</v>
      </c>
      <c r="B1157" s="1" t="str">
        <f t="shared" si="93"/>
        <v>382097</v>
      </c>
      <c r="C1157" s="1">
        <v>1156</v>
      </c>
      <c r="D1157" s="4">
        <v>38209</v>
      </c>
      <c r="E1157" s="1">
        <v>0</v>
      </c>
      <c r="F1157" s="1">
        <v>7</v>
      </c>
      <c r="G1157" s="1">
        <v>17</v>
      </c>
      <c r="H1157" s="1">
        <v>2</v>
      </c>
      <c r="I1157" s="1">
        <v>0</v>
      </c>
      <c r="J1157" s="2" t="str">
        <f t="shared" si="95"/>
        <v>BAR</v>
      </c>
      <c r="K1157" s="2" t="str">
        <f t="shared" si="96"/>
        <v>@GAR</v>
      </c>
      <c r="L1157" s="1" t="str">
        <f t="shared" si="94"/>
        <v>1156,8/10/2004,0,7,17,2,0</v>
      </c>
    </row>
    <row r="1158" spans="1:12" x14ac:dyDescent="0.2">
      <c r="A1158" s="1" t="str">
        <f t="shared" si="92"/>
        <v>3820920</v>
      </c>
      <c r="B1158" s="1" t="str">
        <f t="shared" si="93"/>
        <v>382093</v>
      </c>
      <c r="C1158" s="1">
        <v>1157</v>
      </c>
      <c r="D1158" s="4">
        <v>38209</v>
      </c>
      <c r="E1158" s="1">
        <v>0</v>
      </c>
      <c r="F1158" s="1">
        <v>3</v>
      </c>
      <c r="G1158" s="1">
        <v>20</v>
      </c>
      <c r="H1158" s="1">
        <v>2</v>
      </c>
      <c r="I1158" s="1">
        <v>0</v>
      </c>
      <c r="J1158" s="2" t="str">
        <f t="shared" si="95"/>
        <v>TEW</v>
      </c>
      <c r="K1158" s="2" t="str">
        <f t="shared" si="96"/>
        <v>@FDH</v>
      </c>
      <c r="L1158" s="1" t="str">
        <f t="shared" si="94"/>
        <v>1157,8/10/2004,0,3,20,2,0</v>
      </c>
    </row>
    <row r="1159" spans="1:12" x14ac:dyDescent="0.2">
      <c r="A1159" s="1" t="str">
        <f t="shared" si="92"/>
        <v>3820921</v>
      </c>
      <c r="B1159" s="1" t="str">
        <f t="shared" si="93"/>
        <v>3820922</v>
      </c>
      <c r="C1159" s="1">
        <v>1158</v>
      </c>
      <c r="D1159" s="4">
        <v>38209</v>
      </c>
      <c r="E1159" s="1">
        <v>0</v>
      </c>
      <c r="F1159" s="1">
        <v>22</v>
      </c>
      <c r="G1159" s="1">
        <v>21</v>
      </c>
      <c r="H1159" s="1">
        <v>2</v>
      </c>
      <c r="I1159" s="1">
        <v>0</v>
      </c>
      <c r="J1159" s="2" t="str">
        <f t="shared" si="95"/>
        <v>CBB</v>
      </c>
      <c r="K1159" s="2" t="str">
        <f t="shared" si="96"/>
        <v>@NYD</v>
      </c>
      <c r="L1159" s="1" t="str">
        <f t="shared" si="94"/>
        <v>1158,8/10/2004,0,22,21,2,0</v>
      </c>
    </row>
    <row r="1160" spans="1:12" x14ac:dyDescent="0.2">
      <c r="A1160" s="1" t="str">
        <f t="shared" si="92"/>
        <v>3820923</v>
      </c>
      <c r="B1160" s="1" t="str">
        <f t="shared" si="93"/>
        <v>3820911</v>
      </c>
      <c r="C1160" s="1">
        <v>1159</v>
      </c>
      <c r="D1160" s="4">
        <v>38209</v>
      </c>
      <c r="E1160" s="1">
        <v>0</v>
      </c>
      <c r="F1160" s="1">
        <v>11</v>
      </c>
      <c r="G1160" s="1">
        <v>23</v>
      </c>
      <c r="H1160" s="1">
        <v>2</v>
      </c>
      <c r="I1160" s="1">
        <v>0</v>
      </c>
      <c r="J1160" s="2" t="str">
        <f t="shared" si="95"/>
        <v>HAR</v>
      </c>
      <c r="K1160" s="2" t="str">
        <f t="shared" si="96"/>
        <v>@BRK</v>
      </c>
      <c r="L1160" s="1" t="str">
        <f t="shared" si="94"/>
        <v>1159,8/10/2004,0,11,23,2,0</v>
      </c>
    </row>
    <row r="1161" spans="1:12" x14ac:dyDescent="0.2">
      <c r="A1161" s="1" t="str">
        <f t="shared" si="92"/>
        <v>3820924</v>
      </c>
      <c r="B1161" s="1" t="str">
        <f t="shared" si="93"/>
        <v>3820912</v>
      </c>
      <c r="C1161" s="1">
        <v>1160</v>
      </c>
      <c r="D1161" s="4">
        <v>38209</v>
      </c>
      <c r="E1161" s="1">
        <v>0</v>
      </c>
      <c r="F1161" s="1">
        <v>12</v>
      </c>
      <c r="G1161" s="1">
        <v>24</v>
      </c>
      <c r="H1161" s="1">
        <v>2</v>
      </c>
      <c r="I1161" s="1">
        <v>0</v>
      </c>
      <c r="J1161" s="2" t="str">
        <f t="shared" si="95"/>
        <v>RMO</v>
      </c>
      <c r="K1161" s="2" t="str">
        <f t="shared" si="96"/>
        <v>@PHI</v>
      </c>
      <c r="L1161" s="1" t="str">
        <f t="shared" si="94"/>
        <v>1160,8/10/2004,0,12,24,2,0</v>
      </c>
    </row>
    <row r="1162" spans="1:12" x14ac:dyDescent="0.2">
      <c r="A1162" s="1" t="str">
        <f t="shared" si="92"/>
        <v>382109</v>
      </c>
      <c r="B1162" s="1" t="str">
        <f t="shared" si="93"/>
        <v>3821013</v>
      </c>
      <c r="C1162" s="1">
        <v>1161</v>
      </c>
      <c r="D1162" s="4">
        <v>38210</v>
      </c>
      <c r="E1162" s="1">
        <v>0</v>
      </c>
      <c r="F1162" s="1">
        <v>13</v>
      </c>
      <c r="G1162" s="1">
        <v>9</v>
      </c>
      <c r="H1162" s="1">
        <v>2</v>
      </c>
      <c r="I1162" s="1">
        <v>0</v>
      </c>
      <c r="J1162" s="2" t="str">
        <f t="shared" si="95"/>
        <v>BBG</v>
      </c>
      <c r="K1162" s="2" t="str">
        <f t="shared" si="96"/>
        <v>@CIN</v>
      </c>
      <c r="L1162" s="1" t="str">
        <f t="shared" si="94"/>
        <v>1161,8/11/2004,0,13,9,2,0</v>
      </c>
    </row>
    <row r="1163" spans="1:12" x14ac:dyDescent="0.2">
      <c r="A1163" s="1" t="str">
        <f t="shared" si="92"/>
        <v>3821017</v>
      </c>
      <c r="B1163" s="1" t="str">
        <f t="shared" si="93"/>
        <v>382107</v>
      </c>
      <c r="C1163" s="1">
        <v>1162</v>
      </c>
      <c r="D1163" s="4">
        <v>38210</v>
      </c>
      <c r="E1163" s="1">
        <v>0</v>
      </c>
      <c r="F1163" s="1">
        <v>7</v>
      </c>
      <c r="G1163" s="1">
        <v>17</v>
      </c>
      <c r="H1163" s="1">
        <v>2</v>
      </c>
      <c r="I1163" s="1">
        <v>0</v>
      </c>
      <c r="J1163" s="2" t="str">
        <f t="shared" si="95"/>
        <v>BAR</v>
      </c>
      <c r="K1163" s="2" t="str">
        <f t="shared" si="96"/>
        <v>@GAR</v>
      </c>
      <c r="L1163" s="1" t="str">
        <f t="shared" si="94"/>
        <v>1162,8/11/2004,0,7,17,2,0</v>
      </c>
    </row>
    <row r="1164" spans="1:12" x14ac:dyDescent="0.2">
      <c r="A1164" s="1" t="str">
        <f t="shared" si="92"/>
        <v>382102</v>
      </c>
      <c r="B1164" s="1" t="str">
        <f t="shared" si="93"/>
        <v>382108</v>
      </c>
      <c r="C1164" s="1">
        <v>1163</v>
      </c>
      <c r="D1164" s="4">
        <v>38210</v>
      </c>
      <c r="E1164" s="1">
        <v>0</v>
      </c>
      <c r="F1164" s="1">
        <v>8</v>
      </c>
      <c r="G1164" s="1">
        <v>2</v>
      </c>
      <c r="H1164" s="1">
        <v>2</v>
      </c>
      <c r="I1164" s="1">
        <v>0</v>
      </c>
      <c r="J1164" s="2" t="str">
        <f t="shared" si="95"/>
        <v>CTW</v>
      </c>
      <c r="K1164" s="2" t="str">
        <f t="shared" si="96"/>
        <v>@NEP</v>
      </c>
      <c r="L1164" s="1" t="str">
        <f t="shared" si="94"/>
        <v>1163,8/11/2004,0,8,2,2,0</v>
      </c>
    </row>
    <row r="1165" spans="1:12" x14ac:dyDescent="0.2">
      <c r="A1165" s="1" t="str">
        <f t="shared" si="92"/>
        <v>3821024</v>
      </c>
      <c r="B1165" s="1" t="str">
        <f t="shared" si="93"/>
        <v>3821012</v>
      </c>
      <c r="C1165" s="1">
        <v>1164</v>
      </c>
      <c r="D1165" s="4">
        <v>38210</v>
      </c>
      <c r="E1165" s="1">
        <v>0</v>
      </c>
      <c r="F1165" s="1">
        <v>12</v>
      </c>
      <c r="G1165" s="1">
        <v>24</v>
      </c>
      <c r="H1165" s="1">
        <v>2</v>
      </c>
      <c r="I1165" s="1">
        <v>0</v>
      </c>
      <c r="J1165" s="2" t="str">
        <f t="shared" si="95"/>
        <v>RMO</v>
      </c>
      <c r="K1165" s="2" t="str">
        <f t="shared" si="96"/>
        <v>@PHI</v>
      </c>
      <c r="L1165" s="1" t="str">
        <f t="shared" si="94"/>
        <v>1164,8/11/2004,0,12,24,2,0</v>
      </c>
    </row>
    <row r="1166" spans="1:12" x14ac:dyDescent="0.2">
      <c r="A1166" s="1" t="str">
        <f t="shared" si="92"/>
        <v>3821020</v>
      </c>
      <c r="B1166" s="1" t="str">
        <f t="shared" si="93"/>
        <v>382103</v>
      </c>
      <c r="C1166" s="1">
        <v>1165</v>
      </c>
      <c r="D1166" s="4">
        <v>38210</v>
      </c>
      <c r="E1166" s="1">
        <v>0</v>
      </c>
      <c r="F1166" s="1">
        <v>3</v>
      </c>
      <c r="G1166" s="1">
        <v>20</v>
      </c>
      <c r="H1166" s="1">
        <v>2</v>
      </c>
      <c r="I1166" s="1">
        <v>0</v>
      </c>
      <c r="J1166" s="2" t="str">
        <f t="shared" si="95"/>
        <v>TEW</v>
      </c>
      <c r="K1166" s="2" t="str">
        <f t="shared" si="96"/>
        <v>@FDH</v>
      </c>
      <c r="L1166" s="1" t="str">
        <f t="shared" si="94"/>
        <v>1165,8/11/2004,0,3,20,2,0</v>
      </c>
    </row>
    <row r="1167" spans="1:12" x14ac:dyDescent="0.2">
      <c r="A1167" s="1" t="str">
        <f t="shared" si="92"/>
        <v>3821010</v>
      </c>
      <c r="B1167" s="1" t="str">
        <f t="shared" si="93"/>
        <v>3821014</v>
      </c>
      <c r="C1167" s="1">
        <v>1166</v>
      </c>
      <c r="D1167" s="4">
        <v>38210</v>
      </c>
      <c r="E1167" s="1">
        <v>0</v>
      </c>
      <c r="F1167" s="1">
        <v>14</v>
      </c>
      <c r="G1167" s="1">
        <v>10</v>
      </c>
      <c r="H1167" s="1">
        <v>2</v>
      </c>
      <c r="I1167" s="1">
        <v>0</v>
      </c>
      <c r="J1167" s="2" t="str">
        <f t="shared" si="95"/>
        <v>CEN</v>
      </c>
      <c r="K1167" s="2" t="str">
        <f t="shared" si="96"/>
        <v>@REN</v>
      </c>
      <c r="L1167" s="1" t="str">
        <f t="shared" si="94"/>
        <v>1166,8/11/2004,0,14,10,2,0</v>
      </c>
    </row>
    <row r="1168" spans="1:12" x14ac:dyDescent="0.2">
      <c r="A1168" s="1" t="str">
        <f t="shared" si="92"/>
        <v>3821016</v>
      </c>
      <c r="B1168" s="1" t="str">
        <f t="shared" si="93"/>
        <v>382101</v>
      </c>
      <c r="C1168" s="1">
        <v>1167</v>
      </c>
      <c r="D1168" s="4">
        <v>38210</v>
      </c>
      <c r="E1168" s="1">
        <v>0</v>
      </c>
      <c r="F1168" s="1">
        <v>1</v>
      </c>
      <c r="G1168" s="1">
        <v>16</v>
      </c>
      <c r="H1168" s="1">
        <v>2</v>
      </c>
      <c r="I1168" s="1">
        <v>0</v>
      </c>
      <c r="J1168" s="2" t="str">
        <f t="shared" si="95"/>
        <v>FFR</v>
      </c>
      <c r="K1168" s="2" t="str">
        <f t="shared" si="96"/>
        <v>@DIG</v>
      </c>
      <c r="L1168" s="1" t="str">
        <f t="shared" si="94"/>
        <v>1167,8/11/2004,0,1,16,2,0</v>
      </c>
    </row>
    <row r="1169" spans="1:12" x14ac:dyDescent="0.2">
      <c r="A1169" s="1" t="str">
        <f t="shared" si="92"/>
        <v>3821023</v>
      </c>
      <c r="B1169" s="1" t="str">
        <f t="shared" si="93"/>
        <v>3821011</v>
      </c>
      <c r="C1169" s="1">
        <v>1168</v>
      </c>
      <c r="D1169" s="4">
        <v>38210</v>
      </c>
      <c r="E1169" s="1">
        <v>0</v>
      </c>
      <c r="F1169" s="1">
        <v>11</v>
      </c>
      <c r="G1169" s="1">
        <v>23</v>
      </c>
      <c r="H1169" s="1">
        <v>2</v>
      </c>
      <c r="I1169" s="1">
        <v>0</v>
      </c>
      <c r="J1169" s="2" t="str">
        <f t="shared" si="95"/>
        <v>HAR</v>
      </c>
      <c r="K1169" s="2" t="str">
        <f t="shared" si="96"/>
        <v>@BRK</v>
      </c>
      <c r="L1169" s="1" t="str">
        <f t="shared" si="94"/>
        <v>1168,8/11/2004,0,11,23,2,0</v>
      </c>
    </row>
    <row r="1170" spans="1:12" x14ac:dyDescent="0.2">
      <c r="A1170" s="1" t="str">
        <f t="shared" si="92"/>
        <v>382104</v>
      </c>
      <c r="B1170" s="1" t="str">
        <f t="shared" si="93"/>
        <v>382105</v>
      </c>
      <c r="C1170" s="1">
        <v>1169</v>
      </c>
      <c r="D1170" s="4">
        <v>38210</v>
      </c>
      <c r="E1170" s="1">
        <v>0</v>
      </c>
      <c r="F1170" s="1">
        <v>5</v>
      </c>
      <c r="G1170" s="1">
        <v>4</v>
      </c>
      <c r="H1170" s="1">
        <v>2</v>
      </c>
      <c r="I1170" s="1">
        <v>0</v>
      </c>
      <c r="J1170" s="2" t="str">
        <f t="shared" si="95"/>
        <v>OKO</v>
      </c>
      <c r="K1170" s="2" t="str">
        <f t="shared" si="96"/>
        <v>@NNN</v>
      </c>
      <c r="L1170" s="1" t="str">
        <f t="shared" si="94"/>
        <v>1169,8/11/2004,0,5,4,2,0</v>
      </c>
    </row>
    <row r="1171" spans="1:12" x14ac:dyDescent="0.2">
      <c r="A1171" s="1" t="str">
        <f t="shared" si="92"/>
        <v>3821021</v>
      </c>
      <c r="B1171" s="1" t="str">
        <f t="shared" si="93"/>
        <v>3821022</v>
      </c>
      <c r="C1171" s="1">
        <v>1170</v>
      </c>
      <c r="D1171" s="4">
        <v>38210</v>
      </c>
      <c r="E1171" s="1">
        <v>0</v>
      </c>
      <c r="F1171" s="1">
        <v>22</v>
      </c>
      <c r="G1171" s="1">
        <v>21</v>
      </c>
      <c r="H1171" s="1">
        <v>2</v>
      </c>
      <c r="I1171" s="1">
        <v>0</v>
      </c>
      <c r="J1171" s="2" t="str">
        <f t="shared" si="95"/>
        <v>CBB</v>
      </c>
      <c r="K1171" s="2" t="str">
        <f t="shared" si="96"/>
        <v>@NYD</v>
      </c>
      <c r="L1171" s="1" t="str">
        <f t="shared" si="94"/>
        <v>1170,8/11/2004,0,22,21,2,0</v>
      </c>
    </row>
    <row r="1172" spans="1:12" x14ac:dyDescent="0.2">
      <c r="A1172" s="1" t="str">
        <f t="shared" si="92"/>
        <v>382112</v>
      </c>
      <c r="B1172" s="1" t="str">
        <f t="shared" si="93"/>
        <v>382118</v>
      </c>
      <c r="C1172" s="1">
        <v>1171</v>
      </c>
      <c r="D1172" s="4">
        <v>38211</v>
      </c>
      <c r="E1172" s="1">
        <v>0</v>
      </c>
      <c r="F1172" s="1">
        <v>8</v>
      </c>
      <c r="G1172" s="1">
        <v>2</v>
      </c>
      <c r="H1172" s="1">
        <v>2</v>
      </c>
      <c r="I1172" s="1">
        <v>0</v>
      </c>
      <c r="J1172" s="2" t="str">
        <f t="shared" si="95"/>
        <v>CTW</v>
      </c>
      <c r="K1172" s="2" t="str">
        <f t="shared" si="96"/>
        <v>@NEP</v>
      </c>
      <c r="L1172" s="1" t="str">
        <f t="shared" si="94"/>
        <v>1171,8/12/2004,0,8,2,2,0</v>
      </c>
    </row>
    <row r="1173" spans="1:12" x14ac:dyDescent="0.2">
      <c r="A1173" s="1" t="str">
        <f t="shared" si="92"/>
        <v>3821124</v>
      </c>
      <c r="B1173" s="1" t="str">
        <f t="shared" si="93"/>
        <v>3821112</v>
      </c>
      <c r="C1173" s="1">
        <v>1172</v>
      </c>
      <c r="D1173" s="4">
        <v>38211</v>
      </c>
      <c r="E1173" s="1">
        <v>0</v>
      </c>
      <c r="F1173" s="1">
        <v>12</v>
      </c>
      <c r="G1173" s="1">
        <v>24</v>
      </c>
      <c r="H1173" s="1">
        <v>2</v>
      </c>
      <c r="I1173" s="1">
        <v>0</v>
      </c>
      <c r="J1173" s="2" t="str">
        <f t="shared" si="95"/>
        <v>RMO</v>
      </c>
      <c r="K1173" s="2" t="str">
        <f t="shared" si="96"/>
        <v>@PHI</v>
      </c>
      <c r="L1173" s="1" t="str">
        <f t="shared" si="94"/>
        <v>1172,8/12/2004,0,12,24,2,0</v>
      </c>
    </row>
    <row r="1174" spans="1:12" x14ac:dyDescent="0.2">
      <c r="A1174" s="1" t="str">
        <f t="shared" si="92"/>
        <v>382134</v>
      </c>
      <c r="B1174" s="1" t="str">
        <f t="shared" si="93"/>
        <v>382135</v>
      </c>
      <c r="C1174" s="1">
        <v>1173</v>
      </c>
      <c r="D1174" s="4">
        <v>38213</v>
      </c>
      <c r="E1174" s="1">
        <v>0</v>
      </c>
      <c r="F1174" s="1">
        <v>5</v>
      </c>
      <c r="G1174" s="1">
        <v>4</v>
      </c>
      <c r="H1174" s="1">
        <v>2</v>
      </c>
      <c r="I1174" s="1">
        <v>0</v>
      </c>
      <c r="J1174" s="2" t="str">
        <f t="shared" si="95"/>
        <v>OKO</v>
      </c>
      <c r="K1174" s="2" t="str">
        <f t="shared" si="96"/>
        <v>@NNN</v>
      </c>
      <c r="L1174" s="1" t="str">
        <f t="shared" si="94"/>
        <v>1173,8/14/2004,0,5,4,2,0</v>
      </c>
    </row>
    <row r="1175" spans="1:12" x14ac:dyDescent="0.2">
      <c r="A1175" s="1" t="str">
        <f t="shared" si="92"/>
        <v>382138</v>
      </c>
      <c r="B1175" s="1" t="str">
        <f t="shared" si="93"/>
        <v>382132</v>
      </c>
      <c r="C1175" s="1">
        <v>1174</v>
      </c>
      <c r="D1175" s="4">
        <v>38213</v>
      </c>
      <c r="E1175" s="1">
        <v>0</v>
      </c>
      <c r="F1175" s="1">
        <v>2</v>
      </c>
      <c r="G1175" s="1">
        <v>8</v>
      </c>
      <c r="H1175" s="1">
        <v>2</v>
      </c>
      <c r="I1175" s="1">
        <v>0</v>
      </c>
      <c r="J1175" s="2" t="str">
        <f t="shared" si="95"/>
        <v>NEP</v>
      </c>
      <c r="K1175" s="2" t="str">
        <f t="shared" si="96"/>
        <v>@CTW</v>
      </c>
      <c r="L1175" s="1" t="str">
        <f t="shared" si="94"/>
        <v>1174,8/14/2004,0,2,8,2,0</v>
      </c>
    </row>
    <row r="1176" spans="1:12" x14ac:dyDescent="0.2">
      <c r="A1176" s="1" t="str">
        <f t="shared" si="92"/>
        <v>382139</v>
      </c>
      <c r="B1176" s="1" t="str">
        <f t="shared" si="93"/>
        <v>3821313</v>
      </c>
      <c r="C1176" s="1">
        <v>1175</v>
      </c>
      <c r="D1176" s="4">
        <v>38213</v>
      </c>
      <c r="E1176" s="1">
        <v>0</v>
      </c>
      <c r="F1176" s="1">
        <v>13</v>
      </c>
      <c r="G1176" s="1">
        <v>9</v>
      </c>
      <c r="H1176" s="1">
        <v>2</v>
      </c>
      <c r="I1176" s="1">
        <v>0</v>
      </c>
      <c r="J1176" s="2" t="str">
        <f t="shared" si="95"/>
        <v>BBG</v>
      </c>
      <c r="K1176" s="2" t="str">
        <f t="shared" si="96"/>
        <v>@CIN</v>
      </c>
      <c r="L1176" s="1" t="str">
        <f t="shared" si="94"/>
        <v>1175,8/14/2004,0,13,9,2,0</v>
      </c>
    </row>
    <row r="1177" spans="1:12" x14ac:dyDescent="0.2">
      <c r="A1177" s="1" t="str">
        <f t="shared" si="92"/>
        <v>3821310</v>
      </c>
      <c r="B1177" s="1" t="str">
        <f t="shared" si="93"/>
        <v>3821314</v>
      </c>
      <c r="C1177" s="1">
        <v>1176</v>
      </c>
      <c r="D1177" s="4">
        <v>38213</v>
      </c>
      <c r="E1177" s="1">
        <v>0</v>
      </c>
      <c r="F1177" s="1">
        <v>14</v>
      </c>
      <c r="G1177" s="1">
        <v>10</v>
      </c>
      <c r="H1177" s="1">
        <v>2</v>
      </c>
      <c r="I1177" s="1">
        <v>0</v>
      </c>
      <c r="J1177" s="2" t="str">
        <f t="shared" si="95"/>
        <v>CEN</v>
      </c>
      <c r="K1177" s="2" t="str">
        <f t="shared" si="96"/>
        <v>@REN</v>
      </c>
      <c r="L1177" s="1" t="str">
        <f t="shared" si="94"/>
        <v>1176,8/14/2004,0,14,10,2,0</v>
      </c>
    </row>
    <row r="1178" spans="1:12" x14ac:dyDescent="0.2">
      <c r="A1178" s="1" t="str">
        <f t="shared" si="92"/>
        <v>3821312</v>
      </c>
      <c r="B1178" s="1" t="str">
        <f t="shared" si="93"/>
        <v>3821324</v>
      </c>
      <c r="C1178" s="1">
        <v>1177</v>
      </c>
      <c r="D1178" s="4">
        <v>38213</v>
      </c>
      <c r="E1178" s="1">
        <v>0</v>
      </c>
      <c r="F1178" s="1">
        <v>24</v>
      </c>
      <c r="G1178" s="1">
        <v>12</v>
      </c>
      <c r="H1178" s="1">
        <v>2</v>
      </c>
      <c r="I1178" s="1">
        <v>0</v>
      </c>
      <c r="J1178" s="2" t="str">
        <f t="shared" si="95"/>
        <v>PHI</v>
      </c>
      <c r="K1178" s="2" t="str">
        <f t="shared" si="96"/>
        <v>@RMO</v>
      </c>
      <c r="L1178" s="1" t="str">
        <f t="shared" si="94"/>
        <v>1177,8/14/2004,0,24,12,2,0</v>
      </c>
    </row>
    <row r="1179" spans="1:12" x14ac:dyDescent="0.2">
      <c r="A1179" s="1" t="str">
        <f t="shared" si="92"/>
        <v>3821316</v>
      </c>
      <c r="B1179" s="1" t="str">
        <f t="shared" si="93"/>
        <v>382131</v>
      </c>
      <c r="C1179" s="1">
        <v>1178</v>
      </c>
      <c r="D1179" s="4">
        <v>38213</v>
      </c>
      <c r="E1179" s="1">
        <v>0</v>
      </c>
      <c r="F1179" s="1">
        <v>1</v>
      </c>
      <c r="G1179" s="1">
        <v>16</v>
      </c>
      <c r="H1179" s="1">
        <v>2</v>
      </c>
      <c r="I1179" s="1">
        <v>0</v>
      </c>
      <c r="J1179" s="2" t="str">
        <f t="shared" si="95"/>
        <v>FFR</v>
      </c>
      <c r="K1179" s="2" t="str">
        <f t="shared" si="96"/>
        <v>@DIG</v>
      </c>
      <c r="L1179" s="1" t="str">
        <f t="shared" si="94"/>
        <v>1178,8/14/2004,0,1,16,2,0</v>
      </c>
    </row>
    <row r="1180" spans="1:12" x14ac:dyDescent="0.2">
      <c r="A1180" s="1" t="str">
        <f t="shared" si="92"/>
        <v>3821317</v>
      </c>
      <c r="B1180" s="1" t="str">
        <f t="shared" si="93"/>
        <v>382137</v>
      </c>
      <c r="C1180" s="1">
        <v>1179</v>
      </c>
      <c r="D1180" s="4">
        <v>38213</v>
      </c>
      <c r="E1180" s="1">
        <v>0</v>
      </c>
      <c r="F1180" s="1">
        <v>7</v>
      </c>
      <c r="G1180" s="1">
        <v>17</v>
      </c>
      <c r="H1180" s="1">
        <v>2</v>
      </c>
      <c r="I1180" s="1">
        <v>0</v>
      </c>
      <c r="J1180" s="2" t="str">
        <f t="shared" si="95"/>
        <v>BAR</v>
      </c>
      <c r="K1180" s="2" t="str">
        <f t="shared" si="96"/>
        <v>@GAR</v>
      </c>
      <c r="L1180" s="1" t="str">
        <f t="shared" si="94"/>
        <v>1179,8/14/2004,0,7,17,2,0</v>
      </c>
    </row>
    <row r="1181" spans="1:12" x14ac:dyDescent="0.2">
      <c r="A1181" s="1" t="str">
        <f t="shared" si="92"/>
        <v>3821320</v>
      </c>
      <c r="B1181" s="1" t="str">
        <f t="shared" si="93"/>
        <v>382133</v>
      </c>
      <c r="C1181" s="1">
        <v>1180</v>
      </c>
      <c r="D1181" s="4">
        <v>38213</v>
      </c>
      <c r="E1181" s="1">
        <v>0</v>
      </c>
      <c r="F1181" s="1">
        <v>3</v>
      </c>
      <c r="G1181" s="1">
        <v>20</v>
      </c>
      <c r="H1181" s="1">
        <v>2</v>
      </c>
      <c r="I1181" s="1">
        <v>0</v>
      </c>
      <c r="J1181" s="2" t="str">
        <f t="shared" si="95"/>
        <v>TEW</v>
      </c>
      <c r="K1181" s="2" t="str">
        <f t="shared" si="96"/>
        <v>@FDH</v>
      </c>
      <c r="L1181" s="1" t="str">
        <f t="shared" si="94"/>
        <v>1180,8/14/2004,0,3,20,2,0</v>
      </c>
    </row>
    <row r="1182" spans="1:12" x14ac:dyDescent="0.2">
      <c r="A1182" s="1" t="str">
        <f t="shared" si="92"/>
        <v>3821321</v>
      </c>
      <c r="B1182" s="1" t="str">
        <f t="shared" si="93"/>
        <v>3821322</v>
      </c>
      <c r="C1182" s="1">
        <v>1181</v>
      </c>
      <c r="D1182" s="4">
        <v>38213</v>
      </c>
      <c r="E1182" s="1">
        <v>0</v>
      </c>
      <c r="F1182" s="1">
        <v>22</v>
      </c>
      <c r="G1182" s="1">
        <v>21</v>
      </c>
      <c r="H1182" s="1">
        <v>2</v>
      </c>
      <c r="I1182" s="1">
        <v>0</v>
      </c>
      <c r="J1182" s="2" t="str">
        <f t="shared" si="95"/>
        <v>CBB</v>
      </c>
      <c r="K1182" s="2" t="str">
        <f t="shared" si="96"/>
        <v>@NYD</v>
      </c>
      <c r="L1182" s="1" t="str">
        <f t="shared" si="94"/>
        <v>1181,8/14/2004,0,22,21,2,0</v>
      </c>
    </row>
    <row r="1183" spans="1:12" x14ac:dyDescent="0.2">
      <c r="A1183" s="1" t="str">
        <f t="shared" si="92"/>
        <v>3821323</v>
      </c>
      <c r="B1183" s="1" t="str">
        <f t="shared" si="93"/>
        <v>3821311</v>
      </c>
      <c r="C1183" s="1">
        <v>1182</v>
      </c>
      <c r="D1183" s="4">
        <v>38213</v>
      </c>
      <c r="E1183" s="1">
        <v>0</v>
      </c>
      <c r="F1183" s="1">
        <v>11</v>
      </c>
      <c r="G1183" s="1">
        <v>23</v>
      </c>
      <c r="H1183" s="1">
        <v>2</v>
      </c>
      <c r="I1183" s="1">
        <v>0</v>
      </c>
      <c r="J1183" s="2" t="str">
        <f t="shared" si="95"/>
        <v>HAR</v>
      </c>
      <c r="K1183" s="2" t="str">
        <f t="shared" si="96"/>
        <v>@BRK</v>
      </c>
      <c r="L1183" s="1" t="str">
        <f t="shared" si="94"/>
        <v>1182,8/14/2004,0,11,23,2,0</v>
      </c>
    </row>
    <row r="1184" spans="1:12" x14ac:dyDescent="0.2">
      <c r="A1184" s="1" t="str">
        <f t="shared" si="92"/>
        <v>382144</v>
      </c>
      <c r="B1184" s="1" t="str">
        <f t="shared" si="93"/>
        <v>382145</v>
      </c>
      <c r="C1184" s="1">
        <v>1183</v>
      </c>
      <c r="D1184" s="4">
        <v>38214</v>
      </c>
      <c r="E1184" s="1">
        <v>0</v>
      </c>
      <c r="F1184" s="1">
        <v>5</v>
      </c>
      <c r="G1184" s="1">
        <v>4</v>
      </c>
      <c r="H1184" s="1">
        <v>2</v>
      </c>
      <c r="I1184" s="1">
        <v>0</v>
      </c>
      <c r="J1184" s="2" t="str">
        <f t="shared" si="95"/>
        <v>OKO</v>
      </c>
      <c r="K1184" s="2" t="str">
        <f t="shared" si="96"/>
        <v>@NNN</v>
      </c>
      <c r="L1184" s="1" t="str">
        <f t="shared" si="94"/>
        <v>1183,8/15/2004,0,5,4,2,0</v>
      </c>
    </row>
    <row r="1185" spans="1:12" x14ac:dyDescent="0.2">
      <c r="A1185" s="1" t="str">
        <f t="shared" si="92"/>
        <v>382148</v>
      </c>
      <c r="B1185" s="1" t="str">
        <f t="shared" si="93"/>
        <v>382142</v>
      </c>
      <c r="C1185" s="1">
        <v>1184</v>
      </c>
      <c r="D1185" s="4">
        <v>38214</v>
      </c>
      <c r="E1185" s="1">
        <v>0</v>
      </c>
      <c r="F1185" s="1">
        <v>2</v>
      </c>
      <c r="G1185" s="1">
        <v>8</v>
      </c>
      <c r="H1185" s="1">
        <v>2</v>
      </c>
      <c r="I1185" s="1">
        <v>0</v>
      </c>
      <c r="J1185" s="2" t="str">
        <f t="shared" si="95"/>
        <v>NEP</v>
      </c>
      <c r="K1185" s="2" t="str">
        <f t="shared" si="96"/>
        <v>@CTW</v>
      </c>
      <c r="L1185" s="1" t="str">
        <f t="shared" si="94"/>
        <v>1184,8/15/2004,0,2,8,2,0</v>
      </c>
    </row>
    <row r="1186" spans="1:12" x14ac:dyDescent="0.2">
      <c r="A1186" s="1" t="str">
        <f t="shared" si="92"/>
        <v>382149</v>
      </c>
      <c r="B1186" s="1" t="str">
        <f t="shared" si="93"/>
        <v>3821413</v>
      </c>
      <c r="C1186" s="1">
        <v>1185</v>
      </c>
      <c r="D1186" s="4">
        <v>38214</v>
      </c>
      <c r="E1186" s="1">
        <v>0</v>
      </c>
      <c r="F1186" s="1">
        <v>13</v>
      </c>
      <c r="G1186" s="1">
        <v>9</v>
      </c>
      <c r="H1186" s="1">
        <v>2</v>
      </c>
      <c r="I1186" s="1">
        <v>0</v>
      </c>
      <c r="J1186" s="2" t="str">
        <f t="shared" si="95"/>
        <v>BBG</v>
      </c>
      <c r="K1186" s="2" t="str">
        <f t="shared" si="96"/>
        <v>@CIN</v>
      </c>
      <c r="L1186" s="1" t="str">
        <f t="shared" si="94"/>
        <v>1185,8/15/2004,0,13,9,2,0</v>
      </c>
    </row>
    <row r="1187" spans="1:12" x14ac:dyDescent="0.2">
      <c r="A1187" s="1" t="str">
        <f t="shared" si="92"/>
        <v>3821410</v>
      </c>
      <c r="B1187" s="1" t="str">
        <f t="shared" si="93"/>
        <v>3821414</v>
      </c>
      <c r="C1187" s="1">
        <v>1186</v>
      </c>
      <c r="D1187" s="4">
        <v>38214</v>
      </c>
      <c r="E1187" s="1">
        <v>0</v>
      </c>
      <c r="F1187" s="1">
        <v>14</v>
      </c>
      <c r="G1187" s="1">
        <v>10</v>
      </c>
      <c r="H1187" s="1">
        <v>2</v>
      </c>
      <c r="I1187" s="1">
        <v>0</v>
      </c>
      <c r="J1187" s="2" t="str">
        <f t="shared" si="95"/>
        <v>CEN</v>
      </c>
      <c r="K1187" s="2" t="str">
        <f t="shared" si="96"/>
        <v>@REN</v>
      </c>
      <c r="L1187" s="1" t="str">
        <f t="shared" si="94"/>
        <v>1186,8/15/2004,0,14,10,2,0</v>
      </c>
    </row>
    <row r="1188" spans="1:12" x14ac:dyDescent="0.2">
      <c r="A1188" s="1" t="str">
        <f t="shared" si="92"/>
        <v>3821412</v>
      </c>
      <c r="B1188" s="1" t="str">
        <f t="shared" si="93"/>
        <v>3821424</v>
      </c>
      <c r="C1188" s="1">
        <v>1187</v>
      </c>
      <c r="D1188" s="4">
        <v>38214</v>
      </c>
      <c r="E1188" s="1">
        <v>0</v>
      </c>
      <c r="F1188" s="1">
        <v>24</v>
      </c>
      <c r="G1188" s="1">
        <v>12</v>
      </c>
      <c r="H1188" s="1">
        <v>2</v>
      </c>
      <c r="I1188" s="1">
        <v>0</v>
      </c>
      <c r="J1188" s="2" t="str">
        <f t="shared" si="95"/>
        <v>PHI</v>
      </c>
      <c r="K1188" s="2" t="str">
        <f t="shared" si="96"/>
        <v>@RMO</v>
      </c>
      <c r="L1188" s="1" t="str">
        <f t="shared" si="94"/>
        <v>1187,8/15/2004,0,24,12,2,0</v>
      </c>
    </row>
    <row r="1189" spans="1:12" x14ac:dyDescent="0.2">
      <c r="A1189" s="1" t="str">
        <f t="shared" si="92"/>
        <v>3821416</v>
      </c>
      <c r="B1189" s="1" t="str">
        <f t="shared" si="93"/>
        <v>382141</v>
      </c>
      <c r="C1189" s="1">
        <v>1188</v>
      </c>
      <c r="D1189" s="4">
        <v>38214</v>
      </c>
      <c r="E1189" s="1">
        <v>0</v>
      </c>
      <c r="F1189" s="1">
        <v>1</v>
      </c>
      <c r="G1189" s="1">
        <v>16</v>
      </c>
      <c r="H1189" s="1">
        <v>2</v>
      </c>
      <c r="I1189" s="1">
        <v>0</v>
      </c>
      <c r="J1189" s="2" t="str">
        <f t="shared" si="95"/>
        <v>FFR</v>
      </c>
      <c r="K1189" s="2" t="str">
        <f t="shared" si="96"/>
        <v>@DIG</v>
      </c>
      <c r="L1189" s="1" t="str">
        <f t="shared" si="94"/>
        <v>1188,8/15/2004,0,1,16,2,0</v>
      </c>
    </row>
    <row r="1190" spans="1:12" x14ac:dyDescent="0.2">
      <c r="A1190" s="1" t="str">
        <f t="shared" ref="A1190:A1253" si="97">D1190&amp;G1190</f>
        <v>3821417</v>
      </c>
      <c r="B1190" s="1" t="str">
        <f t="shared" ref="B1190:B1253" si="98">D1190&amp;F1190</f>
        <v>382147</v>
      </c>
      <c r="C1190" s="1">
        <v>1189</v>
      </c>
      <c r="D1190" s="4">
        <v>38214</v>
      </c>
      <c r="E1190" s="1">
        <v>0</v>
      </c>
      <c r="F1190" s="1">
        <v>7</v>
      </c>
      <c r="G1190" s="1">
        <v>17</v>
      </c>
      <c r="H1190" s="1">
        <v>2</v>
      </c>
      <c r="I1190" s="1">
        <v>0</v>
      </c>
      <c r="J1190" s="2" t="str">
        <f t="shared" si="95"/>
        <v>BAR</v>
      </c>
      <c r="K1190" s="2" t="str">
        <f t="shared" si="96"/>
        <v>@GAR</v>
      </c>
      <c r="L1190" s="1" t="str">
        <f t="shared" ref="L1190:L1253" si="99">C1190&amp;","&amp;MONTH(D1190)&amp;"/"&amp;DAY(D1190)&amp;"/"&amp;YEAR(D1190)&amp;","&amp;E1190&amp;","&amp;F1190&amp;","&amp;G1190&amp;","&amp;H1190&amp;","&amp;I1190</f>
        <v>1189,8/15/2004,0,7,17,2,0</v>
      </c>
    </row>
    <row r="1191" spans="1:12" x14ac:dyDescent="0.2">
      <c r="A1191" s="1" t="str">
        <f t="shared" si="97"/>
        <v>3821420</v>
      </c>
      <c r="B1191" s="1" t="str">
        <f t="shared" si="98"/>
        <v>382143</v>
      </c>
      <c r="C1191" s="1">
        <v>1190</v>
      </c>
      <c r="D1191" s="4">
        <v>38214</v>
      </c>
      <c r="E1191" s="1">
        <v>0</v>
      </c>
      <c r="F1191" s="1">
        <v>3</v>
      </c>
      <c r="G1191" s="1">
        <v>20</v>
      </c>
      <c r="H1191" s="1">
        <v>2</v>
      </c>
      <c r="I1191" s="1">
        <v>0</v>
      </c>
      <c r="J1191" s="2" t="str">
        <f t="shared" si="95"/>
        <v>TEW</v>
      </c>
      <c r="K1191" s="2" t="str">
        <f t="shared" si="96"/>
        <v>@FDH</v>
      </c>
      <c r="L1191" s="1" t="str">
        <f t="shared" si="99"/>
        <v>1190,8/15/2004,0,3,20,2,0</v>
      </c>
    </row>
    <row r="1192" spans="1:12" x14ac:dyDescent="0.2">
      <c r="A1192" s="1" t="str">
        <f t="shared" si="97"/>
        <v>3821421</v>
      </c>
      <c r="B1192" s="1" t="str">
        <f t="shared" si="98"/>
        <v>3821422</v>
      </c>
      <c r="C1192" s="1">
        <v>1191</v>
      </c>
      <c r="D1192" s="4">
        <v>38214</v>
      </c>
      <c r="E1192" s="1">
        <v>0</v>
      </c>
      <c r="F1192" s="1">
        <v>22</v>
      </c>
      <c r="G1192" s="1">
        <v>21</v>
      </c>
      <c r="H1192" s="1">
        <v>2</v>
      </c>
      <c r="I1192" s="1">
        <v>0</v>
      </c>
      <c r="J1192" s="2" t="str">
        <f t="shared" si="95"/>
        <v>CBB</v>
      </c>
      <c r="K1192" s="2" t="str">
        <f t="shared" si="96"/>
        <v>@NYD</v>
      </c>
      <c r="L1192" s="1" t="str">
        <f t="shared" si="99"/>
        <v>1191,8/15/2004,0,22,21,2,0</v>
      </c>
    </row>
    <row r="1193" spans="1:12" x14ac:dyDescent="0.2">
      <c r="A1193" s="1" t="str">
        <f t="shared" si="97"/>
        <v>3821423</v>
      </c>
      <c r="B1193" s="1" t="str">
        <f t="shared" si="98"/>
        <v>3821411</v>
      </c>
      <c r="C1193" s="1">
        <v>1192</v>
      </c>
      <c r="D1193" s="4">
        <v>38214</v>
      </c>
      <c r="E1193" s="1">
        <v>0</v>
      </c>
      <c r="F1193" s="1">
        <v>11</v>
      </c>
      <c r="G1193" s="1">
        <v>23</v>
      </c>
      <c r="H1193" s="1">
        <v>2</v>
      </c>
      <c r="I1193" s="1">
        <v>0</v>
      </c>
      <c r="J1193" s="2" t="str">
        <f t="shared" si="95"/>
        <v>HAR</v>
      </c>
      <c r="K1193" s="2" t="str">
        <f t="shared" si="96"/>
        <v>@BRK</v>
      </c>
      <c r="L1193" s="1" t="str">
        <f t="shared" si="99"/>
        <v>1192,8/15/2004,0,11,23,2,0</v>
      </c>
    </row>
    <row r="1194" spans="1:12" x14ac:dyDescent="0.2">
      <c r="A1194" s="1" t="str">
        <f t="shared" si="97"/>
        <v>382152</v>
      </c>
      <c r="B1194" s="1" t="str">
        <f t="shared" si="98"/>
        <v>382151</v>
      </c>
      <c r="C1194" s="1">
        <v>1193</v>
      </c>
      <c r="D1194" s="4">
        <v>38215</v>
      </c>
      <c r="E1194" s="1">
        <v>0</v>
      </c>
      <c r="F1194" s="1">
        <v>1</v>
      </c>
      <c r="G1194" s="1">
        <v>2</v>
      </c>
      <c r="H1194" s="1">
        <v>2</v>
      </c>
      <c r="I1194" s="1">
        <v>0</v>
      </c>
      <c r="J1194" s="2" t="str">
        <f t="shared" si="95"/>
        <v>FFR</v>
      </c>
      <c r="K1194" s="2" t="str">
        <f t="shared" si="96"/>
        <v>@NEP</v>
      </c>
      <c r="L1194" s="1" t="str">
        <f t="shared" si="99"/>
        <v>1193,8/16/2004,0,1,2,2,0</v>
      </c>
    </row>
    <row r="1195" spans="1:12" x14ac:dyDescent="0.2">
      <c r="A1195" s="1" t="str">
        <f t="shared" si="97"/>
        <v>382153</v>
      </c>
      <c r="B1195" s="1" t="str">
        <f t="shared" si="98"/>
        <v>382154</v>
      </c>
      <c r="C1195" s="1">
        <v>1194</v>
      </c>
      <c r="D1195" s="4">
        <v>38215</v>
      </c>
      <c r="E1195" s="1">
        <v>0</v>
      </c>
      <c r="F1195" s="1">
        <v>4</v>
      </c>
      <c r="G1195" s="1">
        <v>3</v>
      </c>
      <c r="H1195" s="1">
        <v>2</v>
      </c>
      <c r="I1195" s="1">
        <v>0</v>
      </c>
      <c r="J1195" s="2" t="str">
        <f t="shared" si="95"/>
        <v>NNN</v>
      </c>
      <c r="K1195" s="2" t="str">
        <f t="shared" si="96"/>
        <v>@TEW</v>
      </c>
      <c r="L1195" s="1" t="str">
        <f t="shared" si="99"/>
        <v>1194,8/16/2004,0,4,3,2,0</v>
      </c>
    </row>
    <row r="1196" spans="1:12" x14ac:dyDescent="0.2">
      <c r="A1196" s="1" t="str">
        <f t="shared" si="97"/>
        <v>382157</v>
      </c>
      <c r="B1196" s="1" t="str">
        <f t="shared" si="98"/>
        <v>3821523</v>
      </c>
      <c r="C1196" s="1">
        <v>1195</v>
      </c>
      <c r="D1196" s="4">
        <v>38215</v>
      </c>
      <c r="E1196" s="1">
        <v>0</v>
      </c>
      <c r="F1196" s="1">
        <v>23</v>
      </c>
      <c r="G1196" s="1">
        <v>7</v>
      </c>
      <c r="H1196" s="1">
        <v>2</v>
      </c>
      <c r="I1196" s="1">
        <v>0</v>
      </c>
      <c r="J1196" s="2" t="str">
        <f t="shared" si="95"/>
        <v>BRK</v>
      </c>
      <c r="K1196" s="2" t="str">
        <f t="shared" si="96"/>
        <v>@BAR</v>
      </c>
      <c r="L1196" s="1" t="str">
        <f t="shared" si="99"/>
        <v>1195,8/16/2004,0,23,7,2,0</v>
      </c>
    </row>
    <row r="1197" spans="1:12" x14ac:dyDescent="0.2">
      <c r="A1197" s="1" t="str">
        <f t="shared" si="97"/>
        <v>382158</v>
      </c>
      <c r="B1197" s="1" t="str">
        <f t="shared" si="98"/>
        <v>3821511</v>
      </c>
      <c r="C1197" s="1">
        <v>1196</v>
      </c>
      <c r="D1197" s="4">
        <v>38215</v>
      </c>
      <c r="E1197" s="1">
        <v>0</v>
      </c>
      <c r="F1197" s="1">
        <v>11</v>
      </c>
      <c r="G1197" s="1">
        <v>8</v>
      </c>
      <c r="H1197" s="1">
        <v>2</v>
      </c>
      <c r="I1197" s="1">
        <v>0</v>
      </c>
      <c r="J1197" s="2" t="str">
        <f t="shared" si="95"/>
        <v>HAR</v>
      </c>
      <c r="K1197" s="2" t="str">
        <f t="shared" si="96"/>
        <v>@CTW</v>
      </c>
      <c r="L1197" s="1" t="str">
        <f t="shared" si="99"/>
        <v>1196,8/16/2004,0,11,8,2,0</v>
      </c>
    </row>
    <row r="1198" spans="1:12" x14ac:dyDescent="0.2">
      <c r="A1198" s="1" t="str">
        <f t="shared" si="97"/>
        <v>382159</v>
      </c>
      <c r="B1198" s="1" t="str">
        <f t="shared" si="98"/>
        <v>3821524</v>
      </c>
      <c r="C1198" s="1">
        <v>1197</v>
      </c>
      <c r="D1198" s="4">
        <v>38215</v>
      </c>
      <c r="E1198" s="1">
        <v>0</v>
      </c>
      <c r="F1198" s="1">
        <v>24</v>
      </c>
      <c r="G1198" s="1">
        <v>9</v>
      </c>
      <c r="H1198" s="1">
        <v>2</v>
      </c>
      <c r="I1198" s="1">
        <v>0</v>
      </c>
      <c r="J1198" s="2" t="str">
        <f t="shared" si="95"/>
        <v>PHI</v>
      </c>
      <c r="K1198" s="2" t="str">
        <f t="shared" si="96"/>
        <v>@CIN</v>
      </c>
      <c r="L1198" s="1" t="str">
        <f t="shared" si="99"/>
        <v>1197,8/16/2004,0,24,9,2,0</v>
      </c>
    </row>
    <row r="1199" spans="1:12" x14ac:dyDescent="0.2">
      <c r="A1199" s="1" t="str">
        <f t="shared" si="97"/>
        <v>3821510</v>
      </c>
      <c r="B1199" s="1" t="str">
        <f t="shared" si="98"/>
        <v>382155</v>
      </c>
      <c r="C1199" s="1">
        <v>1198</v>
      </c>
      <c r="D1199" s="4">
        <v>38215</v>
      </c>
      <c r="E1199" s="1">
        <v>0</v>
      </c>
      <c r="F1199" s="1">
        <v>5</v>
      </c>
      <c r="G1199" s="1">
        <v>10</v>
      </c>
      <c r="H1199" s="1">
        <v>2</v>
      </c>
      <c r="I1199" s="1">
        <v>0</v>
      </c>
      <c r="J1199" s="2" t="str">
        <f t="shared" si="95"/>
        <v>OKO</v>
      </c>
      <c r="K1199" s="2" t="str">
        <f t="shared" si="96"/>
        <v>@REN</v>
      </c>
      <c r="L1199" s="1" t="str">
        <f t="shared" si="99"/>
        <v>1198,8/16/2004,0,5,10,2,0</v>
      </c>
    </row>
    <row r="1200" spans="1:12" x14ac:dyDescent="0.2">
      <c r="A1200" s="1" t="str">
        <f t="shared" si="97"/>
        <v>3821513</v>
      </c>
      <c r="B1200" s="1" t="str">
        <f t="shared" si="98"/>
        <v>3821521</v>
      </c>
      <c r="C1200" s="1">
        <v>1199</v>
      </c>
      <c r="D1200" s="4">
        <v>38215</v>
      </c>
      <c r="E1200" s="1">
        <v>0</v>
      </c>
      <c r="F1200" s="1">
        <v>21</v>
      </c>
      <c r="G1200" s="1">
        <v>13</v>
      </c>
      <c r="H1200" s="1">
        <v>2</v>
      </c>
      <c r="I1200" s="1">
        <v>0</v>
      </c>
      <c r="J1200" s="2" t="str">
        <f t="shared" si="95"/>
        <v>NYD</v>
      </c>
      <c r="K1200" s="2" t="str">
        <f t="shared" si="96"/>
        <v>@BBG</v>
      </c>
      <c r="L1200" s="1" t="str">
        <f t="shared" si="99"/>
        <v>1199,8/16/2004,0,21,13,2,0</v>
      </c>
    </row>
    <row r="1201" spans="1:12" x14ac:dyDescent="0.2">
      <c r="A1201" s="1" t="str">
        <f t="shared" si="97"/>
        <v>3821514</v>
      </c>
      <c r="B1201" s="1" t="str">
        <f t="shared" si="98"/>
        <v>3821516</v>
      </c>
      <c r="C1201" s="1">
        <v>1200</v>
      </c>
      <c r="D1201" s="4">
        <v>38215</v>
      </c>
      <c r="E1201" s="1">
        <v>0</v>
      </c>
      <c r="F1201" s="1">
        <v>16</v>
      </c>
      <c r="G1201" s="1">
        <v>14</v>
      </c>
      <c r="H1201" s="1">
        <v>2</v>
      </c>
      <c r="I1201" s="1">
        <v>0</v>
      </c>
      <c r="J1201" s="2" t="str">
        <f t="shared" si="95"/>
        <v>DIG</v>
      </c>
      <c r="K1201" s="2" t="str">
        <f t="shared" si="96"/>
        <v>@CEN</v>
      </c>
      <c r="L1201" s="1" t="str">
        <f t="shared" si="99"/>
        <v>1200,8/16/2004,0,16,14,2,0</v>
      </c>
    </row>
    <row r="1202" spans="1:12" x14ac:dyDescent="0.2">
      <c r="A1202" s="1" t="str">
        <f t="shared" si="97"/>
        <v>3821517</v>
      </c>
      <c r="B1202" s="1" t="str">
        <f t="shared" si="98"/>
        <v>3821522</v>
      </c>
      <c r="C1202" s="1">
        <v>1201</v>
      </c>
      <c r="D1202" s="4">
        <v>38215</v>
      </c>
      <c r="E1202" s="1">
        <v>0</v>
      </c>
      <c r="F1202" s="1">
        <v>22</v>
      </c>
      <c r="G1202" s="1">
        <v>17</v>
      </c>
      <c r="H1202" s="1">
        <v>2</v>
      </c>
      <c r="I1202" s="1">
        <v>0</v>
      </c>
      <c r="J1202" s="2" t="str">
        <f t="shared" si="95"/>
        <v>CBB</v>
      </c>
      <c r="K1202" s="2" t="str">
        <f t="shared" si="96"/>
        <v>@GAR</v>
      </c>
      <c r="L1202" s="1" t="str">
        <f t="shared" si="99"/>
        <v>1201,8/16/2004,0,22,17,2,0</v>
      </c>
    </row>
    <row r="1203" spans="1:12" x14ac:dyDescent="0.2">
      <c r="A1203" s="1" t="str">
        <f t="shared" si="97"/>
        <v>3821520</v>
      </c>
      <c r="B1203" s="1" t="str">
        <f t="shared" si="98"/>
        <v>3821512</v>
      </c>
      <c r="C1203" s="1">
        <v>1202</v>
      </c>
      <c r="D1203" s="4">
        <v>38215</v>
      </c>
      <c r="E1203" s="1">
        <v>0</v>
      </c>
      <c r="F1203" s="1">
        <v>12</v>
      </c>
      <c r="G1203" s="1">
        <v>20</v>
      </c>
      <c r="H1203" s="1">
        <v>2</v>
      </c>
      <c r="I1203" s="1">
        <v>0</v>
      </c>
      <c r="J1203" s="2" t="str">
        <f t="shared" si="95"/>
        <v>RMO</v>
      </c>
      <c r="K1203" s="2" t="str">
        <f t="shared" si="96"/>
        <v>@FDH</v>
      </c>
      <c r="L1203" s="1" t="str">
        <f t="shared" si="99"/>
        <v>1202,8/16/2004,0,12,20,2,0</v>
      </c>
    </row>
    <row r="1204" spans="1:12" x14ac:dyDescent="0.2">
      <c r="A1204" s="1" t="str">
        <f t="shared" si="97"/>
        <v>382162</v>
      </c>
      <c r="B1204" s="1" t="str">
        <f t="shared" si="98"/>
        <v>382161</v>
      </c>
      <c r="C1204" s="1">
        <v>1203</v>
      </c>
      <c r="D1204" s="4">
        <v>38216</v>
      </c>
      <c r="E1204" s="1">
        <v>0</v>
      </c>
      <c r="F1204" s="1">
        <v>1</v>
      </c>
      <c r="G1204" s="1">
        <v>2</v>
      </c>
      <c r="H1204" s="1">
        <v>2</v>
      </c>
      <c r="I1204" s="1">
        <v>0</v>
      </c>
      <c r="J1204" s="2" t="str">
        <f t="shared" si="95"/>
        <v>FFR</v>
      </c>
      <c r="K1204" s="2" t="str">
        <f t="shared" si="96"/>
        <v>@NEP</v>
      </c>
      <c r="L1204" s="1" t="str">
        <f t="shared" si="99"/>
        <v>1203,8/17/2004,0,1,2,2,0</v>
      </c>
    </row>
    <row r="1205" spans="1:12" x14ac:dyDescent="0.2">
      <c r="A1205" s="1" t="str">
        <f t="shared" si="97"/>
        <v>382163</v>
      </c>
      <c r="B1205" s="1" t="str">
        <f t="shared" si="98"/>
        <v>382164</v>
      </c>
      <c r="C1205" s="1">
        <v>1204</v>
      </c>
      <c r="D1205" s="4">
        <v>38216</v>
      </c>
      <c r="E1205" s="1">
        <v>0</v>
      </c>
      <c r="F1205" s="1">
        <v>4</v>
      </c>
      <c r="G1205" s="1">
        <v>3</v>
      </c>
      <c r="H1205" s="1">
        <v>2</v>
      </c>
      <c r="I1205" s="1">
        <v>0</v>
      </c>
      <c r="J1205" s="2" t="str">
        <f t="shared" si="95"/>
        <v>NNN</v>
      </c>
      <c r="K1205" s="2" t="str">
        <f t="shared" si="96"/>
        <v>@TEW</v>
      </c>
      <c r="L1205" s="1" t="str">
        <f t="shared" si="99"/>
        <v>1204,8/17/2004,0,4,3,2,0</v>
      </c>
    </row>
    <row r="1206" spans="1:12" x14ac:dyDescent="0.2">
      <c r="A1206" s="1" t="str">
        <f t="shared" si="97"/>
        <v>382167</v>
      </c>
      <c r="B1206" s="1" t="str">
        <f t="shared" si="98"/>
        <v>3821623</v>
      </c>
      <c r="C1206" s="1">
        <v>1205</v>
      </c>
      <c r="D1206" s="4">
        <v>38216</v>
      </c>
      <c r="E1206" s="1">
        <v>0</v>
      </c>
      <c r="F1206" s="1">
        <v>23</v>
      </c>
      <c r="G1206" s="1">
        <v>7</v>
      </c>
      <c r="H1206" s="1">
        <v>2</v>
      </c>
      <c r="I1206" s="1">
        <v>0</v>
      </c>
      <c r="J1206" s="2" t="str">
        <f t="shared" si="95"/>
        <v>BRK</v>
      </c>
      <c r="K1206" s="2" t="str">
        <f t="shared" si="96"/>
        <v>@BAR</v>
      </c>
      <c r="L1206" s="1" t="str">
        <f t="shared" si="99"/>
        <v>1205,8/17/2004,0,23,7,2,0</v>
      </c>
    </row>
    <row r="1207" spans="1:12" x14ac:dyDescent="0.2">
      <c r="A1207" s="1" t="str">
        <f t="shared" si="97"/>
        <v>382168</v>
      </c>
      <c r="B1207" s="1" t="str">
        <f t="shared" si="98"/>
        <v>3821611</v>
      </c>
      <c r="C1207" s="1">
        <v>1206</v>
      </c>
      <c r="D1207" s="4">
        <v>38216</v>
      </c>
      <c r="E1207" s="1">
        <v>0</v>
      </c>
      <c r="F1207" s="1">
        <v>11</v>
      </c>
      <c r="G1207" s="1">
        <v>8</v>
      </c>
      <c r="H1207" s="1">
        <v>2</v>
      </c>
      <c r="I1207" s="1">
        <v>0</v>
      </c>
      <c r="J1207" s="2" t="str">
        <f t="shared" si="95"/>
        <v>HAR</v>
      </c>
      <c r="K1207" s="2" t="str">
        <f t="shared" si="96"/>
        <v>@CTW</v>
      </c>
      <c r="L1207" s="1" t="str">
        <f t="shared" si="99"/>
        <v>1206,8/17/2004,0,11,8,2,0</v>
      </c>
    </row>
    <row r="1208" spans="1:12" x14ac:dyDescent="0.2">
      <c r="A1208" s="1" t="str">
        <f t="shared" si="97"/>
        <v>382169</v>
      </c>
      <c r="B1208" s="1" t="str">
        <f t="shared" si="98"/>
        <v>3821624</v>
      </c>
      <c r="C1208" s="1">
        <v>1207</v>
      </c>
      <c r="D1208" s="4">
        <v>38216</v>
      </c>
      <c r="E1208" s="1">
        <v>0</v>
      </c>
      <c r="F1208" s="1">
        <v>24</v>
      </c>
      <c r="G1208" s="1">
        <v>9</v>
      </c>
      <c r="H1208" s="1">
        <v>2</v>
      </c>
      <c r="I1208" s="1">
        <v>0</v>
      </c>
      <c r="J1208" s="2" t="str">
        <f t="shared" si="95"/>
        <v>PHI</v>
      </c>
      <c r="K1208" s="2" t="str">
        <f t="shared" si="96"/>
        <v>@CIN</v>
      </c>
      <c r="L1208" s="1" t="str">
        <f t="shared" si="99"/>
        <v>1207,8/17/2004,0,24,9,2,0</v>
      </c>
    </row>
    <row r="1209" spans="1:12" x14ac:dyDescent="0.2">
      <c r="A1209" s="1" t="str">
        <f t="shared" si="97"/>
        <v>3821610</v>
      </c>
      <c r="B1209" s="1" t="str">
        <f t="shared" si="98"/>
        <v>382165</v>
      </c>
      <c r="C1209" s="1">
        <v>1208</v>
      </c>
      <c r="D1209" s="4">
        <v>38216</v>
      </c>
      <c r="E1209" s="1">
        <v>0</v>
      </c>
      <c r="F1209" s="1">
        <v>5</v>
      </c>
      <c r="G1209" s="1">
        <v>10</v>
      </c>
      <c r="H1209" s="1">
        <v>2</v>
      </c>
      <c r="I1209" s="1">
        <v>0</v>
      </c>
      <c r="J1209" s="2" t="str">
        <f t="shared" si="95"/>
        <v>OKO</v>
      </c>
      <c r="K1209" s="2" t="str">
        <f t="shared" si="96"/>
        <v>@REN</v>
      </c>
      <c r="L1209" s="1" t="str">
        <f t="shared" si="99"/>
        <v>1208,8/17/2004,0,5,10,2,0</v>
      </c>
    </row>
    <row r="1210" spans="1:12" x14ac:dyDescent="0.2">
      <c r="A1210" s="1" t="str">
        <f t="shared" si="97"/>
        <v>3821613</v>
      </c>
      <c r="B1210" s="1" t="str">
        <f t="shared" si="98"/>
        <v>3821621</v>
      </c>
      <c r="C1210" s="1">
        <v>1209</v>
      </c>
      <c r="D1210" s="4">
        <v>38216</v>
      </c>
      <c r="E1210" s="1">
        <v>0</v>
      </c>
      <c r="F1210" s="1">
        <v>21</v>
      </c>
      <c r="G1210" s="1">
        <v>13</v>
      </c>
      <c r="H1210" s="1">
        <v>2</v>
      </c>
      <c r="I1210" s="1">
        <v>0</v>
      </c>
      <c r="J1210" s="2" t="str">
        <f t="shared" si="95"/>
        <v>NYD</v>
      </c>
      <c r="K1210" s="2" t="str">
        <f t="shared" si="96"/>
        <v>@BBG</v>
      </c>
      <c r="L1210" s="1" t="str">
        <f t="shared" si="99"/>
        <v>1209,8/17/2004,0,21,13,2,0</v>
      </c>
    </row>
    <row r="1211" spans="1:12" x14ac:dyDescent="0.2">
      <c r="A1211" s="1" t="str">
        <f t="shared" si="97"/>
        <v>3821614</v>
      </c>
      <c r="B1211" s="1" t="str">
        <f t="shared" si="98"/>
        <v>3821616</v>
      </c>
      <c r="C1211" s="1">
        <v>1210</v>
      </c>
      <c r="D1211" s="4">
        <v>38216</v>
      </c>
      <c r="E1211" s="1">
        <v>0</v>
      </c>
      <c r="F1211" s="1">
        <v>16</v>
      </c>
      <c r="G1211" s="1">
        <v>14</v>
      </c>
      <c r="H1211" s="1">
        <v>2</v>
      </c>
      <c r="I1211" s="1">
        <v>0</v>
      </c>
      <c r="J1211" s="2" t="str">
        <f t="shared" si="95"/>
        <v>DIG</v>
      </c>
      <c r="K1211" s="2" t="str">
        <f t="shared" si="96"/>
        <v>@CEN</v>
      </c>
      <c r="L1211" s="1" t="str">
        <f t="shared" si="99"/>
        <v>1210,8/17/2004,0,16,14,2,0</v>
      </c>
    </row>
    <row r="1212" spans="1:12" x14ac:dyDescent="0.2">
      <c r="A1212" s="1" t="str">
        <f t="shared" si="97"/>
        <v>3821617</v>
      </c>
      <c r="B1212" s="1" t="str">
        <f t="shared" si="98"/>
        <v>3821622</v>
      </c>
      <c r="C1212" s="1">
        <v>1211</v>
      </c>
      <c r="D1212" s="4">
        <v>38216</v>
      </c>
      <c r="E1212" s="1">
        <v>0</v>
      </c>
      <c r="F1212" s="1">
        <v>22</v>
      </c>
      <c r="G1212" s="1">
        <v>17</v>
      </c>
      <c r="H1212" s="1">
        <v>2</v>
      </c>
      <c r="I1212" s="1">
        <v>0</v>
      </c>
      <c r="J1212" s="2" t="str">
        <f t="shared" si="95"/>
        <v>CBB</v>
      </c>
      <c r="K1212" s="2" t="str">
        <f t="shared" si="96"/>
        <v>@GAR</v>
      </c>
      <c r="L1212" s="1" t="str">
        <f t="shared" si="99"/>
        <v>1211,8/17/2004,0,22,17,2,0</v>
      </c>
    </row>
    <row r="1213" spans="1:12" x14ac:dyDescent="0.2">
      <c r="A1213" s="1" t="str">
        <f t="shared" si="97"/>
        <v>3821620</v>
      </c>
      <c r="B1213" s="1" t="str">
        <f t="shared" si="98"/>
        <v>3821612</v>
      </c>
      <c r="C1213" s="1">
        <v>1212</v>
      </c>
      <c r="D1213" s="4">
        <v>38216</v>
      </c>
      <c r="E1213" s="1">
        <v>0</v>
      </c>
      <c r="F1213" s="1">
        <v>12</v>
      </c>
      <c r="G1213" s="1">
        <v>20</v>
      </c>
      <c r="H1213" s="1">
        <v>2</v>
      </c>
      <c r="I1213" s="1">
        <v>0</v>
      </c>
      <c r="J1213" s="2" t="str">
        <f t="shared" si="95"/>
        <v>RMO</v>
      </c>
      <c r="K1213" s="2" t="str">
        <f t="shared" si="96"/>
        <v>@FDH</v>
      </c>
      <c r="L1213" s="1" t="str">
        <f t="shared" si="99"/>
        <v>1212,8/17/2004,0,12,20,2,0</v>
      </c>
    </row>
    <row r="1214" spans="1:12" x14ac:dyDescent="0.2">
      <c r="A1214" s="1" t="str">
        <f t="shared" si="97"/>
        <v>382172</v>
      </c>
      <c r="B1214" s="1" t="str">
        <f t="shared" si="98"/>
        <v>382171</v>
      </c>
      <c r="C1214" s="1">
        <v>1213</v>
      </c>
      <c r="D1214" s="4">
        <v>38217</v>
      </c>
      <c r="E1214" s="1">
        <v>0</v>
      </c>
      <c r="F1214" s="1">
        <v>1</v>
      </c>
      <c r="G1214" s="1">
        <v>2</v>
      </c>
      <c r="H1214" s="1">
        <v>2</v>
      </c>
      <c r="I1214" s="1">
        <v>0</v>
      </c>
      <c r="J1214" s="2" t="str">
        <f t="shared" si="95"/>
        <v>FFR</v>
      </c>
      <c r="K1214" s="2" t="str">
        <f t="shared" si="96"/>
        <v>@NEP</v>
      </c>
      <c r="L1214" s="1" t="str">
        <f t="shared" si="99"/>
        <v>1213,8/18/2004,0,1,2,2,0</v>
      </c>
    </row>
    <row r="1215" spans="1:12" x14ac:dyDescent="0.2">
      <c r="A1215" s="1" t="str">
        <f t="shared" si="97"/>
        <v>382173</v>
      </c>
      <c r="B1215" s="1" t="str">
        <f t="shared" si="98"/>
        <v>382174</v>
      </c>
      <c r="C1215" s="1">
        <v>1214</v>
      </c>
      <c r="D1215" s="4">
        <v>38217</v>
      </c>
      <c r="E1215" s="1">
        <v>0</v>
      </c>
      <c r="F1215" s="1">
        <v>4</v>
      </c>
      <c r="G1215" s="1">
        <v>3</v>
      </c>
      <c r="H1215" s="1">
        <v>2</v>
      </c>
      <c r="I1215" s="1">
        <v>0</v>
      </c>
      <c r="J1215" s="2" t="str">
        <f t="shared" si="95"/>
        <v>NNN</v>
      </c>
      <c r="K1215" s="2" t="str">
        <f t="shared" si="96"/>
        <v>@TEW</v>
      </c>
      <c r="L1215" s="1" t="str">
        <f t="shared" si="99"/>
        <v>1214,8/18/2004,0,4,3,2,0</v>
      </c>
    </row>
    <row r="1216" spans="1:12" x14ac:dyDescent="0.2">
      <c r="A1216" s="1" t="str">
        <f t="shared" si="97"/>
        <v>382177</v>
      </c>
      <c r="B1216" s="1" t="str">
        <f t="shared" si="98"/>
        <v>3821723</v>
      </c>
      <c r="C1216" s="1">
        <v>1215</v>
      </c>
      <c r="D1216" s="4">
        <v>38217</v>
      </c>
      <c r="E1216" s="1">
        <v>0</v>
      </c>
      <c r="F1216" s="1">
        <v>23</v>
      </c>
      <c r="G1216" s="1">
        <v>7</v>
      </c>
      <c r="H1216" s="1">
        <v>2</v>
      </c>
      <c r="I1216" s="1">
        <v>0</v>
      </c>
      <c r="J1216" s="2" t="str">
        <f t="shared" si="95"/>
        <v>BRK</v>
      </c>
      <c r="K1216" s="2" t="str">
        <f t="shared" si="96"/>
        <v>@BAR</v>
      </c>
      <c r="L1216" s="1" t="str">
        <f t="shared" si="99"/>
        <v>1215,8/18/2004,0,23,7,2,0</v>
      </c>
    </row>
    <row r="1217" spans="1:12" x14ac:dyDescent="0.2">
      <c r="A1217" s="1" t="str">
        <f t="shared" si="97"/>
        <v>382178</v>
      </c>
      <c r="B1217" s="1" t="str">
        <f t="shared" si="98"/>
        <v>3821711</v>
      </c>
      <c r="C1217" s="1">
        <v>1216</v>
      </c>
      <c r="D1217" s="4">
        <v>38217</v>
      </c>
      <c r="E1217" s="1">
        <v>0</v>
      </c>
      <c r="F1217" s="1">
        <v>11</v>
      </c>
      <c r="G1217" s="1">
        <v>8</v>
      </c>
      <c r="H1217" s="1">
        <v>2</v>
      </c>
      <c r="I1217" s="1">
        <v>0</v>
      </c>
      <c r="J1217" s="2" t="str">
        <f t="shared" si="95"/>
        <v>HAR</v>
      </c>
      <c r="K1217" s="2" t="str">
        <f t="shared" si="96"/>
        <v>@CTW</v>
      </c>
      <c r="L1217" s="1" t="str">
        <f t="shared" si="99"/>
        <v>1216,8/18/2004,0,11,8,2,0</v>
      </c>
    </row>
    <row r="1218" spans="1:12" x14ac:dyDescent="0.2">
      <c r="A1218" s="1" t="str">
        <f t="shared" si="97"/>
        <v>382179</v>
      </c>
      <c r="B1218" s="1" t="str">
        <f t="shared" si="98"/>
        <v>3821724</v>
      </c>
      <c r="C1218" s="1">
        <v>1217</v>
      </c>
      <c r="D1218" s="4">
        <v>38217</v>
      </c>
      <c r="E1218" s="1">
        <v>0</v>
      </c>
      <c r="F1218" s="1">
        <v>24</v>
      </c>
      <c r="G1218" s="1">
        <v>9</v>
      </c>
      <c r="H1218" s="1">
        <v>2</v>
      </c>
      <c r="I1218" s="1">
        <v>0</v>
      </c>
      <c r="J1218" s="2" t="str">
        <f t="shared" ref="J1218:J1281" si="100">VLOOKUP(F1218,$M$2:$N$21,2,0)</f>
        <v>PHI</v>
      </c>
      <c r="K1218" s="2" t="str">
        <f t="shared" ref="K1218:K1281" si="101">"@"&amp;VLOOKUP(G1218,$M$2:$N$21,2,0)</f>
        <v>@CIN</v>
      </c>
      <c r="L1218" s="1" t="str">
        <f t="shared" si="99"/>
        <v>1217,8/18/2004,0,24,9,2,0</v>
      </c>
    </row>
    <row r="1219" spans="1:12" x14ac:dyDescent="0.2">
      <c r="A1219" s="1" t="str">
        <f t="shared" si="97"/>
        <v>3821710</v>
      </c>
      <c r="B1219" s="1" t="str">
        <f t="shared" si="98"/>
        <v>382175</v>
      </c>
      <c r="C1219" s="1">
        <v>1218</v>
      </c>
      <c r="D1219" s="4">
        <v>38217</v>
      </c>
      <c r="E1219" s="1">
        <v>0</v>
      </c>
      <c r="F1219" s="1">
        <v>5</v>
      </c>
      <c r="G1219" s="1">
        <v>10</v>
      </c>
      <c r="H1219" s="1">
        <v>2</v>
      </c>
      <c r="I1219" s="1">
        <v>0</v>
      </c>
      <c r="J1219" s="2" t="str">
        <f t="shared" si="100"/>
        <v>OKO</v>
      </c>
      <c r="K1219" s="2" t="str">
        <f t="shared" si="101"/>
        <v>@REN</v>
      </c>
      <c r="L1219" s="1" t="str">
        <f t="shared" si="99"/>
        <v>1218,8/18/2004,0,5,10,2,0</v>
      </c>
    </row>
    <row r="1220" spans="1:12" x14ac:dyDescent="0.2">
      <c r="A1220" s="1" t="str">
        <f t="shared" si="97"/>
        <v>3821713</v>
      </c>
      <c r="B1220" s="1" t="str">
        <f t="shared" si="98"/>
        <v>3821721</v>
      </c>
      <c r="C1220" s="1">
        <v>1219</v>
      </c>
      <c r="D1220" s="4">
        <v>38217</v>
      </c>
      <c r="E1220" s="1">
        <v>0</v>
      </c>
      <c r="F1220" s="1">
        <v>21</v>
      </c>
      <c r="G1220" s="1">
        <v>13</v>
      </c>
      <c r="H1220" s="1">
        <v>2</v>
      </c>
      <c r="I1220" s="1">
        <v>0</v>
      </c>
      <c r="J1220" s="2" t="str">
        <f t="shared" si="100"/>
        <v>NYD</v>
      </c>
      <c r="K1220" s="2" t="str">
        <f t="shared" si="101"/>
        <v>@BBG</v>
      </c>
      <c r="L1220" s="1" t="str">
        <f t="shared" si="99"/>
        <v>1219,8/18/2004,0,21,13,2,0</v>
      </c>
    </row>
    <row r="1221" spans="1:12" x14ac:dyDescent="0.2">
      <c r="A1221" s="1" t="str">
        <f t="shared" si="97"/>
        <v>3821714</v>
      </c>
      <c r="B1221" s="1" t="str">
        <f t="shared" si="98"/>
        <v>3821716</v>
      </c>
      <c r="C1221" s="1">
        <v>1220</v>
      </c>
      <c r="D1221" s="4">
        <v>38217</v>
      </c>
      <c r="E1221" s="1">
        <v>0</v>
      </c>
      <c r="F1221" s="1">
        <v>16</v>
      </c>
      <c r="G1221" s="1">
        <v>14</v>
      </c>
      <c r="H1221" s="1">
        <v>2</v>
      </c>
      <c r="I1221" s="1">
        <v>0</v>
      </c>
      <c r="J1221" s="2" t="str">
        <f t="shared" si="100"/>
        <v>DIG</v>
      </c>
      <c r="K1221" s="2" t="str">
        <f t="shared" si="101"/>
        <v>@CEN</v>
      </c>
      <c r="L1221" s="1" t="str">
        <f t="shared" si="99"/>
        <v>1220,8/18/2004,0,16,14,2,0</v>
      </c>
    </row>
    <row r="1222" spans="1:12" x14ac:dyDescent="0.2">
      <c r="A1222" s="1" t="str">
        <f t="shared" si="97"/>
        <v>3821717</v>
      </c>
      <c r="B1222" s="1" t="str">
        <f t="shared" si="98"/>
        <v>3821722</v>
      </c>
      <c r="C1222" s="1">
        <v>1221</v>
      </c>
      <c r="D1222" s="4">
        <v>38217</v>
      </c>
      <c r="E1222" s="1">
        <v>0</v>
      </c>
      <c r="F1222" s="1">
        <v>22</v>
      </c>
      <c r="G1222" s="1">
        <v>17</v>
      </c>
      <c r="H1222" s="1">
        <v>2</v>
      </c>
      <c r="I1222" s="1">
        <v>0</v>
      </c>
      <c r="J1222" s="2" t="str">
        <f t="shared" si="100"/>
        <v>CBB</v>
      </c>
      <c r="K1222" s="2" t="str">
        <f t="shared" si="101"/>
        <v>@GAR</v>
      </c>
      <c r="L1222" s="1" t="str">
        <f t="shared" si="99"/>
        <v>1221,8/18/2004,0,22,17,2,0</v>
      </c>
    </row>
    <row r="1223" spans="1:12" x14ac:dyDescent="0.2">
      <c r="A1223" s="1" t="str">
        <f t="shared" si="97"/>
        <v>3821720</v>
      </c>
      <c r="B1223" s="1" t="str">
        <f t="shared" si="98"/>
        <v>3821712</v>
      </c>
      <c r="C1223" s="1">
        <v>1222</v>
      </c>
      <c r="D1223" s="4">
        <v>38217</v>
      </c>
      <c r="E1223" s="1">
        <v>0</v>
      </c>
      <c r="F1223" s="1">
        <v>12</v>
      </c>
      <c r="G1223" s="1">
        <v>20</v>
      </c>
      <c r="H1223" s="1">
        <v>2</v>
      </c>
      <c r="I1223" s="1">
        <v>0</v>
      </c>
      <c r="J1223" s="2" t="str">
        <f t="shared" si="100"/>
        <v>RMO</v>
      </c>
      <c r="K1223" s="2" t="str">
        <f t="shared" si="101"/>
        <v>@FDH</v>
      </c>
      <c r="L1223" s="1" t="str">
        <f t="shared" si="99"/>
        <v>1222,8/18/2004,0,12,20,2,0</v>
      </c>
    </row>
    <row r="1224" spans="1:12" x14ac:dyDescent="0.2">
      <c r="A1224" s="1" t="str">
        <f t="shared" si="97"/>
        <v>382182</v>
      </c>
      <c r="B1224" s="1" t="str">
        <f t="shared" si="98"/>
        <v>382181</v>
      </c>
      <c r="C1224" s="1">
        <v>1223</v>
      </c>
      <c r="D1224" s="4">
        <v>38218</v>
      </c>
      <c r="E1224" s="1">
        <v>0</v>
      </c>
      <c r="F1224" s="1">
        <v>1</v>
      </c>
      <c r="G1224" s="1">
        <v>2</v>
      </c>
      <c r="H1224" s="1">
        <v>2</v>
      </c>
      <c r="I1224" s="1">
        <v>0</v>
      </c>
      <c r="J1224" s="2" t="str">
        <f t="shared" si="100"/>
        <v>FFR</v>
      </c>
      <c r="K1224" s="2" t="str">
        <f t="shared" si="101"/>
        <v>@NEP</v>
      </c>
      <c r="L1224" s="1" t="str">
        <f t="shared" si="99"/>
        <v>1223,8/19/2004,0,1,2,2,0</v>
      </c>
    </row>
    <row r="1225" spans="1:12" x14ac:dyDescent="0.2">
      <c r="A1225" s="1" t="str">
        <f t="shared" si="97"/>
        <v>382183</v>
      </c>
      <c r="B1225" s="1" t="str">
        <f t="shared" si="98"/>
        <v>382184</v>
      </c>
      <c r="C1225" s="1">
        <v>1224</v>
      </c>
      <c r="D1225" s="4">
        <v>38218</v>
      </c>
      <c r="E1225" s="1">
        <v>0</v>
      </c>
      <c r="F1225" s="1">
        <v>4</v>
      </c>
      <c r="G1225" s="1">
        <v>3</v>
      </c>
      <c r="H1225" s="1">
        <v>2</v>
      </c>
      <c r="I1225" s="1">
        <v>0</v>
      </c>
      <c r="J1225" s="2" t="str">
        <f t="shared" si="100"/>
        <v>NNN</v>
      </c>
      <c r="K1225" s="2" t="str">
        <f t="shared" si="101"/>
        <v>@TEW</v>
      </c>
      <c r="L1225" s="1" t="str">
        <f t="shared" si="99"/>
        <v>1224,8/19/2004,0,4,3,2,0</v>
      </c>
    </row>
    <row r="1226" spans="1:12" x14ac:dyDescent="0.2">
      <c r="A1226" s="1" t="str">
        <f t="shared" si="97"/>
        <v>382187</v>
      </c>
      <c r="B1226" s="1" t="str">
        <f t="shared" si="98"/>
        <v>3821823</v>
      </c>
      <c r="C1226" s="1">
        <v>1225</v>
      </c>
      <c r="D1226" s="4">
        <v>38218</v>
      </c>
      <c r="E1226" s="1">
        <v>0</v>
      </c>
      <c r="F1226" s="1">
        <v>23</v>
      </c>
      <c r="G1226" s="1">
        <v>7</v>
      </c>
      <c r="H1226" s="1">
        <v>2</v>
      </c>
      <c r="I1226" s="1">
        <v>0</v>
      </c>
      <c r="J1226" s="2" t="str">
        <f t="shared" si="100"/>
        <v>BRK</v>
      </c>
      <c r="K1226" s="2" t="str">
        <f t="shared" si="101"/>
        <v>@BAR</v>
      </c>
      <c r="L1226" s="1" t="str">
        <f t="shared" si="99"/>
        <v>1225,8/19/2004,0,23,7,2,0</v>
      </c>
    </row>
    <row r="1227" spans="1:12" x14ac:dyDescent="0.2">
      <c r="A1227" s="1" t="str">
        <f t="shared" si="97"/>
        <v>382188</v>
      </c>
      <c r="B1227" s="1" t="str">
        <f t="shared" si="98"/>
        <v>3821811</v>
      </c>
      <c r="C1227" s="1">
        <v>1226</v>
      </c>
      <c r="D1227" s="4">
        <v>38218</v>
      </c>
      <c r="E1227" s="1">
        <v>0</v>
      </c>
      <c r="F1227" s="1">
        <v>11</v>
      </c>
      <c r="G1227" s="1">
        <v>8</v>
      </c>
      <c r="H1227" s="1">
        <v>2</v>
      </c>
      <c r="I1227" s="1">
        <v>0</v>
      </c>
      <c r="J1227" s="2" t="str">
        <f t="shared" si="100"/>
        <v>HAR</v>
      </c>
      <c r="K1227" s="2" t="str">
        <f t="shared" si="101"/>
        <v>@CTW</v>
      </c>
      <c r="L1227" s="1" t="str">
        <f t="shared" si="99"/>
        <v>1226,8/19/2004,0,11,8,2,0</v>
      </c>
    </row>
    <row r="1228" spans="1:12" x14ac:dyDescent="0.2">
      <c r="A1228" s="1" t="str">
        <f t="shared" si="97"/>
        <v>382189</v>
      </c>
      <c r="B1228" s="1" t="str">
        <f t="shared" si="98"/>
        <v>3821824</v>
      </c>
      <c r="C1228" s="1">
        <v>1227</v>
      </c>
      <c r="D1228" s="4">
        <v>38218</v>
      </c>
      <c r="E1228" s="1">
        <v>0</v>
      </c>
      <c r="F1228" s="1">
        <v>24</v>
      </c>
      <c r="G1228" s="1">
        <v>9</v>
      </c>
      <c r="H1228" s="1">
        <v>2</v>
      </c>
      <c r="I1228" s="1">
        <v>0</v>
      </c>
      <c r="J1228" s="2" t="str">
        <f t="shared" si="100"/>
        <v>PHI</v>
      </c>
      <c r="K1228" s="2" t="str">
        <f t="shared" si="101"/>
        <v>@CIN</v>
      </c>
      <c r="L1228" s="1" t="str">
        <f t="shared" si="99"/>
        <v>1227,8/19/2004,0,24,9,2,0</v>
      </c>
    </row>
    <row r="1229" spans="1:12" x14ac:dyDescent="0.2">
      <c r="A1229" s="1" t="str">
        <f t="shared" si="97"/>
        <v>3821810</v>
      </c>
      <c r="B1229" s="1" t="str">
        <f t="shared" si="98"/>
        <v>382185</v>
      </c>
      <c r="C1229" s="1">
        <v>1228</v>
      </c>
      <c r="D1229" s="4">
        <v>38218</v>
      </c>
      <c r="E1229" s="1">
        <v>0</v>
      </c>
      <c r="F1229" s="1">
        <v>5</v>
      </c>
      <c r="G1229" s="1">
        <v>10</v>
      </c>
      <c r="H1229" s="1">
        <v>2</v>
      </c>
      <c r="I1229" s="1">
        <v>0</v>
      </c>
      <c r="J1229" s="2" t="str">
        <f t="shared" si="100"/>
        <v>OKO</v>
      </c>
      <c r="K1229" s="2" t="str">
        <f t="shared" si="101"/>
        <v>@REN</v>
      </c>
      <c r="L1229" s="1" t="str">
        <f t="shared" si="99"/>
        <v>1228,8/19/2004,0,5,10,2,0</v>
      </c>
    </row>
    <row r="1230" spans="1:12" x14ac:dyDescent="0.2">
      <c r="A1230" s="1" t="str">
        <f t="shared" si="97"/>
        <v>3821813</v>
      </c>
      <c r="B1230" s="1" t="str">
        <f t="shared" si="98"/>
        <v>3821821</v>
      </c>
      <c r="C1230" s="1">
        <v>1229</v>
      </c>
      <c r="D1230" s="4">
        <v>38218</v>
      </c>
      <c r="E1230" s="1">
        <v>0</v>
      </c>
      <c r="F1230" s="1">
        <v>21</v>
      </c>
      <c r="G1230" s="1">
        <v>13</v>
      </c>
      <c r="H1230" s="1">
        <v>2</v>
      </c>
      <c r="I1230" s="1">
        <v>0</v>
      </c>
      <c r="J1230" s="2" t="str">
        <f t="shared" si="100"/>
        <v>NYD</v>
      </c>
      <c r="K1230" s="2" t="str">
        <f t="shared" si="101"/>
        <v>@BBG</v>
      </c>
      <c r="L1230" s="1" t="str">
        <f t="shared" si="99"/>
        <v>1229,8/19/2004,0,21,13,2,0</v>
      </c>
    </row>
    <row r="1231" spans="1:12" x14ac:dyDescent="0.2">
      <c r="A1231" s="1" t="str">
        <f t="shared" si="97"/>
        <v>3821814</v>
      </c>
      <c r="B1231" s="1" t="str">
        <f t="shared" si="98"/>
        <v>3821816</v>
      </c>
      <c r="C1231" s="1">
        <v>1230</v>
      </c>
      <c r="D1231" s="4">
        <v>38218</v>
      </c>
      <c r="E1231" s="1">
        <v>0</v>
      </c>
      <c r="F1231" s="1">
        <v>16</v>
      </c>
      <c r="G1231" s="1">
        <v>14</v>
      </c>
      <c r="H1231" s="1">
        <v>2</v>
      </c>
      <c r="I1231" s="1">
        <v>0</v>
      </c>
      <c r="J1231" s="2" t="str">
        <f t="shared" si="100"/>
        <v>DIG</v>
      </c>
      <c r="K1231" s="2" t="str">
        <f t="shared" si="101"/>
        <v>@CEN</v>
      </c>
      <c r="L1231" s="1" t="str">
        <f t="shared" si="99"/>
        <v>1230,8/19/2004,0,16,14,2,0</v>
      </c>
    </row>
    <row r="1232" spans="1:12" x14ac:dyDescent="0.2">
      <c r="A1232" s="1" t="str">
        <f t="shared" si="97"/>
        <v>3821817</v>
      </c>
      <c r="B1232" s="1" t="str">
        <f t="shared" si="98"/>
        <v>3821822</v>
      </c>
      <c r="C1232" s="1">
        <v>1231</v>
      </c>
      <c r="D1232" s="4">
        <v>38218</v>
      </c>
      <c r="E1232" s="1">
        <v>0</v>
      </c>
      <c r="F1232" s="1">
        <v>22</v>
      </c>
      <c r="G1232" s="1">
        <v>17</v>
      </c>
      <c r="H1232" s="1">
        <v>2</v>
      </c>
      <c r="I1232" s="1">
        <v>0</v>
      </c>
      <c r="J1232" s="2" t="str">
        <f t="shared" si="100"/>
        <v>CBB</v>
      </c>
      <c r="K1232" s="2" t="str">
        <f t="shared" si="101"/>
        <v>@GAR</v>
      </c>
      <c r="L1232" s="1" t="str">
        <f t="shared" si="99"/>
        <v>1231,8/19/2004,0,22,17,2,0</v>
      </c>
    </row>
    <row r="1233" spans="1:12" x14ac:dyDescent="0.2">
      <c r="A1233" s="1" t="str">
        <f t="shared" si="97"/>
        <v>3821820</v>
      </c>
      <c r="B1233" s="1" t="str">
        <f t="shared" si="98"/>
        <v>3821812</v>
      </c>
      <c r="C1233" s="1">
        <v>1232</v>
      </c>
      <c r="D1233" s="4">
        <v>38218</v>
      </c>
      <c r="E1233" s="1">
        <v>0</v>
      </c>
      <c r="F1233" s="1">
        <v>12</v>
      </c>
      <c r="G1233" s="1">
        <v>20</v>
      </c>
      <c r="H1233" s="1">
        <v>2</v>
      </c>
      <c r="I1233" s="1">
        <v>0</v>
      </c>
      <c r="J1233" s="2" t="str">
        <f t="shared" si="100"/>
        <v>RMO</v>
      </c>
      <c r="K1233" s="2" t="str">
        <f t="shared" si="101"/>
        <v>@FDH</v>
      </c>
      <c r="L1233" s="1" t="str">
        <f t="shared" si="99"/>
        <v>1232,8/19/2004,0,12,20,2,0</v>
      </c>
    </row>
    <row r="1234" spans="1:12" x14ac:dyDescent="0.2">
      <c r="A1234" s="1" t="str">
        <f t="shared" si="97"/>
        <v>382201</v>
      </c>
      <c r="B1234" s="1" t="str">
        <f t="shared" si="98"/>
        <v>3822014</v>
      </c>
      <c r="C1234" s="1">
        <v>1233</v>
      </c>
      <c r="D1234" s="4">
        <v>38220</v>
      </c>
      <c r="E1234" s="1">
        <v>0</v>
      </c>
      <c r="F1234" s="1">
        <v>14</v>
      </c>
      <c r="G1234" s="1">
        <v>1</v>
      </c>
      <c r="H1234" s="1">
        <v>2</v>
      </c>
      <c r="I1234" s="1">
        <v>0</v>
      </c>
      <c r="J1234" s="2" t="str">
        <f t="shared" si="100"/>
        <v>CEN</v>
      </c>
      <c r="K1234" s="2" t="str">
        <f t="shared" si="101"/>
        <v>@FFR</v>
      </c>
      <c r="L1234" s="1" t="str">
        <f t="shared" si="99"/>
        <v>1233,8/21/2004,0,14,1,2,0</v>
      </c>
    </row>
    <row r="1235" spans="1:12" x14ac:dyDescent="0.2">
      <c r="A1235" s="1" t="str">
        <f t="shared" si="97"/>
        <v>382204</v>
      </c>
      <c r="B1235" s="1" t="str">
        <f t="shared" si="98"/>
        <v>3822020</v>
      </c>
      <c r="C1235" s="1">
        <v>1234</v>
      </c>
      <c r="D1235" s="4">
        <v>38220</v>
      </c>
      <c r="E1235" s="1">
        <v>0</v>
      </c>
      <c r="F1235" s="1">
        <v>20</v>
      </c>
      <c r="G1235" s="1">
        <v>4</v>
      </c>
      <c r="H1235" s="1">
        <v>2</v>
      </c>
      <c r="I1235" s="1">
        <v>0</v>
      </c>
      <c r="J1235" s="2" t="str">
        <f t="shared" si="100"/>
        <v>FDH</v>
      </c>
      <c r="K1235" s="2" t="str">
        <f t="shared" si="101"/>
        <v>@NNN</v>
      </c>
      <c r="L1235" s="1" t="str">
        <f t="shared" si="99"/>
        <v>1234,8/21/2004,0,20,4,2,0</v>
      </c>
    </row>
    <row r="1236" spans="1:12" x14ac:dyDescent="0.2">
      <c r="A1236" s="1" t="str">
        <f t="shared" si="97"/>
        <v>382205</v>
      </c>
      <c r="B1236" s="1" t="str">
        <f t="shared" si="98"/>
        <v>382202</v>
      </c>
      <c r="C1236" s="1">
        <v>1235</v>
      </c>
      <c r="D1236" s="4">
        <v>38220</v>
      </c>
      <c r="E1236" s="1">
        <v>0</v>
      </c>
      <c r="F1236" s="1">
        <v>2</v>
      </c>
      <c r="G1236" s="1">
        <v>5</v>
      </c>
      <c r="H1236" s="1">
        <v>2</v>
      </c>
      <c r="I1236" s="1">
        <v>0</v>
      </c>
      <c r="J1236" s="2" t="str">
        <f t="shared" si="100"/>
        <v>NEP</v>
      </c>
      <c r="K1236" s="2" t="str">
        <f t="shared" si="101"/>
        <v>@OKO</v>
      </c>
      <c r="L1236" s="1" t="str">
        <f t="shared" si="99"/>
        <v>1235,8/21/2004,0,2,5,2,0</v>
      </c>
    </row>
    <row r="1237" spans="1:12" x14ac:dyDescent="0.2">
      <c r="A1237" s="1" t="str">
        <f t="shared" si="97"/>
        <v>3822011</v>
      </c>
      <c r="B1237" s="1" t="str">
        <f t="shared" si="98"/>
        <v>382207</v>
      </c>
      <c r="C1237" s="1">
        <v>1236</v>
      </c>
      <c r="D1237" s="4">
        <v>38220</v>
      </c>
      <c r="E1237" s="1">
        <v>0</v>
      </c>
      <c r="F1237" s="1">
        <v>7</v>
      </c>
      <c r="G1237" s="1">
        <v>11</v>
      </c>
      <c r="H1237" s="1">
        <v>2</v>
      </c>
      <c r="I1237" s="1">
        <v>0</v>
      </c>
      <c r="J1237" s="2" t="str">
        <f t="shared" si="100"/>
        <v>BAR</v>
      </c>
      <c r="K1237" s="2" t="str">
        <f t="shared" si="101"/>
        <v>@HAR</v>
      </c>
      <c r="L1237" s="1" t="str">
        <f t="shared" si="99"/>
        <v>1236,8/21/2004,0,7,11,2,0</v>
      </c>
    </row>
    <row r="1238" spans="1:12" x14ac:dyDescent="0.2">
      <c r="A1238" s="1" t="str">
        <f t="shared" si="97"/>
        <v>3822012</v>
      </c>
      <c r="B1238" s="1" t="str">
        <f t="shared" si="98"/>
        <v>3822010</v>
      </c>
      <c r="C1238" s="1">
        <v>1237</v>
      </c>
      <c r="D1238" s="4">
        <v>38220</v>
      </c>
      <c r="E1238" s="1">
        <v>0</v>
      </c>
      <c r="F1238" s="1">
        <v>10</v>
      </c>
      <c r="G1238" s="1">
        <v>12</v>
      </c>
      <c r="H1238" s="1">
        <v>2</v>
      </c>
      <c r="I1238" s="1">
        <v>0</v>
      </c>
      <c r="J1238" s="2" t="str">
        <f t="shared" si="100"/>
        <v>REN</v>
      </c>
      <c r="K1238" s="2" t="str">
        <f t="shared" si="101"/>
        <v>@RMO</v>
      </c>
      <c r="L1238" s="1" t="str">
        <f t="shared" si="99"/>
        <v>1237,8/21/2004,0,10,12,2,0</v>
      </c>
    </row>
    <row r="1239" spans="1:12" x14ac:dyDescent="0.2">
      <c r="A1239" s="1" t="str">
        <f t="shared" si="97"/>
        <v>3822016</v>
      </c>
      <c r="B1239" s="1" t="str">
        <f t="shared" si="98"/>
        <v>382203</v>
      </c>
      <c r="C1239" s="1">
        <v>1238</v>
      </c>
      <c r="D1239" s="4">
        <v>38220</v>
      </c>
      <c r="E1239" s="1">
        <v>0</v>
      </c>
      <c r="F1239" s="1">
        <v>3</v>
      </c>
      <c r="G1239" s="1">
        <v>16</v>
      </c>
      <c r="H1239" s="1">
        <v>2</v>
      </c>
      <c r="I1239" s="1">
        <v>0</v>
      </c>
      <c r="J1239" s="2" t="str">
        <f t="shared" si="100"/>
        <v>TEW</v>
      </c>
      <c r="K1239" s="2" t="str">
        <f t="shared" si="101"/>
        <v>@DIG</v>
      </c>
      <c r="L1239" s="1" t="str">
        <f t="shared" si="99"/>
        <v>1238,8/21/2004,0,3,16,2,0</v>
      </c>
    </row>
    <row r="1240" spans="1:12" x14ac:dyDescent="0.2">
      <c r="A1240" s="1" t="str">
        <f t="shared" si="97"/>
        <v>3822021</v>
      </c>
      <c r="B1240" s="1" t="str">
        <f t="shared" si="98"/>
        <v>382209</v>
      </c>
      <c r="C1240" s="1">
        <v>1239</v>
      </c>
      <c r="D1240" s="4">
        <v>38220</v>
      </c>
      <c r="E1240" s="1">
        <v>0</v>
      </c>
      <c r="F1240" s="1">
        <v>9</v>
      </c>
      <c r="G1240" s="1">
        <v>21</v>
      </c>
      <c r="H1240" s="1">
        <v>2</v>
      </c>
      <c r="I1240" s="1">
        <v>0</v>
      </c>
      <c r="J1240" s="2" t="str">
        <f t="shared" si="100"/>
        <v>CIN</v>
      </c>
      <c r="K1240" s="2" t="str">
        <f t="shared" si="101"/>
        <v>@NYD</v>
      </c>
      <c r="L1240" s="1" t="str">
        <f t="shared" si="99"/>
        <v>1239,8/21/2004,0,9,21,2,0</v>
      </c>
    </row>
    <row r="1241" spans="1:12" x14ac:dyDescent="0.2">
      <c r="A1241" s="1" t="str">
        <f t="shared" si="97"/>
        <v>3822022</v>
      </c>
      <c r="B1241" s="1" t="str">
        <f t="shared" si="98"/>
        <v>382208</v>
      </c>
      <c r="C1241" s="1">
        <v>1240</v>
      </c>
      <c r="D1241" s="4">
        <v>38220</v>
      </c>
      <c r="E1241" s="1">
        <v>0</v>
      </c>
      <c r="F1241" s="1">
        <v>8</v>
      </c>
      <c r="G1241" s="1">
        <v>22</v>
      </c>
      <c r="H1241" s="1">
        <v>2</v>
      </c>
      <c r="I1241" s="1">
        <v>0</v>
      </c>
      <c r="J1241" s="2" t="str">
        <f t="shared" si="100"/>
        <v>CTW</v>
      </c>
      <c r="K1241" s="2" t="str">
        <f t="shared" si="101"/>
        <v>@CBB</v>
      </c>
      <c r="L1241" s="1" t="str">
        <f t="shared" si="99"/>
        <v>1240,8/21/2004,0,8,22,2,0</v>
      </c>
    </row>
    <row r="1242" spans="1:12" x14ac:dyDescent="0.2">
      <c r="A1242" s="1" t="str">
        <f t="shared" si="97"/>
        <v>3822023</v>
      </c>
      <c r="B1242" s="1" t="str">
        <f t="shared" si="98"/>
        <v>3822013</v>
      </c>
      <c r="C1242" s="1">
        <v>1241</v>
      </c>
      <c r="D1242" s="4">
        <v>38220</v>
      </c>
      <c r="E1242" s="1">
        <v>0</v>
      </c>
      <c r="F1242" s="1">
        <v>13</v>
      </c>
      <c r="G1242" s="1">
        <v>23</v>
      </c>
      <c r="H1242" s="1">
        <v>2</v>
      </c>
      <c r="I1242" s="1">
        <v>0</v>
      </c>
      <c r="J1242" s="2" t="str">
        <f t="shared" si="100"/>
        <v>BBG</v>
      </c>
      <c r="K1242" s="2" t="str">
        <f t="shared" si="101"/>
        <v>@BRK</v>
      </c>
      <c r="L1242" s="1" t="str">
        <f t="shared" si="99"/>
        <v>1241,8/21/2004,0,13,23,2,0</v>
      </c>
    </row>
    <row r="1243" spans="1:12" x14ac:dyDescent="0.2">
      <c r="A1243" s="1" t="str">
        <f t="shared" si="97"/>
        <v>3822024</v>
      </c>
      <c r="B1243" s="1" t="str">
        <f t="shared" si="98"/>
        <v>3822017</v>
      </c>
      <c r="C1243" s="1">
        <v>1242</v>
      </c>
      <c r="D1243" s="4">
        <v>38220</v>
      </c>
      <c r="E1243" s="1">
        <v>0</v>
      </c>
      <c r="F1243" s="1">
        <v>17</v>
      </c>
      <c r="G1243" s="1">
        <v>24</v>
      </c>
      <c r="H1243" s="1">
        <v>2</v>
      </c>
      <c r="I1243" s="1">
        <v>0</v>
      </c>
      <c r="J1243" s="2" t="str">
        <f t="shared" si="100"/>
        <v>GAR</v>
      </c>
      <c r="K1243" s="2" t="str">
        <f t="shared" si="101"/>
        <v>@PHI</v>
      </c>
      <c r="L1243" s="1" t="str">
        <f t="shared" si="99"/>
        <v>1242,8/21/2004,0,17,24,2,0</v>
      </c>
    </row>
    <row r="1244" spans="1:12" x14ac:dyDescent="0.2">
      <c r="A1244" s="1" t="str">
        <f t="shared" si="97"/>
        <v>382211</v>
      </c>
      <c r="B1244" s="1" t="str">
        <f t="shared" si="98"/>
        <v>3822114</v>
      </c>
      <c r="C1244" s="1">
        <v>1243</v>
      </c>
      <c r="D1244" s="4">
        <v>38221</v>
      </c>
      <c r="E1244" s="1">
        <v>0</v>
      </c>
      <c r="F1244" s="1">
        <v>14</v>
      </c>
      <c r="G1244" s="1">
        <v>1</v>
      </c>
      <c r="H1244" s="1">
        <v>2</v>
      </c>
      <c r="I1244" s="1">
        <v>0</v>
      </c>
      <c r="J1244" s="2" t="str">
        <f t="shared" si="100"/>
        <v>CEN</v>
      </c>
      <c r="K1244" s="2" t="str">
        <f t="shared" si="101"/>
        <v>@FFR</v>
      </c>
      <c r="L1244" s="1" t="str">
        <f t="shared" si="99"/>
        <v>1243,8/22/2004,0,14,1,2,0</v>
      </c>
    </row>
    <row r="1245" spans="1:12" x14ac:dyDescent="0.2">
      <c r="A1245" s="1" t="str">
        <f t="shared" si="97"/>
        <v>382214</v>
      </c>
      <c r="B1245" s="1" t="str">
        <f t="shared" si="98"/>
        <v>3822120</v>
      </c>
      <c r="C1245" s="1">
        <v>1244</v>
      </c>
      <c r="D1245" s="4">
        <v>38221</v>
      </c>
      <c r="E1245" s="1">
        <v>0</v>
      </c>
      <c r="F1245" s="1">
        <v>20</v>
      </c>
      <c r="G1245" s="1">
        <v>4</v>
      </c>
      <c r="H1245" s="1">
        <v>2</v>
      </c>
      <c r="I1245" s="1">
        <v>0</v>
      </c>
      <c r="J1245" s="2" t="str">
        <f t="shared" si="100"/>
        <v>FDH</v>
      </c>
      <c r="K1245" s="2" t="str">
        <f t="shared" si="101"/>
        <v>@NNN</v>
      </c>
      <c r="L1245" s="1" t="str">
        <f t="shared" si="99"/>
        <v>1244,8/22/2004,0,20,4,2,0</v>
      </c>
    </row>
    <row r="1246" spans="1:12" x14ac:dyDescent="0.2">
      <c r="A1246" s="1" t="str">
        <f t="shared" si="97"/>
        <v>382215</v>
      </c>
      <c r="B1246" s="1" t="str">
        <f t="shared" si="98"/>
        <v>382212</v>
      </c>
      <c r="C1246" s="1">
        <v>1245</v>
      </c>
      <c r="D1246" s="4">
        <v>38221</v>
      </c>
      <c r="E1246" s="1">
        <v>0</v>
      </c>
      <c r="F1246" s="1">
        <v>2</v>
      </c>
      <c r="G1246" s="1">
        <v>5</v>
      </c>
      <c r="H1246" s="1">
        <v>2</v>
      </c>
      <c r="I1246" s="1">
        <v>0</v>
      </c>
      <c r="J1246" s="2" t="str">
        <f t="shared" si="100"/>
        <v>NEP</v>
      </c>
      <c r="K1246" s="2" t="str">
        <f t="shared" si="101"/>
        <v>@OKO</v>
      </c>
      <c r="L1246" s="1" t="str">
        <f t="shared" si="99"/>
        <v>1245,8/22/2004,0,2,5,2,0</v>
      </c>
    </row>
    <row r="1247" spans="1:12" x14ac:dyDescent="0.2">
      <c r="A1247" s="1" t="str">
        <f t="shared" si="97"/>
        <v>3822111</v>
      </c>
      <c r="B1247" s="1" t="str">
        <f t="shared" si="98"/>
        <v>382217</v>
      </c>
      <c r="C1247" s="1">
        <v>1246</v>
      </c>
      <c r="D1247" s="4">
        <v>38221</v>
      </c>
      <c r="E1247" s="1">
        <v>0</v>
      </c>
      <c r="F1247" s="1">
        <v>7</v>
      </c>
      <c r="G1247" s="1">
        <v>11</v>
      </c>
      <c r="H1247" s="1">
        <v>2</v>
      </c>
      <c r="I1247" s="1">
        <v>0</v>
      </c>
      <c r="J1247" s="2" t="str">
        <f t="shared" si="100"/>
        <v>BAR</v>
      </c>
      <c r="K1247" s="2" t="str">
        <f t="shared" si="101"/>
        <v>@HAR</v>
      </c>
      <c r="L1247" s="1" t="str">
        <f t="shared" si="99"/>
        <v>1246,8/22/2004,0,7,11,2,0</v>
      </c>
    </row>
    <row r="1248" spans="1:12" x14ac:dyDescent="0.2">
      <c r="A1248" s="1" t="str">
        <f t="shared" si="97"/>
        <v>3822112</v>
      </c>
      <c r="B1248" s="1" t="str">
        <f t="shared" si="98"/>
        <v>3822110</v>
      </c>
      <c r="C1248" s="1">
        <v>1247</v>
      </c>
      <c r="D1248" s="4">
        <v>38221</v>
      </c>
      <c r="E1248" s="1">
        <v>0</v>
      </c>
      <c r="F1248" s="1">
        <v>10</v>
      </c>
      <c r="G1248" s="1">
        <v>12</v>
      </c>
      <c r="H1248" s="1">
        <v>2</v>
      </c>
      <c r="I1248" s="1">
        <v>0</v>
      </c>
      <c r="J1248" s="2" t="str">
        <f t="shared" si="100"/>
        <v>REN</v>
      </c>
      <c r="K1248" s="2" t="str">
        <f t="shared" si="101"/>
        <v>@RMO</v>
      </c>
      <c r="L1248" s="1" t="str">
        <f t="shared" si="99"/>
        <v>1247,8/22/2004,0,10,12,2,0</v>
      </c>
    </row>
    <row r="1249" spans="1:12" x14ac:dyDescent="0.2">
      <c r="A1249" s="1" t="str">
        <f t="shared" si="97"/>
        <v>3822116</v>
      </c>
      <c r="B1249" s="1" t="str">
        <f t="shared" si="98"/>
        <v>382213</v>
      </c>
      <c r="C1249" s="1">
        <v>1248</v>
      </c>
      <c r="D1249" s="4">
        <v>38221</v>
      </c>
      <c r="E1249" s="1">
        <v>0</v>
      </c>
      <c r="F1249" s="1">
        <v>3</v>
      </c>
      <c r="G1249" s="1">
        <v>16</v>
      </c>
      <c r="H1249" s="1">
        <v>2</v>
      </c>
      <c r="I1249" s="1">
        <v>0</v>
      </c>
      <c r="J1249" s="2" t="str">
        <f t="shared" si="100"/>
        <v>TEW</v>
      </c>
      <c r="K1249" s="2" t="str">
        <f t="shared" si="101"/>
        <v>@DIG</v>
      </c>
      <c r="L1249" s="1" t="str">
        <f t="shared" si="99"/>
        <v>1248,8/22/2004,0,3,16,2,0</v>
      </c>
    </row>
    <row r="1250" spans="1:12" x14ac:dyDescent="0.2">
      <c r="A1250" s="1" t="str">
        <f t="shared" si="97"/>
        <v>3822121</v>
      </c>
      <c r="B1250" s="1" t="str">
        <f t="shared" si="98"/>
        <v>382219</v>
      </c>
      <c r="C1250" s="1">
        <v>1249</v>
      </c>
      <c r="D1250" s="4">
        <v>38221</v>
      </c>
      <c r="E1250" s="1">
        <v>0</v>
      </c>
      <c r="F1250" s="1">
        <v>9</v>
      </c>
      <c r="G1250" s="1">
        <v>21</v>
      </c>
      <c r="H1250" s="1">
        <v>2</v>
      </c>
      <c r="I1250" s="1">
        <v>0</v>
      </c>
      <c r="J1250" s="2" t="str">
        <f t="shared" si="100"/>
        <v>CIN</v>
      </c>
      <c r="K1250" s="2" t="str">
        <f t="shared" si="101"/>
        <v>@NYD</v>
      </c>
      <c r="L1250" s="1" t="str">
        <f t="shared" si="99"/>
        <v>1249,8/22/2004,0,9,21,2,0</v>
      </c>
    </row>
    <row r="1251" spans="1:12" x14ac:dyDescent="0.2">
      <c r="A1251" s="1" t="str">
        <f t="shared" si="97"/>
        <v>3822122</v>
      </c>
      <c r="B1251" s="1" t="str">
        <f t="shared" si="98"/>
        <v>382218</v>
      </c>
      <c r="C1251" s="1">
        <v>1250</v>
      </c>
      <c r="D1251" s="4">
        <v>38221</v>
      </c>
      <c r="E1251" s="1">
        <v>0</v>
      </c>
      <c r="F1251" s="1">
        <v>8</v>
      </c>
      <c r="G1251" s="1">
        <v>22</v>
      </c>
      <c r="H1251" s="1">
        <v>2</v>
      </c>
      <c r="I1251" s="1">
        <v>0</v>
      </c>
      <c r="J1251" s="2" t="str">
        <f t="shared" si="100"/>
        <v>CTW</v>
      </c>
      <c r="K1251" s="2" t="str">
        <f t="shared" si="101"/>
        <v>@CBB</v>
      </c>
      <c r="L1251" s="1" t="str">
        <f t="shared" si="99"/>
        <v>1250,8/22/2004,0,8,22,2,0</v>
      </c>
    </row>
    <row r="1252" spans="1:12" x14ac:dyDescent="0.2">
      <c r="A1252" s="1" t="str">
        <f t="shared" si="97"/>
        <v>3822123</v>
      </c>
      <c r="B1252" s="1" t="str">
        <f t="shared" si="98"/>
        <v>3822113</v>
      </c>
      <c r="C1252" s="1">
        <v>1251</v>
      </c>
      <c r="D1252" s="4">
        <v>38221</v>
      </c>
      <c r="E1252" s="1">
        <v>0</v>
      </c>
      <c r="F1252" s="1">
        <v>13</v>
      </c>
      <c r="G1252" s="1">
        <v>23</v>
      </c>
      <c r="H1252" s="1">
        <v>2</v>
      </c>
      <c r="I1252" s="1">
        <v>0</v>
      </c>
      <c r="J1252" s="2" t="str">
        <f t="shared" si="100"/>
        <v>BBG</v>
      </c>
      <c r="K1252" s="2" t="str">
        <f t="shared" si="101"/>
        <v>@BRK</v>
      </c>
      <c r="L1252" s="1" t="str">
        <f t="shared" si="99"/>
        <v>1251,8/22/2004,0,13,23,2,0</v>
      </c>
    </row>
    <row r="1253" spans="1:12" x14ac:dyDescent="0.2">
      <c r="A1253" s="1" t="str">
        <f t="shared" si="97"/>
        <v>3822124</v>
      </c>
      <c r="B1253" s="1" t="str">
        <f t="shared" si="98"/>
        <v>3822117</v>
      </c>
      <c r="C1253" s="1">
        <v>1252</v>
      </c>
      <c r="D1253" s="4">
        <v>38221</v>
      </c>
      <c r="E1253" s="1">
        <v>0</v>
      </c>
      <c r="F1253" s="1">
        <v>17</v>
      </c>
      <c r="G1253" s="1">
        <v>24</v>
      </c>
      <c r="H1253" s="1">
        <v>2</v>
      </c>
      <c r="I1253" s="1">
        <v>0</v>
      </c>
      <c r="J1253" s="2" t="str">
        <f t="shared" si="100"/>
        <v>GAR</v>
      </c>
      <c r="K1253" s="2" t="str">
        <f t="shared" si="101"/>
        <v>@PHI</v>
      </c>
      <c r="L1253" s="1" t="str">
        <f t="shared" si="99"/>
        <v>1252,8/22/2004,0,17,24,2,0</v>
      </c>
    </row>
    <row r="1254" spans="1:12" x14ac:dyDescent="0.2">
      <c r="A1254" s="1" t="str">
        <f t="shared" ref="A1254:A1313" si="102">D1254&amp;G1254</f>
        <v>382221</v>
      </c>
      <c r="B1254" s="1" t="str">
        <f t="shared" ref="B1254:B1313" si="103">D1254&amp;F1254</f>
        <v>3822214</v>
      </c>
      <c r="C1254" s="1">
        <v>1253</v>
      </c>
      <c r="D1254" s="4">
        <v>38222</v>
      </c>
      <c r="E1254" s="1">
        <v>0</v>
      </c>
      <c r="F1254" s="1">
        <v>14</v>
      </c>
      <c r="G1254" s="1">
        <v>1</v>
      </c>
      <c r="H1254" s="1">
        <v>2</v>
      </c>
      <c r="I1254" s="1">
        <v>0</v>
      </c>
      <c r="J1254" s="2" t="str">
        <f t="shared" si="100"/>
        <v>CEN</v>
      </c>
      <c r="K1254" s="2" t="str">
        <f t="shared" si="101"/>
        <v>@FFR</v>
      </c>
      <c r="L1254" s="1" t="str">
        <f t="shared" ref="L1254:L1313" si="104">C1254&amp;","&amp;MONTH(D1254)&amp;"/"&amp;DAY(D1254)&amp;"/"&amp;YEAR(D1254)&amp;","&amp;E1254&amp;","&amp;F1254&amp;","&amp;G1254&amp;","&amp;H1254&amp;","&amp;I1254</f>
        <v>1253,8/23/2004,0,14,1,2,0</v>
      </c>
    </row>
    <row r="1255" spans="1:12" x14ac:dyDescent="0.2">
      <c r="A1255" s="1" t="str">
        <f t="shared" si="102"/>
        <v>382224</v>
      </c>
      <c r="B1255" s="1" t="str">
        <f t="shared" si="103"/>
        <v>3822220</v>
      </c>
      <c r="C1255" s="1">
        <v>1254</v>
      </c>
      <c r="D1255" s="4">
        <v>38222</v>
      </c>
      <c r="E1255" s="1">
        <v>0</v>
      </c>
      <c r="F1255" s="1">
        <v>20</v>
      </c>
      <c r="G1255" s="1">
        <v>4</v>
      </c>
      <c r="H1255" s="1">
        <v>2</v>
      </c>
      <c r="I1255" s="1">
        <v>0</v>
      </c>
      <c r="J1255" s="2" t="str">
        <f t="shared" si="100"/>
        <v>FDH</v>
      </c>
      <c r="K1255" s="2" t="str">
        <f t="shared" si="101"/>
        <v>@NNN</v>
      </c>
      <c r="L1255" s="1" t="str">
        <f t="shared" si="104"/>
        <v>1254,8/23/2004,0,20,4,2,0</v>
      </c>
    </row>
    <row r="1256" spans="1:12" x14ac:dyDescent="0.2">
      <c r="A1256" s="1" t="str">
        <f t="shared" si="102"/>
        <v>382225</v>
      </c>
      <c r="B1256" s="1" t="str">
        <f t="shared" si="103"/>
        <v>382222</v>
      </c>
      <c r="C1256" s="1">
        <v>1255</v>
      </c>
      <c r="D1256" s="4">
        <v>38222</v>
      </c>
      <c r="E1256" s="1">
        <v>0</v>
      </c>
      <c r="F1256" s="1">
        <v>2</v>
      </c>
      <c r="G1256" s="1">
        <v>5</v>
      </c>
      <c r="H1256" s="1">
        <v>2</v>
      </c>
      <c r="I1256" s="1">
        <v>0</v>
      </c>
      <c r="J1256" s="2" t="str">
        <f t="shared" si="100"/>
        <v>NEP</v>
      </c>
      <c r="K1256" s="2" t="str">
        <f t="shared" si="101"/>
        <v>@OKO</v>
      </c>
      <c r="L1256" s="1" t="str">
        <f t="shared" si="104"/>
        <v>1255,8/23/2004,0,2,5,2,0</v>
      </c>
    </row>
    <row r="1257" spans="1:12" x14ac:dyDescent="0.2">
      <c r="A1257" s="1" t="str">
        <f t="shared" si="102"/>
        <v>3822211</v>
      </c>
      <c r="B1257" s="1" t="str">
        <f t="shared" si="103"/>
        <v>382227</v>
      </c>
      <c r="C1257" s="1">
        <v>1256</v>
      </c>
      <c r="D1257" s="4">
        <v>38222</v>
      </c>
      <c r="E1257" s="1">
        <v>0</v>
      </c>
      <c r="F1257" s="1">
        <v>7</v>
      </c>
      <c r="G1257" s="1">
        <v>11</v>
      </c>
      <c r="H1257" s="1">
        <v>2</v>
      </c>
      <c r="I1257" s="1">
        <v>0</v>
      </c>
      <c r="J1257" s="2" t="str">
        <f t="shared" si="100"/>
        <v>BAR</v>
      </c>
      <c r="K1257" s="2" t="str">
        <f t="shared" si="101"/>
        <v>@HAR</v>
      </c>
      <c r="L1257" s="1" t="str">
        <f t="shared" si="104"/>
        <v>1256,8/23/2004,0,7,11,2,0</v>
      </c>
    </row>
    <row r="1258" spans="1:12" x14ac:dyDescent="0.2">
      <c r="A1258" s="1" t="str">
        <f t="shared" si="102"/>
        <v>3822212</v>
      </c>
      <c r="B1258" s="1" t="str">
        <f t="shared" si="103"/>
        <v>3822210</v>
      </c>
      <c r="C1258" s="1">
        <v>1257</v>
      </c>
      <c r="D1258" s="4">
        <v>38222</v>
      </c>
      <c r="E1258" s="1">
        <v>0</v>
      </c>
      <c r="F1258" s="1">
        <v>10</v>
      </c>
      <c r="G1258" s="1">
        <v>12</v>
      </c>
      <c r="H1258" s="1">
        <v>2</v>
      </c>
      <c r="I1258" s="1">
        <v>0</v>
      </c>
      <c r="J1258" s="2" t="str">
        <f t="shared" si="100"/>
        <v>REN</v>
      </c>
      <c r="K1258" s="2" t="str">
        <f t="shared" si="101"/>
        <v>@RMO</v>
      </c>
      <c r="L1258" s="1" t="str">
        <f t="shared" si="104"/>
        <v>1257,8/23/2004,0,10,12,2,0</v>
      </c>
    </row>
    <row r="1259" spans="1:12" x14ac:dyDescent="0.2">
      <c r="A1259" s="1" t="str">
        <f t="shared" si="102"/>
        <v>3822216</v>
      </c>
      <c r="B1259" s="1" t="str">
        <f t="shared" si="103"/>
        <v>382223</v>
      </c>
      <c r="C1259" s="1">
        <v>1258</v>
      </c>
      <c r="D1259" s="4">
        <v>38222</v>
      </c>
      <c r="E1259" s="1">
        <v>0</v>
      </c>
      <c r="F1259" s="1">
        <v>3</v>
      </c>
      <c r="G1259" s="1">
        <v>16</v>
      </c>
      <c r="H1259" s="1">
        <v>2</v>
      </c>
      <c r="I1259" s="1">
        <v>0</v>
      </c>
      <c r="J1259" s="2" t="str">
        <f t="shared" si="100"/>
        <v>TEW</v>
      </c>
      <c r="K1259" s="2" t="str">
        <f t="shared" si="101"/>
        <v>@DIG</v>
      </c>
      <c r="L1259" s="1" t="str">
        <f t="shared" si="104"/>
        <v>1258,8/23/2004,0,3,16,2,0</v>
      </c>
    </row>
    <row r="1260" spans="1:12" x14ac:dyDescent="0.2">
      <c r="A1260" s="1" t="str">
        <f t="shared" si="102"/>
        <v>3822221</v>
      </c>
      <c r="B1260" s="1" t="str">
        <f t="shared" si="103"/>
        <v>382229</v>
      </c>
      <c r="C1260" s="1">
        <v>1259</v>
      </c>
      <c r="D1260" s="4">
        <v>38222</v>
      </c>
      <c r="E1260" s="1">
        <v>0</v>
      </c>
      <c r="F1260" s="1">
        <v>9</v>
      </c>
      <c r="G1260" s="1">
        <v>21</v>
      </c>
      <c r="H1260" s="1">
        <v>2</v>
      </c>
      <c r="I1260" s="1">
        <v>0</v>
      </c>
      <c r="J1260" s="2" t="str">
        <f t="shared" si="100"/>
        <v>CIN</v>
      </c>
      <c r="K1260" s="2" t="str">
        <f t="shared" si="101"/>
        <v>@NYD</v>
      </c>
      <c r="L1260" s="1" t="str">
        <f t="shared" si="104"/>
        <v>1259,8/23/2004,0,9,21,2,0</v>
      </c>
    </row>
    <row r="1261" spans="1:12" x14ac:dyDescent="0.2">
      <c r="A1261" s="1" t="str">
        <f t="shared" si="102"/>
        <v>3822222</v>
      </c>
      <c r="B1261" s="1" t="str">
        <f t="shared" si="103"/>
        <v>382228</v>
      </c>
      <c r="C1261" s="1">
        <v>1260</v>
      </c>
      <c r="D1261" s="4">
        <v>38222</v>
      </c>
      <c r="E1261" s="1">
        <v>0</v>
      </c>
      <c r="F1261" s="1">
        <v>8</v>
      </c>
      <c r="G1261" s="1">
        <v>22</v>
      </c>
      <c r="H1261" s="1">
        <v>2</v>
      </c>
      <c r="I1261" s="1">
        <v>0</v>
      </c>
      <c r="J1261" s="2" t="str">
        <f t="shared" si="100"/>
        <v>CTW</v>
      </c>
      <c r="K1261" s="2" t="str">
        <f t="shared" si="101"/>
        <v>@CBB</v>
      </c>
      <c r="L1261" s="1" t="str">
        <f t="shared" si="104"/>
        <v>1260,8/23/2004,0,8,22,2,0</v>
      </c>
    </row>
    <row r="1262" spans="1:12" x14ac:dyDescent="0.2">
      <c r="A1262" s="1" t="str">
        <f t="shared" si="102"/>
        <v>3822223</v>
      </c>
      <c r="B1262" s="1" t="str">
        <f t="shared" si="103"/>
        <v>3822213</v>
      </c>
      <c r="C1262" s="1">
        <v>1261</v>
      </c>
      <c r="D1262" s="4">
        <v>38222</v>
      </c>
      <c r="E1262" s="1">
        <v>0</v>
      </c>
      <c r="F1262" s="1">
        <v>13</v>
      </c>
      <c r="G1262" s="1">
        <v>23</v>
      </c>
      <c r="H1262" s="1">
        <v>2</v>
      </c>
      <c r="I1262" s="1">
        <v>0</v>
      </c>
      <c r="J1262" s="2" t="str">
        <f t="shared" si="100"/>
        <v>BBG</v>
      </c>
      <c r="K1262" s="2" t="str">
        <f t="shared" si="101"/>
        <v>@BRK</v>
      </c>
      <c r="L1262" s="1" t="str">
        <f t="shared" si="104"/>
        <v>1261,8/23/2004,0,13,23,2,0</v>
      </c>
    </row>
    <row r="1263" spans="1:12" x14ac:dyDescent="0.2">
      <c r="A1263" s="1" t="str">
        <f t="shared" si="102"/>
        <v>3822224</v>
      </c>
      <c r="B1263" s="1" t="str">
        <f t="shared" si="103"/>
        <v>3822217</v>
      </c>
      <c r="C1263" s="1">
        <v>1262</v>
      </c>
      <c r="D1263" s="4">
        <v>38222</v>
      </c>
      <c r="E1263" s="1">
        <v>0</v>
      </c>
      <c r="F1263" s="1">
        <v>17</v>
      </c>
      <c r="G1263" s="1">
        <v>24</v>
      </c>
      <c r="H1263" s="1">
        <v>2</v>
      </c>
      <c r="I1263" s="1">
        <v>0</v>
      </c>
      <c r="J1263" s="2" t="str">
        <f t="shared" si="100"/>
        <v>GAR</v>
      </c>
      <c r="K1263" s="2" t="str">
        <f t="shared" si="101"/>
        <v>@PHI</v>
      </c>
      <c r="L1263" s="1" t="str">
        <f t="shared" si="104"/>
        <v>1262,8/23/2004,0,17,24,2,0</v>
      </c>
    </row>
    <row r="1264" spans="1:12" x14ac:dyDescent="0.2">
      <c r="A1264" s="1" t="str">
        <f t="shared" si="102"/>
        <v>382231</v>
      </c>
      <c r="B1264" s="1" t="str">
        <f t="shared" si="103"/>
        <v>3822314</v>
      </c>
      <c r="C1264" s="1">
        <v>1263</v>
      </c>
      <c r="D1264" s="4">
        <v>38223</v>
      </c>
      <c r="E1264" s="1">
        <v>0</v>
      </c>
      <c r="F1264" s="1">
        <v>14</v>
      </c>
      <c r="G1264" s="1">
        <v>1</v>
      </c>
      <c r="H1264" s="1">
        <v>2</v>
      </c>
      <c r="I1264" s="1">
        <v>0</v>
      </c>
      <c r="J1264" s="2" t="str">
        <f t="shared" si="100"/>
        <v>CEN</v>
      </c>
      <c r="K1264" s="2" t="str">
        <f t="shared" si="101"/>
        <v>@FFR</v>
      </c>
      <c r="L1264" s="1" t="str">
        <f t="shared" si="104"/>
        <v>1263,8/24/2004,0,14,1,2,0</v>
      </c>
    </row>
    <row r="1265" spans="1:13" x14ac:dyDescent="0.2">
      <c r="A1265" s="1" t="str">
        <f t="shared" si="102"/>
        <v>382234</v>
      </c>
      <c r="B1265" s="1" t="str">
        <f t="shared" si="103"/>
        <v>3822320</v>
      </c>
      <c r="C1265" s="1">
        <v>1264</v>
      </c>
      <c r="D1265" s="4">
        <v>38223</v>
      </c>
      <c r="E1265" s="1">
        <v>0</v>
      </c>
      <c r="F1265" s="1">
        <v>20</v>
      </c>
      <c r="G1265" s="1">
        <v>4</v>
      </c>
      <c r="H1265" s="1">
        <v>2</v>
      </c>
      <c r="I1265" s="1">
        <v>0</v>
      </c>
      <c r="J1265" s="2" t="str">
        <f t="shared" si="100"/>
        <v>FDH</v>
      </c>
      <c r="K1265" s="2" t="str">
        <f t="shared" si="101"/>
        <v>@NNN</v>
      </c>
      <c r="L1265" s="1" t="str">
        <f t="shared" si="104"/>
        <v>1264,8/24/2004,0,20,4,2,0</v>
      </c>
    </row>
    <row r="1266" spans="1:13" x14ac:dyDescent="0.2">
      <c r="A1266" s="1" t="str">
        <f t="shared" si="102"/>
        <v>382235</v>
      </c>
      <c r="B1266" s="1" t="str">
        <f t="shared" si="103"/>
        <v>382232</v>
      </c>
      <c r="C1266" s="1">
        <v>1265</v>
      </c>
      <c r="D1266" s="4">
        <v>38223</v>
      </c>
      <c r="E1266" s="1">
        <v>0</v>
      </c>
      <c r="F1266" s="1">
        <v>2</v>
      </c>
      <c r="G1266" s="1">
        <v>5</v>
      </c>
      <c r="H1266" s="1">
        <v>2</v>
      </c>
      <c r="I1266" s="1">
        <v>0</v>
      </c>
      <c r="J1266" s="2" t="str">
        <f t="shared" si="100"/>
        <v>NEP</v>
      </c>
      <c r="K1266" s="2" t="str">
        <f t="shared" si="101"/>
        <v>@OKO</v>
      </c>
      <c r="L1266" s="1" t="str">
        <f t="shared" si="104"/>
        <v>1265,8/24/2004,0,2,5,2,0</v>
      </c>
    </row>
    <row r="1267" spans="1:13" x14ac:dyDescent="0.2">
      <c r="A1267" s="1" t="str">
        <f t="shared" si="102"/>
        <v>3822311</v>
      </c>
      <c r="B1267" s="1" t="str">
        <f t="shared" si="103"/>
        <v>382237</v>
      </c>
      <c r="C1267" s="1">
        <v>1266</v>
      </c>
      <c r="D1267" s="4">
        <v>38223</v>
      </c>
      <c r="E1267" s="1">
        <v>0</v>
      </c>
      <c r="F1267" s="1">
        <v>7</v>
      </c>
      <c r="G1267" s="1">
        <v>11</v>
      </c>
      <c r="H1267" s="1">
        <v>2</v>
      </c>
      <c r="I1267" s="1">
        <v>0</v>
      </c>
      <c r="J1267" s="2" t="str">
        <f t="shared" si="100"/>
        <v>BAR</v>
      </c>
      <c r="K1267" s="2" t="str">
        <f t="shared" si="101"/>
        <v>@HAR</v>
      </c>
      <c r="L1267" s="1" t="str">
        <f t="shared" si="104"/>
        <v>1266,8/24/2004,0,7,11,2,0</v>
      </c>
    </row>
    <row r="1268" spans="1:13" x14ac:dyDescent="0.2">
      <c r="A1268" s="1" t="str">
        <f t="shared" si="102"/>
        <v>3822312</v>
      </c>
      <c r="B1268" s="1" t="str">
        <f t="shared" si="103"/>
        <v>3822310</v>
      </c>
      <c r="C1268" s="1">
        <v>1267</v>
      </c>
      <c r="D1268" s="4">
        <v>38223</v>
      </c>
      <c r="E1268" s="1">
        <v>0</v>
      </c>
      <c r="F1268" s="1">
        <v>10</v>
      </c>
      <c r="G1268" s="1">
        <v>12</v>
      </c>
      <c r="H1268" s="1">
        <v>2</v>
      </c>
      <c r="I1268" s="1">
        <v>0</v>
      </c>
      <c r="J1268" s="2" t="str">
        <f t="shared" si="100"/>
        <v>REN</v>
      </c>
      <c r="K1268" s="2" t="str">
        <f t="shared" si="101"/>
        <v>@RMO</v>
      </c>
      <c r="L1268" s="1" t="str">
        <f t="shared" si="104"/>
        <v>1267,8/24/2004,0,10,12,2,0</v>
      </c>
    </row>
    <row r="1269" spans="1:13" x14ac:dyDescent="0.2">
      <c r="A1269" s="1" t="str">
        <f t="shared" si="102"/>
        <v>3822316</v>
      </c>
      <c r="B1269" s="1" t="str">
        <f t="shared" si="103"/>
        <v>382233</v>
      </c>
      <c r="C1269" s="1">
        <v>1268</v>
      </c>
      <c r="D1269" s="4">
        <v>38223</v>
      </c>
      <c r="E1269" s="1">
        <v>0</v>
      </c>
      <c r="F1269" s="1">
        <v>3</v>
      </c>
      <c r="G1269" s="1">
        <v>16</v>
      </c>
      <c r="H1269" s="1">
        <v>2</v>
      </c>
      <c r="I1269" s="1">
        <v>0</v>
      </c>
      <c r="J1269" s="2" t="str">
        <f t="shared" si="100"/>
        <v>TEW</v>
      </c>
      <c r="K1269" s="2" t="str">
        <f t="shared" si="101"/>
        <v>@DIG</v>
      </c>
      <c r="L1269" s="1" t="str">
        <f t="shared" si="104"/>
        <v>1268,8/24/2004,0,3,16,2,0</v>
      </c>
    </row>
    <row r="1270" spans="1:13" x14ac:dyDescent="0.2">
      <c r="A1270" s="1" t="str">
        <f t="shared" si="102"/>
        <v>3822321</v>
      </c>
      <c r="B1270" s="1" t="str">
        <f t="shared" si="103"/>
        <v>382239</v>
      </c>
      <c r="C1270" s="1">
        <v>1269</v>
      </c>
      <c r="D1270" s="4">
        <v>38223</v>
      </c>
      <c r="E1270" s="1">
        <v>0</v>
      </c>
      <c r="F1270" s="1">
        <v>9</v>
      </c>
      <c r="G1270" s="1">
        <v>21</v>
      </c>
      <c r="H1270" s="1">
        <v>2</v>
      </c>
      <c r="I1270" s="1">
        <v>0</v>
      </c>
      <c r="J1270" s="2" t="str">
        <f t="shared" si="100"/>
        <v>CIN</v>
      </c>
      <c r="K1270" s="2" t="str">
        <f t="shared" si="101"/>
        <v>@NYD</v>
      </c>
      <c r="L1270" s="1" t="str">
        <f t="shared" si="104"/>
        <v>1269,8/24/2004,0,9,21,2,0</v>
      </c>
    </row>
    <row r="1271" spans="1:13" x14ac:dyDescent="0.2">
      <c r="A1271" s="1" t="str">
        <f t="shared" si="102"/>
        <v>3822322</v>
      </c>
      <c r="B1271" s="1" t="str">
        <f t="shared" si="103"/>
        <v>382238</v>
      </c>
      <c r="C1271" s="1">
        <v>1270</v>
      </c>
      <c r="D1271" s="4">
        <v>38223</v>
      </c>
      <c r="E1271" s="1">
        <v>0</v>
      </c>
      <c r="F1271" s="1">
        <v>8</v>
      </c>
      <c r="G1271" s="1">
        <v>22</v>
      </c>
      <c r="H1271" s="1">
        <v>2</v>
      </c>
      <c r="I1271" s="1">
        <v>0</v>
      </c>
      <c r="J1271" s="2" t="str">
        <f t="shared" si="100"/>
        <v>CTW</v>
      </c>
      <c r="K1271" s="2" t="str">
        <f t="shared" si="101"/>
        <v>@CBB</v>
      </c>
      <c r="L1271" s="1" t="str">
        <f t="shared" si="104"/>
        <v>1270,8/24/2004,0,8,22,2,0</v>
      </c>
    </row>
    <row r="1272" spans="1:13" x14ac:dyDescent="0.2">
      <c r="A1272" s="1" t="str">
        <f t="shared" si="102"/>
        <v>3822323</v>
      </c>
      <c r="B1272" s="1" t="str">
        <f t="shared" si="103"/>
        <v>3822313</v>
      </c>
      <c r="C1272" s="1">
        <v>1271</v>
      </c>
      <c r="D1272" s="4">
        <v>38223</v>
      </c>
      <c r="E1272" s="1">
        <v>0</v>
      </c>
      <c r="F1272" s="1">
        <v>13</v>
      </c>
      <c r="G1272" s="1">
        <v>23</v>
      </c>
      <c r="H1272" s="1">
        <v>2</v>
      </c>
      <c r="I1272" s="1">
        <v>0</v>
      </c>
      <c r="J1272" s="2" t="str">
        <f t="shared" si="100"/>
        <v>BBG</v>
      </c>
      <c r="K1272" s="2" t="str">
        <f t="shared" si="101"/>
        <v>@BRK</v>
      </c>
      <c r="L1272" s="1" t="str">
        <f t="shared" si="104"/>
        <v>1271,8/24/2004,0,13,23,2,0</v>
      </c>
    </row>
    <row r="1273" spans="1:13" x14ac:dyDescent="0.2">
      <c r="A1273" s="1" t="str">
        <f t="shared" si="102"/>
        <v>3822324</v>
      </c>
      <c r="B1273" s="1" t="str">
        <f t="shared" si="103"/>
        <v>3822317</v>
      </c>
      <c r="C1273" s="1">
        <v>1272</v>
      </c>
      <c r="D1273" s="4">
        <v>38223</v>
      </c>
      <c r="E1273" s="1">
        <v>0</v>
      </c>
      <c r="F1273" s="1">
        <v>17</v>
      </c>
      <c r="G1273" s="1">
        <v>24</v>
      </c>
      <c r="H1273" s="1">
        <v>2</v>
      </c>
      <c r="I1273" s="1">
        <v>0</v>
      </c>
      <c r="J1273" s="2" t="str">
        <f t="shared" si="100"/>
        <v>GAR</v>
      </c>
      <c r="K1273" s="2" t="str">
        <f t="shared" si="101"/>
        <v>@PHI</v>
      </c>
      <c r="L1273" s="1" t="str">
        <f t="shared" si="104"/>
        <v>1272,8/24/2004,0,17,24,2,0</v>
      </c>
    </row>
    <row r="1274" spans="1:13" x14ac:dyDescent="0.2">
      <c r="A1274" s="1" t="str">
        <f t="shared" si="102"/>
        <v>382241</v>
      </c>
      <c r="B1274" s="1" t="str">
        <f t="shared" si="103"/>
        <v>382248</v>
      </c>
      <c r="C1274" s="1">
        <v>1273</v>
      </c>
      <c r="D1274" s="4">
        <v>38224</v>
      </c>
      <c r="E1274" s="1">
        <v>0</v>
      </c>
      <c r="F1274" s="1">
        <v>8</v>
      </c>
      <c r="G1274" s="1">
        <v>1</v>
      </c>
      <c r="H1274" s="1">
        <v>2</v>
      </c>
      <c r="I1274" s="1">
        <v>0</v>
      </c>
      <c r="J1274" s="2" t="str">
        <f t="shared" si="100"/>
        <v>CTW</v>
      </c>
      <c r="K1274" s="2" t="str">
        <f t="shared" si="101"/>
        <v>@FFR</v>
      </c>
      <c r="L1274" s="1" t="str">
        <f t="shared" si="104"/>
        <v>1273,8/25/2004,0,8,1,2,0</v>
      </c>
    </row>
    <row r="1275" spans="1:13" x14ac:dyDescent="0.2">
      <c r="A1275" s="1" t="str">
        <f t="shared" si="102"/>
        <v>382244</v>
      </c>
      <c r="B1275" s="1" t="str">
        <f t="shared" si="103"/>
        <v>3822413</v>
      </c>
      <c r="C1275" s="1">
        <v>1274</v>
      </c>
      <c r="D1275" s="4">
        <v>38224</v>
      </c>
      <c r="E1275" s="1">
        <v>0</v>
      </c>
      <c r="F1275" s="1">
        <v>13</v>
      </c>
      <c r="G1275" s="1">
        <v>4</v>
      </c>
      <c r="H1275" s="1">
        <v>2</v>
      </c>
      <c r="I1275" s="1">
        <v>0</v>
      </c>
      <c r="J1275" s="2" t="str">
        <f t="shared" si="100"/>
        <v>BBG</v>
      </c>
      <c r="K1275" s="2" t="str">
        <f t="shared" si="101"/>
        <v>@NNN</v>
      </c>
      <c r="L1275" s="1" t="str">
        <f t="shared" si="104"/>
        <v>1274,8/25/2004,0,13,4,2,0</v>
      </c>
    </row>
    <row r="1276" spans="1:13" x14ac:dyDescent="0.2">
      <c r="A1276" s="1" t="str">
        <f t="shared" si="102"/>
        <v>382245</v>
      </c>
      <c r="B1276" s="1" t="str">
        <f t="shared" si="103"/>
        <v>3822417</v>
      </c>
      <c r="C1276" s="1">
        <v>1275</v>
      </c>
      <c r="D1276" s="4">
        <v>38224</v>
      </c>
      <c r="E1276" s="1">
        <v>0</v>
      </c>
      <c r="F1276" s="1">
        <v>17</v>
      </c>
      <c r="G1276" s="1">
        <v>5</v>
      </c>
      <c r="H1276" s="1">
        <v>2</v>
      </c>
      <c r="I1276" s="1">
        <v>0</v>
      </c>
      <c r="J1276" s="2" t="str">
        <f t="shared" si="100"/>
        <v>GAR</v>
      </c>
      <c r="K1276" s="2" t="str">
        <f t="shared" si="101"/>
        <v>@OKO</v>
      </c>
      <c r="L1276" s="1" t="str">
        <f t="shared" si="104"/>
        <v>1275,8/25/2004,0,17,5,2,0</v>
      </c>
    </row>
    <row r="1277" spans="1:13" x14ac:dyDescent="0.2">
      <c r="A1277" s="1" t="str">
        <f t="shared" si="102"/>
        <v>3822411</v>
      </c>
      <c r="B1277" s="1" t="str">
        <f t="shared" si="103"/>
        <v>382242</v>
      </c>
      <c r="C1277" s="1">
        <v>1276</v>
      </c>
      <c r="D1277" s="4">
        <v>38224</v>
      </c>
      <c r="E1277" s="1">
        <v>0</v>
      </c>
      <c r="F1277" s="1">
        <v>2</v>
      </c>
      <c r="G1277" s="1">
        <v>11</v>
      </c>
      <c r="H1277" s="1">
        <v>2</v>
      </c>
      <c r="I1277" s="1">
        <v>0</v>
      </c>
      <c r="J1277" s="2" t="str">
        <f t="shared" si="100"/>
        <v>NEP</v>
      </c>
      <c r="K1277" s="2" t="str">
        <f t="shared" si="101"/>
        <v>@HAR</v>
      </c>
      <c r="L1277" s="1" t="str">
        <f t="shared" si="104"/>
        <v>1276,8/25/2004,0,2,11,2,0</v>
      </c>
    </row>
    <row r="1278" spans="1:13" x14ac:dyDescent="0.2">
      <c r="A1278" s="1" t="str">
        <f t="shared" si="102"/>
        <v>3822412</v>
      </c>
      <c r="B1278" s="1" t="str">
        <f t="shared" si="103"/>
        <v>382249</v>
      </c>
      <c r="C1278" s="1">
        <v>1277</v>
      </c>
      <c r="D1278" s="4">
        <v>38224</v>
      </c>
      <c r="E1278" s="1">
        <v>0</v>
      </c>
      <c r="F1278" s="1">
        <v>9</v>
      </c>
      <c r="G1278" s="1">
        <v>12</v>
      </c>
      <c r="H1278" s="1">
        <v>2</v>
      </c>
      <c r="I1278" s="1">
        <v>0</v>
      </c>
      <c r="J1278" s="2" t="str">
        <f t="shared" si="100"/>
        <v>CIN</v>
      </c>
      <c r="K1278" s="2" t="str">
        <f t="shared" si="101"/>
        <v>@RMO</v>
      </c>
      <c r="L1278" s="1" t="str">
        <f t="shared" si="104"/>
        <v>1277,8/25/2004,0,9,12,2,0</v>
      </c>
    </row>
    <row r="1279" spans="1:13" x14ac:dyDescent="0.2">
      <c r="A1279" s="1" t="str">
        <f t="shared" si="102"/>
        <v>3822416</v>
      </c>
      <c r="B1279" s="1" t="str">
        <f t="shared" si="103"/>
        <v>382247</v>
      </c>
      <c r="C1279" s="1">
        <v>1278</v>
      </c>
      <c r="D1279" s="4">
        <v>38224</v>
      </c>
      <c r="E1279" s="1">
        <v>0</v>
      </c>
      <c r="F1279" s="1">
        <v>7</v>
      </c>
      <c r="G1279" s="1">
        <v>16</v>
      </c>
      <c r="H1279" s="1">
        <v>2</v>
      </c>
      <c r="I1279" s="1">
        <v>0</v>
      </c>
      <c r="J1279" s="2" t="str">
        <f t="shared" si="100"/>
        <v>BAR</v>
      </c>
      <c r="K1279" s="2" t="str">
        <f t="shared" si="101"/>
        <v>@DIG</v>
      </c>
      <c r="L1279" s="1" t="str">
        <f t="shared" si="104"/>
        <v>1278,8/25/2004,0,7,16,2,0</v>
      </c>
    </row>
    <row r="1280" spans="1:13" x14ac:dyDescent="0.2">
      <c r="A1280" s="1" t="str">
        <f t="shared" si="102"/>
        <v>3822421</v>
      </c>
      <c r="B1280" s="1" t="str">
        <f t="shared" si="103"/>
        <v>382243</v>
      </c>
      <c r="C1280" s="1">
        <v>1279</v>
      </c>
      <c r="D1280" s="4">
        <v>38224</v>
      </c>
      <c r="E1280" s="1">
        <v>0</v>
      </c>
      <c r="F1280" s="1">
        <v>3</v>
      </c>
      <c r="G1280" s="1">
        <v>21</v>
      </c>
      <c r="H1280" s="1">
        <v>2</v>
      </c>
      <c r="I1280" s="1">
        <v>0</v>
      </c>
      <c r="J1280" s="2" t="str">
        <f t="shared" si="100"/>
        <v>TEW</v>
      </c>
      <c r="K1280" s="2" t="str">
        <f t="shared" si="101"/>
        <v>@NYD</v>
      </c>
      <c r="L1280" s="1" t="str">
        <f t="shared" si="104"/>
        <v>1279,8/25/2004,0,3,21,2,0</v>
      </c>
      <c r="M1280" s="1">
        <v>20</v>
      </c>
    </row>
    <row r="1281" spans="1:12" x14ac:dyDescent="0.2">
      <c r="A1281" s="1" t="str">
        <f t="shared" si="102"/>
        <v>3822422</v>
      </c>
      <c r="B1281" s="1" t="str">
        <f t="shared" si="103"/>
        <v>3822410</v>
      </c>
      <c r="C1281" s="1">
        <v>1280</v>
      </c>
      <c r="D1281" s="4">
        <v>38224</v>
      </c>
      <c r="E1281" s="1">
        <v>0</v>
      </c>
      <c r="F1281" s="1">
        <v>10</v>
      </c>
      <c r="G1281" s="1">
        <v>22</v>
      </c>
      <c r="H1281" s="1">
        <v>2</v>
      </c>
      <c r="I1281" s="1">
        <v>0</v>
      </c>
      <c r="J1281" s="2" t="str">
        <f t="shared" si="100"/>
        <v>REN</v>
      </c>
      <c r="K1281" s="2" t="str">
        <f t="shared" si="101"/>
        <v>@CBB</v>
      </c>
      <c r="L1281" s="1" t="str">
        <f t="shared" si="104"/>
        <v>1280,8/25/2004,0,10,22,2,0</v>
      </c>
    </row>
    <row r="1282" spans="1:12" x14ac:dyDescent="0.2">
      <c r="A1282" s="1" t="str">
        <f t="shared" si="102"/>
        <v>3822423</v>
      </c>
      <c r="B1282" s="1" t="str">
        <f t="shared" si="103"/>
        <v>3822414</v>
      </c>
      <c r="C1282" s="1">
        <v>1281</v>
      </c>
      <c r="D1282" s="4">
        <v>38224</v>
      </c>
      <c r="E1282" s="1">
        <v>0</v>
      </c>
      <c r="F1282" s="1">
        <v>14</v>
      </c>
      <c r="G1282" s="1">
        <v>23</v>
      </c>
      <c r="H1282" s="1">
        <v>2</v>
      </c>
      <c r="I1282" s="1">
        <v>0</v>
      </c>
      <c r="J1282" s="2" t="str">
        <f t="shared" ref="J1282:J1345" si="105">VLOOKUP(F1282,$M$2:$N$21,2,0)</f>
        <v>CEN</v>
      </c>
      <c r="K1282" s="2" t="str">
        <f t="shared" ref="K1282:K1345" si="106">"@"&amp;VLOOKUP(G1282,$M$2:$N$21,2,0)</f>
        <v>@BRK</v>
      </c>
      <c r="L1282" s="1" t="str">
        <f t="shared" si="104"/>
        <v>1281,8/25/2004,0,14,23,2,0</v>
      </c>
    </row>
    <row r="1283" spans="1:12" x14ac:dyDescent="0.2">
      <c r="A1283" s="1" t="str">
        <f t="shared" si="102"/>
        <v>3822424</v>
      </c>
      <c r="B1283" s="1" t="str">
        <f t="shared" si="103"/>
        <v>3822420</v>
      </c>
      <c r="C1283" s="1">
        <v>1282</v>
      </c>
      <c r="D1283" s="4">
        <v>38224</v>
      </c>
      <c r="E1283" s="1">
        <v>0</v>
      </c>
      <c r="F1283" s="1">
        <v>20</v>
      </c>
      <c r="G1283" s="1">
        <v>24</v>
      </c>
      <c r="H1283" s="1">
        <v>2</v>
      </c>
      <c r="I1283" s="1">
        <v>0</v>
      </c>
      <c r="J1283" s="2" t="str">
        <f t="shared" si="105"/>
        <v>FDH</v>
      </c>
      <c r="K1283" s="2" t="str">
        <f t="shared" si="106"/>
        <v>@PHI</v>
      </c>
      <c r="L1283" s="1" t="str">
        <f t="shared" si="104"/>
        <v>1282,8/25/2004,0,20,24,2,0</v>
      </c>
    </row>
    <row r="1284" spans="1:12" x14ac:dyDescent="0.2">
      <c r="A1284" s="1" t="str">
        <f t="shared" si="102"/>
        <v>382251</v>
      </c>
      <c r="B1284" s="1" t="str">
        <f t="shared" si="103"/>
        <v>382258</v>
      </c>
      <c r="C1284" s="1">
        <v>1283</v>
      </c>
      <c r="D1284" s="4">
        <v>38225</v>
      </c>
      <c r="E1284" s="1">
        <v>0</v>
      </c>
      <c r="F1284" s="1">
        <v>8</v>
      </c>
      <c r="G1284" s="1">
        <v>1</v>
      </c>
      <c r="H1284" s="1">
        <v>2</v>
      </c>
      <c r="I1284" s="1">
        <v>0</v>
      </c>
      <c r="J1284" s="2" t="str">
        <f t="shared" si="105"/>
        <v>CTW</v>
      </c>
      <c r="K1284" s="2" t="str">
        <f t="shared" si="106"/>
        <v>@FFR</v>
      </c>
      <c r="L1284" s="1" t="str">
        <f t="shared" si="104"/>
        <v>1283,8/26/2004,0,8,1,2,0</v>
      </c>
    </row>
    <row r="1285" spans="1:12" x14ac:dyDescent="0.2">
      <c r="A1285" s="1" t="str">
        <f t="shared" si="102"/>
        <v>382254</v>
      </c>
      <c r="B1285" s="1" t="str">
        <f t="shared" si="103"/>
        <v>3822513</v>
      </c>
      <c r="C1285" s="1">
        <v>1284</v>
      </c>
      <c r="D1285" s="4">
        <v>38225</v>
      </c>
      <c r="E1285" s="1">
        <v>0</v>
      </c>
      <c r="F1285" s="1">
        <v>13</v>
      </c>
      <c r="G1285" s="1">
        <v>4</v>
      </c>
      <c r="H1285" s="1">
        <v>2</v>
      </c>
      <c r="I1285" s="1">
        <v>0</v>
      </c>
      <c r="J1285" s="2" t="str">
        <f t="shared" si="105"/>
        <v>BBG</v>
      </c>
      <c r="K1285" s="2" t="str">
        <f t="shared" si="106"/>
        <v>@NNN</v>
      </c>
      <c r="L1285" s="1" t="str">
        <f t="shared" si="104"/>
        <v>1284,8/26/2004,0,13,4,2,0</v>
      </c>
    </row>
    <row r="1286" spans="1:12" x14ac:dyDescent="0.2">
      <c r="A1286" s="1" t="str">
        <f t="shared" si="102"/>
        <v>382255</v>
      </c>
      <c r="B1286" s="1" t="str">
        <f t="shared" si="103"/>
        <v>3822517</v>
      </c>
      <c r="C1286" s="1">
        <v>1285</v>
      </c>
      <c r="D1286" s="4">
        <v>38225</v>
      </c>
      <c r="E1286" s="1">
        <v>0</v>
      </c>
      <c r="F1286" s="1">
        <v>17</v>
      </c>
      <c r="G1286" s="1">
        <v>5</v>
      </c>
      <c r="H1286" s="1">
        <v>2</v>
      </c>
      <c r="I1286" s="1">
        <v>0</v>
      </c>
      <c r="J1286" s="2" t="str">
        <f t="shared" si="105"/>
        <v>GAR</v>
      </c>
      <c r="K1286" s="2" t="str">
        <f t="shared" si="106"/>
        <v>@OKO</v>
      </c>
      <c r="L1286" s="1" t="str">
        <f t="shared" si="104"/>
        <v>1285,8/26/2004,0,17,5,2,0</v>
      </c>
    </row>
    <row r="1287" spans="1:12" x14ac:dyDescent="0.2">
      <c r="A1287" s="1" t="str">
        <f t="shared" si="102"/>
        <v>3822511</v>
      </c>
      <c r="B1287" s="1" t="str">
        <f t="shared" si="103"/>
        <v>382252</v>
      </c>
      <c r="C1287" s="1">
        <v>1286</v>
      </c>
      <c r="D1287" s="4">
        <v>38225</v>
      </c>
      <c r="E1287" s="1">
        <v>0</v>
      </c>
      <c r="F1287" s="1">
        <v>2</v>
      </c>
      <c r="G1287" s="1">
        <v>11</v>
      </c>
      <c r="H1287" s="1">
        <v>2</v>
      </c>
      <c r="I1287" s="1">
        <v>0</v>
      </c>
      <c r="J1287" s="2" t="str">
        <f t="shared" si="105"/>
        <v>NEP</v>
      </c>
      <c r="K1287" s="2" t="str">
        <f t="shared" si="106"/>
        <v>@HAR</v>
      </c>
      <c r="L1287" s="1" t="str">
        <f t="shared" si="104"/>
        <v>1286,8/26/2004,0,2,11,2,0</v>
      </c>
    </row>
    <row r="1288" spans="1:12" x14ac:dyDescent="0.2">
      <c r="A1288" s="1" t="str">
        <f t="shared" si="102"/>
        <v>3822512</v>
      </c>
      <c r="B1288" s="1" t="str">
        <f t="shared" si="103"/>
        <v>382259</v>
      </c>
      <c r="C1288" s="1">
        <v>1287</v>
      </c>
      <c r="D1288" s="4">
        <v>38225</v>
      </c>
      <c r="E1288" s="1">
        <v>0</v>
      </c>
      <c r="F1288" s="1">
        <v>9</v>
      </c>
      <c r="G1288" s="1">
        <v>12</v>
      </c>
      <c r="H1288" s="1">
        <v>2</v>
      </c>
      <c r="I1288" s="1">
        <v>0</v>
      </c>
      <c r="J1288" s="2" t="str">
        <f t="shared" si="105"/>
        <v>CIN</v>
      </c>
      <c r="K1288" s="2" t="str">
        <f t="shared" si="106"/>
        <v>@RMO</v>
      </c>
      <c r="L1288" s="1" t="str">
        <f t="shared" si="104"/>
        <v>1287,8/26/2004,0,9,12,2,0</v>
      </c>
    </row>
    <row r="1289" spans="1:12" x14ac:dyDescent="0.2">
      <c r="A1289" s="1" t="str">
        <f t="shared" si="102"/>
        <v>3822516</v>
      </c>
      <c r="B1289" s="1" t="str">
        <f t="shared" si="103"/>
        <v>382257</v>
      </c>
      <c r="C1289" s="1">
        <v>1288</v>
      </c>
      <c r="D1289" s="4">
        <v>38225</v>
      </c>
      <c r="E1289" s="1">
        <v>0</v>
      </c>
      <c r="F1289" s="1">
        <v>7</v>
      </c>
      <c r="G1289" s="1">
        <v>16</v>
      </c>
      <c r="H1289" s="1">
        <v>2</v>
      </c>
      <c r="I1289" s="1">
        <v>0</v>
      </c>
      <c r="J1289" s="2" t="str">
        <f t="shared" si="105"/>
        <v>BAR</v>
      </c>
      <c r="K1289" s="2" t="str">
        <f t="shared" si="106"/>
        <v>@DIG</v>
      </c>
      <c r="L1289" s="1" t="str">
        <f t="shared" si="104"/>
        <v>1288,8/26/2004,0,7,16,2,0</v>
      </c>
    </row>
    <row r="1290" spans="1:12" x14ac:dyDescent="0.2">
      <c r="A1290" s="1" t="str">
        <f t="shared" si="102"/>
        <v>3822521</v>
      </c>
      <c r="B1290" s="1" t="str">
        <f t="shared" si="103"/>
        <v>382253</v>
      </c>
      <c r="C1290" s="1">
        <v>1289</v>
      </c>
      <c r="D1290" s="4">
        <v>38225</v>
      </c>
      <c r="E1290" s="1">
        <v>0</v>
      </c>
      <c r="F1290" s="1">
        <v>3</v>
      </c>
      <c r="G1290" s="1">
        <v>21</v>
      </c>
      <c r="H1290" s="1">
        <v>2</v>
      </c>
      <c r="I1290" s="1">
        <v>0</v>
      </c>
      <c r="J1290" s="2" t="str">
        <f t="shared" si="105"/>
        <v>TEW</v>
      </c>
      <c r="K1290" s="2" t="str">
        <f t="shared" si="106"/>
        <v>@NYD</v>
      </c>
      <c r="L1290" s="1" t="str">
        <f t="shared" si="104"/>
        <v>1289,8/26/2004,0,3,21,2,0</v>
      </c>
    </row>
    <row r="1291" spans="1:12" x14ac:dyDescent="0.2">
      <c r="A1291" s="1" t="str">
        <f t="shared" si="102"/>
        <v>3822522</v>
      </c>
      <c r="B1291" s="1" t="str">
        <f t="shared" si="103"/>
        <v>3822510</v>
      </c>
      <c r="C1291" s="1">
        <v>1290</v>
      </c>
      <c r="D1291" s="4">
        <v>38225</v>
      </c>
      <c r="E1291" s="1">
        <v>0</v>
      </c>
      <c r="F1291" s="1">
        <v>10</v>
      </c>
      <c r="G1291" s="1">
        <v>22</v>
      </c>
      <c r="H1291" s="1">
        <v>2</v>
      </c>
      <c r="I1291" s="1">
        <v>0</v>
      </c>
      <c r="J1291" s="2" t="str">
        <f t="shared" si="105"/>
        <v>REN</v>
      </c>
      <c r="K1291" s="2" t="str">
        <f t="shared" si="106"/>
        <v>@CBB</v>
      </c>
      <c r="L1291" s="1" t="str">
        <f t="shared" si="104"/>
        <v>1290,8/26/2004,0,10,22,2,0</v>
      </c>
    </row>
    <row r="1292" spans="1:12" x14ac:dyDescent="0.2">
      <c r="A1292" s="1" t="str">
        <f t="shared" si="102"/>
        <v>3822523</v>
      </c>
      <c r="B1292" s="1" t="str">
        <f t="shared" si="103"/>
        <v>3822514</v>
      </c>
      <c r="C1292" s="1">
        <v>1291</v>
      </c>
      <c r="D1292" s="4">
        <v>38225</v>
      </c>
      <c r="E1292" s="1">
        <v>0</v>
      </c>
      <c r="F1292" s="1">
        <v>14</v>
      </c>
      <c r="G1292" s="1">
        <v>23</v>
      </c>
      <c r="H1292" s="1">
        <v>2</v>
      </c>
      <c r="I1292" s="1">
        <v>0</v>
      </c>
      <c r="J1292" s="2" t="str">
        <f t="shared" si="105"/>
        <v>CEN</v>
      </c>
      <c r="K1292" s="2" t="str">
        <f t="shared" si="106"/>
        <v>@BRK</v>
      </c>
      <c r="L1292" s="1" t="str">
        <f t="shared" si="104"/>
        <v>1291,8/26/2004,0,14,23,2,0</v>
      </c>
    </row>
    <row r="1293" spans="1:12" x14ac:dyDescent="0.2">
      <c r="A1293" s="1" t="str">
        <f t="shared" si="102"/>
        <v>3822524</v>
      </c>
      <c r="B1293" s="1" t="str">
        <f t="shared" si="103"/>
        <v>3822520</v>
      </c>
      <c r="C1293" s="1">
        <v>1292</v>
      </c>
      <c r="D1293" s="4">
        <v>38225</v>
      </c>
      <c r="E1293" s="1">
        <v>0</v>
      </c>
      <c r="F1293" s="1">
        <v>20</v>
      </c>
      <c r="G1293" s="1">
        <v>24</v>
      </c>
      <c r="H1293" s="1">
        <v>2</v>
      </c>
      <c r="I1293" s="1">
        <v>0</v>
      </c>
      <c r="J1293" s="2" t="str">
        <f t="shared" si="105"/>
        <v>FDH</v>
      </c>
      <c r="K1293" s="2" t="str">
        <f t="shared" si="106"/>
        <v>@PHI</v>
      </c>
      <c r="L1293" s="1" t="str">
        <f t="shared" si="104"/>
        <v>1292,8/26/2004,0,20,24,2,0</v>
      </c>
    </row>
    <row r="1294" spans="1:12" x14ac:dyDescent="0.2">
      <c r="A1294" s="1" t="str">
        <f t="shared" si="102"/>
        <v>382261</v>
      </c>
      <c r="B1294" s="1" t="str">
        <f t="shared" si="103"/>
        <v>382268</v>
      </c>
      <c r="C1294" s="1">
        <v>1293</v>
      </c>
      <c r="D1294" s="4">
        <v>38226</v>
      </c>
      <c r="E1294" s="1">
        <v>0</v>
      </c>
      <c r="F1294" s="1">
        <v>8</v>
      </c>
      <c r="G1294" s="1">
        <v>1</v>
      </c>
      <c r="H1294" s="1">
        <v>2</v>
      </c>
      <c r="I1294" s="1">
        <v>0</v>
      </c>
      <c r="J1294" s="2" t="str">
        <f t="shared" si="105"/>
        <v>CTW</v>
      </c>
      <c r="K1294" s="2" t="str">
        <f t="shared" si="106"/>
        <v>@FFR</v>
      </c>
      <c r="L1294" s="1" t="str">
        <f t="shared" si="104"/>
        <v>1293,8/27/2004,0,8,1,2,0</v>
      </c>
    </row>
    <row r="1295" spans="1:12" x14ac:dyDescent="0.2">
      <c r="A1295" s="1" t="str">
        <f t="shared" si="102"/>
        <v>382264</v>
      </c>
      <c r="B1295" s="1" t="str">
        <f t="shared" si="103"/>
        <v>3822613</v>
      </c>
      <c r="C1295" s="1">
        <v>1294</v>
      </c>
      <c r="D1295" s="4">
        <v>38226</v>
      </c>
      <c r="E1295" s="1">
        <v>0</v>
      </c>
      <c r="F1295" s="1">
        <v>13</v>
      </c>
      <c r="G1295" s="1">
        <v>4</v>
      </c>
      <c r="H1295" s="1">
        <v>2</v>
      </c>
      <c r="I1295" s="1">
        <v>0</v>
      </c>
      <c r="J1295" s="2" t="str">
        <f t="shared" si="105"/>
        <v>BBG</v>
      </c>
      <c r="K1295" s="2" t="str">
        <f t="shared" si="106"/>
        <v>@NNN</v>
      </c>
      <c r="L1295" s="1" t="str">
        <f t="shared" si="104"/>
        <v>1294,8/27/2004,0,13,4,2,0</v>
      </c>
    </row>
    <row r="1296" spans="1:12" x14ac:dyDescent="0.2">
      <c r="A1296" s="1" t="str">
        <f t="shared" si="102"/>
        <v>382265</v>
      </c>
      <c r="B1296" s="1" t="str">
        <f t="shared" si="103"/>
        <v>3822617</v>
      </c>
      <c r="C1296" s="1">
        <v>1295</v>
      </c>
      <c r="D1296" s="4">
        <v>38226</v>
      </c>
      <c r="E1296" s="1">
        <v>0</v>
      </c>
      <c r="F1296" s="1">
        <v>17</v>
      </c>
      <c r="G1296" s="1">
        <v>5</v>
      </c>
      <c r="H1296" s="1">
        <v>2</v>
      </c>
      <c r="I1296" s="1">
        <v>0</v>
      </c>
      <c r="J1296" s="2" t="str">
        <f t="shared" si="105"/>
        <v>GAR</v>
      </c>
      <c r="K1296" s="2" t="str">
        <f t="shared" si="106"/>
        <v>@OKO</v>
      </c>
      <c r="L1296" s="1" t="str">
        <f t="shared" si="104"/>
        <v>1295,8/27/2004,0,17,5,2,0</v>
      </c>
    </row>
    <row r="1297" spans="1:12" x14ac:dyDescent="0.2">
      <c r="A1297" s="1" t="str">
        <f t="shared" si="102"/>
        <v>3822611</v>
      </c>
      <c r="B1297" s="1" t="str">
        <f t="shared" si="103"/>
        <v>382262</v>
      </c>
      <c r="C1297" s="1">
        <v>1296</v>
      </c>
      <c r="D1297" s="4">
        <v>38226</v>
      </c>
      <c r="E1297" s="1">
        <v>0</v>
      </c>
      <c r="F1297" s="1">
        <v>2</v>
      </c>
      <c r="G1297" s="1">
        <v>11</v>
      </c>
      <c r="H1297" s="1">
        <v>2</v>
      </c>
      <c r="I1297" s="1">
        <v>0</v>
      </c>
      <c r="J1297" s="2" t="str">
        <f t="shared" si="105"/>
        <v>NEP</v>
      </c>
      <c r="K1297" s="2" t="str">
        <f t="shared" si="106"/>
        <v>@HAR</v>
      </c>
      <c r="L1297" s="1" t="str">
        <f t="shared" si="104"/>
        <v>1296,8/27/2004,0,2,11,2,0</v>
      </c>
    </row>
    <row r="1298" spans="1:12" x14ac:dyDescent="0.2">
      <c r="A1298" s="1" t="str">
        <f t="shared" si="102"/>
        <v>3822612</v>
      </c>
      <c r="B1298" s="1" t="str">
        <f t="shared" si="103"/>
        <v>382269</v>
      </c>
      <c r="C1298" s="1">
        <v>1297</v>
      </c>
      <c r="D1298" s="4">
        <v>38226</v>
      </c>
      <c r="E1298" s="1">
        <v>0</v>
      </c>
      <c r="F1298" s="1">
        <v>9</v>
      </c>
      <c r="G1298" s="1">
        <v>12</v>
      </c>
      <c r="H1298" s="1">
        <v>2</v>
      </c>
      <c r="I1298" s="1">
        <v>0</v>
      </c>
      <c r="J1298" s="2" t="str">
        <f t="shared" si="105"/>
        <v>CIN</v>
      </c>
      <c r="K1298" s="2" t="str">
        <f t="shared" si="106"/>
        <v>@RMO</v>
      </c>
      <c r="L1298" s="1" t="str">
        <f t="shared" si="104"/>
        <v>1297,8/27/2004,0,9,12,2,0</v>
      </c>
    </row>
    <row r="1299" spans="1:12" x14ac:dyDescent="0.2">
      <c r="A1299" s="1" t="str">
        <f t="shared" si="102"/>
        <v>3822616</v>
      </c>
      <c r="B1299" s="1" t="str">
        <f t="shared" si="103"/>
        <v>382267</v>
      </c>
      <c r="C1299" s="1">
        <v>1298</v>
      </c>
      <c r="D1299" s="4">
        <v>38226</v>
      </c>
      <c r="E1299" s="1">
        <v>0</v>
      </c>
      <c r="F1299" s="1">
        <v>7</v>
      </c>
      <c r="G1299" s="1">
        <v>16</v>
      </c>
      <c r="H1299" s="1">
        <v>2</v>
      </c>
      <c r="I1299" s="1">
        <v>0</v>
      </c>
      <c r="J1299" s="2" t="str">
        <f t="shared" si="105"/>
        <v>BAR</v>
      </c>
      <c r="K1299" s="2" t="str">
        <f t="shared" si="106"/>
        <v>@DIG</v>
      </c>
      <c r="L1299" s="1" t="str">
        <f t="shared" si="104"/>
        <v>1298,8/27/2004,0,7,16,2,0</v>
      </c>
    </row>
    <row r="1300" spans="1:12" x14ac:dyDescent="0.2">
      <c r="A1300" s="1" t="str">
        <f t="shared" si="102"/>
        <v>3822621</v>
      </c>
      <c r="B1300" s="1" t="str">
        <f t="shared" si="103"/>
        <v>382263</v>
      </c>
      <c r="C1300" s="1">
        <v>1299</v>
      </c>
      <c r="D1300" s="4">
        <v>38226</v>
      </c>
      <c r="E1300" s="1">
        <v>0</v>
      </c>
      <c r="F1300" s="1">
        <v>3</v>
      </c>
      <c r="G1300" s="1">
        <v>21</v>
      </c>
      <c r="H1300" s="1">
        <v>2</v>
      </c>
      <c r="I1300" s="1">
        <v>0</v>
      </c>
      <c r="J1300" s="2" t="str">
        <f t="shared" si="105"/>
        <v>TEW</v>
      </c>
      <c r="K1300" s="2" t="str">
        <f t="shared" si="106"/>
        <v>@NYD</v>
      </c>
      <c r="L1300" s="1" t="str">
        <f t="shared" si="104"/>
        <v>1299,8/27/2004,0,3,21,2,0</v>
      </c>
    </row>
    <row r="1301" spans="1:12" x14ac:dyDescent="0.2">
      <c r="A1301" s="1" t="str">
        <f t="shared" si="102"/>
        <v>3822622</v>
      </c>
      <c r="B1301" s="1" t="str">
        <f t="shared" si="103"/>
        <v>3822610</v>
      </c>
      <c r="C1301" s="1">
        <v>1300</v>
      </c>
      <c r="D1301" s="4">
        <v>38226</v>
      </c>
      <c r="E1301" s="1">
        <v>0</v>
      </c>
      <c r="F1301" s="1">
        <v>10</v>
      </c>
      <c r="G1301" s="1">
        <v>22</v>
      </c>
      <c r="H1301" s="1">
        <v>2</v>
      </c>
      <c r="I1301" s="1">
        <v>0</v>
      </c>
      <c r="J1301" s="2" t="str">
        <f t="shared" si="105"/>
        <v>REN</v>
      </c>
      <c r="K1301" s="2" t="str">
        <f t="shared" si="106"/>
        <v>@CBB</v>
      </c>
      <c r="L1301" s="1" t="str">
        <f t="shared" si="104"/>
        <v>1300,8/27/2004,0,10,22,2,0</v>
      </c>
    </row>
    <row r="1302" spans="1:12" x14ac:dyDescent="0.2">
      <c r="A1302" s="1" t="str">
        <f t="shared" si="102"/>
        <v>3822623</v>
      </c>
      <c r="B1302" s="1" t="str">
        <f t="shared" si="103"/>
        <v>3822614</v>
      </c>
      <c r="C1302" s="1">
        <v>1301</v>
      </c>
      <c r="D1302" s="4">
        <v>38226</v>
      </c>
      <c r="E1302" s="1">
        <v>0</v>
      </c>
      <c r="F1302" s="1">
        <v>14</v>
      </c>
      <c r="G1302" s="1">
        <v>23</v>
      </c>
      <c r="H1302" s="1">
        <v>2</v>
      </c>
      <c r="I1302" s="1">
        <v>0</v>
      </c>
      <c r="J1302" s="2" t="str">
        <f t="shared" si="105"/>
        <v>CEN</v>
      </c>
      <c r="K1302" s="2" t="str">
        <f t="shared" si="106"/>
        <v>@BRK</v>
      </c>
      <c r="L1302" s="1" t="str">
        <f t="shared" si="104"/>
        <v>1301,8/27/2004,0,14,23,2,0</v>
      </c>
    </row>
    <row r="1303" spans="1:12" x14ac:dyDescent="0.2">
      <c r="A1303" s="1" t="str">
        <f t="shared" si="102"/>
        <v>3822624</v>
      </c>
      <c r="B1303" s="1" t="str">
        <f t="shared" si="103"/>
        <v>3822620</v>
      </c>
      <c r="C1303" s="1">
        <v>1302</v>
      </c>
      <c r="D1303" s="4">
        <v>38226</v>
      </c>
      <c r="E1303" s="1">
        <v>0</v>
      </c>
      <c r="F1303" s="1">
        <v>20</v>
      </c>
      <c r="G1303" s="1">
        <v>24</v>
      </c>
      <c r="H1303" s="1">
        <v>2</v>
      </c>
      <c r="I1303" s="1">
        <v>0</v>
      </c>
      <c r="J1303" s="2" t="str">
        <f t="shared" si="105"/>
        <v>FDH</v>
      </c>
      <c r="K1303" s="2" t="str">
        <f t="shared" si="106"/>
        <v>@PHI</v>
      </c>
      <c r="L1303" s="1" t="str">
        <f t="shared" si="104"/>
        <v>1302,8/27/2004,0,20,24,2,0</v>
      </c>
    </row>
    <row r="1304" spans="1:12" x14ac:dyDescent="0.2">
      <c r="A1304" s="1" t="str">
        <f t="shared" si="102"/>
        <v>382271</v>
      </c>
      <c r="B1304" s="1" t="str">
        <f t="shared" si="103"/>
        <v>382278</v>
      </c>
      <c r="C1304" s="1">
        <v>1303</v>
      </c>
      <c r="D1304" s="4">
        <v>38227</v>
      </c>
      <c r="E1304" s="1">
        <v>0</v>
      </c>
      <c r="F1304" s="1">
        <v>8</v>
      </c>
      <c r="G1304" s="1">
        <v>1</v>
      </c>
      <c r="H1304" s="1">
        <v>2</v>
      </c>
      <c r="I1304" s="1">
        <v>0</v>
      </c>
      <c r="J1304" s="2" t="str">
        <f t="shared" si="105"/>
        <v>CTW</v>
      </c>
      <c r="K1304" s="2" t="str">
        <f t="shared" si="106"/>
        <v>@FFR</v>
      </c>
      <c r="L1304" s="1" t="str">
        <f t="shared" si="104"/>
        <v>1303,8/28/2004,0,8,1,2,0</v>
      </c>
    </row>
    <row r="1305" spans="1:12" x14ac:dyDescent="0.2">
      <c r="A1305" s="1" t="str">
        <f t="shared" si="102"/>
        <v>382274</v>
      </c>
      <c r="B1305" s="1" t="str">
        <f t="shared" si="103"/>
        <v>3822713</v>
      </c>
      <c r="C1305" s="1">
        <v>1304</v>
      </c>
      <c r="D1305" s="4">
        <v>38227</v>
      </c>
      <c r="E1305" s="1">
        <v>0</v>
      </c>
      <c r="F1305" s="1">
        <v>13</v>
      </c>
      <c r="G1305" s="1">
        <v>4</v>
      </c>
      <c r="H1305" s="1">
        <v>2</v>
      </c>
      <c r="I1305" s="1">
        <v>0</v>
      </c>
      <c r="J1305" s="2" t="str">
        <f t="shared" si="105"/>
        <v>BBG</v>
      </c>
      <c r="K1305" s="2" t="str">
        <f t="shared" si="106"/>
        <v>@NNN</v>
      </c>
      <c r="L1305" s="1" t="str">
        <f t="shared" si="104"/>
        <v>1304,8/28/2004,0,13,4,2,0</v>
      </c>
    </row>
    <row r="1306" spans="1:12" x14ac:dyDescent="0.2">
      <c r="A1306" s="1" t="str">
        <f t="shared" si="102"/>
        <v>382275</v>
      </c>
      <c r="B1306" s="1" t="str">
        <f t="shared" si="103"/>
        <v>3822717</v>
      </c>
      <c r="C1306" s="1">
        <v>1305</v>
      </c>
      <c r="D1306" s="4">
        <v>38227</v>
      </c>
      <c r="E1306" s="1">
        <v>0</v>
      </c>
      <c r="F1306" s="1">
        <v>17</v>
      </c>
      <c r="G1306" s="1">
        <v>5</v>
      </c>
      <c r="H1306" s="1">
        <v>2</v>
      </c>
      <c r="I1306" s="1">
        <v>0</v>
      </c>
      <c r="J1306" s="2" t="str">
        <f t="shared" si="105"/>
        <v>GAR</v>
      </c>
      <c r="K1306" s="2" t="str">
        <f t="shared" si="106"/>
        <v>@OKO</v>
      </c>
      <c r="L1306" s="1" t="str">
        <f t="shared" si="104"/>
        <v>1305,8/28/2004,0,17,5,2,0</v>
      </c>
    </row>
    <row r="1307" spans="1:12" x14ac:dyDescent="0.2">
      <c r="A1307" s="1" t="str">
        <f t="shared" si="102"/>
        <v>3822716</v>
      </c>
      <c r="B1307" s="1" t="str">
        <f t="shared" si="103"/>
        <v>382277</v>
      </c>
      <c r="C1307" s="1">
        <v>1306</v>
      </c>
      <c r="D1307" s="4">
        <v>38227</v>
      </c>
      <c r="E1307" s="1">
        <v>0</v>
      </c>
      <c r="F1307" s="1">
        <v>7</v>
      </c>
      <c r="G1307" s="1">
        <v>16</v>
      </c>
      <c r="H1307" s="1">
        <v>2</v>
      </c>
      <c r="I1307" s="1">
        <v>0</v>
      </c>
      <c r="J1307" s="2" t="str">
        <f t="shared" si="105"/>
        <v>BAR</v>
      </c>
      <c r="K1307" s="2" t="str">
        <f t="shared" si="106"/>
        <v>@DIG</v>
      </c>
      <c r="L1307" s="1" t="str">
        <f t="shared" si="104"/>
        <v>1306,8/28/2004,0,7,16,2,0</v>
      </c>
    </row>
    <row r="1308" spans="1:12" x14ac:dyDescent="0.2">
      <c r="A1308" s="1" t="str">
        <f t="shared" si="102"/>
        <v>3822722</v>
      </c>
      <c r="B1308" s="1" t="str">
        <f t="shared" si="103"/>
        <v>3822710</v>
      </c>
      <c r="C1308" s="1">
        <v>1307</v>
      </c>
      <c r="D1308" s="4">
        <v>38227</v>
      </c>
      <c r="E1308" s="1">
        <v>0</v>
      </c>
      <c r="F1308" s="1">
        <v>10</v>
      </c>
      <c r="G1308" s="1">
        <v>22</v>
      </c>
      <c r="H1308" s="1">
        <v>2</v>
      </c>
      <c r="I1308" s="1">
        <v>0</v>
      </c>
      <c r="J1308" s="2" t="str">
        <f t="shared" si="105"/>
        <v>REN</v>
      </c>
      <c r="K1308" s="2" t="str">
        <f t="shared" si="106"/>
        <v>@CBB</v>
      </c>
      <c r="L1308" s="1" t="str">
        <f t="shared" si="104"/>
        <v>1307,8/28/2004,0,10,22,2,0</v>
      </c>
    </row>
    <row r="1309" spans="1:12" x14ac:dyDescent="0.2">
      <c r="A1309" s="1" t="str">
        <f t="shared" si="102"/>
        <v>3822724</v>
      </c>
      <c r="B1309" s="1" t="str">
        <f t="shared" si="103"/>
        <v>3822720</v>
      </c>
      <c r="C1309" s="1">
        <v>1308</v>
      </c>
      <c r="D1309" s="4">
        <v>38227</v>
      </c>
      <c r="E1309" s="1">
        <v>0</v>
      </c>
      <c r="F1309" s="1">
        <v>20</v>
      </c>
      <c r="G1309" s="1">
        <v>24</v>
      </c>
      <c r="H1309" s="1">
        <v>2</v>
      </c>
      <c r="I1309" s="1">
        <v>0</v>
      </c>
      <c r="J1309" s="2" t="str">
        <f t="shared" si="105"/>
        <v>FDH</v>
      </c>
      <c r="K1309" s="2" t="str">
        <f t="shared" si="106"/>
        <v>@PHI</v>
      </c>
      <c r="L1309" s="1" t="str">
        <f t="shared" si="104"/>
        <v>1308,8/28/2004,0,20,24,2,0</v>
      </c>
    </row>
    <row r="1310" spans="1:12" x14ac:dyDescent="0.2">
      <c r="A1310" s="1" t="str">
        <f t="shared" si="102"/>
        <v>3822711</v>
      </c>
      <c r="B1310" s="1" t="str">
        <f t="shared" si="103"/>
        <v>382272</v>
      </c>
      <c r="C1310" s="1">
        <v>1309</v>
      </c>
      <c r="D1310" s="4">
        <v>38227</v>
      </c>
      <c r="E1310" s="1">
        <v>0</v>
      </c>
      <c r="F1310" s="1">
        <v>2</v>
      </c>
      <c r="G1310" s="1">
        <v>11</v>
      </c>
      <c r="H1310" s="1">
        <v>2</v>
      </c>
      <c r="I1310" s="1">
        <v>0</v>
      </c>
      <c r="J1310" s="2" t="str">
        <f t="shared" si="105"/>
        <v>NEP</v>
      </c>
      <c r="K1310" s="2" t="str">
        <f t="shared" si="106"/>
        <v>@HAR</v>
      </c>
      <c r="L1310" s="1" t="str">
        <f t="shared" si="104"/>
        <v>1309,8/28/2004,0,2,11,2,0</v>
      </c>
    </row>
    <row r="1311" spans="1:12" x14ac:dyDescent="0.2">
      <c r="A1311" s="1" t="str">
        <f t="shared" si="102"/>
        <v>3822712</v>
      </c>
      <c r="B1311" s="1" t="str">
        <f t="shared" si="103"/>
        <v>382279</v>
      </c>
      <c r="C1311" s="1">
        <v>1310</v>
      </c>
      <c r="D1311" s="4">
        <v>38227</v>
      </c>
      <c r="E1311" s="1">
        <v>0</v>
      </c>
      <c r="F1311" s="1">
        <v>9</v>
      </c>
      <c r="G1311" s="1">
        <v>12</v>
      </c>
      <c r="H1311" s="1">
        <v>2</v>
      </c>
      <c r="I1311" s="1">
        <v>0</v>
      </c>
      <c r="J1311" s="2" t="str">
        <f t="shared" si="105"/>
        <v>CIN</v>
      </c>
      <c r="K1311" s="2" t="str">
        <f t="shared" si="106"/>
        <v>@RMO</v>
      </c>
      <c r="L1311" s="1" t="str">
        <f t="shared" si="104"/>
        <v>1310,8/28/2004,0,9,12,2,0</v>
      </c>
    </row>
    <row r="1312" spans="1:12" x14ac:dyDescent="0.2">
      <c r="A1312" s="1" t="str">
        <f t="shared" si="102"/>
        <v>3822721</v>
      </c>
      <c r="B1312" s="1" t="str">
        <f t="shared" si="103"/>
        <v>382273</v>
      </c>
      <c r="C1312" s="1">
        <v>1311</v>
      </c>
      <c r="D1312" s="4">
        <v>38227</v>
      </c>
      <c r="E1312" s="1">
        <v>0</v>
      </c>
      <c r="F1312" s="1">
        <v>3</v>
      </c>
      <c r="G1312" s="1">
        <v>21</v>
      </c>
      <c r="H1312" s="1">
        <v>2</v>
      </c>
      <c r="I1312" s="1">
        <v>0</v>
      </c>
      <c r="J1312" s="2" t="str">
        <f t="shared" si="105"/>
        <v>TEW</v>
      </c>
      <c r="K1312" s="2" t="str">
        <f t="shared" si="106"/>
        <v>@NYD</v>
      </c>
      <c r="L1312" s="1" t="str">
        <f t="shared" si="104"/>
        <v>1311,8/28/2004,0,3,21,2,0</v>
      </c>
    </row>
    <row r="1313" spans="1:12" x14ac:dyDescent="0.2">
      <c r="A1313" s="1" t="str">
        <f t="shared" si="102"/>
        <v>3822723</v>
      </c>
      <c r="B1313" s="1" t="str">
        <f t="shared" si="103"/>
        <v>3822714</v>
      </c>
      <c r="C1313" s="1">
        <v>1312</v>
      </c>
      <c r="D1313" s="4">
        <v>38227</v>
      </c>
      <c r="E1313" s="1">
        <v>0</v>
      </c>
      <c r="F1313" s="1">
        <v>14</v>
      </c>
      <c r="G1313" s="1">
        <v>23</v>
      </c>
      <c r="H1313" s="1">
        <v>2</v>
      </c>
      <c r="I1313" s="1">
        <v>0</v>
      </c>
      <c r="J1313" s="2" t="str">
        <f t="shared" si="105"/>
        <v>CEN</v>
      </c>
      <c r="K1313" s="2" t="str">
        <f t="shared" si="106"/>
        <v>@BRK</v>
      </c>
      <c r="L1313" s="1" t="str">
        <f t="shared" si="104"/>
        <v>1312,8/28/2004,0,14,23,2,0</v>
      </c>
    </row>
    <row r="1314" spans="1:12" x14ac:dyDescent="0.2">
      <c r="A1314" s="1" t="str">
        <f t="shared" ref="A1314:A1377" si="107">D1314&amp;G1314</f>
        <v>382291</v>
      </c>
      <c r="B1314" s="1" t="str">
        <f t="shared" ref="B1314:B1377" si="108">D1314&amp;F1314</f>
        <v>3822920</v>
      </c>
      <c r="C1314" s="1">
        <v>1313</v>
      </c>
      <c r="D1314" s="4">
        <v>38229</v>
      </c>
      <c r="E1314" s="1">
        <v>0</v>
      </c>
      <c r="F1314" s="1">
        <v>20</v>
      </c>
      <c r="G1314" s="1">
        <v>1</v>
      </c>
      <c r="H1314" s="1">
        <v>2</v>
      </c>
      <c r="I1314" s="1">
        <v>0</v>
      </c>
      <c r="J1314" s="2" t="str">
        <f t="shared" si="105"/>
        <v>FDH</v>
      </c>
      <c r="K1314" s="2" t="str">
        <f t="shared" si="106"/>
        <v>@FFR</v>
      </c>
      <c r="L1314" s="1" t="str">
        <f t="shared" ref="L1314:L1377" si="109">C1314&amp;","&amp;MONTH(D1314)&amp;"/"&amp;DAY(D1314)&amp;"/"&amp;YEAR(D1314)&amp;","&amp;E1314&amp;","&amp;F1314&amp;","&amp;G1314&amp;","&amp;H1314&amp;","&amp;I1314</f>
        <v>1313,8/30/2004,0,20,1,2,0</v>
      </c>
    </row>
    <row r="1315" spans="1:12" x14ac:dyDescent="0.2">
      <c r="A1315" s="1" t="str">
        <f t="shared" si="107"/>
        <v>382294</v>
      </c>
      <c r="B1315" s="1" t="str">
        <f t="shared" si="108"/>
        <v>382292</v>
      </c>
      <c r="C1315" s="1">
        <v>1314</v>
      </c>
      <c r="D1315" s="4">
        <v>38229</v>
      </c>
      <c r="E1315" s="1">
        <v>0</v>
      </c>
      <c r="F1315" s="1">
        <v>2</v>
      </c>
      <c r="G1315" s="1">
        <v>4</v>
      </c>
      <c r="H1315" s="1">
        <v>2</v>
      </c>
      <c r="I1315" s="1">
        <v>0</v>
      </c>
      <c r="J1315" s="2" t="str">
        <f t="shared" si="105"/>
        <v>NEP</v>
      </c>
      <c r="K1315" s="2" t="str">
        <f t="shared" si="106"/>
        <v>@NNN</v>
      </c>
      <c r="L1315" s="1" t="str">
        <f t="shared" si="109"/>
        <v>1314,8/30/2004,0,2,4,2,0</v>
      </c>
    </row>
    <row r="1316" spans="1:12" x14ac:dyDescent="0.2">
      <c r="A1316" s="1" t="str">
        <f t="shared" si="107"/>
        <v>382295</v>
      </c>
      <c r="B1316" s="1" t="str">
        <f t="shared" si="108"/>
        <v>382293</v>
      </c>
      <c r="C1316" s="1">
        <v>1315</v>
      </c>
      <c r="D1316" s="4">
        <v>38229</v>
      </c>
      <c r="E1316" s="1">
        <v>0</v>
      </c>
      <c r="F1316" s="1">
        <v>3</v>
      </c>
      <c r="G1316" s="1">
        <v>5</v>
      </c>
      <c r="H1316" s="1">
        <v>2</v>
      </c>
      <c r="I1316" s="1">
        <v>0</v>
      </c>
      <c r="J1316" s="2" t="str">
        <f t="shared" si="105"/>
        <v>TEW</v>
      </c>
      <c r="K1316" s="2" t="str">
        <f t="shared" si="106"/>
        <v>@OKO</v>
      </c>
      <c r="L1316" s="1" t="str">
        <f t="shared" si="109"/>
        <v>1315,8/30/2004,0,3,5,2,0</v>
      </c>
    </row>
    <row r="1317" spans="1:12" x14ac:dyDescent="0.2">
      <c r="A1317" s="1" t="str">
        <f t="shared" si="107"/>
        <v>3822911</v>
      </c>
      <c r="B1317" s="1" t="str">
        <f t="shared" si="108"/>
        <v>382299</v>
      </c>
      <c r="C1317" s="1">
        <v>1316</v>
      </c>
      <c r="D1317" s="4">
        <v>38229</v>
      </c>
      <c r="E1317" s="1">
        <v>0</v>
      </c>
      <c r="F1317" s="1">
        <v>9</v>
      </c>
      <c r="G1317" s="1">
        <v>11</v>
      </c>
      <c r="H1317" s="1">
        <v>2</v>
      </c>
      <c r="I1317" s="1">
        <v>0</v>
      </c>
      <c r="J1317" s="2" t="str">
        <f t="shared" si="105"/>
        <v>CIN</v>
      </c>
      <c r="K1317" s="2" t="str">
        <f t="shared" si="106"/>
        <v>@HAR</v>
      </c>
      <c r="L1317" s="1" t="str">
        <f t="shared" si="109"/>
        <v>1316,8/30/2004,0,9,11,2,0</v>
      </c>
    </row>
    <row r="1318" spans="1:12" x14ac:dyDescent="0.2">
      <c r="A1318" s="1" t="str">
        <f t="shared" si="107"/>
        <v>3822912</v>
      </c>
      <c r="B1318" s="1" t="str">
        <f t="shared" si="108"/>
        <v>3822914</v>
      </c>
      <c r="C1318" s="1">
        <v>1317</v>
      </c>
      <c r="D1318" s="4">
        <v>38229</v>
      </c>
      <c r="E1318" s="1">
        <v>0</v>
      </c>
      <c r="F1318" s="1">
        <v>14</v>
      </c>
      <c r="G1318" s="1">
        <v>12</v>
      </c>
      <c r="H1318" s="1">
        <v>2</v>
      </c>
      <c r="I1318" s="1">
        <v>0</v>
      </c>
      <c r="J1318" s="2" t="str">
        <f t="shared" si="105"/>
        <v>CEN</v>
      </c>
      <c r="K1318" s="2" t="str">
        <f t="shared" si="106"/>
        <v>@RMO</v>
      </c>
      <c r="L1318" s="1" t="str">
        <f t="shared" si="109"/>
        <v>1317,8/30/2004,0,14,12,2,0</v>
      </c>
    </row>
    <row r="1319" spans="1:12" x14ac:dyDescent="0.2">
      <c r="A1319" s="1" t="str">
        <f t="shared" si="107"/>
        <v>3822916</v>
      </c>
      <c r="B1319" s="1" t="str">
        <f t="shared" si="108"/>
        <v>3822910</v>
      </c>
      <c r="C1319" s="1">
        <v>1318</v>
      </c>
      <c r="D1319" s="4">
        <v>38229</v>
      </c>
      <c r="E1319" s="1">
        <v>0</v>
      </c>
      <c r="F1319" s="1">
        <v>10</v>
      </c>
      <c r="G1319" s="1">
        <v>16</v>
      </c>
      <c r="H1319" s="1">
        <v>2</v>
      </c>
      <c r="I1319" s="1">
        <v>0</v>
      </c>
      <c r="J1319" s="2" t="str">
        <f t="shared" si="105"/>
        <v>REN</v>
      </c>
      <c r="K1319" s="2" t="str">
        <f t="shared" si="106"/>
        <v>@DIG</v>
      </c>
      <c r="L1319" s="1" t="str">
        <f t="shared" si="109"/>
        <v>1318,8/30/2004,0,10,16,2,0</v>
      </c>
    </row>
    <row r="1320" spans="1:12" x14ac:dyDescent="0.2">
      <c r="A1320" s="1" t="str">
        <f t="shared" si="107"/>
        <v>3822921</v>
      </c>
      <c r="B1320" s="1" t="str">
        <f t="shared" si="108"/>
        <v>382298</v>
      </c>
      <c r="C1320" s="1">
        <v>1319</v>
      </c>
      <c r="D1320" s="4">
        <v>38229</v>
      </c>
      <c r="E1320" s="1">
        <v>0</v>
      </c>
      <c r="F1320" s="1">
        <v>8</v>
      </c>
      <c r="G1320" s="1">
        <v>21</v>
      </c>
      <c r="H1320" s="1">
        <v>2</v>
      </c>
      <c r="I1320" s="1">
        <v>0</v>
      </c>
      <c r="J1320" s="2" t="str">
        <f t="shared" si="105"/>
        <v>CTW</v>
      </c>
      <c r="K1320" s="2" t="str">
        <f t="shared" si="106"/>
        <v>@NYD</v>
      </c>
      <c r="L1320" s="1" t="str">
        <f t="shared" si="109"/>
        <v>1319,8/30/2004,0,8,21,2,0</v>
      </c>
    </row>
    <row r="1321" spans="1:12" x14ac:dyDescent="0.2">
      <c r="A1321" s="1" t="str">
        <f t="shared" si="107"/>
        <v>3822922</v>
      </c>
      <c r="B1321" s="1" t="str">
        <f t="shared" si="108"/>
        <v>3822913</v>
      </c>
      <c r="C1321" s="1">
        <v>1320</v>
      </c>
      <c r="D1321" s="4">
        <v>38229</v>
      </c>
      <c r="E1321" s="1">
        <v>0</v>
      </c>
      <c r="F1321" s="1">
        <v>13</v>
      </c>
      <c r="G1321" s="1">
        <v>22</v>
      </c>
      <c r="H1321" s="1">
        <v>2</v>
      </c>
      <c r="I1321" s="1">
        <v>0</v>
      </c>
      <c r="J1321" s="2" t="str">
        <f t="shared" si="105"/>
        <v>BBG</v>
      </c>
      <c r="K1321" s="2" t="str">
        <f t="shared" si="106"/>
        <v>@CBB</v>
      </c>
      <c r="L1321" s="1" t="str">
        <f t="shared" si="109"/>
        <v>1320,8/30/2004,0,13,22,2,0</v>
      </c>
    </row>
    <row r="1322" spans="1:12" x14ac:dyDescent="0.2">
      <c r="A1322" s="1" t="str">
        <f t="shared" si="107"/>
        <v>3822923</v>
      </c>
      <c r="B1322" s="1" t="str">
        <f t="shared" si="108"/>
        <v>3822917</v>
      </c>
      <c r="C1322" s="1">
        <v>1321</v>
      </c>
      <c r="D1322" s="4">
        <v>38229</v>
      </c>
      <c r="E1322" s="1">
        <v>0</v>
      </c>
      <c r="F1322" s="1">
        <v>17</v>
      </c>
      <c r="G1322" s="1">
        <v>23</v>
      </c>
      <c r="H1322" s="1">
        <v>2</v>
      </c>
      <c r="I1322" s="1">
        <v>0</v>
      </c>
      <c r="J1322" s="2" t="str">
        <f t="shared" si="105"/>
        <v>GAR</v>
      </c>
      <c r="K1322" s="2" t="str">
        <f t="shared" si="106"/>
        <v>@BRK</v>
      </c>
      <c r="L1322" s="1" t="str">
        <f t="shared" si="109"/>
        <v>1321,8/30/2004,0,17,23,2,0</v>
      </c>
    </row>
    <row r="1323" spans="1:12" x14ac:dyDescent="0.2">
      <c r="A1323" s="1" t="str">
        <f t="shared" si="107"/>
        <v>3822924</v>
      </c>
      <c r="B1323" s="1" t="str">
        <f t="shared" si="108"/>
        <v>382297</v>
      </c>
      <c r="C1323" s="1">
        <v>1322</v>
      </c>
      <c r="D1323" s="4">
        <v>38229</v>
      </c>
      <c r="E1323" s="1">
        <v>0</v>
      </c>
      <c r="F1323" s="1">
        <v>7</v>
      </c>
      <c r="G1323" s="1">
        <v>24</v>
      </c>
      <c r="H1323" s="1">
        <v>2</v>
      </c>
      <c r="I1323" s="1">
        <v>0</v>
      </c>
      <c r="J1323" s="2" t="str">
        <f t="shared" si="105"/>
        <v>BAR</v>
      </c>
      <c r="K1323" s="2" t="str">
        <f t="shared" si="106"/>
        <v>@PHI</v>
      </c>
      <c r="L1323" s="1" t="str">
        <f t="shared" si="109"/>
        <v>1322,8/30/2004,0,7,24,2,0</v>
      </c>
    </row>
    <row r="1324" spans="1:12" x14ac:dyDescent="0.2">
      <c r="A1324" s="1" t="str">
        <f t="shared" si="107"/>
        <v>382301</v>
      </c>
      <c r="B1324" s="1" t="str">
        <f t="shared" si="108"/>
        <v>3823020</v>
      </c>
      <c r="C1324" s="1">
        <v>1323</v>
      </c>
      <c r="D1324" s="4">
        <v>38230</v>
      </c>
      <c r="E1324" s="1">
        <v>0</v>
      </c>
      <c r="F1324" s="1">
        <v>20</v>
      </c>
      <c r="G1324" s="1">
        <v>1</v>
      </c>
      <c r="H1324" s="1">
        <v>2</v>
      </c>
      <c r="I1324" s="1">
        <v>0</v>
      </c>
      <c r="J1324" s="2" t="str">
        <f t="shared" si="105"/>
        <v>FDH</v>
      </c>
      <c r="K1324" s="2" t="str">
        <f t="shared" si="106"/>
        <v>@FFR</v>
      </c>
      <c r="L1324" s="1" t="str">
        <f t="shared" si="109"/>
        <v>1323,8/31/2004,0,20,1,2,0</v>
      </c>
    </row>
    <row r="1325" spans="1:12" x14ac:dyDescent="0.2">
      <c r="A1325" s="1" t="str">
        <f t="shared" si="107"/>
        <v>382304</v>
      </c>
      <c r="B1325" s="1" t="str">
        <f t="shared" si="108"/>
        <v>382302</v>
      </c>
      <c r="C1325" s="1">
        <v>1324</v>
      </c>
      <c r="D1325" s="4">
        <v>38230</v>
      </c>
      <c r="E1325" s="1">
        <v>0</v>
      </c>
      <c r="F1325" s="1">
        <v>2</v>
      </c>
      <c r="G1325" s="1">
        <v>4</v>
      </c>
      <c r="H1325" s="1">
        <v>2</v>
      </c>
      <c r="I1325" s="1">
        <v>0</v>
      </c>
      <c r="J1325" s="2" t="str">
        <f t="shared" si="105"/>
        <v>NEP</v>
      </c>
      <c r="K1325" s="2" t="str">
        <f t="shared" si="106"/>
        <v>@NNN</v>
      </c>
      <c r="L1325" s="1" t="str">
        <f t="shared" si="109"/>
        <v>1324,8/31/2004,0,2,4,2,0</v>
      </c>
    </row>
    <row r="1326" spans="1:12" x14ac:dyDescent="0.2">
      <c r="A1326" s="1" t="str">
        <f t="shared" si="107"/>
        <v>382305</v>
      </c>
      <c r="B1326" s="1" t="str">
        <f t="shared" si="108"/>
        <v>382303</v>
      </c>
      <c r="C1326" s="1">
        <v>1325</v>
      </c>
      <c r="D1326" s="4">
        <v>38230</v>
      </c>
      <c r="E1326" s="1">
        <v>0</v>
      </c>
      <c r="F1326" s="1">
        <v>3</v>
      </c>
      <c r="G1326" s="1">
        <v>5</v>
      </c>
      <c r="H1326" s="1">
        <v>2</v>
      </c>
      <c r="I1326" s="1">
        <v>0</v>
      </c>
      <c r="J1326" s="2" t="str">
        <f t="shared" si="105"/>
        <v>TEW</v>
      </c>
      <c r="K1326" s="2" t="str">
        <f t="shared" si="106"/>
        <v>@OKO</v>
      </c>
      <c r="L1326" s="1" t="str">
        <f t="shared" si="109"/>
        <v>1325,8/31/2004,0,3,5,2,0</v>
      </c>
    </row>
    <row r="1327" spans="1:12" x14ac:dyDescent="0.2">
      <c r="A1327" s="1" t="str">
        <f t="shared" si="107"/>
        <v>3823011</v>
      </c>
      <c r="B1327" s="1" t="str">
        <f t="shared" si="108"/>
        <v>382309</v>
      </c>
      <c r="C1327" s="1">
        <v>1326</v>
      </c>
      <c r="D1327" s="4">
        <v>38230</v>
      </c>
      <c r="E1327" s="1">
        <v>0</v>
      </c>
      <c r="F1327" s="1">
        <v>9</v>
      </c>
      <c r="G1327" s="1">
        <v>11</v>
      </c>
      <c r="H1327" s="1">
        <v>2</v>
      </c>
      <c r="I1327" s="1">
        <v>0</v>
      </c>
      <c r="J1327" s="2" t="str">
        <f t="shared" si="105"/>
        <v>CIN</v>
      </c>
      <c r="K1327" s="2" t="str">
        <f t="shared" si="106"/>
        <v>@HAR</v>
      </c>
      <c r="L1327" s="1" t="str">
        <f t="shared" si="109"/>
        <v>1326,8/31/2004,0,9,11,2,0</v>
      </c>
    </row>
    <row r="1328" spans="1:12" x14ac:dyDescent="0.2">
      <c r="A1328" s="1" t="str">
        <f t="shared" si="107"/>
        <v>3823012</v>
      </c>
      <c r="B1328" s="1" t="str">
        <f t="shared" si="108"/>
        <v>3823014</v>
      </c>
      <c r="C1328" s="1">
        <v>1327</v>
      </c>
      <c r="D1328" s="4">
        <v>38230</v>
      </c>
      <c r="E1328" s="1">
        <v>0</v>
      </c>
      <c r="F1328" s="1">
        <v>14</v>
      </c>
      <c r="G1328" s="1">
        <v>12</v>
      </c>
      <c r="H1328" s="1">
        <v>2</v>
      </c>
      <c r="I1328" s="1">
        <v>0</v>
      </c>
      <c r="J1328" s="2" t="str">
        <f t="shared" si="105"/>
        <v>CEN</v>
      </c>
      <c r="K1328" s="2" t="str">
        <f t="shared" si="106"/>
        <v>@RMO</v>
      </c>
      <c r="L1328" s="1" t="str">
        <f t="shared" si="109"/>
        <v>1327,8/31/2004,0,14,12,2,0</v>
      </c>
    </row>
    <row r="1329" spans="1:12" x14ac:dyDescent="0.2">
      <c r="A1329" s="1" t="str">
        <f t="shared" si="107"/>
        <v>3823016</v>
      </c>
      <c r="B1329" s="1" t="str">
        <f t="shared" si="108"/>
        <v>3823010</v>
      </c>
      <c r="C1329" s="1">
        <v>1328</v>
      </c>
      <c r="D1329" s="4">
        <v>38230</v>
      </c>
      <c r="E1329" s="1">
        <v>0</v>
      </c>
      <c r="F1329" s="1">
        <v>10</v>
      </c>
      <c r="G1329" s="1">
        <v>16</v>
      </c>
      <c r="H1329" s="1">
        <v>2</v>
      </c>
      <c r="I1329" s="1">
        <v>0</v>
      </c>
      <c r="J1329" s="2" t="str">
        <f t="shared" si="105"/>
        <v>REN</v>
      </c>
      <c r="K1329" s="2" t="str">
        <f t="shared" si="106"/>
        <v>@DIG</v>
      </c>
      <c r="L1329" s="1" t="str">
        <f t="shared" si="109"/>
        <v>1328,8/31/2004,0,10,16,2,0</v>
      </c>
    </row>
    <row r="1330" spans="1:12" x14ac:dyDescent="0.2">
      <c r="A1330" s="1" t="str">
        <f t="shared" si="107"/>
        <v>3823021</v>
      </c>
      <c r="B1330" s="1" t="str">
        <f t="shared" si="108"/>
        <v>382308</v>
      </c>
      <c r="C1330" s="1">
        <v>1329</v>
      </c>
      <c r="D1330" s="4">
        <v>38230</v>
      </c>
      <c r="E1330" s="1">
        <v>0</v>
      </c>
      <c r="F1330" s="1">
        <v>8</v>
      </c>
      <c r="G1330" s="1">
        <v>21</v>
      </c>
      <c r="H1330" s="1">
        <v>2</v>
      </c>
      <c r="I1330" s="1">
        <v>0</v>
      </c>
      <c r="J1330" s="2" t="str">
        <f t="shared" si="105"/>
        <v>CTW</v>
      </c>
      <c r="K1330" s="2" t="str">
        <f t="shared" si="106"/>
        <v>@NYD</v>
      </c>
      <c r="L1330" s="1" t="str">
        <f t="shared" si="109"/>
        <v>1329,8/31/2004,0,8,21,2,0</v>
      </c>
    </row>
    <row r="1331" spans="1:12" x14ac:dyDescent="0.2">
      <c r="A1331" s="1" t="str">
        <f t="shared" si="107"/>
        <v>3823022</v>
      </c>
      <c r="B1331" s="1" t="str">
        <f t="shared" si="108"/>
        <v>3823013</v>
      </c>
      <c r="C1331" s="1">
        <v>1330</v>
      </c>
      <c r="D1331" s="4">
        <v>38230</v>
      </c>
      <c r="E1331" s="1">
        <v>0</v>
      </c>
      <c r="F1331" s="1">
        <v>13</v>
      </c>
      <c r="G1331" s="1">
        <v>22</v>
      </c>
      <c r="H1331" s="1">
        <v>2</v>
      </c>
      <c r="I1331" s="1">
        <v>0</v>
      </c>
      <c r="J1331" s="2" t="str">
        <f t="shared" si="105"/>
        <v>BBG</v>
      </c>
      <c r="K1331" s="2" t="str">
        <f t="shared" si="106"/>
        <v>@CBB</v>
      </c>
      <c r="L1331" s="1" t="str">
        <f t="shared" si="109"/>
        <v>1330,8/31/2004,0,13,22,2,0</v>
      </c>
    </row>
    <row r="1332" spans="1:12" x14ac:dyDescent="0.2">
      <c r="A1332" s="1" t="str">
        <f t="shared" si="107"/>
        <v>3823023</v>
      </c>
      <c r="B1332" s="1" t="str">
        <f t="shared" si="108"/>
        <v>3823017</v>
      </c>
      <c r="C1332" s="1">
        <v>1331</v>
      </c>
      <c r="D1332" s="4">
        <v>38230</v>
      </c>
      <c r="E1332" s="1">
        <v>0</v>
      </c>
      <c r="F1332" s="1">
        <v>17</v>
      </c>
      <c r="G1332" s="1">
        <v>23</v>
      </c>
      <c r="H1332" s="1">
        <v>2</v>
      </c>
      <c r="I1332" s="1">
        <v>0</v>
      </c>
      <c r="J1332" s="2" t="str">
        <f t="shared" si="105"/>
        <v>GAR</v>
      </c>
      <c r="K1332" s="2" t="str">
        <f t="shared" si="106"/>
        <v>@BRK</v>
      </c>
      <c r="L1332" s="1" t="str">
        <f t="shared" si="109"/>
        <v>1331,8/31/2004,0,17,23,2,0</v>
      </c>
    </row>
    <row r="1333" spans="1:12" x14ac:dyDescent="0.2">
      <c r="A1333" s="1" t="str">
        <f t="shared" si="107"/>
        <v>3823024</v>
      </c>
      <c r="B1333" s="1" t="str">
        <f t="shared" si="108"/>
        <v>382307</v>
      </c>
      <c r="C1333" s="1">
        <v>1332</v>
      </c>
      <c r="D1333" s="4">
        <v>38230</v>
      </c>
      <c r="E1333" s="1">
        <v>0</v>
      </c>
      <c r="F1333" s="1">
        <v>7</v>
      </c>
      <c r="G1333" s="1">
        <v>24</v>
      </c>
      <c r="H1333" s="1">
        <v>2</v>
      </c>
      <c r="I1333" s="1">
        <v>0</v>
      </c>
      <c r="J1333" s="2" t="str">
        <f t="shared" si="105"/>
        <v>BAR</v>
      </c>
      <c r="K1333" s="2" t="str">
        <f t="shared" si="106"/>
        <v>@PHI</v>
      </c>
      <c r="L1333" s="1" t="str">
        <f t="shared" si="109"/>
        <v>1332,8/31/2004,0,7,24,2,0</v>
      </c>
    </row>
    <row r="1334" spans="1:12" x14ac:dyDescent="0.2">
      <c r="A1334" s="1" t="str">
        <f t="shared" si="107"/>
        <v>382311</v>
      </c>
      <c r="B1334" s="1" t="str">
        <f t="shared" si="108"/>
        <v>3823120</v>
      </c>
      <c r="C1334" s="1">
        <v>1333</v>
      </c>
      <c r="D1334" s="4">
        <v>38231</v>
      </c>
      <c r="E1334" s="1">
        <v>0</v>
      </c>
      <c r="F1334" s="1">
        <v>20</v>
      </c>
      <c r="G1334" s="1">
        <v>1</v>
      </c>
      <c r="H1334" s="1">
        <v>2</v>
      </c>
      <c r="I1334" s="1">
        <v>0</v>
      </c>
      <c r="J1334" s="2" t="str">
        <f t="shared" si="105"/>
        <v>FDH</v>
      </c>
      <c r="K1334" s="2" t="str">
        <f t="shared" si="106"/>
        <v>@FFR</v>
      </c>
      <c r="L1334" s="1" t="str">
        <f t="shared" si="109"/>
        <v>1333,9/1/2004,0,20,1,2,0</v>
      </c>
    </row>
    <row r="1335" spans="1:12" x14ac:dyDescent="0.2">
      <c r="A1335" s="1" t="str">
        <f t="shared" si="107"/>
        <v>382314</v>
      </c>
      <c r="B1335" s="1" t="str">
        <f t="shared" si="108"/>
        <v>382312</v>
      </c>
      <c r="C1335" s="1">
        <v>1334</v>
      </c>
      <c r="D1335" s="4">
        <v>38231</v>
      </c>
      <c r="E1335" s="1">
        <v>0</v>
      </c>
      <c r="F1335" s="1">
        <v>2</v>
      </c>
      <c r="G1335" s="1">
        <v>4</v>
      </c>
      <c r="H1335" s="1">
        <v>2</v>
      </c>
      <c r="I1335" s="1">
        <v>0</v>
      </c>
      <c r="J1335" s="2" t="str">
        <f t="shared" si="105"/>
        <v>NEP</v>
      </c>
      <c r="K1335" s="2" t="str">
        <f t="shared" si="106"/>
        <v>@NNN</v>
      </c>
      <c r="L1335" s="1" t="str">
        <f t="shared" si="109"/>
        <v>1334,9/1/2004,0,2,4,2,0</v>
      </c>
    </row>
    <row r="1336" spans="1:12" x14ac:dyDescent="0.2">
      <c r="A1336" s="1" t="str">
        <f t="shared" si="107"/>
        <v>382315</v>
      </c>
      <c r="B1336" s="1" t="str">
        <f t="shared" si="108"/>
        <v>382313</v>
      </c>
      <c r="C1336" s="1">
        <v>1335</v>
      </c>
      <c r="D1336" s="4">
        <v>38231</v>
      </c>
      <c r="E1336" s="1">
        <v>0</v>
      </c>
      <c r="F1336" s="1">
        <v>3</v>
      </c>
      <c r="G1336" s="1">
        <v>5</v>
      </c>
      <c r="H1336" s="1">
        <v>2</v>
      </c>
      <c r="I1336" s="1">
        <v>0</v>
      </c>
      <c r="J1336" s="2" t="str">
        <f t="shared" si="105"/>
        <v>TEW</v>
      </c>
      <c r="K1336" s="2" t="str">
        <f t="shared" si="106"/>
        <v>@OKO</v>
      </c>
      <c r="L1336" s="1" t="str">
        <f t="shared" si="109"/>
        <v>1335,9/1/2004,0,3,5,2,0</v>
      </c>
    </row>
    <row r="1337" spans="1:12" x14ac:dyDescent="0.2">
      <c r="A1337" s="1" t="str">
        <f t="shared" si="107"/>
        <v>3823111</v>
      </c>
      <c r="B1337" s="1" t="str">
        <f t="shared" si="108"/>
        <v>382319</v>
      </c>
      <c r="C1337" s="1">
        <v>1336</v>
      </c>
      <c r="D1337" s="4">
        <v>38231</v>
      </c>
      <c r="E1337" s="1">
        <v>0</v>
      </c>
      <c r="F1337" s="1">
        <v>9</v>
      </c>
      <c r="G1337" s="1">
        <v>11</v>
      </c>
      <c r="H1337" s="1">
        <v>2</v>
      </c>
      <c r="I1337" s="1">
        <v>0</v>
      </c>
      <c r="J1337" s="2" t="str">
        <f t="shared" si="105"/>
        <v>CIN</v>
      </c>
      <c r="K1337" s="2" t="str">
        <f t="shared" si="106"/>
        <v>@HAR</v>
      </c>
      <c r="L1337" s="1" t="str">
        <f t="shared" si="109"/>
        <v>1336,9/1/2004,0,9,11,2,0</v>
      </c>
    </row>
    <row r="1338" spans="1:12" x14ac:dyDescent="0.2">
      <c r="A1338" s="1" t="str">
        <f t="shared" si="107"/>
        <v>3823112</v>
      </c>
      <c r="B1338" s="1" t="str">
        <f t="shared" si="108"/>
        <v>3823114</v>
      </c>
      <c r="C1338" s="1">
        <v>1337</v>
      </c>
      <c r="D1338" s="4">
        <v>38231</v>
      </c>
      <c r="E1338" s="1">
        <v>0</v>
      </c>
      <c r="F1338" s="1">
        <v>14</v>
      </c>
      <c r="G1338" s="1">
        <v>12</v>
      </c>
      <c r="H1338" s="1">
        <v>2</v>
      </c>
      <c r="I1338" s="1">
        <v>0</v>
      </c>
      <c r="J1338" s="2" t="str">
        <f t="shared" si="105"/>
        <v>CEN</v>
      </c>
      <c r="K1338" s="2" t="str">
        <f t="shared" si="106"/>
        <v>@RMO</v>
      </c>
      <c r="L1338" s="1" t="str">
        <f t="shared" si="109"/>
        <v>1337,9/1/2004,0,14,12,2,0</v>
      </c>
    </row>
    <row r="1339" spans="1:12" x14ac:dyDescent="0.2">
      <c r="A1339" s="1" t="str">
        <f t="shared" si="107"/>
        <v>3823116</v>
      </c>
      <c r="B1339" s="1" t="str">
        <f t="shared" si="108"/>
        <v>3823110</v>
      </c>
      <c r="C1339" s="1">
        <v>1338</v>
      </c>
      <c r="D1339" s="4">
        <v>38231</v>
      </c>
      <c r="E1339" s="1">
        <v>0</v>
      </c>
      <c r="F1339" s="1">
        <v>10</v>
      </c>
      <c r="G1339" s="1">
        <v>16</v>
      </c>
      <c r="H1339" s="1">
        <v>2</v>
      </c>
      <c r="I1339" s="1">
        <v>0</v>
      </c>
      <c r="J1339" s="2" t="str">
        <f t="shared" si="105"/>
        <v>REN</v>
      </c>
      <c r="K1339" s="2" t="str">
        <f t="shared" si="106"/>
        <v>@DIG</v>
      </c>
      <c r="L1339" s="1" t="str">
        <f t="shared" si="109"/>
        <v>1338,9/1/2004,0,10,16,2,0</v>
      </c>
    </row>
    <row r="1340" spans="1:12" x14ac:dyDescent="0.2">
      <c r="A1340" s="1" t="str">
        <f t="shared" si="107"/>
        <v>3823121</v>
      </c>
      <c r="B1340" s="1" t="str">
        <f t="shared" si="108"/>
        <v>382318</v>
      </c>
      <c r="C1340" s="1">
        <v>1339</v>
      </c>
      <c r="D1340" s="4">
        <v>38231</v>
      </c>
      <c r="E1340" s="1">
        <v>0</v>
      </c>
      <c r="F1340" s="1">
        <v>8</v>
      </c>
      <c r="G1340" s="1">
        <v>21</v>
      </c>
      <c r="H1340" s="1">
        <v>2</v>
      </c>
      <c r="I1340" s="1">
        <v>0</v>
      </c>
      <c r="J1340" s="2" t="str">
        <f t="shared" si="105"/>
        <v>CTW</v>
      </c>
      <c r="K1340" s="2" t="str">
        <f t="shared" si="106"/>
        <v>@NYD</v>
      </c>
      <c r="L1340" s="1" t="str">
        <f t="shared" si="109"/>
        <v>1339,9/1/2004,0,8,21,2,0</v>
      </c>
    </row>
    <row r="1341" spans="1:12" x14ac:dyDescent="0.2">
      <c r="A1341" s="1" t="str">
        <f t="shared" si="107"/>
        <v>3823122</v>
      </c>
      <c r="B1341" s="1" t="str">
        <f t="shared" si="108"/>
        <v>3823113</v>
      </c>
      <c r="C1341" s="1">
        <v>1340</v>
      </c>
      <c r="D1341" s="4">
        <v>38231</v>
      </c>
      <c r="E1341" s="1">
        <v>0</v>
      </c>
      <c r="F1341" s="1">
        <v>13</v>
      </c>
      <c r="G1341" s="1">
        <v>22</v>
      </c>
      <c r="H1341" s="1">
        <v>2</v>
      </c>
      <c r="I1341" s="1">
        <v>0</v>
      </c>
      <c r="J1341" s="2" t="str">
        <f t="shared" si="105"/>
        <v>BBG</v>
      </c>
      <c r="K1341" s="2" t="str">
        <f t="shared" si="106"/>
        <v>@CBB</v>
      </c>
      <c r="L1341" s="1" t="str">
        <f t="shared" si="109"/>
        <v>1340,9/1/2004,0,13,22,2,0</v>
      </c>
    </row>
    <row r="1342" spans="1:12" x14ac:dyDescent="0.2">
      <c r="A1342" s="1" t="str">
        <f t="shared" si="107"/>
        <v>3823123</v>
      </c>
      <c r="B1342" s="1" t="str">
        <f t="shared" si="108"/>
        <v>3823117</v>
      </c>
      <c r="C1342" s="1">
        <v>1341</v>
      </c>
      <c r="D1342" s="4">
        <v>38231</v>
      </c>
      <c r="E1342" s="1">
        <v>0</v>
      </c>
      <c r="F1342" s="1">
        <v>17</v>
      </c>
      <c r="G1342" s="1">
        <v>23</v>
      </c>
      <c r="H1342" s="1">
        <v>2</v>
      </c>
      <c r="I1342" s="1">
        <v>0</v>
      </c>
      <c r="J1342" s="2" t="str">
        <f t="shared" si="105"/>
        <v>GAR</v>
      </c>
      <c r="K1342" s="2" t="str">
        <f t="shared" si="106"/>
        <v>@BRK</v>
      </c>
      <c r="L1342" s="1" t="str">
        <f t="shared" si="109"/>
        <v>1341,9/1/2004,0,17,23,2,0</v>
      </c>
    </row>
    <row r="1343" spans="1:12" x14ac:dyDescent="0.2">
      <c r="A1343" s="1" t="str">
        <f t="shared" si="107"/>
        <v>3823124</v>
      </c>
      <c r="B1343" s="1" t="str">
        <f t="shared" si="108"/>
        <v>382317</v>
      </c>
      <c r="C1343" s="1">
        <v>1342</v>
      </c>
      <c r="D1343" s="4">
        <v>38231</v>
      </c>
      <c r="E1343" s="1">
        <v>0</v>
      </c>
      <c r="F1343" s="1">
        <v>7</v>
      </c>
      <c r="G1343" s="1">
        <v>24</v>
      </c>
      <c r="H1343" s="1">
        <v>2</v>
      </c>
      <c r="I1343" s="1">
        <v>0</v>
      </c>
      <c r="J1343" s="2" t="str">
        <f t="shared" si="105"/>
        <v>BAR</v>
      </c>
      <c r="K1343" s="2" t="str">
        <f t="shared" si="106"/>
        <v>@PHI</v>
      </c>
      <c r="L1343" s="1" t="str">
        <f t="shared" si="109"/>
        <v>1342,9/1/2004,0,7,24,2,0</v>
      </c>
    </row>
    <row r="1344" spans="1:12" x14ac:dyDescent="0.2">
      <c r="A1344" s="1" t="str">
        <f t="shared" si="107"/>
        <v>382321</v>
      </c>
      <c r="B1344" s="1" t="str">
        <f t="shared" si="108"/>
        <v>3823220</v>
      </c>
      <c r="C1344" s="1">
        <v>1343</v>
      </c>
      <c r="D1344" s="4">
        <v>38232</v>
      </c>
      <c r="E1344" s="1">
        <v>0</v>
      </c>
      <c r="F1344" s="1">
        <v>20</v>
      </c>
      <c r="G1344" s="1">
        <v>1</v>
      </c>
      <c r="H1344" s="1">
        <v>2</v>
      </c>
      <c r="I1344" s="1">
        <v>0</v>
      </c>
      <c r="J1344" s="2" t="str">
        <f t="shared" si="105"/>
        <v>FDH</v>
      </c>
      <c r="K1344" s="2" t="str">
        <f t="shared" si="106"/>
        <v>@FFR</v>
      </c>
      <c r="L1344" s="1" t="str">
        <f t="shared" si="109"/>
        <v>1343,9/2/2004,0,20,1,2,0</v>
      </c>
    </row>
    <row r="1345" spans="1:12" x14ac:dyDescent="0.2">
      <c r="A1345" s="1" t="str">
        <f t="shared" si="107"/>
        <v>382325</v>
      </c>
      <c r="B1345" s="1" t="str">
        <f t="shared" si="108"/>
        <v>382323</v>
      </c>
      <c r="C1345" s="1">
        <v>1344</v>
      </c>
      <c r="D1345" s="4">
        <v>38232</v>
      </c>
      <c r="E1345" s="1">
        <v>0</v>
      </c>
      <c r="F1345" s="1">
        <v>3</v>
      </c>
      <c r="G1345" s="1">
        <v>5</v>
      </c>
      <c r="H1345" s="1">
        <v>2</v>
      </c>
      <c r="I1345" s="1">
        <v>0</v>
      </c>
      <c r="J1345" s="2" t="str">
        <f t="shared" si="105"/>
        <v>TEW</v>
      </c>
      <c r="K1345" s="2" t="str">
        <f t="shared" si="106"/>
        <v>@OKO</v>
      </c>
      <c r="L1345" s="1" t="str">
        <f t="shared" si="109"/>
        <v>1344,9/2/2004,0,3,5,2,0</v>
      </c>
    </row>
    <row r="1346" spans="1:12" x14ac:dyDescent="0.2">
      <c r="A1346" s="1" t="str">
        <f t="shared" si="107"/>
        <v>3823216</v>
      </c>
      <c r="B1346" s="1" t="str">
        <f t="shared" si="108"/>
        <v>3823210</v>
      </c>
      <c r="C1346" s="1">
        <v>1345</v>
      </c>
      <c r="D1346" s="4">
        <v>38232</v>
      </c>
      <c r="E1346" s="1">
        <v>0</v>
      </c>
      <c r="F1346" s="1">
        <v>10</v>
      </c>
      <c r="G1346" s="1">
        <v>16</v>
      </c>
      <c r="H1346" s="1">
        <v>2</v>
      </c>
      <c r="I1346" s="1">
        <v>0</v>
      </c>
      <c r="J1346" s="2" t="str">
        <f t="shared" ref="J1346:J1409" si="110">VLOOKUP(F1346,$M$2:$N$21,2,0)</f>
        <v>REN</v>
      </c>
      <c r="K1346" s="2" t="str">
        <f t="shared" ref="K1346:K1409" si="111">"@"&amp;VLOOKUP(G1346,$M$2:$N$21,2,0)</f>
        <v>@DIG</v>
      </c>
      <c r="L1346" s="1" t="str">
        <f t="shared" si="109"/>
        <v>1345,9/2/2004,0,10,16,2,0</v>
      </c>
    </row>
    <row r="1347" spans="1:12" x14ac:dyDescent="0.2">
      <c r="A1347" s="1" t="str">
        <f t="shared" si="107"/>
        <v>382324</v>
      </c>
      <c r="B1347" s="1" t="str">
        <f t="shared" si="108"/>
        <v>382322</v>
      </c>
      <c r="C1347" s="1">
        <v>1346</v>
      </c>
      <c r="D1347" s="4">
        <v>38232</v>
      </c>
      <c r="E1347" s="1">
        <v>0</v>
      </c>
      <c r="F1347" s="1">
        <v>2</v>
      </c>
      <c r="G1347" s="1">
        <v>4</v>
      </c>
      <c r="H1347" s="1">
        <v>2</v>
      </c>
      <c r="I1347" s="1">
        <v>0</v>
      </c>
      <c r="J1347" s="2" t="str">
        <f t="shared" si="110"/>
        <v>NEP</v>
      </c>
      <c r="K1347" s="2" t="str">
        <f t="shared" si="111"/>
        <v>@NNN</v>
      </c>
      <c r="L1347" s="1" t="str">
        <f t="shared" si="109"/>
        <v>1346,9/2/2004,0,2,4,2,0</v>
      </c>
    </row>
    <row r="1348" spans="1:12" x14ac:dyDescent="0.2">
      <c r="A1348" s="1" t="str">
        <f t="shared" si="107"/>
        <v>3823211</v>
      </c>
      <c r="B1348" s="1" t="str">
        <f t="shared" si="108"/>
        <v>382329</v>
      </c>
      <c r="C1348" s="1">
        <v>1347</v>
      </c>
      <c r="D1348" s="4">
        <v>38232</v>
      </c>
      <c r="E1348" s="1">
        <v>0</v>
      </c>
      <c r="F1348" s="1">
        <v>9</v>
      </c>
      <c r="G1348" s="1">
        <v>11</v>
      </c>
      <c r="H1348" s="1">
        <v>2</v>
      </c>
      <c r="I1348" s="1">
        <v>0</v>
      </c>
      <c r="J1348" s="2" t="str">
        <f t="shared" si="110"/>
        <v>CIN</v>
      </c>
      <c r="K1348" s="2" t="str">
        <f t="shared" si="111"/>
        <v>@HAR</v>
      </c>
      <c r="L1348" s="1" t="str">
        <f t="shared" si="109"/>
        <v>1347,9/2/2004,0,9,11,2,0</v>
      </c>
    </row>
    <row r="1349" spans="1:12" x14ac:dyDescent="0.2">
      <c r="A1349" s="1" t="str">
        <f t="shared" si="107"/>
        <v>3823212</v>
      </c>
      <c r="B1349" s="1" t="str">
        <f t="shared" si="108"/>
        <v>3823214</v>
      </c>
      <c r="C1349" s="1">
        <v>1348</v>
      </c>
      <c r="D1349" s="4">
        <v>38232</v>
      </c>
      <c r="E1349" s="1">
        <v>0</v>
      </c>
      <c r="F1349" s="1">
        <v>14</v>
      </c>
      <c r="G1349" s="1">
        <v>12</v>
      </c>
      <c r="H1349" s="1">
        <v>2</v>
      </c>
      <c r="I1349" s="1">
        <v>0</v>
      </c>
      <c r="J1349" s="2" t="str">
        <f t="shared" si="110"/>
        <v>CEN</v>
      </c>
      <c r="K1349" s="2" t="str">
        <f t="shared" si="111"/>
        <v>@RMO</v>
      </c>
      <c r="L1349" s="1" t="str">
        <f t="shared" si="109"/>
        <v>1348,9/2/2004,0,14,12,2,0</v>
      </c>
    </row>
    <row r="1350" spans="1:12" x14ac:dyDescent="0.2">
      <c r="A1350" s="1" t="str">
        <f t="shared" si="107"/>
        <v>3823221</v>
      </c>
      <c r="B1350" s="1" t="str">
        <f t="shared" si="108"/>
        <v>382328</v>
      </c>
      <c r="C1350" s="1">
        <v>1349</v>
      </c>
      <c r="D1350" s="4">
        <v>38232</v>
      </c>
      <c r="E1350" s="1">
        <v>0</v>
      </c>
      <c r="F1350" s="1">
        <v>8</v>
      </c>
      <c r="G1350" s="1">
        <v>21</v>
      </c>
      <c r="H1350" s="1">
        <v>2</v>
      </c>
      <c r="I1350" s="1">
        <v>0</v>
      </c>
      <c r="J1350" s="2" t="str">
        <f t="shared" si="110"/>
        <v>CTW</v>
      </c>
      <c r="K1350" s="2" t="str">
        <f t="shared" si="111"/>
        <v>@NYD</v>
      </c>
      <c r="L1350" s="1" t="str">
        <f t="shared" si="109"/>
        <v>1349,9/2/2004,0,8,21,2,0</v>
      </c>
    </row>
    <row r="1351" spans="1:12" x14ac:dyDescent="0.2">
      <c r="A1351" s="1" t="str">
        <f t="shared" si="107"/>
        <v>3823222</v>
      </c>
      <c r="B1351" s="1" t="str">
        <f t="shared" si="108"/>
        <v>3823213</v>
      </c>
      <c r="C1351" s="1">
        <v>1350</v>
      </c>
      <c r="D1351" s="4">
        <v>38232</v>
      </c>
      <c r="E1351" s="1">
        <v>0</v>
      </c>
      <c r="F1351" s="1">
        <v>13</v>
      </c>
      <c r="G1351" s="1">
        <v>22</v>
      </c>
      <c r="H1351" s="1">
        <v>2</v>
      </c>
      <c r="I1351" s="1">
        <v>0</v>
      </c>
      <c r="J1351" s="2" t="str">
        <f t="shared" si="110"/>
        <v>BBG</v>
      </c>
      <c r="K1351" s="2" t="str">
        <f t="shared" si="111"/>
        <v>@CBB</v>
      </c>
      <c r="L1351" s="1" t="str">
        <f t="shared" si="109"/>
        <v>1350,9/2/2004,0,13,22,2,0</v>
      </c>
    </row>
    <row r="1352" spans="1:12" x14ac:dyDescent="0.2">
      <c r="A1352" s="1" t="str">
        <f t="shared" si="107"/>
        <v>3823223</v>
      </c>
      <c r="B1352" s="1" t="str">
        <f t="shared" si="108"/>
        <v>3823217</v>
      </c>
      <c r="C1352" s="1">
        <v>1351</v>
      </c>
      <c r="D1352" s="4">
        <v>38232</v>
      </c>
      <c r="E1352" s="1">
        <v>0</v>
      </c>
      <c r="F1352" s="1">
        <v>17</v>
      </c>
      <c r="G1352" s="1">
        <v>23</v>
      </c>
      <c r="H1352" s="1">
        <v>2</v>
      </c>
      <c r="I1352" s="1">
        <v>0</v>
      </c>
      <c r="J1352" s="2" t="str">
        <f t="shared" si="110"/>
        <v>GAR</v>
      </c>
      <c r="K1352" s="2" t="str">
        <f t="shared" si="111"/>
        <v>@BRK</v>
      </c>
      <c r="L1352" s="1" t="str">
        <f t="shared" si="109"/>
        <v>1351,9/2/2004,0,17,23,2,0</v>
      </c>
    </row>
    <row r="1353" spans="1:12" x14ac:dyDescent="0.2">
      <c r="A1353" s="1" t="str">
        <f t="shared" si="107"/>
        <v>3823224</v>
      </c>
      <c r="B1353" s="1" t="str">
        <f t="shared" si="108"/>
        <v>382327</v>
      </c>
      <c r="C1353" s="1">
        <v>1352</v>
      </c>
      <c r="D1353" s="4">
        <v>38232</v>
      </c>
      <c r="E1353" s="1">
        <v>0</v>
      </c>
      <c r="F1353" s="1">
        <v>7</v>
      </c>
      <c r="G1353" s="1">
        <v>24</v>
      </c>
      <c r="H1353" s="1">
        <v>2</v>
      </c>
      <c r="I1353" s="1">
        <v>0</v>
      </c>
      <c r="J1353" s="2" t="str">
        <f t="shared" si="110"/>
        <v>BAR</v>
      </c>
      <c r="K1353" s="2" t="str">
        <f t="shared" si="111"/>
        <v>@PHI</v>
      </c>
      <c r="L1353" s="1" t="str">
        <f t="shared" si="109"/>
        <v>1352,9/2/2004,0,7,24,2,0</v>
      </c>
    </row>
    <row r="1354" spans="1:12" x14ac:dyDescent="0.2">
      <c r="A1354" s="1" t="str">
        <f t="shared" si="107"/>
        <v>382332</v>
      </c>
      <c r="B1354" s="1" t="str">
        <f t="shared" si="108"/>
        <v>382335</v>
      </c>
      <c r="C1354" s="1">
        <v>1353</v>
      </c>
      <c r="D1354" s="4">
        <v>38233</v>
      </c>
      <c r="E1354" s="1">
        <v>0</v>
      </c>
      <c r="F1354" s="1">
        <v>5</v>
      </c>
      <c r="G1354" s="1">
        <v>2</v>
      </c>
      <c r="H1354" s="1">
        <v>2</v>
      </c>
      <c r="I1354" s="1">
        <v>0</v>
      </c>
      <c r="J1354" s="2" t="str">
        <f t="shared" si="110"/>
        <v>OKO</v>
      </c>
      <c r="K1354" s="2" t="str">
        <f t="shared" si="111"/>
        <v>@NEP</v>
      </c>
      <c r="L1354" s="1" t="str">
        <f t="shared" si="109"/>
        <v>1353,9/3/2004,0,5,2,2,0</v>
      </c>
    </row>
    <row r="1355" spans="1:12" x14ac:dyDescent="0.2">
      <c r="A1355" s="1" t="str">
        <f t="shared" si="107"/>
        <v>382333</v>
      </c>
      <c r="B1355" s="1" t="str">
        <f t="shared" si="108"/>
        <v>3823316</v>
      </c>
      <c r="C1355" s="1">
        <v>1354</v>
      </c>
      <c r="D1355" s="4">
        <v>38233</v>
      </c>
      <c r="E1355" s="1">
        <v>0</v>
      </c>
      <c r="F1355" s="1">
        <v>16</v>
      </c>
      <c r="G1355" s="1">
        <v>3</v>
      </c>
      <c r="H1355" s="1">
        <v>2</v>
      </c>
      <c r="I1355" s="1">
        <v>0</v>
      </c>
      <c r="J1355" s="2" t="str">
        <f t="shared" si="110"/>
        <v>DIG</v>
      </c>
      <c r="K1355" s="2" t="str">
        <f t="shared" si="111"/>
        <v>@TEW</v>
      </c>
      <c r="L1355" s="1" t="str">
        <f t="shared" si="109"/>
        <v>1354,9/3/2004,0,16,3,2,0</v>
      </c>
    </row>
    <row r="1356" spans="1:12" x14ac:dyDescent="0.2">
      <c r="A1356" s="1" t="str">
        <f t="shared" si="107"/>
        <v>382337</v>
      </c>
      <c r="B1356" s="1" t="str">
        <f t="shared" si="108"/>
        <v>3823311</v>
      </c>
      <c r="C1356" s="1">
        <v>1355</v>
      </c>
      <c r="D1356" s="4">
        <v>38233</v>
      </c>
      <c r="E1356" s="1">
        <v>0</v>
      </c>
      <c r="F1356" s="1">
        <v>11</v>
      </c>
      <c r="G1356" s="1">
        <v>7</v>
      </c>
      <c r="H1356" s="1">
        <v>2</v>
      </c>
      <c r="I1356" s="1">
        <v>0</v>
      </c>
      <c r="J1356" s="2" t="str">
        <f t="shared" si="110"/>
        <v>HAR</v>
      </c>
      <c r="K1356" s="2" t="str">
        <f t="shared" si="111"/>
        <v>@BAR</v>
      </c>
      <c r="L1356" s="1" t="str">
        <f t="shared" si="109"/>
        <v>1355,9/3/2004,0,11,7,2,0</v>
      </c>
    </row>
    <row r="1357" spans="1:12" x14ac:dyDescent="0.2">
      <c r="A1357" s="1" t="str">
        <f t="shared" si="107"/>
        <v>3823310</v>
      </c>
      <c r="B1357" s="1" t="str">
        <f t="shared" si="108"/>
        <v>3823312</v>
      </c>
      <c r="C1357" s="1">
        <v>1356</v>
      </c>
      <c r="D1357" s="4">
        <v>38233</v>
      </c>
      <c r="E1357" s="1">
        <v>0</v>
      </c>
      <c r="F1357" s="1">
        <v>12</v>
      </c>
      <c r="G1357" s="1">
        <v>10</v>
      </c>
      <c r="H1357" s="1">
        <v>2</v>
      </c>
      <c r="I1357" s="1">
        <v>0</v>
      </c>
      <c r="J1357" s="2" t="str">
        <f t="shared" si="110"/>
        <v>RMO</v>
      </c>
      <c r="K1357" s="2" t="str">
        <f t="shared" si="111"/>
        <v>@REN</v>
      </c>
      <c r="L1357" s="1" t="str">
        <f t="shared" si="109"/>
        <v>1356,9/3/2004,0,12,10,2,0</v>
      </c>
    </row>
    <row r="1358" spans="1:12" x14ac:dyDescent="0.2">
      <c r="A1358" s="1" t="str">
        <f t="shared" si="107"/>
        <v>3823313</v>
      </c>
      <c r="B1358" s="1" t="str">
        <f t="shared" si="108"/>
        <v>3823323</v>
      </c>
      <c r="C1358" s="1">
        <v>1357</v>
      </c>
      <c r="D1358" s="4">
        <v>38233</v>
      </c>
      <c r="E1358" s="1">
        <v>0</v>
      </c>
      <c r="F1358" s="1">
        <v>23</v>
      </c>
      <c r="G1358" s="1">
        <v>13</v>
      </c>
      <c r="H1358" s="1">
        <v>2</v>
      </c>
      <c r="I1358" s="1">
        <v>0</v>
      </c>
      <c r="J1358" s="2" t="str">
        <f t="shared" si="110"/>
        <v>BRK</v>
      </c>
      <c r="K1358" s="2" t="str">
        <f t="shared" si="111"/>
        <v>@BBG</v>
      </c>
      <c r="L1358" s="1" t="str">
        <f t="shared" si="109"/>
        <v>1357,9/3/2004,0,23,13,2,0</v>
      </c>
    </row>
    <row r="1359" spans="1:12" x14ac:dyDescent="0.2">
      <c r="A1359" s="1" t="str">
        <f t="shared" si="107"/>
        <v>3823320</v>
      </c>
      <c r="B1359" s="1" t="str">
        <f t="shared" si="108"/>
        <v>382334</v>
      </c>
      <c r="C1359" s="1">
        <v>1358</v>
      </c>
      <c r="D1359" s="4">
        <v>38233</v>
      </c>
      <c r="E1359" s="1">
        <v>0</v>
      </c>
      <c r="F1359" s="1">
        <v>4</v>
      </c>
      <c r="G1359" s="1">
        <v>20</v>
      </c>
      <c r="H1359" s="1">
        <v>2</v>
      </c>
      <c r="I1359" s="1">
        <v>0</v>
      </c>
      <c r="J1359" s="2" t="str">
        <f t="shared" si="110"/>
        <v>NNN</v>
      </c>
      <c r="K1359" s="2" t="str">
        <f t="shared" si="111"/>
        <v>@FDH</v>
      </c>
      <c r="L1359" s="1" t="str">
        <f t="shared" si="109"/>
        <v>1358,9/3/2004,0,4,20,2,0</v>
      </c>
    </row>
    <row r="1360" spans="1:12" x14ac:dyDescent="0.2">
      <c r="A1360" s="1" t="str">
        <f t="shared" si="107"/>
        <v>382338</v>
      </c>
      <c r="B1360" s="1" t="str">
        <f t="shared" si="108"/>
        <v>3823322</v>
      </c>
      <c r="C1360" s="1">
        <v>1359</v>
      </c>
      <c r="D1360" s="4">
        <v>38233</v>
      </c>
      <c r="E1360" s="1">
        <v>0</v>
      </c>
      <c r="F1360" s="1">
        <v>22</v>
      </c>
      <c r="G1360" s="1">
        <v>8</v>
      </c>
      <c r="H1360" s="1">
        <v>2</v>
      </c>
      <c r="I1360" s="1">
        <v>0</v>
      </c>
      <c r="J1360" s="2" t="str">
        <f t="shared" si="110"/>
        <v>CBB</v>
      </c>
      <c r="K1360" s="2" t="str">
        <f t="shared" si="111"/>
        <v>@CTW</v>
      </c>
      <c r="L1360" s="1" t="str">
        <f t="shared" si="109"/>
        <v>1359,9/3/2004,0,22,8,2,0</v>
      </c>
    </row>
    <row r="1361" spans="1:12" x14ac:dyDescent="0.2">
      <c r="A1361" s="1" t="str">
        <f t="shared" si="107"/>
        <v>382339</v>
      </c>
      <c r="B1361" s="1" t="str">
        <f t="shared" si="108"/>
        <v>3823321</v>
      </c>
      <c r="C1361" s="1">
        <v>1360</v>
      </c>
      <c r="D1361" s="4">
        <v>38233</v>
      </c>
      <c r="E1361" s="1">
        <v>0</v>
      </c>
      <c r="F1361" s="1">
        <v>21</v>
      </c>
      <c r="G1361" s="1">
        <v>9</v>
      </c>
      <c r="H1361" s="1">
        <v>2</v>
      </c>
      <c r="I1361" s="1">
        <v>0</v>
      </c>
      <c r="J1361" s="2" t="str">
        <f t="shared" si="110"/>
        <v>NYD</v>
      </c>
      <c r="K1361" s="2" t="str">
        <f t="shared" si="111"/>
        <v>@CIN</v>
      </c>
      <c r="L1361" s="1" t="str">
        <f t="shared" si="109"/>
        <v>1360,9/3/2004,0,21,9,2,0</v>
      </c>
    </row>
    <row r="1362" spans="1:12" x14ac:dyDescent="0.2">
      <c r="A1362" s="1" t="str">
        <f t="shared" si="107"/>
        <v>3823314</v>
      </c>
      <c r="B1362" s="1" t="str">
        <f t="shared" si="108"/>
        <v>382331</v>
      </c>
      <c r="C1362" s="1">
        <v>1361</v>
      </c>
      <c r="D1362" s="4">
        <v>38233</v>
      </c>
      <c r="E1362" s="1">
        <v>0</v>
      </c>
      <c r="F1362" s="1">
        <v>1</v>
      </c>
      <c r="G1362" s="1">
        <v>14</v>
      </c>
      <c r="H1362" s="1">
        <v>2</v>
      </c>
      <c r="I1362" s="1">
        <v>0</v>
      </c>
      <c r="J1362" s="2" t="str">
        <f t="shared" si="110"/>
        <v>FFR</v>
      </c>
      <c r="K1362" s="2" t="str">
        <f t="shared" si="111"/>
        <v>@CEN</v>
      </c>
      <c r="L1362" s="1" t="str">
        <f t="shared" si="109"/>
        <v>1361,9/3/2004,0,1,14,2,0</v>
      </c>
    </row>
    <row r="1363" spans="1:12" x14ac:dyDescent="0.2">
      <c r="A1363" s="1" t="str">
        <f t="shared" si="107"/>
        <v>3823317</v>
      </c>
      <c r="B1363" s="1" t="str">
        <f t="shared" si="108"/>
        <v>3823324</v>
      </c>
      <c r="C1363" s="1">
        <v>1362</v>
      </c>
      <c r="D1363" s="4">
        <v>38233</v>
      </c>
      <c r="E1363" s="1">
        <v>0</v>
      </c>
      <c r="F1363" s="1">
        <v>24</v>
      </c>
      <c r="G1363" s="1">
        <v>17</v>
      </c>
      <c r="H1363" s="1">
        <v>2</v>
      </c>
      <c r="I1363" s="1">
        <v>0</v>
      </c>
      <c r="J1363" s="2" t="str">
        <f t="shared" si="110"/>
        <v>PHI</v>
      </c>
      <c r="K1363" s="2" t="str">
        <f t="shared" si="111"/>
        <v>@GAR</v>
      </c>
      <c r="L1363" s="1" t="str">
        <f t="shared" si="109"/>
        <v>1362,9/3/2004,0,24,17,2,0</v>
      </c>
    </row>
    <row r="1364" spans="1:12" x14ac:dyDescent="0.2">
      <c r="A1364" s="1" t="str">
        <f t="shared" si="107"/>
        <v>382342</v>
      </c>
      <c r="B1364" s="1" t="str">
        <f t="shared" si="108"/>
        <v>382345</v>
      </c>
      <c r="C1364" s="1">
        <v>1363</v>
      </c>
      <c r="D1364" s="4">
        <v>38234</v>
      </c>
      <c r="E1364" s="1">
        <v>0</v>
      </c>
      <c r="F1364" s="1">
        <v>5</v>
      </c>
      <c r="G1364" s="1">
        <v>2</v>
      </c>
      <c r="H1364" s="1">
        <v>2</v>
      </c>
      <c r="I1364" s="1">
        <v>0</v>
      </c>
      <c r="J1364" s="2" t="str">
        <f t="shared" si="110"/>
        <v>OKO</v>
      </c>
      <c r="K1364" s="2" t="str">
        <f t="shared" si="111"/>
        <v>@NEP</v>
      </c>
      <c r="L1364" s="1" t="str">
        <f t="shared" si="109"/>
        <v>1363,9/4/2004,0,5,2,2,0</v>
      </c>
    </row>
    <row r="1365" spans="1:12" x14ac:dyDescent="0.2">
      <c r="A1365" s="1" t="str">
        <f t="shared" si="107"/>
        <v>382343</v>
      </c>
      <c r="B1365" s="1" t="str">
        <f t="shared" si="108"/>
        <v>3823416</v>
      </c>
      <c r="C1365" s="1">
        <v>1364</v>
      </c>
      <c r="D1365" s="4">
        <v>38234</v>
      </c>
      <c r="E1365" s="1">
        <v>0</v>
      </c>
      <c r="F1365" s="1">
        <v>16</v>
      </c>
      <c r="G1365" s="1">
        <v>3</v>
      </c>
      <c r="H1365" s="1">
        <v>2</v>
      </c>
      <c r="I1365" s="1">
        <v>0</v>
      </c>
      <c r="J1365" s="2" t="str">
        <f t="shared" si="110"/>
        <v>DIG</v>
      </c>
      <c r="K1365" s="2" t="str">
        <f t="shared" si="111"/>
        <v>@TEW</v>
      </c>
      <c r="L1365" s="1" t="str">
        <f t="shared" si="109"/>
        <v>1364,9/4/2004,0,16,3,2,0</v>
      </c>
    </row>
    <row r="1366" spans="1:12" x14ac:dyDescent="0.2">
      <c r="A1366" s="1" t="str">
        <f t="shared" si="107"/>
        <v>382347</v>
      </c>
      <c r="B1366" s="1" t="str">
        <f t="shared" si="108"/>
        <v>3823411</v>
      </c>
      <c r="C1366" s="1">
        <v>1365</v>
      </c>
      <c r="D1366" s="4">
        <v>38234</v>
      </c>
      <c r="E1366" s="1">
        <v>0</v>
      </c>
      <c r="F1366" s="1">
        <v>11</v>
      </c>
      <c r="G1366" s="1">
        <v>7</v>
      </c>
      <c r="H1366" s="1">
        <v>2</v>
      </c>
      <c r="I1366" s="1">
        <v>0</v>
      </c>
      <c r="J1366" s="2" t="str">
        <f t="shared" si="110"/>
        <v>HAR</v>
      </c>
      <c r="K1366" s="2" t="str">
        <f t="shared" si="111"/>
        <v>@BAR</v>
      </c>
      <c r="L1366" s="1" t="str">
        <f t="shared" si="109"/>
        <v>1365,9/4/2004,0,11,7,2,0</v>
      </c>
    </row>
    <row r="1367" spans="1:12" x14ac:dyDescent="0.2">
      <c r="A1367" s="1" t="str">
        <f t="shared" si="107"/>
        <v>382348</v>
      </c>
      <c r="B1367" s="1" t="str">
        <f t="shared" si="108"/>
        <v>3823422</v>
      </c>
      <c r="C1367" s="1">
        <v>1366</v>
      </c>
      <c r="D1367" s="4">
        <v>38234</v>
      </c>
      <c r="E1367" s="1">
        <v>0</v>
      </c>
      <c r="F1367" s="1">
        <v>22</v>
      </c>
      <c r="G1367" s="1">
        <v>8</v>
      </c>
      <c r="H1367" s="1">
        <v>2</v>
      </c>
      <c r="I1367" s="1">
        <v>0</v>
      </c>
      <c r="J1367" s="2" t="str">
        <f t="shared" si="110"/>
        <v>CBB</v>
      </c>
      <c r="K1367" s="2" t="str">
        <f t="shared" si="111"/>
        <v>@CTW</v>
      </c>
      <c r="L1367" s="1" t="str">
        <f t="shared" si="109"/>
        <v>1366,9/4/2004,0,22,8,2,0</v>
      </c>
    </row>
    <row r="1368" spans="1:12" x14ac:dyDescent="0.2">
      <c r="A1368" s="1" t="str">
        <f t="shared" si="107"/>
        <v>382349</v>
      </c>
      <c r="B1368" s="1" t="str">
        <f t="shared" si="108"/>
        <v>3823421</v>
      </c>
      <c r="C1368" s="1">
        <v>1367</v>
      </c>
      <c r="D1368" s="4">
        <v>38234</v>
      </c>
      <c r="E1368" s="1">
        <v>0</v>
      </c>
      <c r="F1368" s="1">
        <v>21</v>
      </c>
      <c r="G1368" s="1">
        <v>9</v>
      </c>
      <c r="H1368" s="1">
        <v>2</v>
      </c>
      <c r="I1368" s="1">
        <v>0</v>
      </c>
      <c r="J1368" s="2" t="str">
        <f t="shared" si="110"/>
        <v>NYD</v>
      </c>
      <c r="K1368" s="2" t="str">
        <f t="shared" si="111"/>
        <v>@CIN</v>
      </c>
      <c r="L1368" s="1" t="str">
        <f t="shared" si="109"/>
        <v>1367,9/4/2004,0,21,9,2,0</v>
      </c>
    </row>
    <row r="1369" spans="1:12" x14ac:dyDescent="0.2">
      <c r="A1369" s="1" t="str">
        <f t="shared" si="107"/>
        <v>3823410</v>
      </c>
      <c r="B1369" s="1" t="str">
        <f t="shared" si="108"/>
        <v>3823412</v>
      </c>
      <c r="C1369" s="1">
        <v>1368</v>
      </c>
      <c r="D1369" s="4">
        <v>38234</v>
      </c>
      <c r="E1369" s="1">
        <v>0</v>
      </c>
      <c r="F1369" s="1">
        <v>12</v>
      </c>
      <c r="G1369" s="1">
        <v>10</v>
      </c>
      <c r="H1369" s="1">
        <v>2</v>
      </c>
      <c r="I1369" s="1">
        <v>0</v>
      </c>
      <c r="J1369" s="2" t="str">
        <f t="shared" si="110"/>
        <v>RMO</v>
      </c>
      <c r="K1369" s="2" t="str">
        <f t="shared" si="111"/>
        <v>@REN</v>
      </c>
      <c r="L1369" s="1" t="str">
        <f t="shared" si="109"/>
        <v>1368,9/4/2004,0,12,10,2,0</v>
      </c>
    </row>
    <row r="1370" spans="1:12" x14ac:dyDescent="0.2">
      <c r="A1370" s="1" t="str">
        <f t="shared" si="107"/>
        <v>3823413</v>
      </c>
      <c r="B1370" s="1" t="str">
        <f t="shared" si="108"/>
        <v>3823423</v>
      </c>
      <c r="C1370" s="1">
        <v>1369</v>
      </c>
      <c r="D1370" s="4">
        <v>38234</v>
      </c>
      <c r="E1370" s="1">
        <v>0</v>
      </c>
      <c r="F1370" s="1">
        <v>23</v>
      </c>
      <c r="G1370" s="1">
        <v>13</v>
      </c>
      <c r="H1370" s="1">
        <v>2</v>
      </c>
      <c r="I1370" s="1">
        <v>0</v>
      </c>
      <c r="J1370" s="2" t="str">
        <f t="shared" si="110"/>
        <v>BRK</v>
      </c>
      <c r="K1370" s="2" t="str">
        <f t="shared" si="111"/>
        <v>@BBG</v>
      </c>
      <c r="L1370" s="1" t="str">
        <f t="shared" si="109"/>
        <v>1369,9/4/2004,0,23,13,2,0</v>
      </c>
    </row>
    <row r="1371" spans="1:12" x14ac:dyDescent="0.2">
      <c r="A1371" s="1" t="str">
        <f t="shared" si="107"/>
        <v>3823414</v>
      </c>
      <c r="B1371" s="1" t="str">
        <f t="shared" si="108"/>
        <v>382341</v>
      </c>
      <c r="C1371" s="1">
        <v>1370</v>
      </c>
      <c r="D1371" s="4">
        <v>38234</v>
      </c>
      <c r="E1371" s="1">
        <v>0</v>
      </c>
      <c r="F1371" s="1">
        <v>1</v>
      </c>
      <c r="G1371" s="1">
        <v>14</v>
      </c>
      <c r="H1371" s="1">
        <v>2</v>
      </c>
      <c r="I1371" s="1">
        <v>0</v>
      </c>
      <c r="J1371" s="2" t="str">
        <f t="shared" si="110"/>
        <v>FFR</v>
      </c>
      <c r="K1371" s="2" t="str">
        <f t="shared" si="111"/>
        <v>@CEN</v>
      </c>
      <c r="L1371" s="1" t="str">
        <f t="shared" si="109"/>
        <v>1370,9/4/2004,0,1,14,2,0</v>
      </c>
    </row>
    <row r="1372" spans="1:12" x14ac:dyDescent="0.2">
      <c r="A1372" s="1" t="str">
        <f t="shared" si="107"/>
        <v>3823417</v>
      </c>
      <c r="B1372" s="1" t="str">
        <f t="shared" si="108"/>
        <v>3823424</v>
      </c>
      <c r="C1372" s="1">
        <v>1371</v>
      </c>
      <c r="D1372" s="4">
        <v>38234</v>
      </c>
      <c r="E1372" s="1">
        <v>0</v>
      </c>
      <c r="F1372" s="1">
        <v>24</v>
      </c>
      <c r="G1372" s="1">
        <v>17</v>
      </c>
      <c r="H1372" s="1">
        <v>2</v>
      </c>
      <c r="I1372" s="1">
        <v>0</v>
      </c>
      <c r="J1372" s="2" t="str">
        <f t="shared" si="110"/>
        <v>PHI</v>
      </c>
      <c r="K1372" s="2" t="str">
        <f t="shared" si="111"/>
        <v>@GAR</v>
      </c>
      <c r="L1372" s="1" t="str">
        <f t="shared" si="109"/>
        <v>1371,9/4/2004,0,24,17,2,0</v>
      </c>
    </row>
    <row r="1373" spans="1:12" x14ac:dyDescent="0.2">
      <c r="A1373" s="1" t="str">
        <f t="shared" si="107"/>
        <v>3823420</v>
      </c>
      <c r="B1373" s="1" t="str">
        <f t="shared" si="108"/>
        <v>382344</v>
      </c>
      <c r="C1373" s="1">
        <v>1372</v>
      </c>
      <c r="D1373" s="4">
        <v>38234</v>
      </c>
      <c r="E1373" s="1">
        <v>0</v>
      </c>
      <c r="F1373" s="1">
        <v>4</v>
      </c>
      <c r="G1373" s="1">
        <v>20</v>
      </c>
      <c r="H1373" s="1">
        <v>2</v>
      </c>
      <c r="I1373" s="1">
        <v>0</v>
      </c>
      <c r="J1373" s="2" t="str">
        <f t="shared" si="110"/>
        <v>NNN</v>
      </c>
      <c r="K1373" s="2" t="str">
        <f t="shared" si="111"/>
        <v>@FDH</v>
      </c>
      <c r="L1373" s="1" t="str">
        <f t="shared" si="109"/>
        <v>1372,9/4/2004,0,4,20,2,0</v>
      </c>
    </row>
    <row r="1374" spans="1:12" x14ac:dyDescent="0.2">
      <c r="A1374" s="1" t="str">
        <f t="shared" si="107"/>
        <v>382352</v>
      </c>
      <c r="B1374" s="1" t="str">
        <f t="shared" si="108"/>
        <v>382355</v>
      </c>
      <c r="C1374" s="1">
        <v>1373</v>
      </c>
      <c r="D1374" s="4">
        <v>38235</v>
      </c>
      <c r="E1374" s="1">
        <v>0</v>
      </c>
      <c r="F1374" s="1">
        <v>5</v>
      </c>
      <c r="G1374" s="1">
        <v>2</v>
      </c>
      <c r="H1374" s="1">
        <v>2</v>
      </c>
      <c r="I1374" s="1">
        <v>0</v>
      </c>
      <c r="J1374" s="2" t="str">
        <f t="shared" si="110"/>
        <v>OKO</v>
      </c>
      <c r="K1374" s="2" t="str">
        <f t="shared" si="111"/>
        <v>@NEP</v>
      </c>
      <c r="L1374" s="1" t="str">
        <f t="shared" si="109"/>
        <v>1373,9/5/2004,0,5,2,2,0</v>
      </c>
    </row>
    <row r="1375" spans="1:12" x14ac:dyDescent="0.2">
      <c r="A1375" s="1" t="str">
        <f t="shared" si="107"/>
        <v>382353</v>
      </c>
      <c r="B1375" s="1" t="str">
        <f t="shared" si="108"/>
        <v>3823516</v>
      </c>
      <c r="C1375" s="1">
        <v>1374</v>
      </c>
      <c r="D1375" s="4">
        <v>38235</v>
      </c>
      <c r="E1375" s="1">
        <v>0</v>
      </c>
      <c r="F1375" s="1">
        <v>16</v>
      </c>
      <c r="G1375" s="1">
        <v>3</v>
      </c>
      <c r="H1375" s="1">
        <v>2</v>
      </c>
      <c r="I1375" s="1">
        <v>0</v>
      </c>
      <c r="J1375" s="2" t="str">
        <f t="shared" si="110"/>
        <v>DIG</v>
      </c>
      <c r="K1375" s="2" t="str">
        <f t="shared" si="111"/>
        <v>@TEW</v>
      </c>
      <c r="L1375" s="1" t="str">
        <f t="shared" si="109"/>
        <v>1374,9/5/2004,0,16,3,2,0</v>
      </c>
    </row>
    <row r="1376" spans="1:12" x14ac:dyDescent="0.2">
      <c r="A1376" s="1" t="str">
        <f t="shared" si="107"/>
        <v>382357</v>
      </c>
      <c r="B1376" s="1" t="str">
        <f t="shared" si="108"/>
        <v>3823511</v>
      </c>
      <c r="C1376" s="1">
        <v>1375</v>
      </c>
      <c r="D1376" s="4">
        <v>38235</v>
      </c>
      <c r="E1376" s="1">
        <v>0</v>
      </c>
      <c r="F1376" s="1">
        <v>11</v>
      </c>
      <c r="G1376" s="1">
        <v>7</v>
      </c>
      <c r="H1376" s="1">
        <v>2</v>
      </c>
      <c r="I1376" s="1">
        <v>0</v>
      </c>
      <c r="J1376" s="2" t="str">
        <f t="shared" si="110"/>
        <v>HAR</v>
      </c>
      <c r="K1376" s="2" t="str">
        <f t="shared" si="111"/>
        <v>@BAR</v>
      </c>
      <c r="L1376" s="1" t="str">
        <f t="shared" si="109"/>
        <v>1375,9/5/2004,0,11,7,2,0</v>
      </c>
    </row>
    <row r="1377" spans="1:12" x14ac:dyDescent="0.2">
      <c r="A1377" s="1" t="str">
        <f t="shared" si="107"/>
        <v>382358</v>
      </c>
      <c r="B1377" s="1" t="str">
        <f t="shared" si="108"/>
        <v>3823522</v>
      </c>
      <c r="C1377" s="1">
        <v>1376</v>
      </c>
      <c r="D1377" s="4">
        <v>38235</v>
      </c>
      <c r="E1377" s="1">
        <v>0</v>
      </c>
      <c r="F1377" s="1">
        <v>22</v>
      </c>
      <c r="G1377" s="1">
        <v>8</v>
      </c>
      <c r="H1377" s="1">
        <v>2</v>
      </c>
      <c r="I1377" s="1">
        <v>0</v>
      </c>
      <c r="J1377" s="2" t="str">
        <f t="shared" si="110"/>
        <v>CBB</v>
      </c>
      <c r="K1377" s="2" t="str">
        <f t="shared" si="111"/>
        <v>@CTW</v>
      </c>
      <c r="L1377" s="1" t="str">
        <f t="shared" si="109"/>
        <v>1376,9/5/2004,0,22,8,2,0</v>
      </c>
    </row>
    <row r="1378" spans="1:12" x14ac:dyDescent="0.2">
      <c r="A1378" s="1" t="str">
        <f t="shared" ref="A1378:A1440" si="112">D1378&amp;G1378</f>
        <v>382359</v>
      </c>
      <c r="B1378" s="1" t="str">
        <f t="shared" ref="B1378:B1440" si="113">D1378&amp;F1378</f>
        <v>3823521</v>
      </c>
      <c r="C1378" s="1">
        <v>1377</v>
      </c>
      <c r="D1378" s="4">
        <v>38235</v>
      </c>
      <c r="E1378" s="1">
        <v>0</v>
      </c>
      <c r="F1378" s="1">
        <v>21</v>
      </c>
      <c r="G1378" s="1">
        <v>9</v>
      </c>
      <c r="H1378" s="1">
        <v>2</v>
      </c>
      <c r="I1378" s="1">
        <v>0</v>
      </c>
      <c r="J1378" s="2" t="str">
        <f t="shared" si="110"/>
        <v>NYD</v>
      </c>
      <c r="K1378" s="2" t="str">
        <f t="shared" si="111"/>
        <v>@CIN</v>
      </c>
      <c r="L1378" s="1" t="str">
        <f t="shared" ref="L1378:L1440" si="114">C1378&amp;","&amp;MONTH(D1378)&amp;"/"&amp;DAY(D1378)&amp;"/"&amp;YEAR(D1378)&amp;","&amp;E1378&amp;","&amp;F1378&amp;","&amp;G1378&amp;","&amp;H1378&amp;","&amp;I1378</f>
        <v>1377,9/5/2004,0,21,9,2,0</v>
      </c>
    </row>
    <row r="1379" spans="1:12" x14ac:dyDescent="0.2">
      <c r="A1379" s="1" t="str">
        <f t="shared" si="112"/>
        <v>3823510</v>
      </c>
      <c r="B1379" s="1" t="str">
        <f t="shared" si="113"/>
        <v>3823512</v>
      </c>
      <c r="C1379" s="1">
        <v>1378</v>
      </c>
      <c r="D1379" s="4">
        <v>38235</v>
      </c>
      <c r="E1379" s="1">
        <v>0</v>
      </c>
      <c r="F1379" s="1">
        <v>12</v>
      </c>
      <c r="G1379" s="1">
        <v>10</v>
      </c>
      <c r="H1379" s="1">
        <v>2</v>
      </c>
      <c r="I1379" s="1">
        <v>0</v>
      </c>
      <c r="J1379" s="2" t="str">
        <f t="shared" si="110"/>
        <v>RMO</v>
      </c>
      <c r="K1379" s="2" t="str">
        <f t="shared" si="111"/>
        <v>@REN</v>
      </c>
      <c r="L1379" s="1" t="str">
        <f t="shared" si="114"/>
        <v>1378,9/5/2004,0,12,10,2,0</v>
      </c>
    </row>
    <row r="1380" spans="1:12" x14ac:dyDescent="0.2">
      <c r="A1380" s="1" t="str">
        <f t="shared" si="112"/>
        <v>3823513</v>
      </c>
      <c r="B1380" s="1" t="str">
        <f t="shared" si="113"/>
        <v>3823523</v>
      </c>
      <c r="C1380" s="1">
        <v>1379</v>
      </c>
      <c r="D1380" s="4">
        <v>38235</v>
      </c>
      <c r="E1380" s="1">
        <v>0</v>
      </c>
      <c r="F1380" s="1">
        <v>23</v>
      </c>
      <c r="G1380" s="1">
        <v>13</v>
      </c>
      <c r="H1380" s="1">
        <v>2</v>
      </c>
      <c r="I1380" s="1">
        <v>0</v>
      </c>
      <c r="J1380" s="2" t="str">
        <f t="shared" si="110"/>
        <v>BRK</v>
      </c>
      <c r="K1380" s="2" t="str">
        <f t="shared" si="111"/>
        <v>@BBG</v>
      </c>
      <c r="L1380" s="1" t="str">
        <f t="shared" si="114"/>
        <v>1379,9/5/2004,0,23,13,2,0</v>
      </c>
    </row>
    <row r="1381" spans="1:12" x14ac:dyDescent="0.2">
      <c r="A1381" s="1" t="str">
        <f t="shared" si="112"/>
        <v>3823514</v>
      </c>
      <c r="B1381" s="1" t="str">
        <f t="shared" si="113"/>
        <v>382351</v>
      </c>
      <c r="C1381" s="1">
        <v>1380</v>
      </c>
      <c r="D1381" s="4">
        <v>38235</v>
      </c>
      <c r="E1381" s="1">
        <v>0</v>
      </c>
      <c r="F1381" s="1">
        <v>1</v>
      </c>
      <c r="G1381" s="1">
        <v>14</v>
      </c>
      <c r="H1381" s="1">
        <v>2</v>
      </c>
      <c r="I1381" s="1">
        <v>0</v>
      </c>
      <c r="J1381" s="2" t="str">
        <f t="shared" si="110"/>
        <v>FFR</v>
      </c>
      <c r="K1381" s="2" t="str">
        <f t="shared" si="111"/>
        <v>@CEN</v>
      </c>
      <c r="L1381" s="1" t="str">
        <f t="shared" si="114"/>
        <v>1380,9/5/2004,0,1,14,2,0</v>
      </c>
    </row>
    <row r="1382" spans="1:12" x14ac:dyDescent="0.2">
      <c r="A1382" s="1" t="str">
        <f t="shared" si="112"/>
        <v>3823517</v>
      </c>
      <c r="B1382" s="1" t="str">
        <f t="shared" si="113"/>
        <v>3823524</v>
      </c>
      <c r="C1382" s="1">
        <v>1381</v>
      </c>
      <c r="D1382" s="4">
        <v>38235</v>
      </c>
      <c r="E1382" s="1">
        <v>0</v>
      </c>
      <c r="F1382" s="1">
        <v>24</v>
      </c>
      <c r="G1382" s="1">
        <v>17</v>
      </c>
      <c r="H1382" s="1">
        <v>2</v>
      </c>
      <c r="I1382" s="1">
        <v>0</v>
      </c>
      <c r="J1382" s="2" t="str">
        <f t="shared" si="110"/>
        <v>PHI</v>
      </c>
      <c r="K1382" s="2" t="str">
        <f t="shared" si="111"/>
        <v>@GAR</v>
      </c>
      <c r="L1382" s="1" t="str">
        <f t="shared" si="114"/>
        <v>1381,9/5/2004,0,24,17,2,0</v>
      </c>
    </row>
    <row r="1383" spans="1:12" x14ac:dyDescent="0.2">
      <c r="A1383" s="1" t="str">
        <f t="shared" si="112"/>
        <v>3823520</v>
      </c>
      <c r="B1383" s="1" t="str">
        <f t="shared" si="113"/>
        <v>382354</v>
      </c>
      <c r="C1383" s="1">
        <v>1382</v>
      </c>
      <c r="D1383" s="4">
        <v>38235</v>
      </c>
      <c r="E1383" s="1">
        <v>0</v>
      </c>
      <c r="F1383" s="1">
        <v>4</v>
      </c>
      <c r="G1383" s="1">
        <v>20</v>
      </c>
      <c r="H1383" s="1">
        <v>2</v>
      </c>
      <c r="I1383" s="1">
        <v>0</v>
      </c>
      <c r="J1383" s="2" t="str">
        <f t="shared" si="110"/>
        <v>NNN</v>
      </c>
      <c r="K1383" s="2" t="str">
        <f t="shared" si="111"/>
        <v>@FDH</v>
      </c>
      <c r="L1383" s="1" t="str">
        <f t="shared" si="114"/>
        <v>1382,9/5/2004,0,4,20,2,0</v>
      </c>
    </row>
    <row r="1384" spans="1:12" x14ac:dyDescent="0.2">
      <c r="A1384" s="1" t="str">
        <f t="shared" si="112"/>
        <v>382362</v>
      </c>
      <c r="B1384" s="1" t="str">
        <f t="shared" si="113"/>
        <v>382365</v>
      </c>
      <c r="C1384" s="1">
        <v>1383</v>
      </c>
      <c r="D1384" s="4">
        <v>38236</v>
      </c>
      <c r="E1384" s="1">
        <v>0</v>
      </c>
      <c r="F1384" s="1">
        <v>5</v>
      </c>
      <c r="G1384" s="1">
        <v>2</v>
      </c>
      <c r="H1384" s="1">
        <v>2</v>
      </c>
      <c r="I1384" s="1">
        <v>0</v>
      </c>
      <c r="J1384" s="2" t="str">
        <f t="shared" si="110"/>
        <v>OKO</v>
      </c>
      <c r="K1384" s="2" t="str">
        <f t="shared" si="111"/>
        <v>@NEP</v>
      </c>
      <c r="L1384" s="1" t="str">
        <f t="shared" si="114"/>
        <v>1383,9/6/2004,0,5,2,2,0</v>
      </c>
    </row>
    <row r="1385" spans="1:12" x14ac:dyDescent="0.2">
      <c r="A1385" s="1" t="str">
        <f t="shared" si="112"/>
        <v>382363</v>
      </c>
      <c r="B1385" s="1" t="str">
        <f t="shared" si="113"/>
        <v>3823616</v>
      </c>
      <c r="C1385" s="1">
        <v>1384</v>
      </c>
      <c r="D1385" s="4">
        <v>38236</v>
      </c>
      <c r="E1385" s="1">
        <v>0</v>
      </c>
      <c r="F1385" s="1">
        <v>16</v>
      </c>
      <c r="G1385" s="1">
        <v>3</v>
      </c>
      <c r="H1385" s="1">
        <v>2</v>
      </c>
      <c r="I1385" s="1">
        <v>0</v>
      </c>
      <c r="J1385" s="2" t="str">
        <f t="shared" si="110"/>
        <v>DIG</v>
      </c>
      <c r="K1385" s="2" t="str">
        <f t="shared" si="111"/>
        <v>@TEW</v>
      </c>
      <c r="L1385" s="1" t="str">
        <f t="shared" si="114"/>
        <v>1384,9/6/2004,0,16,3,2,0</v>
      </c>
    </row>
    <row r="1386" spans="1:12" x14ac:dyDescent="0.2">
      <c r="A1386" s="1" t="str">
        <f t="shared" si="112"/>
        <v>382367</v>
      </c>
      <c r="B1386" s="1" t="str">
        <f t="shared" si="113"/>
        <v>3823611</v>
      </c>
      <c r="C1386" s="1">
        <v>1385</v>
      </c>
      <c r="D1386" s="4">
        <v>38236</v>
      </c>
      <c r="E1386" s="1">
        <v>0</v>
      </c>
      <c r="F1386" s="1">
        <v>11</v>
      </c>
      <c r="G1386" s="1">
        <v>7</v>
      </c>
      <c r="H1386" s="1">
        <v>2</v>
      </c>
      <c r="I1386" s="1">
        <v>0</v>
      </c>
      <c r="J1386" s="2" t="str">
        <f t="shared" si="110"/>
        <v>HAR</v>
      </c>
      <c r="K1386" s="2" t="str">
        <f t="shared" si="111"/>
        <v>@BAR</v>
      </c>
      <c r="L1386" s="1" t="str">
        <f t="shared" si="114"/>
        <v>1385,9/6/2004,0,11,7,2,0</v>
      </c>
    </row>
    <row r="1387" spans="1:12" x14ac:dyDescent="0.2">
      <c r="A1387" s="1" t="str">
        <f t="shared" si="112"/>
        <v>382368</v>
      </c>
      <c r="B1387" s="1" t="str">
        <f t="shared" si="113"/>
        <v>3823622</v>
      </c>
      <c r="C1387" s="1">
        <v>1386</v>
      </c>
      <c r="D1387" s="4">
        <v>38236</v>
      </c>
      <c r="E1387" s="1">
        <v>0</v>
      </c>
      <c r="F1387" s="1">
        <v>22</v>
      </c>
      <c r="G1387" s="1">
        <v>8</v>
      </c>
      <c r="H1387" s="1">
        <v>2</v>
      </c>
      <c r="I1387" s="1">
        <v>0</v>
      </c>
      <c r="J1387" s="2" t="str">
        <f t="shared" si="110"/>
        <v>CBB</v>
      </c>
      <c r="K1387" s="2" t="str">
        <f t="shared" si="111"/>
        <v>@CTW</v>
      </c>
      <c r="L1387" s="1" t="str">
        <f t="shared" si="114"/>
        <v>1386,9/6/2004,0,22,8,2,0</v>
      </c>
    </row>
    <row r="1388" spans="1:12" x14ac:dyDescent="0.2">
      <c r="A1388" s="1" t="str">
        <f t="shared" si="112"/>
        <v>382369</v>
      </c>
      <c r="B1388" s="1" t="str">
        <f t="shared" si="113"/>
        <v>3823621</v>
      </c>
      <c r="C1388" s="1">
        <v>1387</v>
      </c>
      <c r="D1388" s="4">
        <v>38236</v>
      </c>
      <c r="E1388" s="1">
        <v>0</v>
      </c>
      <c r="F1388" s="1">
        <v>21</v>
      </c>
      <c r="G1388" s="1">
        <v>9</v>
      </c>
      <c r="H1388" s="1">
        <v>2</v>
      </c>
      <c r="I1388" s="1">
        <v>0</v>
      </c>
      <c r="J1388" s="2" t="str">
        <f t="shared" si="110"/>
        <v>NYD</v>
      </c>
      <c r="K1388" s="2" t="str">
        <f t="shared" si="111"/>
        <v>@CIN</v>
      </c>
      <c r="L1388" s="1" t="str">
        <f t="shared" si="114"/>
        <v>1387,9/6/2004,0,21,9,2,0</v>
      </c>
    </row>
    <row r="1389" spans="1:12" x14ac:dyDescent="0.2">
      <c r="A1389" s="1" t="str">
        <f t="shared" si="112"/>
        <v>3823610</v>
      </c>
      <c r="B1389" s="1" t="str">
        <f t="shared" si="113"/>
        <v>3823612</v>
      </c>
      <c r="C1389" s="1">
        <v>1388</v>
      </c>
      <c r="D1389" s="4">
        <v>38236</v>
      </c>
      <c r="E1389" s="1">
        <v>0</v>
      </c>
      <c r="F1389" s="1">
        <v>12</v>
      </c>
      <c r="G1389" s="1">
        <v>10</v>
      </c>
      <c r="H1389" s="1">
        <v>2</v>
      </c>
      <c r="I1389" s="1">
        <v>0</v>
      </c>
      <c r="J1389" s="2" t="str">
        <f t="shared" si="110"/>
        <v>RMO</v>
      </c>
      <c r="K1389" s="2" t="str">
        <f t="shared" si="111"/>
        <v>@REN</v>
      </c>
      <c r="L1389" s="1" t="str">
        <f t="shared" si="114"/>
        <v>1388,9/6/2004,0,12,10,2,0</v>
      </c>
    </row>
    <row r="1390" spans="1:12" x14ac:dyDescent="0.2">
      <c r="A1390" s="1" t="str">
        <f t="shared" si="112"/>
        <v>3823613</v>
      </c>
      <c r="B1390" s="1" t="str">
        <f t="shared" si="113"/>
        <v>3823623</v>
      </c>
      <c r="C1390" s="1">
        <v>1389</v>
      </c>
      <c r="D1390" s="4">
        <v>38236</v>
      </c>
      <c r="E1390" s="1">
        <v>0</v>
      </c>
      <c r="F1390" s="1">
        <v>23</v>
      </c>
      <c r="G1390" s="1">
        <v>13</v>
      </c>
      <c r="H1390" s="1">
        <v>2</v>
      </c>
      <c r="I1390" s="1">
        <v>0</v>
      </c>
      <c r="J1390" s="2" t="str">
        <f t="shared" si="110"/>
        <v>BRK</v>
      </c>
      <c r="K1390" s="2" t="str">
        <f t="shared" si="111"/>
        <v>@BBG</v>
      </c>
      <c r="L1390" s="1" t="str">
        <f t="shared" si="114"/>
        <v>1389,9/6/2004,0,23,13,2,0</v>
      </c>
    </row>
    <row r="1391" spans="1:12" x14ac:dyDescent="0.2">
      <c r="A1391" s="1" t="str">
        <f t="shared" si="112"/>
        <v>3823614</v>
      </c>
      <c r="B1391" s="1" t="str">
        <f t="shared" si="113"/>
        <v>382361</v>
      </c>
      <c r="C1391" s="1">
        <v>1390</v>
      </c>
      <c r="D1391" s="4">
        <v>38236</v>
      </c>
      <c r="E1391" s="1">
        <v>0</v>
      </c>
      <c r="F1391" s="1">
        <v>1</v>
      </c>
      <c r="G1391" s="1">
        <v>14</v>
      </c>
      <c r="H1391" s="1">
        <v>2</v>
      </c>
      <c r="I1391" s="1">
        <v>0</v>
      </c>
      <c r="J1391" s="2" t="str">
        <f t="shared" si="110"/>
        <v>FFR</v>
      </c>
      <c r="K1391" s="2" t="str">
        <f t="shared" si="111"/>
        <v>@CEN</v>
      </c>
      <c r="L1391" s="1" t="str">
        <f t="shared" si="114"/>
        <v>1390,9/6/2004,0,1,14,2,0</v>
      </c>
    </row>
    <row r="1392" spans="1:12" x14ac:dyDescent="0.2">
      <c r="A1392" s="1" t="str">
        <f t="shared" si="112"/>
        <v>3823617</v>
      </c>
      <c r="B1392" s="1" t="str">
        <f t="shared" si="113"/>
        <v>3823624</v>
      </c>
      <c r="C1392" s="1">
        <v>1391</v>
      </c>
      <c r="D1392" s="4">
        <v>38236</v>
      </c>
      <c r="E1392" s="1">
        <v>0</v>
      </c>
      <c r="F1392" s="1">
        <v>24</v>
      </c>
      <c r="G1392" s="1">
        <v>17</v>
      </c>
      <c r="H1392" s="1">
        <v>2</v>
      </c>
      <c r="I1392" s="1">
        <v>0</v>
      </c>
      <c r="J1392" s="2" t="str">
        <f t="shared" si="110"/>
        <v>PHI</v>
      </c>
      <c r="K1392" s="2" t="str">
        <f t="shared" si="111"/>
        <v>@GAR</v>
      </c>
      <c r="L1392" s="1" t="str">
        <f t="shared" si="114"/>
        <v>1391,9/6/2004,0,24,17,2,0</v>
      </c>
    </row>
    <row r="1393" spans="1:12" x14ac:dyDescent="0.2">
      <c r="A1393" s="1" t="str">
        <f t="shared" si="112"/>
        <v>3823620</v>
      </c>
      <c r="B1393" s="1" t="str">
        <f t="shared" si="113"/>
        <v>382364</v>
      </c>
      <c r="C1393" s="1">
        <v>1392</v>
      </c>
      <c r="D1393" s="4">
        <v>38236</v>
      </c>
      <c r="E1393" s="1">
        <v>0</v>
      </c>
      <c r="F1393" s="1">
        <v>4</v>
      </c>
      <c r="G1393" s="1">
        <v>20</v>
      </c>
      <c r="H1393" s="1">
        <v>2</v>
      </c>
      <c r="I1393" s="1">
        <v>0</v>
      </c>
      <c r="J1393" s="2" t="str">
        <f t="shared" si="110"/>
        <v>NNN</v>
      </c>
      <c r="K1393" s="2" t="str">
        <f t="shared" si="111"/>
        <v>@FDH</v>
      </c>
      <c r="L1393" s="1" t="str">
        <f t="shared" si="114"/>
        <v>1392,9/6/2004,0,4,20,2,0</v>
      </c>
    </row>
    <row r="1394" spans="1:12" x14ac:dyDescent="0.2">
      <c r="A1394" s="1" t="str">
        <f t="shared" si="112"/>
        <v>382372</v>
      </c>
      <c r="B1394" s="1" t="str">
        <f t="shared" si="113"/>
        <v>3823711</v>
      </c>
      <c r="C1394" s="1">
        <v>1393</v>
      </c>
      <c r="D1394" s="4">
        <v>38237</v>
      </c>
      <c r="E1394" s="1">
        <v>0</v>
      </c>
      <c r="F1394" s="1">
        <v>11</v>
      </c>
      <c r="G1394" s="1">
        <v>2</v>
      </c>
      <c r="H1394" s="1">
        <v>2</v>
      </c>
      <c r="I1394" s="1">
        <v>0</v>
      </c>
      <c r="J1394" s="2" t="str">
        <f t="shared" si="110"/>
        <v>HAR</v>
      </c>
      <c r="K1394" s="2" t="str">
        <f t="shared" si="111"/>
        <v>@NEP</v>
      </c>
      <c r="L1394" s="1" t="str">
        <f t="shared" si="114"/>
        <v>1393,9/7/2004,0,11,2,2,0</v>
      </c>
    </row>
    <row r="1395" spans="1:12" x14ac:dyDescent="0.2">
      <c r="A1395" s="1" t="str">
        <f t="shared" si="112"/>
        <v>382373</v>
      </c>
      <c r="B1395" s="1" t="str">
        <f t="shared" si="113"/>
        <v>3823721</v>
      </c>
      <c r="C1395" s="1">
        <v>1394</v>
      </c>
      <c r="D1395" s="4">
        <v>38237</v>
      </c>
      <c r="E1395" s="1">
        <v>0</v>
      </c>
      <c r="F1395" s="1">
        <v>21</v>
      </c>
      <c r="G1395" s="1">
        <v>3</v>
      </c>
      <c r="H1395" s="1">
        <v>2</v>
      </c>
      <c r="I1395" s="1">
        <v>0</v>
      </c>
      <c r="J1395" s="2" t="str">
        <f t="shared" si="110"/>
        <v>NYD</v>
      </c>
      <c r="K1395" s="2" t="str">
        <f t="shared" si="111"/>
        <v>@TEW</v>
      </c>
      <c r="L1395" s="1" t="str">
        <f t="shared" si="114"/>
        <v>1394,9/7/2004,0,21,3,2,0</v>
      </c>
    </row>
    <row r="1396" spans="1:12" x14ac:dyDescent="0.2">
      <c r="A1396" s="1" t="str">
        <f t="shared" si="112"/>
        <v>382377</v>
      </c>
      <c r="B1396" s="1" t="str">
        <f t="shared" si="113"/>
        <v>3823716</v>
      </c>
      <c r="C1396" s="1">
        <v>1395</v>
      </c>
      <c r="D1396" s="4">
        <v>38237</v>
      </c>
      <c r="E1396" s="1">
        <v>0</v>
      </c>
      <c r="F1396" s="1">
        <v>16</v>
      </c>
      <c r="G1396" s="1">
        <v>7</v>
      </c>
      <c r="H1396" s="1">
        <v>2</v>
      </c>
      <c r="I1396" s="1">
        <v>0</v>
      </c>
      <c r="J1396" s="2" t="str">
        <f t="shared" si="110"/>
        <v>DIG</v>
      </c>
      <c r="K1396" s="2" t="str">
        <f t="shared" si="111"/>
        <v>@BAR</v>
      </c>
      <c r="L1396" s="1" t="str">
        <f t="shared" si="114"/>
        <v>1395,9/7/2004,0,16,7,2,0</v>
      </c>
    </row>
    <row r="1397" spans="1:12" x14ac:dyDescent="0.2">
      <c r="A1397" s="1" t="str">
        <f t="shared" si="112"/>
        <v>382378</v>
      </c>
      <c r="B1397" s="1" t="str">
        <f t="shared" si="113"/>
        <v>382371</v>
      </c>
      <c r="C1397" s="1">
        <v>1396</v>
      </c>
      <c r="D1397" s="4">
        <v>38237</v>
      </c>
      <c r="E1397" s="1">
        <v>0</v>
      </c>
      <c r="F1397" s="1">
        <v>1</v>
      </c>
      <c r="G1397" s="1">
        <v>8</v>
      </c>
      <c r="H1397" s="1">
        <v>2</v>
      </c>
      <c r="I1397" s="1">
        <v>0</v>
      </c>
      <c r="J1397" s="2" t="str">
        <f t="shared" si="110"/>
        <v>FFR</v>
      </c>
      <c r="K1397" s="2" t="str">
        <f t="shared" si="111"/>
        <v>@CTW</v>
      </c>
      <c r="L1397" s="1" t="str">
        <f t="shared" si="114"/>
        <v>1396,9/7/2004,0,1,8,2,0</v>
      </c>
    </row>
    <row r="1398" spans="1:12" x14ac:dyDescent="0.2">
      <c r="A1398" s="1" t="str">
        <f t="shared" si="112"/>
        <v>382379</v>
      </c>
      <c r="B1398" s="1" t="str">
        <f t="shared" si="113"/>
        <v>3823712</v>
      </c>
      <c r="C1398" s="1">
        <v>1397</v>
      </c>
      <c r="D1398" s="4">
        <v>38237</v>
      </c>
      <c r="E1398" s="1">
        <v>0</v>
      </c>
      <c r="F1398" s="1">
        <v>12</v>
      </c>
      <c r="G1398" s="1">
        <v>9</v>
      </c>
      <c r="H1398" s="1">
        <v>2</v>
      </c>
      <c r="I1398" s="1">
        <v>0</v>
      </c>
      <c r="J1398" s="2" t="str">
        <f t="shared" si="110"/>
        <v>RMO</v>
      </c>
      <c r="K1398" s="2" t="str">
        <f t="shared" si="111"/>
        <v>@CIN</v>
      </c>
      <c r="L1398" s="1" t="str">
        <f t="shared" si="114"/>
        <v>1397,9/7/2004,0,12,9,2,0</v>
      </c>
    </row>
    <row r="1399" spans="1:12" x14ac:dyDescent="0.2">
      <c r="A1399" s="1" t="str">
        <f t="shared" si="112"/>
        <v>3823710</v>
      </c>
      <c r="B1399" s="1" t="str">
        <f t="shared" si="113"/>
        <v>3823722</v>
      </c>
      <c r="C1399" s="1">
        <v>1398</v>
      </c>
      <c r="D1399" s="4">
        <v>38237</v>
      </c>
      <c r="E1399" s="1">
        <v>0</v>
      </c>
      <c r="F1399" s="1">
        <v>22</v>
      </c>
      <c r="G1399" s="1">
        <v>10</v>
      </c>
      <c r="H1399" s="1">
        <v>2</v>
      </c>
      <c r="I1399" s="1">
        <v>0</v>
      </c>
      <c r="J1399" s="2" t="str">
        <f t="shared" si="110"/>
        <v>CBB</v>
      </c>
      <c r="K1399" s="2" t="str">
        <f t="shared" si="111"/>
        <v>@REN</v>
      </c>
      <c r="L1399" s="1" t="str">
        <f t="shared" si="114"/>
        <v>1398,9/7/2004,0,22,10,2,0</v>
      </c>
    </row>
    <row r="1400" spans="1:12" x14ac:dyDescent="0.2">
      <c r="A1400" s="1" t="str">
        <f t="shared" si="112"/>
        <v>3823713</v>
      </c>
      <c r="B1400" s="1" t="str">
        <f t="shared" si="113"/>
        <v>382374</v>
      </c>
      <c r="C1400" s="1">
        <v>1399</v>
      </c>
      <c r="D1400" s="4">
        <v>38237</v>
      </c>
      <c r="E1400" s="1">
        <v>0</v>
      </c>
      <c r="F1400" s="1">
        <v>4</v>
      </c>
      <c r="G1400" s="1">
        <v>13</v>
      </c>
      <c r="H1400" s="1">
        <v>2</v>
      </c>
      <c r="I1400" s="1">
        <v>0</v>
      </c>
      <c r="J1400" s="2" t="str">
        <f t="shared" si="110"/>
        <v>NNN</v>
      </c>
      <c r="K1400" s="2" t="str">
        <f t="shared" si="111"/>
        <v>@BBG</v>
      </c>
      <c r="L1400" s="1" t="str">
        <f t="shared" si="114"/>
        <v>1399,9/7/2004,0,4,13,2,0</v>
      </c>
    </row>
    <row r="1401" spans="1:12" x14ac:dyDescent="0.2">
      <c r="A1401" s="1" t="str">
        <f t="shared" si="112"/>
        <v>3823714</v>
      </c>
      <c r="B1401" s="1" t="str">
        <f t="shared" si="113"/>
        <v>3823723</v>
      </c>
      <c r="C1401" s="1">
        <v>1400</v>
      </c>
      <c r="D1401" s="4">
        <v>38237</v>
      </c>
      <c r="E1401" s="1">
        <v>0</v>
      </c>
      <c r="F1401" s="1">
        <v>23</v>
      </c>
      <c r="G1401" s="1">
        <v>14</v>
      </c>
      <c r="H1401" s="1">
        <v>2</v>
      </c>
      <c r="I1401" s="1">
        <v>0</v>
      </c>
      <c r="J1401" s="2" t="str">
        <f t="shared" si="110"/>
        <v>BRK</v>
      </c>
      <c r="K1401" s="2" t="str">
        <f t="shared" si="111"/>
        <v>@CEN</v>
      </c>
      <c r="L1401" s="1" t="str">
        <f t="shared" si="114"/>
        <v>1400,9/7/2004,0,23,14,2,0</v>
      </c>
    </row>
    <row r="1402" spans="1:12" x14ac:dyDescent="0.2">
      <c r="A1402" s="1" t="str">
        <f t="shared" si="112"/>
        <v>3823717</v>
      </c>
      <c r="B1402" s="1" t="str">
        <f t="shared" si="113"/>
        <v>382375</v>
      </c>
      <c r="C1402" s="1">
        <v>1401</v>
      </c>
      <c r="D1402" s="4">
        <v>38237</v>
      </c>
      <c r="E1402" s="1">
        <v>0</v>
      </c>
      <c r="F1402" s="1">
        <v>5</v>
      </c>
      <c r="G1402" s="1">
        <v>17</v>
      </c>
      <c r="H1402" s="1">
        <v>2</v>
      </c>
      <c r="I1402" s="1">
        <v>0</v>
      </c>
      <c r="J1402" s="2" t="str">
        <f t="shared" si="110"/>
        <v>OKO</v>
      </c>
      <c r="K1402" s="2" t="str">
        <f t="shared" si="111"/>
        <v>@GAR</v>
      </c>
      <c r="L1402" s="1" t="str">
        <f t="shared" si="114"/>
        <v>1401,9/7/2004,0,5,17,2,0</v>
      </c>
    </row>
    <row r="1403" spans="1:12" x14ac:dyDescent="0.2">
      <c r="A1403" s="1" t="str">
        <f t="shared" si="112"/>
        <v>3823720</v>
      </c>
      <c r="B1403" s="1" t="str">
        <f t="shared" si="113"/>
        <v>3823724</v>
      </c>
      <c r="C1403" s="1">
        <v>1402</v>
      </c>
      <c r="D1403" s="4">
        <v>38237</v>
      </c>
      <c r="E1403" s="1">
        <v>0</v>
      </c>
      <c r="F1403" s="1">
        <v>24</v>
      </c>
      <c r="G1403" s="1">
        <v>20</v>
      </c>
      <c r="H1403" s="1">
        <v>2</v>
      </c>
      <c r="I1403" s="1">
        <v>0</v>
      </c>
      <c r="J1403" s="2" t="str">
        <f t="shared" si="110"/>
        <v>PHI</v>
      </c>
      <c r="K1403" s="2" t="str">
        <f t="shared" si="111"/>
        <v>@FDH</v>
      </c>
      <c r="L1403" s="1" t="str">
        <f t="shared" si="114"/>
        <v>1402,9/7/2004,0,24,20,2,0</v>
      </c>
    </row>
    <row r="1404" spans="1:12" x14ac:dyDescent="0.2">
      <c r="A1404" s="1" t="str">
        <f t="shared" si="112"/>
        <v>382382</v>
      </c>
      <c r="B1404" s="1" t="str">
        <f t="shared" si="113"/>
        <v>3823811</v>
      </c>
      <c r="C1404" s="1">
        <v>1403</v>
      </c>
      <c r="D1404" s="4">
        <v>38238</v>
      </c>
      <c r="E1404" s="1">
        <v>0</v>
      </c>
      <c r="F1404" s="1">
        <v>11</v>
      </c>
      <c r="G1404" s="1">
        <v>2</v>
      </c>
      <c r="H1404" s="1">
        <v>2</v>
      </c>
      <c r="I1404" s="1">
        <v>0</v>
      </c>
      <c r="J1404" s="2" t="str">
        <f t="shared" si="110"/>
        <v>HAR</v>
      </c>
      <c r="K1404" s="2" t="str">
        <f t="shared" si="111"/>
        <v>@NEP</v>
      </c>
      <c r="L1404" s="1" t="str">
        <f t="shared" si="114"/>
        <v>1403,9/8/2004,0,11,2,2,0</v>
      </c>
    </row>
    <row r="1405" spans="1:12" x14ac:dyDescent="0.2">
      <c r="A1405" s="1" t="str">
        <f t="shared" si="112"/>
        <v>382383</v>
      </c>
      <c r="B1405" s="1" t="str">
        <f t="shared" si="113"/>
        <v>3823821</v>
      </c>
      <c r="C1405" s="1">
        <v>1404</v>
      </c>
      <c r="D1405" s="4">
        <v>38238</v>
      </c>
      <c r="E1405" s="1">
        <v>0</v>
      </c>
      <c r="F1405" s="1">
        <v>21</v>
      </c>
      <c r="G1405" s="1">
        <v>3</v>
      </c>
      <c r="H1405" s="1">
        <v>2</v>
      </c>
      <c r="I1405" s="1">
        <v>0</v>
      </c>
      <c r="J1405" s="2" t="str">
        <f t="shared" si="110"/>
        <v>NYD</v>
      </c>
      <c r="K1405" s="2" t="str">
        <f t="shared" si="111"/>
        <v>@TEW</v>
      </c>
      <c r="L1405" s="1" t="str">
        <f t="shared" si="114"/>
        <v>1404,9/8/2004,0,21,3,2,0</v>
      </c>
    </row>
    <row r="1406" spans="1:12" x14ac:dyDescent="0.2">
      <c r="A1406" s="1" t="str">
        <f t="shared" si="112"/>
        <v>382387</v>
      </c>
      <c r="B1406" s="1" t="str">
        <f t="shared" si="113"/>
        <v>3823816</v>
      </c>
      <c r="C1406" s="1">
        <v>1405</v>
      </c>
      <c r="D1406" s="4">
        <v>38238</v>
      </c>
      <c r="E1406" s="1">
        <v>0</v>
      </c>
      <c r="F1406" s="1">
        <v>16</v>
      </c>
      <c r="G1406" s="1">
        <v>7</v>
      </c>
      <c r="H1406" s="1">
        <v>2</v>
      </c>
      <c r="I1406" s="1">
        <v>0</v>
      </c>
      <c r="J1406" s="2" t="str">
        <f t="shared" si="110"/>
        <v>DIG</v>
      </c>
      <c r="K1406" s="2" t="str">
        <f t="shared" si="111"/>
        <v>@BAR</v>
      </c>
      <c r="L1406" s="1" t="str">
        <f t="shared" si="114"/>
        <v>1405,9/8/2004,0,16,7,2,0</v>
      </c>
    </row>
    <row r="1407" spans="1:12" x14ac:dyDescent="0.2">
      <c r="A1407" s="1" t="str">
        <f t="shared" si="112"/>
        <v>382388</v>
      </c>
      <c r="B1407" s="1" t="str">
        <f t="shared" si="113"/>
        <v>382381</v>
      </c>
      <c r="C1407" s="1">
        <v>1406</v>
      </c>
      <c r="D1407" s="4">
        <v>38238</v>
      </c>
      <c r="E1407" s="1">
        <v>0</v>
      </c>
      <c r="F1407" s="1">
        <v>1</v>
      </c>
      <c r="G1407" s="1">
        <v>8</v>
      </c>
      <c r="H1407" s="1">
        <v>2</v>
      </c>
      <c r="I1407" s="1">
        <v>0</v>
      </c>
      <c r="J1407" s="2" t="str">
        <f t="shared" si="110"/>
        <v>FFR</v>
      </c>
      <c r="K1407" s="2" t="str">
        <f t="shared" si="111"/>
        <v>@CTW</v>
      </c>
      <c r="L1407" s="1" t="str">
        <f t="shared" si="114"/>
        <v>1406,9/8/2004,0,1,8,2,0</v>
      </c>
    </row>
    <row r="1408" spans="1:12" x14ac:dyDescent="0.2">
      <c r="A1408" s="1" t="str">
        <f t="shared" si="112"/>
        <v>382389</v>
      </c>
      <c r="B1408" s="1" t="str">
        <f t="shared" si="113"/>
        <v>3823812</v>
      </c>
      <c r="C1408" s="1">
        <v>1407</v>
      </c>
      <c r="D1408" s="4">
        <v>38238</v>
      </c>
      <c r="E1408" s="1">
        <v>0</v>
      </c>
      <c r="F1408" s="1">
        <v>12</v>
      </c>
      <c r="G1408" s="1">
        <v>9</v>
      </c>
      <c r="H1408" s="1">
        <v>2</v>
      </c>
      <c r="I1408" s="1">
        <v>0</v>
      </c>
      <c r="J1408" s="2" t="str">
        <f t="shared" si="110"/>
        <v>RMO</v>
      </c>
      <c r="K1408" s="2" t="str">
        <f t="shared" si="111"/>
        <v>@CIN</v>
      </c>
      <c r="L1408" s="1" t="str">
        <f t="shared" si="114"/>
        <v>1407,9/8/2004,0,12,9,2,0</v>
      </c>
    </row>
    <row r="1409" spans="1:12" x14ac:dyDescent="0.2">
      <c r="A1409" s="1" t="str">
        <f t="shared" si="112"/>
        <v>3823810</v>
      </c>
      <c r="B1409" s="1" t="str">
        <f t="shared" si="113"/>
        <v>3823822</v>
      </c>
      <c r="C1409" s="1">
        <v>1408</v>
      </c>
      <c r="D1409" s="4">
        <v>38238</v>
      </c>
      <c r="E1409" s="1">
        <v>0</v>
      </c>
      <c r="F1409" s="1">
        <v>22</v>
      </c>
      <c r="G1409" s="1">
        <v>10</v>
      </c>
      <c r="H1409" s="1">
        <v>2</v>
      </c>
      <c r="I1409" s="1">
        <v>0</v>
      </c>
      <c r="J1409" s="2" t="str">
        <f t="shared" si="110"/>
        <v>CBB</v>
      </c>
      <c r="K1409" s="2" t="str">
        <f t="shared" si="111"/>
        <v>@REN</v>
      </c>
      <c r="L1409" s="1" t="str">
        <f t="shared" si="114"/>
        <v>1408,9/8/2004,0,22,10,2,0</v>
      </c>
    </row>
    <row r="1410" spans="1:12" x14ac:dyDescent="0.2">
      <c r="A1410" s="1" t="str">
        <f t="shared" si="112"/>
        <v>3823813</v>
      </c>
      <c r="B1410" s="1" t="str">
        <f t="shared" si="113"/>
        <v>382384</v>
      </c>
      <c r="C1410" s="1">
        <v>1409</v>
      </c>
      <c r="D1410" s="4">
        <v>38238</v>
      </c>
      <c r="E1410" s="1">
        <v>0</v>
      </c>
      <c r="F1410" s="1">
        <v>4</v>
      </c>
      <c r="G1410" s="1">
        <v>13</v>
      </c>
      <c r="H1410" s="1">
        <v>2</v>
      </c>
      <c r="I1410" s="1">
        <v>0</v>
      </c>
      <c r="J1410" s="2" t="str">
        <f t="shared" ref="J1410:J1473" si="115">VLOOKUP(F1410,$M$2:$N$21,2,0)</f>
        <v>NNN</v>
      </c>
      <c r="K1410" s="2" t="str">
        <f t="shared" ref="K1410:K1473" si="116">"@"&amp;VLOOKUP(G1410,$M$2:$N$21,2,0)</f>
        <v>@BBG</v>
      </c>
      <c r="L1410" s="1" t="str">
        <f t="shared" si="114"/>
        <v>1409,9/8/2004,0,4,13,2,0</v>
      </c>
    </row>
    <row r="1411" spans="1:12" x14ac:dyDescent="0.2">
      <c r="A1411" s="1" t="str">
        <f t="shared" si="112"/>
        <v>3823814</v>
      </c>
      <c r="B1411" s="1" t="str">
        <f t="shared" si="113"/>
        <v>3823823</v>
      </c>
      <c r="C1411" s="1">
        <v>1410</v>
      </c>
      <c r="D1411" s="4">
        <v>38238</v>
      </c>
      <c r="E1411" s="1">
        <v>0</v>
      </c>
      <c r="F1411" s="1">
        <v>23</v>
      </c>
      <c r="G1411" s="1">
        <v>14</v>
      </c>
      <c r="H1411" s="1">
        <v>2</v>
      </c>
      <c r="I1411" s="1">
        <v>0</v>
      </c>
      <c r="J1411" s="2" t="str">
        <f t="shared" si="115"/>
        <v>BRK</v>
      </c>
      <c r="K1411" s="2" t="str">
        <f t="shared" si="116"/>
        <v>@CEN</v>
      </c>
      <c r="L1411" s="1" t="str">
        <f t="shared" si="114"/>
        <v>1410,9/8/2004,0,23,14,2,0</v>
      </c>
    </row>
    <row r="1412" spans="1:12" x14ac:dyDescent="0.2">
      <c r="A1412" s="1" t="str">
        <f t="shared" si="112"/>
        <v>3823817</v>
      </c>
      <c r="B1412" s="1" t="str">
        <f t="shared" si="113"/>
        <v>382385</v>
      </c>
      <c r="C1412" s="1">
        <v>1411</v>
      </c>
      <c r="D1412" s="4">
        <v>38238</v>
      </c>
      <c r="E1412" s="1">
        <v>0</v>
      </c>
      <c r="F1412" s="1">
        <v>5</v>
      </c>
      <c r="G1412" s="1">
        <v>17</v>
      </c>
      <c r="H1412" s="1">
        <v>2</v>
      </c>
      <c r="I1412" s="1">
        <v>0</v>
      </c>
      <c r="J1412" s="2" t="str">
        <f t="shared" si="115"/>
        <v>OKO</v>
      </c>
      <c r="K1412" s="2" t="str">
        <f t="shared" si="116"/>
        <v>@GAR</v>
      </c>
      <c r="L1412" s="1" t="str">
        <f t="shared" si="114"/>
        <v>1411,9/8/2004,0,5,17,2,0</v>
      </c>
    </row>
    <row r="1413" spans="1:12" x14ac:dyDescent="0.2">
      <c r="A1413" s="1" t="str">
        <f t="shared" si="112"/>
        <v>3823820</v>
      </c>
      <c r="B1413" s="1" t="str">
        <f t="shared" si="113"/>
        <v>3823824</v>
      </c>
      <c r="C1413" s="1">
        <v>1412</v>
      </c>
      <c r="D1413" s="4">
        <v>38238</v>
      </c>
      <c r="E1413" s="1">
        <v>0</v>
      </c>
      <c r="F1413" s="1">
        <v>24</v>
      </c>
      <c r="G1413" s="1">
        <v>20</v>
      </c>
      <c r="H1413" s="1">
        <v>2</v>
      </c>
      <c r="I1413" s="1">
        <v>0</v>
      </c>
      <c r="J1413" s="2" t="str">
        <f t="shared" si="115"/>
        <v>PHI</v>
      </c>
      <c r="K1413" s="2" t="str">
        <f t="shared" si="116"/>
        <v>@FDH</v>
      </c>
      <c r="L1413" s="1" t="str">
        <f t="shared" si="114"/>
        <v>1412,9/8/2004,0,24,20,2,0</v>
      </c>
    </row>
    <row r="1414" spans="1:12" x14ac:dyDescent="0.2">
      <c r="A1414" s="1" t="str">
        <f t="shared" si="112"/>
        <v>382392</v>
      </c>
      <c r="B1414" s="1" t="str">
        <f t="shared" si="113"/>
        <v>3823911</v>
      </c>
      <c r="C1414" s="1">
        <v>1413</v>
      </c>
      <c r="D1414" s="4">
        <v>38239</v>
      </c>
      <c r="E1414" s="1">
        <v>0</v>
      </c>
      <c r="F1414" s="1">
        <v>11</v>
      </c>
      <c r="G1414" s="1">
        <v>2</v>
      </c>
      <c r="H1414" s="1">
        <v>2</v>
      </c>
      <c r="I1414" s="1">
        <v>0</v>
      </c>
      <c r="J1414" s="2" t="str">
        <f t="shared" si="115"/>
        <v>HAR</v>
      </c>
      <c r="K1414" s="2" t="str">
        <f t="shared" si="116"/>
        <v>@NEP</v>
      </c>
      <c r="L1414" s="1" t="str">
        <f t="shared" si="114"/>
        <v>1413,9/9/2004,0,11,2,2,0</v>
      </c>
    </row>
    <row r="1415" spans="1:12" x14ac:dyDescent="0.2">
      <c r="A1415" s="1" t="str">
        <f t="shared" si="112"/>
        <v>382393</v>
      </c>
      <c r="B1415" s="1" t="str">
        <f t="shared" si="113"/>
        <v>3823921</v>
      </c>
      <c r="C1415" s="1">
        <v>1414</v>
      </c>
      <c r="D1415" s="4">
        <v>38239</v>
      </c>
      <c r="E1415" s="1">
        <v>0</v>
      </c>
      <c r="F1415" s="1">
        <v>21</v>
      </c>
      <c r="G1415" s="1">
        <v>3</v>
      </c>
      <c r="H1415" s="1">
        <v>2</v>
      </c>
      <c r="I1415" s="1">
        <v>0</v>
      </c>
      <c r="J1415" s="2" t="str">
        <f t="shared" si="115"/>
        <v>NYD</v>
      </c>
      <c r="K1415" s="2" t="str">
        <f t="shared" si="116"/>
        <v>@TEW</v>
      </c>
      <c r="L1415" s="1" t="str">
        <f t="shared" si="114"/>
        <v>1414,9/9/2004,0,21,3,2,0</v>
      </c>
    </row>
    <row r="1416" spans="1:12" x14ac:dyDescent="0.2">
      <c r="A1416" s="1" t="str">
        <f t="shared" si="112"/>
        <v>382397</v>
      </c>
      <c r="B1416" s="1" t="str">
        <f t="shared" si="113"/>
        <v>3823916</v>
      </c>
      <c r="C1416" s="1">
        <v>1415</v>
      </c>
      <c r="D1416" s="4">
        <v>38239</v>
      </c>
      <c r="E1416" s="1">
        <v>0</v>
      </c>
      <c r="F1416" s="1">
        <v>16</v>
      </c>
      <c r="G1416" s="1">
        <v>7</v>
      </c>
      <c r="H1416" s="1">
        <v>2</v>
      </c>
      <c r="I1416" s="1">
        <v>0</v>
      </c>
      <c r="J1416" s="2" t="str">
        <f t="shared" si="115"/>
        <v>DIG</v>
      </c>
      <c r="K1416" s="2" t="str">
        <f t="shared" si="116"/>
        <v>@BAR</v>
      </c>
      <c r="L1416" s="1" t="str">
        <f t="shared" si="114"/>
        <v>1415,9/9/2004,0,16,7,2,0</v>
      </c>
    </row>
    <row r="1417" spans="1:12" x14ac:dyDescent="0.2">
      <c r="A1417" s="1" t="str">
        <f t="shared" si="112"/>
        <v>382398</v>
      </c>
      <c r="B1417" s="1" t="str">
        <f t="shared" si="113"/>
        <v>382391</v>
      </c>
      <c r="C1417" s="1">
        <v>1416</v>
      </c>
      <c r="D1417" s="4">
        <v>38239</v>
      </c>
      <c r="E1417" s="1">
        <v>0</v>
      </c>
      <c r="F1417" s="1">
        <v>1</v>
      </c>
      <c r="G1417" s="1">
        <v>8</v>
      </c>
      <c r="H1417" s="1">
        <v>2</v>
      </c>
      <c r="I1417" s="1">
        <v>0</v>
      </c>
      <c r="J1417" s="2" t="str">
        <f t="shared" si="115"/>
        <v>FFR</v>
      </c>
      <c r="K1417" s="2" t="str">
        <f t="shared" si="116"/>
        <v>@CTW</v>
      </c>
      <c r="L1417" s="1" t="str">
        <f t="shared" si="114"/>
        <v>1416,9/9/2004,0,1,8,2,0</v>
      </c>
    </row>
    <row r="1418" spans="1:12" x14ac:dyDescent="0.2">
      <c r="A1418" s="1" t="str">
        <f t="shared" si="112"/>
        <v>382399</v>
      </c>
      <c r="B1418" s="1" t="str">
        <f t="shared" si="113"/>
        <v>3823912</v>
      </c>
      <c r="C1418" s="1">
        <v>1417</v>
      </c>
      <c r="D1418" s="4">
        <v>38239</v>
      </c>
      <c r="E1418" s="1">
        <v>0</v>
      </c>
      <c r="F1418" s="1">
        <v>12</v>
      </c>
      <c r="G1418" s="1">
        <v>9</v>
      </c>
      <c r="H1418" s="1">
        <v>2</v>
      </c>
      <c r="I1418" s="1">
        <v>0</v>
      </c>
      <c r="J1418" s="2" t="str">
        <f t="shared" si="115"/>
        <v>RMO</v>
      </c>
      <c r="K1418" s="2" t="str">
        <f t="shared" si="116"/>
        <v>@CIN</v>
      </c>
      <c r="L1418" s="1" t="str">
        <f t="shared" si="114"/>
        <v>1417,9/9/2004,0,12,9,2,0</v>
      </c>
    </row>
    <row r="1419" spans="1:12" x14ac:dyDescent="0.2">
      <c r="A1419" s="1" t="str">
        <f t="shared" si="112"/>
        <v>3823910</v>
      </c>
      <c r="B1419" s="1" t="str">
        <f t="shared" si="113"/>
        <v>3823922</v>
      </c>
      <c r="C1419" s="1">
        <v>1418</v>
      </c>
      <c r="D1419" s="4">
        <v>38239</v>
      </c>
      <c r="E1419" s="1">
        <v>0</v>
      </c>
      <c r="F1419" s="1">
        <v>22</v>
      </c>
      <c r="G1419" s="1">
        <v>10</v>
      </c>
      <c r="H1419" s="1">
        <v>2</v>
      </c>
      <c r="I1419" s="1">
        <v>0</v>
      </c>
      <c r="J1419" s="2" t="str">
        <f t="shared" si="115"/>
        <v>CBB</v>
      </c>
      <c r="K1419" s="2" t="str">
        <f t="shared" si="116"/>
        <v>@REN</v>
      </c>
      <c r="L1419" s="1" t="str">
        <f t="shared" si="114"/>
        <v>1418,9/9/2004,0,22,10,2,0</v>
      </c>
    </row>
    <row r="1420" spans="1:12" x14ac:dyDescent="0.2">
      <c r="A1420" s="1" t="str">
        <f t="shared" si="112"/>
        <v>3823913</v>
      </c>
      <c r="B1420" s="1" t="str">
        <f t="shared" si="113"/>
        <v>382394</v>
      </c>
      <c r="C1420" s="1">
        <v>1419</v>
      </c>
      <c r="D1420" s="4">
        <v>38239</v>
      </c>
      <c r="E1420" s="1">
        <v>0</v>
      </c>
      <c r="F1420" s="1">
        <v>4</v>
      </c>
      <c r="G1420" s="1">
        <v>13</v>
      </c>
      <c r="H1420" s="1">
        <v>2</v>
      </c>
      <c r="I1420" s="1">
        <v>0</v>
      </c>
      <c r="J1420" s="2" t="str">
        <f t="shared" si="115"/>
        <v>NNN</v>
      </c>
      <c r="K1420" s="2" t="str">
        <f t="shared" si="116"/>
        <v>@BBG</v>
      </c>
      <c r="L1420" s="1" t="str">
        <f t="shared" si="114"/>
        <v>1419,9/9/2004,0,4,13,2,0</v>
      </c>
    </row>
    <row r="1421" spans="1:12" x14ac:dyDescent="0.2">
      <c r="A1421" s="1" t="str">
        <f t="shared" si="112"/>
        <v>3823914</v>
      </c>
      <c r="B1421" s="1" t="str">
        <f t="shared" si="113"/>
        <v>3823923</v>
      </c>
      <c r="C1421" s="1">
        <v>1420</v>
      </c>
      <c r="D1421" s="4">
        <v>38239</v>
      </c>
      <c r="E1421" s="1">
        <v>0</v>
      </c>
      <c r="F1421" s="1">
        <v>23</v>
      </c>
      <c r="G1421" s="1">
        <v>14</v>
      </c>
      <c r="H1421" s="1">
        <v>2</v>
      </c>
      <c r="I1421" s="1">
        <v>0</v>
      </c>
      <c r="J1421" s="2" t="str">
        <f t="shared" si="115"/>
        <v>BRK</v>
      </c>
      <c r="K1421" s="2" t="str">
        <f t="shared" si="116"/>
        <v>@CEN</v>
      </c>
      <c r="L1421" s="1" t="str">
        <f t="shared" si="114"/>
        <v>1420,9/9/2004,0,23,14,2,0</v>
      </c>
    </row>
    <row r="1422" spans="1:12" x14ac:dyDescent="0.2">
      <c r="A1422" s="1" t="str">
        <f t="shared" si="112"/>
        <v>3823917</v>
      </c>
      <c r="B1422" s="1" t="str">
        <f t="shared" si="113"/>
        <v>382395</v>
      </c>
      <c r="C1422" s="1">
        <v>1421</v>
      </c>
      <c r="D1422" s="4">
        <v>38239</v>
      </c>
      <c r="E1422" s="1">
        <v>0</v>
      </c>
      <c r="F1422" s="1">
        <v>5</v>
      </c>
      <c r="G1422" s="1">
        <v>17</v>
      </c>
      <c r="H1422" s="1">
        <v>2</v>
      </c>
      <c r="I1422" s="1">
        <v>0</v>
      </c>
      <c r="J1422" s="2" t="str">
        <f t="shared" si="115"/>
        <v>OKO</v>
      </c>
      <c r="K1422" s="2" t="str">
        <f t="shared" si="116"/>
        <v>@GAR</v>
      </c>
      <c r="L1422" s="1" t="str">
        <f t="shared" si="114"/>
        <v>1421,9/9/2004,0,5,17,2,0</v>
      </c>
    </row>
    <row r="1423" spans="1:12" x14ac:dyDescent="0.2">
      <c r="A1423" s="1" t="str">
        <f t="shared" si="112"/>
        <v>3823920</v>
      </c>
      <c r="B1423" s="1" t="str">
        <f t="shared" si="113"/>
        <v>3823924</v>
      </c>
      <c r="C1423" s="1">
        <v>1422</v>
      </c>
      <c r="D1423" s="4">
        <v>38239</v>
      </c>
      <c r="E1423" s="1">
        <v>0</v>
      </c>
      <c r="F1423" s="1">
        <v>24</v>
      </c>
      <c r="G1423" s="1">
        <v>20</v>
      </c>
      <c r="H1423" s="1">
        <v>2</v>
      </c>
      <c r="I1423" s="1">
        <v>0</v>
      </c>
      <c r="J1423" s="2" t="str">
        <f t="shared" si="115"/>
        <v>PHI</v>
      </c>
      <c r="K1423" s="2" t="str">
        <f t="shared" si="116"/>
        <v>@FDH</v>
      </c>
      <c r="L1423" s="1" t="str">
        <f t="shared" si="114"/>
        <v>1422,9/9/2004,0,24,20,2,0</v>
      </c>
    </row>
    <row r="1424" spans="1:12" x14ac:dyDescent="0.2">
      <c r="A1424" s="1" t="str">
        <f t="shared" si="112"/>
        <v>382402</v>
      </c>
      <c r="B1424" s="1" t="str">
        <f t="shared" si="113"/>
        <v>3824011</v>
      </c>
      <c r="C1424" s="1">
        <v>1423</v>
      </c>
      <c r="D1424" s="4">
        <v>38240</v>
      </c>
      <c r="E1424" s="1">
        <v>0</v>
      </c>
      <c r="F1424" s="1">
        <v>11</v>
      </c>
      <c r="G1424" s="1">
        <v>2</v>
      </c>
      <c r="H1424" s="1">
        <v>2</v>
      </c>
      <c r="I1424" s="1">
        <v>0</v>
      </c>
      <c r="J1424" s="2" t="str">
        <f t="shared" si="115"/>
        <v>HAR</v>
      </c>
      <c r="K1424" s="2" t="str">
        <f t="shared" si="116"/>
        <v>@NEP</v>
      </c>
      <c r="L1424" s="1" t="str">
        <f t="shared" si="114"/>
        <v>1423,9/10/2004,0,11,2,2,0</v>
      </c>
    </row>
    <row r="1425" spans="1:12" x14ac:dyDescent="0.2">
      <c r="A1425" s="1" t="str">
        <f t="shared" si="112"/>
        <v>382403</v>
      </c>
      <c r="B1425" s="1" t="str">
        <f t="shared" si="113"/>
        <v>3824021</v>
      </c>
      <c r="C1425" s="1">
        <v>1424</v>
      </c>
      <c r="D1425" s="4">
        <v>38240</v>
      </c>
      <c r="E1425" s="1">
        <v>0</v>
      </c>
      <c r="F1425" s="1">
        <v>21</v>
      </c>
      <c r="G1425" s="1">
        <v>3</v>
      </c>
      <c r="H1425" s="1">
        <v>2</v>
      </c>
      <c r="I1425" s="1">
        <v>0</v>
      </c>
      <c r="J1425" s="2" t="str">
        <f t="shared" si="115"/>
        <v>NYD</v>
      </c>
      <c r="K1425" s="2" t="str">
        <f t="shared" si="116"/>
        <v>@TEW</v>
      </c>
      <c r="L1425" s="1" t="str">
        <f t="shared" si="114"/>
        <v>1424,9/10/2004,0,21,3,2,0</v>
      </c>
    </row>
    <row r="1426" spans="1:12" x14ac:dyDescent="0.2">
      <c r="A1426" s="1" t="str">
        <f t="shared" si="112"/>
        <v>382407</v>
      </c>
      <c r="B1426" s="1" t="str">
        <f t="shared" si="113"/>
        <v>3824016</v>
      </c>
      <c r="C1426" s="1">
        <v>1425</v>
      </c>
      <c r="D1426" s="4">
        <v>38240</v>
      </c>
      <c r="E1426" s="1">
        <v>0</v>
      </c>
      <c r="F1426" s="1">
        <v>16</v>
      </c>
      <c r="G1426" s="1">
        <v>7</v>
      </c>
      <c r="H1426" s="1">
        <v>2</v>
      </c>
      <c r="I1426" s="1">
        <v>0</v>
      </c>
      <c r="J1426" s="2" t="str">
        <f t="shared" si="115"/>
        <v>DIG</v>
      </c>
      <c r="K1426" s="2" t="str">
        <f t="shared" si="116"/>
        <v>@BAR</v>
      </c>
      <c r="L1426" s="1" t="str">
        <f t="shared" si="114"/>
        <v>1425,9/10/2004,0,16,7,2,0</v>
      </c>
    </row>
    <row r="1427" spans="1:12" x14ac:dyDescent="0.2">
      <c r="A1427" s="1" t="str">
        <f t="shared" si="112"/>
        <v>382408</v>
      </c>
      <c r="B1427" s="1" t="str">
        <f t="shared" si="113"/>
        <v>382401</v>
      </c>
      <c r="C1427" s="1">
        <v>1426</v>
      </c>
      <c r="D1427" s="4">
        <v>38240</v>
      </c>
      <c r="E1427" s="1">
        <v>0</v>
      </c>
      <c r="F1427" s="1">
        <v>1</v>
      </c>
      <c r="G1427" s="1">
        <v>8</v>
      </c>
      <c r="H1427" s="1">
        <v>2</v>
      </c>
      <c r="I1427" s="1">
        <v>0</v>
      </c>
      <c r="J1427" s="2" t="str">
        <f t="shared" si="115"/>
        <v>FFR</v>
      </c>
      <c r="K1427" s="2" t="str">
        <f t="shared" si="116"/>
        <v>@CTW</v>
      </c>
      <c r="L1427" s="1" t="str">
        <f t="shared" si="114"/>
        <v>1426,9/10/2004,0,1,8,2,0</v>
      </c>
    </row>
    <row r="1428" spans="1:12" x14ac:dyDescent="0.2">
      <c r="A1428" s="1" t="str">
        <f t="shared" si="112"/>
        <v>382409</v>
      </c>
      <c r="B1428" s="1" t="str">
        <f t="shared" si="113"/>
        <v>3824012</v>
      </c>
      <c r="C1428" s="1">
        <v>1427</v>
      </c>
      <c r="D1428" s="4">
        <v>38240</v>
      </c>
      <c r="E1428" s="1">
        <v>0</v>
      </c>
      <c r="F1428" s="1">
        <v>12</v>
      </c>
      <c r="G1428" s="1">
        <v>9</v>
      </c>
      <c r="H1428" s="1">
        <v>2</v>
      </c>
      <c r="I1428" s="1">
        <v>0</v>
      </c>
      <c r="J1428" s="2" t="str">
        <f t="shared" si="115"/>
        <v>RMO</v>
      </c>
      <c r="K1428" s="2" t="str">
        <f t="shared" si="116"/>
        <v>@CIN</v>
      </c>
      <c r="L1428" s="1" t="str">
        <f t="shared" si="114"/>
        <v>1427,9/10/2004,0,12,9,2,0</v>
      </c>
    </row>
    <row r="1429" spans="1:12" x14ac:dyDescent="0.2">
      <c r="A1429" s="1" t="str">
        <f t="shared" si="112"/>
        <v>3824010</v>
      </c>
      <c r="B1429" s="1" t="str">
        <f t="shared" si="113"/>
        <v>3824022</v>
      </c>
      <c r="C1429" s="1">
        <v>1428</v>
      </c>
      <c r="D1429" s="4">
        <v>38240</v>
      </c>
      <c r="E1429" s="1">
        <v>0</v>
      </c>
      <c r="F1429" s="1">
        <v>22</v>
      </c>
      <c r="G1429" s="1">
        <v>10</v>
      </c>
      <c r="H1429" s="1">
        <v>2</v>
      </c>
      <c r="I1429" s="1">
        <v>0</v>
      </c>
      <c r="J1429" s="2" t="str">
        <f t="shared" si="115"/>
        <v>CBB</v>
      </c>
      <c r="K1429" s="2" t="str">
        <f t="shared" si="116"/>
        <v>@REN</v>
      </c>
      <c r="L1429" s="1" t="str">
        <f t="shared" si="114"/>
        <v>1428,9/10/2004,0,22,10,2,0</v>
      </c>
    </row>
    <row r="1430" spans="1:12" x14ac:dyDescent="0.2">
      <c r="A1430" s="1" t="str">
        <f t="shared" si="112"/>
        <v>3824013</v>
      </c>
      <c r="B1430" s="1" t="str">
        <f t="shared" si="113"/>
        <v>382404</v>
      </c>
      <c r="C1430" s="1">
        <v>1429</v>
      </c>
      <c r="D1430" s="4">
        <v>38240</v>
      </c>
      <c r="E1430" s="1">
        <v>0</v>
      </c>
      <c r="F1430" s="1">
        <v>4</v>
      </c>
      <c r="G1430" s="1">
        <v>13</v>
      </c>
      <c r="H1430" s="1">
        <v>2</v>
      </c>
      <c r="I1430" s="1">
        <v>0</v>
      </c>
      <c r="J1430" s="2" t="str">
        <f t="shared" si="115"/>
        <v>NNN</v>
      </c>
      <c r="K1430" s="2" t="str">
        <f t="shared" si="116"/>
        <v>@BBG</v>
      </c>
      <c r="L1430" s="1" t="str">
        <f t="shared" si="114"/>
        <v>1429,9/10/2004,0,4,13,2,0</v>
      </c>
    </row>
    <row r="1431" spans="1:12" x14ac:dyDescent="0.2">
      <c r="A1431" s="1" t="str">
        <f t="shared" si="112"/>
        <v>3824014</v>
      </c>
      <c r="B1431" s="1" t="str">
        <f t="shared" si="113"/>
        <v>3824023</v>
      </c>
      <c r="C1431" s="1">
        <v>1430</v>
      </c>
      <c r="D1431" s="4">
        <v>38240</v>
      </c>
      <c r="E1431" s="1">
        <v>0</v>
      </c>
      <c r="F1431" s="1">
        <v>23</v>
      </c>
      <c r="G1431" s="1">
        <v>14</v>
      </c>
      <c r="H1431" s="1">
        <v>2</v>
      </c>
      <c r="I1431" s="1">
        <v>0</v>
      </c>
      <c r="J1431" s="2" t="str">
        <f t="shared" si="115"/>
        <v>BRK</v>
      </c>
      <c r="K1431" s="2" t="str">
        <f t="shared" si="116"/>
        <v>@CEN</v>
      </c>
      <c r="L1431" s="1" t="str">
        <f t="shared" si="114"/>
        <v>1430,9/10/2004,0,23,14,2,0</v>
      </c>
    </row>
    <row r="1432" spans="1:12" x14ac:dyDescent="0.2">
      <c r="A1432" s="1" t="str">
        <f t="shared" si="112"/>
        <v>3824017</v>
      </c>
      <c r="B1432" s="1" t="str">
        <f t="shared" si="113"/>
        <v>382405</v>
      </c>
      <c r="C1432" s="1">
        <v>1431</v>
      </c>
      <c r="D1432" s="4">
        <v>38240</v>
      </c>
      <c r="E1432" s="1">
        <v>0</v>
      </c>
      <c r="F1432" s="1">
        <v>5</v>
      </c>
      <c r="G1432" s="1">
        <v>17</v>
      </c>
      <c r="H1432" s="1">
        <v>2</v>
      </c>
      <c r="I1432" s="1">
        <v>0</v>
      </c>
      <c r="J1432" s="2" t="str">
        <f t="shared" si="115"/>
        <v>OKO</v>
      </c>
      <c r="K1432" s="2" t="str">
        <f t="shared" si="116"/>
        <v>@GAR</v>
      </c>
      <c r="L1432" s="1" t="str">
        <f t="shared" si="114"/>
        <v>1431,9/10/2004,0,5,17,2,0</v>
      </c>
    </row>
    <row r="1433" spans="1:12" x14ac:dyDescent="0.2">
      <c r="A1433" s="1" t="str">
        <f t="shared" si="112"/>
        <v>3824020</v>
      </c>
      <c r="B1433" s="1" t="str">
        <f t="shared" si="113"/>
        <v>3824024</v>
      </c>
      <c r="C1433" s="1">
        <v>1432</v>
      </c>
      <c r="D1433" s="4">
        <v>38240</v>
      </c>
      <c r="E1433" s="1">
        <v>0</v>
      </c>
      <c r="F1433" s="1">
        <v>24</v>
      </c>
      <c r="G1433" s="1">
        <v>20</v>
      </c>
      <c r="H1433" s="1">
        <v>2</v>
      </c>
      <c r="I1433" s="1">
        <v>0</v>
      </c>
      <c r="J1433" s="2" t="str">
        <f t="shared" si="115"/>
        <v>PHI</v>
      </c>
      <c r="K1433" s="2" t="str">
        <f t="shared" si="116"/>
        <v>@FDH</v>
      </c>
      <c r="L1433" s="1" t="str">
        <f t="shared" si="114"/>
        <v>1432,9/10/2004,0,24,20,2,0</v>
      </c>
    </row>
    <row r="1434" spans="1:12" x14ac:dyDescent="0.2">
      <c r="A1434" s="1" t="str">
        <f t="shared" si="112"/>
        <v>382421</v>
      </c>
      <c r="B1434" s="1" t="str">
        <f t="shared" si="113"/>
        <v>382427</v>
      </c>
      <c r="C1434" s="1">
        <v>1433</v>
      </c>
      <c r="D1434" s="4">
        <v>38242</v>
      </c>
      <c r="E1434" s="1">
        <v>0</v>
      </c>
      <c r="F1434" s="1">
        <v>7</v>
      </c>
      <c r="G1434" s="1">
        <v>1</v>
      </c>
      <c r="H1434" s="1">
        <v>2</v>
      </c>
      <c r="I1434" s="1">
        <v>0</v>
      </c>
      <c r="J1434" s="2" t="str">
        <f t="shared" si="115"/>
        <v>BAR</v>
      </c>
      <c r="K1434" s="2" t="str">
        <f t="shared" si="116"/>
        <v>@FFR</v>
      </c>
      <c r="L1434" s="1" t="str">
        <f t="shared" si="114"/>
        <v>1433,9/12/2004,0,7,1,2,0</v>
      </c>
    </row>
    <row r="1435" spans="1:12" x14ac:dyDescent="0.2">
      <c r="A1435" s="1" t="str">
        <f t="shared" si="112"/>
        <v>382424</v>
      </c>
      <c r="B1435" s="1" t="str">
        <f t="shared" si="113"/>
        <v>382429</v>
      </c>
      <c r="C1435" s="1">
        <v>1434</v>
      </c>
      <c r="D1435" s="4">
        <v>38242</v>
      </c>
      <c r="E1435" s="1">
        <v>0</v>
      </c>
      <c r="F1435" s="1">
        <v>9</v>
      </c>
      <c r="G1435" s="1">
        <v>4</v>
      </c>
      <c r="H1435" s="1">
        <v>2</v>
      </c>
      <c r="I1435" s="1">
        <v>0</v>
      </c>
      <c r="J1435" s="2" t="str">
        <f t="shared" si="115"/>
        <v>CIN</v>
      </c>
      <c r="K1435" s="2" t="str">
        <f t="shared" si="116"/>
        <v>@NNN</v>
      </c>
      <c r="L1435" s="1" t="str">
        <f t="shared" si="114"/>
        <v>1434,9/12/2004,0,9,4,2,0</v>
      </c>
    </row>
    <row r="1436" spans="1:12" x14ac:dyDescent="0.2">
      <c r="A1436" s="1" t="str">
        <f t="shared" si="112"/>
        <v>382425</v>
      </c>
      <c r="B1436" s="1" t="str">
        <f t="shared" si="113"/>
        <v>382428</v>
      </c>
      <c r="C1436" s="1">
        <v>1435</v>
      </c>
      <c r="D1436" s="4">
        <v>38242</v>
      </c>
      <c r="E1436" s="1">
        <v>0</v>
      </c>
      <c r="F1436" s="1">
        <v>8</v>
      </c>
      <c r="G1436" s="1">
        <v>5</v>
      </c>
      <c r="H1436" s="1">
        <v>2</v>
      </c>
      <c r="I1436" s="1">
        <v>0</v>
      </c>
      <c r="J1436" s="2" t="str">
        <f t="shared" si="115"/>
        <v>CTW</v>
      </c>
      <c r="K1436" s="2" t="str">
        <f t="shared" si="116"/>
        <v>@OKO</v>
      </c>
      <c r="L1436" s="1" t="str">
        <f t="shared" si="114"/>
        <v>1435,9/12/2004,0,8,5,2,0</v>
      </c>
    </row>
    <row r="1437" spans="1:12" x14ac:dyDescent="0.2">
      <c r="A1437" s="1" t="str">
        <f t="shared" si="112"/>
        <v>3824211</v>
      </c>
      <c r="B1437" s="1" t="str">
        <f t="shared" si="113"/>
        <v>3824214</v>
      </c>
      <c r="C1437" s="1">
        <v>1436</v>
      </c>
      <c r="D1437" s="4">
        <v>38242</v>
      </c>
      <c r="E1437" s="1">
        <v>0</v>
      </c>
      <c r="F1437" s="1">
        <v>14</v>
      </c>
      <c r="G1437" s="1">
        <v>11</v>
      </c>
      <c r="H1437" s="1">
        <v>2</v>
      </c>
      <c r="I1437" s="1">
        <v>0</v>
      </c>
      <c r="J1437" s="2" t="str">
        <f t="shared" si="115"/>
        <v>CEN</v>
      </c>
      <c r="K1437" s="2" t="str">
        <f t="shared" si="116"/>
        <v>@HAR</v>
      </c>
      <c r="L1437" s="1" t="str">
        <f t="shared" si="114"/>
        <v>1436,9/12/2004,0,14,11,2,0</v>
      </c>
    </row>
    <row r="1438" spans="1:12" x14ac:dyDescent="0.2">
      <c r="A1438" s="1" t="str">
        <f t="shared" si="112"/>
        <v>3824212</v>
      </c>
      <c r="B1438" s="1" t="str">
        <f t="shared" si="113"/>
        <v>3824217</v>
      </c>
      <c r="C1438" s="1">
        <v>1437</v>
      </c>
      <c r="D1438" s="4">
        <v>38242</v>
      </c>
      <c r="E1438" s="1">
        <v>0</v>
      </c>
      <c r="F1438" s="1">
        <v>17</v>
      </c>
      <c r="G1438" s="1">
        <v>12</v>
      </c>
      <c r="H1438" s="1">
        <v>2</v>
      </c>
      <c r="I1438" s="1">
        <v>0</v>
      </c>
      <c r="J1438" s="2" t="str">
        <f t="shared" si="115"/>
        <v>GAR</v>
      </c>
      <c r="K1438" s="2" t="str">
        <f t="shared" si="116"/>
        <v>@RMO</v>
      </c>
      <c r="L1438" s="1" t="str">
        <f t="shared" si="114"/>
        <v>1437,9/12/2004,0,17,12,2,0</v>
      </c>
    </row>
    <row r="1439" spans="1:12" x14ac:dyDescent="0.2">
      <c r="A1439" s="1" t="str">
        <f t="shared" si="112"/>
        <v>3824216</v>
      </c>
      <c r="B1439" s="1" t="str">
        <f t="shared" si="113"/>
        <v>3824213</v>
      </c>
      <c r="C1439" s="1">
        <v>1438</v>
      </c>
      <c r="D1439" s="4">
        <v>38242</v>
      </c>
      <c r="E1439" s="1">
        <v>0</v>
      </c>
      <c r="F1439" s="1">
        <v>13</v>
      </c>
      <c r="G1439" s="1">
        <v>16</v>
      </c>
      <c r="H1439" s="1">
        <v>2</v>
      </c>
      <c r="I1439" s="1">
        <v>0</v>
      </c>
      <c r="J1439" s="2" t="str">
        <f t="shared" si="115"/>
        <v>BBG</v>
      </c>
      <c r="K1439" s="2" t="str">
        <f t="shared" si="116"/>
        <v>@DIG</v>
      </c>
      <c r="L1439" s="1" t="str">
        <f t="shared" si="114"/>
        <v>1438,9/12/2004,0,13,16,2,0</v>
      </c>
    </row>
    <row r="1440" spans="1:12" x14ac:dyDescent="0.2">
      <c r="A1440" s="1" t="str">
        <f t="shared" si="112"/>
        <v>3824221</v>
      </c>
      <c r="B1440" s="1" t="str">
        <f t="shared" si="113"/>
        <v>3824220</v>
      </c>
      <c r="C1440" s="1">
        <v>1439</v>
      </c>
      <c r="D1440" s="4">
        <v>38242</v>
      </c>
      <c r="E1440" s="1">
        <v>0</v>
      </c>
      <c r="F1440" s="1">
        <v>20</v>
      </c>
      <c r="G1440" s="1">
        <v>21</v>
      </c>
      <c r="H1440" s="1">
        <v>2</v>
      </c>
      <c r="I1440" s="1">
        <v>0</v>
      </c>
      <c r="J1440" s="2" t="str">
        <f t="shared" si="115"/>
        <v>FDH</v>
      </c>
      <c r="K1440" s="2" t="str">
        <f t="shared" si="116"/>
        <v>@NYD</v>
      </c>
      <c r="L1440" s="1" t="str">
        <f t="shared" si="114"/>
        <v>1439,9/12/2004,0,20,21,2,0</v>
      </c>
    </row>
    <row r="1441" spans="1:12" x14ac:dyDescent="0.2">
      <c r="A1441" s="1" t="str">
        <f t="shared" ref="A1441:A1504" si="117">D1441&amp;G1441</f>
        <v>3824222</v>
      </c>
      <c r="B1441" s="1" t="str">
        <f t="shared" ref="B1441:B1504" si="118">D1441&amp;F1441</f>
        <v>382422</v>
      </c>
      <c r="C1441" s="1">
        <v>1440</v>
      </c>
      <c r="D1441" s="4">
        <v>38242</v>
      </c>
      <c r="E1441" s="1">
        <v>0</v>
      </c>
      <c r="F1441" s="1">
        <v>2</v>
      </c>
      <c r="G1441" s="1">
        <v>22</v>
      </c>
      <c r="H1441" s="1">
        <v>2</v>
      </c>
      <c r="I1441" s="1">
        <v>0</v>
      </c>
      <c r="J1441" s="2" t="str">
        <f t="shared" si="115"/>
        <v>NEP</v>
      </c>
      <c r="K1441" s="2" t="str">
        <f t="shared" si="116"/>
        <v>@CBB</v>
      </c>
      <c r="L1441" s="1" t="str">
        <f t="shared" ref="L1441:L1504" si="119">C1441&amp;","&amp;MONTH(D1441)&amp;"/"&amp;DAY(D1441)&amp;"/"&amp;YEAR(D1441)&amp;","&amp;E1441&amp;","&amp;F1441&amp;","&amp;G1441&amp;","&amp;H1441&amp;","&amp;I1441</f>
        <v>1440,9/12/2004,0,2,22,2,0</v>
      </c>
    </row>
    <row r="1442" spans="1:12" x14ac:dyDescent="0.2">
      <c r="A1442" s="1" t="str">
        <f t="shared" si="117"/>
        <v>3824223</v>
      </c>
      <c r="B1442" s="1" t="str">
        <f t="shared" si="118"/>
        <v>382423</v>
      </c>
      <c r="C1442" s="1">
        <v>1441</v>
      </c>
      <c r="D1442" s="4">
        <v>38242</v>
      </c>
      <c r="E1442" s="1">
        <v>0</v>
      </c>
      <c r="F1442" s="1">
        <v>3</v>
      </c>
      <c r="G1442" s="1">
        <v>23</v>
      </c>
      <c r="H1442" s="1">
        <v>2</v>
      </c>
      <c r="I1442" s="1">
        <v>0</v>
      </c>
      <c r="J1442" s="2" t="str">
        <f t="shared" si="115"/>
        <v>TEW</v>
      </c>
      <c r="K1442" s="2" t="str">
        <f t="shared" si="116"/>
        <v>@BRK</v>
      </c>
      <c r="L1442" s="1" t="str">
        <f t="shared" si="119"/>
        <v>1441,9/12/2004,0,3,23,2,0</v>
      </c>
    </row>
    <row r="1443" spans="1:12" x14ac:dyDescent="0.2">
      <c r="A1443" s="1" t="str">
        <f t="shared" si="117"/>
        <v>3824224</v>
      </c>
      <c r="B1443" s="1" t="str">
        <f t="shared" si="118"/>
        <v>3824210</v>
      </c>
      <c r="C1443" s="1">
        <v>1442</v>
      </c>
      <c r="D1443" s="4">
        <v>38242</v>
      </c>
      <c r="E1443" s="1">
        <v>0</v>
      </c>
      <c r="F1443" s="1">
        <v>10</v>
      </c>
      <c r="G1443" s="1">
        <v>24</v>
      </c>
      <c r="H1443" s="1">
        <v>2</v>
      </c>
      <c r="I1443" s="1">
        <v>0</v>
      </c>
      <c r="J1443" s="2" t="str">
        <f t="shared" si="115"/>
        <v>REN</v>
      </c>
      <c r="K1443" s="2" t="str">
        <f t="shared" si="116"/>
        <v>@PHI</v>
      </c>
      <c r="L1443" s="1" t="str">
        <f t="shared" si="119"/>
        <v>1442,9/12/2004,0,10,24,2,0</v>
      </c>
    </row>
    <row r="1444" spans="1:12" x14ac:dyDescent="0.2">
      <c r="A1444" s="1" t="str">
        <f t="shared" si="117"/>
        <v>382431</v>
      </c>
      <c r="B1444" s="1" t="str">
        <f t="shared" si="118"/>
        <v>382437</v>
      </c>
      <c r="C1444" s="1">
        <v>1443</v>
      </c>
      <c r="D1444" s="4">
        <v>38243</v>
      </c>
      <c r="E1444" s="1">
        <v>0</v>
      </c>
      <c r="F1444" s="1">
        <v>7</v>
      </c>
      <c r="G1444" s="1">
        <v>1</v>
      </c>
      <c r="H1444" s="1">
        <v>2</v>
      </c>
      <c r="I1444" s="1">
        <v>0</v>
      </c>
      <c r="J1444" s="2" t="str">
        <f t="shared" si="115"/>
        <v>BAR</v>
      </c>
      <c r="K1444" s="2" t="str">
        <f t="shared" si="116"/>
        <v>@FFR</v>
      </c>
      <c r="L1444" s="1" t="str">
        <f t="shared" si="119"/>
        <v>1443,9/13/2004,0,7,1,2,0</v>
      </c>
    </row>
    <row r="1445" spans="1:12" x14ac:dyDescent="0.2">
      <c r="A1445" s="1" t="str">
        <f t="shared" si="117"/>
        <v>382434</v>
      </c>
      <c r="B1445" s="1" t="str">
        <f t="shared" si="118"/>
        <v>382439</v>
      </c>
      <c r="C1445" s="1">
        <v>1444</v>
      </c>
      <c r="D1445" s="4">
        <v>38243</v>
      </c>
      <c r="E1445" s="1">
        <v>0</v>
      </c>
      <c r="F1445" s="1">
        <v>9</v>
      </c>
      <c r="G1445" s="1">
        <v>4</v>
      </c>
      <c r="H1445" s="1">
        <v>2</v>
      </c>
      <c r="I1445" s="1">
        <v>0</v>
      </c>
      <c r="J1445" s="2" t="str">
        <f t="shared" si="115"/>
        <v>CIN</v>
      </c>
      <c r="K1445" s="2" t="str">
        <f t="shared" si="116"/>
        <v>@NNN</v>
      </c>
      <c r="L1445" s="1" t="str">
        <f t="shared" si="119"/>
        <v>1444,9/13/2004,0,9,4,2,0</v>
      </c>
    </row>
    <row r="1446" spans="1:12" x14ac:dyDescent="0.2">
      <c r="A1446" s="1" t="str">
        <f t="shared" si="117"/>
        <v>382435</v>
      </c>
      <c r="B1446" s="1" t="str">
        <f t="shared" si="118"/>
        <v>382438</v>
      </c>
      <c r="C1446" s="1">
        <v>1445</v>
      </c>
      <c r="D1446" s="4">
        <v>38243</v>
      </c>
      <c r="E1446" s="1">
        <v>0</v>
      </c>
      <c r="F1446" s="1">
        <v>8</v>
      </c>
      <c r="G1446" s="1">
        <v>5</v>
      </c>
      <c r="H1446" s="1">
        <v>2</v>
      </c>
      <c r="I1446" s="1">
        <v>0</v>
      </c>
      <c r="J1446" s="2" t="str">
        <f t="shared" si="115"/>
        <v>CTW</v>
      </c>
      <c r="K1446" s="2" t="str">
        <f t="shared" si="116"/>
        <v>@OKO</v>
      </c>
      <c r="L1446" s="1" t="str">
        <f t="shared" si="119"/>
        <v>1445,9/13/2004,0,8,5,2,0</v>
      </c>
    </row>
    <row r="1447" spans="1:12" x14ac:dyDescent="0.2">
      <c r="A1447" s="1" t="str">
        <f t="shared" si="117"/>
        <v>3824311</v>
      </c>
      <c r="B1447" s="1" t="str">
        <f t="shared" si="118"/>
        <v>3824314</v>
      </c>
      <c r="C1447" s="1">
        <v>1446</v>
      </c>
      <c r="D1447" s="4">
        <v>38243</v>
      </c>
      <c r="E1447" s="1">
        <v>0</v>
      </c>
      <c r="F1447" s="1">
        <v>14</v>
      </c>
      <c r="G1447" s="1">
        <v>11</v>
      </c>
      <c r="H1447" s="1">
        <v>2</v>
      </c>
      <c r="I1447" s="1">
        <v>0</v>
      </c>
      <c r="J1447" s="2" t="str">
        <f t="shared" si="115"/>
        <v>CEN</v>
      </c>
      <c r="K1447" s="2" t="str">
        <f t="shared" si="116"/>
        <v>@HAR</v>
      </c>
      <c r="L1447" s="1" t="str">
        <f t="shared" si="119"/>
        <v>1446,9/13/2004,0,14,11,2,0</v>
      </c>
    </row>
    <row r="1448" spans="1:12" x14ac:dyDescent="0.2">
      <c r="A1448" s="1" t="str">
        <f t="shared" si="117"/>
        <v>3824312</v>
      </c>
      <c r="B1448" s="1" t="str">
        <f t="shared" si="118"/>
        <v>3824317</v>
      </c>
      <c r="C1448" s="1">
        <v>1447</v>
      </c>
      <c r="D1448" s="4">
        <v>38243</v>
      </c>
      <c r="E1448" s="1">
        <v>0</v>
      </c>
      <c r="F1448" s="1">
        <v>17</v>
      </c>
      <c r="G1448" s="1">
        <v>12</v>
      </c>
      <c r="H1448" s="1">
        <v>2</v>
      </c>
      <c r="I1448" s="1">
        <v>0</v>
      </c>
      <c r="J1448" s="2" t="str">
        <f t="shared" si="115"/>
        <v>GAR</v>
      </c>
      <c r="K1448" s="2" t="str">
        <f t="shared" si="116"/>
        <v>@RMO</v>
      </c>
      <c r="L1448" s="1" t="str">
        <f t="shared" si="119"/>
        <v>1447,9/13/2004,0,17,12,2,0</v>
      </c>
    </row>
    <row r="1449" spans="1:12" x14ac:dyDescent="0.2">
      <c r="A1449" s="1" t="str">
        <f t="shared" si="117"/>
        <v>3824316</v>
      </c>
      <c r="B1449" s="1" t="str">
        <f t="shared" si="118"/>
        <v>3824313</v>
      </c>
      <c r="C1449" s="1">
        <v>1448</v>
      </c>
      <c r="D1449" s="4">
        <v>38243</v>
      </c>
      <c r="E1449" s="1">
        <v>0</v>
      </c>
      <c r="F1449" s="1">
        <v>13</v>
      </c>
      <c r="G1449" s="1">
        <v>16</v>
      </c>
      <c r="H1449" s="1">
        <v>2</v>
      </c>
      <c r="I1449" s="1">
        <v>0</v>
      </c>
      <c r="J1449" s="2" t="str">
        <f t="shared" si="115"/>
        <v>BBG</v>
      </c>
      <c r="K1449" s="2" t="str">
        <f t="shared" si="116"/>
        <v>@DIG</v>
      </c>
      <c r="L1449" s="1" t="str">
        <f t="shared" si="119"/>
        <v>1448,9/13/2004,0,13,16,2,0</v>
      </c>
    </row>
    <row r="1450" spans="1:12" x14ac:dyDescent="0.2">
      <c r="A1450" s="1" t="str">
        <f t="shared" si="117"/>
        <v>3824321</v>
      </c>
      <c r="B1450" s="1" t="str">
        <f t="shared" si="118"/>
        <v>3824320</v>
      </c>
      <c r="C1450" s="1">
        <v>1449</v>
      </c>
      <c r="D1450" s="4">
        <v>38243</v>
      </c>
      <c r="E1450" s="1">
        <v>0</v>
      </c>
      <c r="F1450" s="1">
        <v>20</v>
      </c>
      <c r="G1450" s="1">
        <v>21</v>
      </c>
      <c r="H1450" s="1">
        <v>2</v>
      </c>
      <c r="I1450" s="1">
        <v>0</v>
      </c>
      <c r="J1450" s="2" t="str">
        <f t="shared" si="115"/>
        <v>FDH</v>
      </c>
      <c r="K1450" s="2" t="str">
        <f t="shared" si="116"/>
        <v>@NYD</v>
      </c>
      <c r="L1450" s="1" t="str">
        <f t="shared" si="119"/>
        <v>1449,9/13/2004,0,20,21,2,0</v>
      </c>
    </row>
    <row r="1451" spans="1:12" x14ac:dyDescent="0.2">
      <c r="A1451" s="1" t="str">
        <f t="shared" si="117"/>
        <v>3824322</v>
      </c>
      <c r="B1451" s="1" t="str">
        <f t="shared" si="118"/>
        <v>382432</v>
      </c>
      <c r="C1451" s="1">
        <v>1450</v>
      </c>
      <c r="D1451" s="4">
        <v>38243</v>
      </c>
      <c r="E1451" s="1">
        <v>0</v>
      </c>
      <c r="F1451" s="1">
        <v>2</v>
      </c>
      <c r="G1451" s="1">
        <v>22</v>
      </c>
      <c r="H1451" s="1">
        <v>2</v>
      </c>
      <c r="I1451" s="1">
        <v>0</v>
      </c>
      <c r="J1451" s="2" t="str">
        <f t="shared" si="115"/>
        <v>NEP</v>
      </c>
      <c r="K1451" s="2" t="str">
        <f t="shared" si="116"/>
        <v>@CBB</v>
      </c>
      <c r="L1451" s="1" t="str">
        <f t="shared" si="119"/>
        <v>1450,9/13/2004,0,2,22,2,0</v>
      </c>
    </row>
    <row r="1452" spans="1:12" x14ac:dyDescent="0.2">
      <c r="A1452" s="1" t="str">
        <f t="shared" si="117"/>
        <v>3824323</v>
      </c>
      <c r="B1452" s="1" t="str">
        <f t="shared" si="118"/>
        <v>382433</v>
      </c>
      <c r="C1452" s="1">
        <v>1451</v>
      </c>
      <c r="D1452" s="4">
        <v>38243</v>
      </c>
      <c r="E1452" s="1">
        <v>0</v>
      </c>
      <c r="F1452" s="1">
        <v>3</v>
      </c>
      <c r="G1452" s="1">
        <v>23</v>
      </c>
      <c r="H1452" s="1">
        <v>2</v>
      </c>
      <c r="I1452" s="1">
        <v>0</v>
      </c>
      <c r="J1452" s="2" t="str">
        <f t="shared" si="115"/>
        <v>TEW</v>
      </c>
      <c r="K1452" s="2" t="str">
        <f t="shared" si="116"/>
        <v>@BRK</v>
      </c>
      <c r="L1452" s="1" t="str">
        <f t="shared" si="119"/>
        <v>1451,9/13/2004,0,3,23,2,0</v>
      </c>
    </row>
    <row r="1453" spans="1:12" x14ac:dyDescent="0.2">
      <c r="A1453" s="1" t="str">
        <f t="shared" si="117"/>
        <v>3824324</v>
      </c>
      <c r="B1453" s="1" t="str">
        <f t="shared" si="118"/>
        <v>3824310</v>
      </c>
      <c r="C1453" s="1">
        <v>1452</v>
      </c>
      <c r="D1453" s="4">
        <v>38243</v>
      </c>
      <c r="E1453" s="1">
        <v>0</v>
      </c>
      <c r="F1453" s="1">
        <v>10</v>
      </c>
      <c r="G1453" s="1">
        <v>24</v>
      </c>
      <c r="H1453" s="1">
        <v>2</v>
      </c>
      <c r="I1453" s="1">
        <v>0</v>
      </c>
      <c r="J1453" s="2" t="str">
        <f t="shared" si="115"/>
        <v>REN</v>
      </c>
      <c r="K1453" s="2" t="str">
        <f t="shared" si="116"/>
        <v>@PHI</v>
      </c>
      <c r="L1453" s="1" t="str">
        <f t="shared" si="119"/>
        <v>1452,9/13/2004,0,10,24,2,0</v>
      </c>
    </row>
    <row r="1454" spans="1:12" x14ac:dyDescent="0.2">
      <c r="A1454" s="1" t="str">
        <f t="shared" si="117"/>
        <v>382441</v>
      </c>
      <c r="B1454" s="1" t="str">
        <f t="shared" si="118"/>
        <v>382447</v>
      </c>
      <c r="C1454" s="1">
        <v>1453</v>
      </c>
      <c r="D1454" s="4">
        <v>38244</v>
      </c>
      <c r="E1454" s="1">
        <v>0</v>
      </c>
      <c r="F1454" s="1">
        <v>7</v>
      </c>
      <c r="G1454" s="1">
        <v>1</v>
      </c>
      <c r="H1454" s="1">
        <v>2</v>
      </c>
      <c r="I1454" s="1">
        <v>0</v>
      </c>
      <c r="J1454" s="2" t="str">
        <f t="shared" si="115"/>
        <v>BAR</v>
      </c>
      <c r="K1454" s="2" t="str">
        <f t="shared" si="116"/>
        <v>@FFR</v>
      </c>
      <c r="L1454" s="1" t="str">
        <f t="shared" si="119"/>
        <v>1453,9/14/2004,0,7,1,2,0</v>
      </c>
    </row>
    <row r="1455" spans="1:12" x14ac:dyDescent="0.2">
      <c r="A1455" s="1" t="str">
        <f t="shared" si="117"/>
        <v>382444</v>
      </c>
      <c r="B1455" s="1" t="str">
        <f t="shared" si="118"/>
        <v>382449</v>
      </c>
      <c r="C1455" s="1">
        <v>1454</v>
      </c>
      <c r="D1455" s="4">
        <v>38244</v>
      </c>
      <c r="E1455" s="1">
        <v>0</v>
      </c>
      <c r="F1455" s="1">
        <v>9</v>
      </c>
      <c r="G1455" s="1">
        <v>4</v>
      </c>
      <c r="H1455" s="1">
        <v>2</v>
      </c>
      <c r="I1455" s="1">
        <v>0</v>
      </c>
      <c r="J1455" s="2" t="str">
        <f t="shared" si="115"/>
        <v>CIN</v>
      </c>
      <c r="K1455" s="2" t="str">
        <f t="shared" si="116"/>
        <v>@NNN</v>
      </c>
      <c r="L1455" s="1" t="str">
        <f t="shared" si="119"/>
        <v>1454,9/14/2004,0,9,4,2,0</v>
      </c>
    </row>
    <row r="1456" spans="1:12" x14ac:dyDescent="0.2">
      <c r="A1456" s="1" t="str">
        <f t="shared" si="117"/>
        <v>382445</v>
      </c>
      <c r="B1456" s="1" t="str">
        <f t="shared" si="118"/>
        <v>382448</v>
      </c>
      <c r="C1456" s="1">
        <v>1455</v>
      </c>
      <c r="D1456" s="4">
        <v>38244</v>
      </c>
      <c r="E1456" s="1">
        <v>0</v>
      </c>
      <c r="F1456" s="1">
        <v>8</v>
      </c>
      <c r="G1456" s="1">
        <v>5</v>
      </c>
      <c r="H1456" s="1">
        <v>2</v>
      </c>
      <c r="I1456" s="1">
        <v>0</v>
      </c>
      <c r="J1456" s="2" t="str">
        <f t="shared" si="115"/>
        <v>CTW</v>
      </c>
      <c r="K1456" s="2" t="str">
        <f t="shared" si="116"/>
        <v>@OKO</v>
      </c>
      <c r="L1456" s="1" t="str">
        <f t="shared" si="119"/>
        <v>1455,9/14/2004,0,8,5,2,0</v>
      </c>
    </row>
    <row r="1457" spans="1:12" x14ac:dyDescent="0.2">
      <c r="A1457" s="1" t="str">
        <f t="shared" si="117"/>
        <v>3824411</v>
      </c>
      <c r="B1457" s="1" t="str">
        <f t="shared" si="118"/>
        <v>3824414</v>
      </c>
      <c r="C1457" s="1">
        <v>1456</v>
      </c>
      <c r="D1457" s="4">
        <v>38244</v>
      </c>
      <c r="E1457" s="1">
        <v>0</v>
      </c>
      <c r="F1457" s="1">
        <v>14</v>
      </c>
      <c r="G1457" s="1">
        <v>11</v>
      </c>
      <c r="H1457" s="1">
        <v>2</v>
      </c>
      <c r="I1457" s="1">
        <v>0</v>
      </c>
      <c r="J1457" s="2" t="str">
        <f t="shared" si="115"/>
        <v>CEN</v>
      </c>
      <c r="K1457" s="2" t="str">
        <f t="shared" si="116"/>
        <v>@HAR</v>
      </c>
      <c r="L1457" s="1" t="str">
        <f t="shared" si="119"/>
        <v>1456,9/14/2004,0,14,11,2,0</v>
      </c>
    </row>
    <row r="1458" spans="1:12" x14ac:dyDescent="0.2">
      <c r="A1458" s="1" t="str">
        <f t="shared" si="117"/>
        <v>3824412</v>
      </c>
      <c r="B1458" s="1" t="str">
        <f t="shared" si="118"/>
        <v>3824417</v>
      </c>
      <c r="C1458" s="1">
        <v>1457</v>
      </c>
      <c r="D1458" s="4">
        <v>38244</v>
      </c>
      <c r="E1458" s="1">
        <v>0</v>
      </c>
      <c r="F1458" s="1">
        <v>17</v>
      </c>
      <c r="G1458" s="1">
        <v>12</v>
      </c>
      <c r="H1458" s="1">
        <v>2</v>
      </c>
      <c r="I1458" s="1">
        <v>0</v>
      </c>
      <c r="J1458" s="2" t="str">
        <f t="shared" si="115"/>
        <v>GAR</v>
      </c>
      <c r="K1458" s="2" t="str">
        <f t="shared" si="116"/>
        <v>@RMO</v>
      </c>
      <c r="L1458" s="1" t="str">
        <f t="shared" si="119"/>
        <v>1457,9/14/2004,0,17,12,2,0</v>
      </c>
    </row>
    <row r="1459" spans="1:12" x14ac:dyDescent="0.2">
      <c r="A1459" s="1" t="str">
        <f t="shared" si="117"/>
        <v>3824416</v>
      </c>
      <c r="B1459" s="1" t="str">
        <f t="shared" si="118"/>
        <v>3824413</v>
      </c>
      <c r="C1459" s="1">
        <v>1458</v>
      </c>
      <c r="D1459" s="4">
        <v>38244</v>
      </c>
      <c r="E1459" s="1">
        <v>0</v>
      </c>
      <c r="F1459" s="1">
        <v>13</v>
      </c>
      <c r="G1459" s="1">
        <v>16</v>
      </c>
      <c r="H1459" s="1">
        <v>2</v>
      </c>
      <c r="I1459" s="1">
        <v>0</v>
      </c>
      <c r="J1459" s="2" t="str">
        <f t="shared" si="115"/>
        <v>BBG</v>
      </c>
      <c r="K1459" s="2" t="str">
        <f t="shared" si="116"/>
        <v>@DIG</v>
      </c>
      <c r="L1459" s="1" t="str">
        <f t="shared" si="119"/>
        <v>1458,9/14/2004,0,13,16,2,0</v>
      </c>
    </row>
    <row r="1460" spans="1:12" x14ac:dyDescent="0.2">
      <c r="A1460" s="1" t="str">
        <f t="shared" si="117"/>
        <v>3824421</v>
      </c>
      <c r="B1460" s="1" t="str">
        <f t="shared" si="118"/>
        <v>3824420</v>
      </c>
      <c r="C1460" s="1">
        <v>1459</v>
      </c>
      <c r="D1460" s="4">
        <v>38244</v>
      </c>
      <c r="E1460" s="1">
        <v>0</v>
      </c>
      <c r="F1460" s="1">
        <v>20</v>
      </c>
      <c r="G1460" s="1">
        <v>21</v>
      </c>
      <c r="H1460" s="1">
        <v>2</v>
      </c>
      <c r="I1460" s="1">
        <v>0</v>
      </c>
      <c r="J1460" s="2" t="str">
        <f t="shared" si="115"/>
        <v>FDH</v>
      </c>
      <c r="K1460" s="2" t="str">
        <f t="shared" si="116"/>
        <v>@NYD</v>
      </c>
      <c r="L1460" s="1" t="str">
        <f t="shared" si="119"/>
        <v>1459,9/14/2004,0,20,21,2,0</v>
      </c>
    </row>
    <row r="1461" spans="1:12" x14ac:dyDescent="0.2">
      <c r="A1461" s="1" t="str">
        <f t="shared" si="117"/>
        <v>3824422</v>
      </c>
      <c r="B1461" s="1" t="str">
        <f t="shared" si="118"/>
        <v>382442</v>
      </c>
      <c r="C1461" s="1">
        <v>1460</v>
      </c>
      <c r="D1461" s="4">
        <v>38244</v>
      </c>
      <c r="E1461" s="1">
        <v>0</v>
      </c>
      <c r="F1461" s="1">
        <v>2</v>
      </c>
      <c r="G1461" s="1">
        <v>22</v>
      </c>
      <c r="H1461" s="1">
        <v>2</v>
      </c>
      <c r="I1461" s="1">
        <v>0</v>
      </c>
      <c r="J1461" s="2" t="str">
        <f t="shared" si="115"/>
        <v>NEP</v>
      </c>
      <c r="K1461" s="2" t="str">
        <f t="shared" si="116"/>
        <v>@CBB</v>
      </c>
      <c r="L1461" s="1" t="str">
        <f t="shared" si="119"/>
        <v>1460,9/14/2004,0,2,22,2,0</v>
      </c>
    </row>
    <row r="1462" spans="1:12" x14ac:dyDescent="0.2">
      <c r="A1462" s="1" t="str">
        <f t="shared" si="117"/>
        <v>3824423</v>
      </c>
      <c r="B1462" s="1" t="str">
        <f t="shared" si="118"/>
        <v>382443</v>
      </c>
      <c r="C1462" s="1">
        <v>1461</v>
      </c>
      <c r="D1462" s="4">
        <v>38244</v>
      </c>
      <c r="E1462" s="1">
        <v>0</v>
      </c>
      <c r="F1462" s="1">
        <v>3</v>
      </c>
      <c r="G1462" s="1">
        <v>23</v>
      </c>
      <c r="H1462" s="1">
        <v>2</v>
      </c>
      <c r="I1462" s="1">
        <v>0</v>
      </c>
      <c r="J1462" s="2" t="str">
        <f t="shared" si="115"/>
        <v>TEW</v>
      </c>
      <c r="K1462" s="2" t="str">
        <f t="shared" si="116"/>
        <v>@BRK</v>
      </c>
      <c r="L1462" s="1" t="str">
        <f t="shared" si="119"/>
        <v>1461,9/14/2004,0,3,23,2,0</v>
      </c>
    </row>
    <row r="1463" spans="1:12" x14ac:dyDescent="0.2">
      <c r="A1463" s="1" t="str">
        <f t="shared" si="117"/>
        <v>3824424</v>
      </c>
      <c r="B1463" s="1" t="str">
        <f t="shared" si="118"/>
        <v>3824410</v>
      </c>
      <c r="C1463" s="1">
        <v>1462</v>
      </c>
      <c r="D1463" s="4">
        <v>38244</v>
      </c>
      <c r="E1463" s="1">
        <v>0</v>
      </c>
      <c r="F1463" s="1">
        <v>10</v>
      </c>
      <c r="G1463" s="1">
        <v>24</v>
      </c>
      <c r="H1463" s="1">
        <v>2</v>
      </c>
      <c r="I1463" s="1">
        <v>0</v>
      </c>
      <c r="J1463" s="2" t="str">
        <f t="shared" si="115"/>
        <v>REN</v>
      </c>
      <c r="K1463" s="2" t="str">
        <f t="shared" si="116"/>
        <v>@PHI</v>
      </c>
      <c r="L1463" s="1" t="str">
        <f t="shared" si="119"/>
        <v>1462,9/14/2004,0,10,24,2,0</v>
      </c>
    </row>
    <row r="1464" spans="1:12" x14ac:dyDescent="0.2">
      <c r="A1464" s="1" t="str">
        <f t="shared" si="117"/>
        <v>382451</v>
      </c>
      <c r="B1464" s="1" t="str">
        <f t="shared" si="118"/>
        <v>382457</v>
      </c>
      <c r="C1464" s="1">
        <v>1463</v>
      </c>
      <c r="D1464" s="4">
        <v>38245</v>
      </c>
      <c r="E1464" s="1">
        <v>0</v>
      </c>
      <c r="F1464" s="1">
        <v>7</v>
      </c>
      <c r="G1464" s="1">
        <v>1</v>
      </c>
      <c r="H1464" s="1">
        <v>2</v>
      </c>
      <c r="I1464" s="1">
        <v>0</v>
      </c>
      <c r="J1464" s="2" t="str">
        <f t="shared" si="115"/>
        <v>BAR</v>
      </c>
      <c r="K1464" s="2" t="str">
        <f t="shared" si="116"/>
        <v>@FFR</v>
      </c>
      <c r="L1464" s="1" t="str">
        <f t="shared" si="119"/>
        <v>1463,9/15/2004,0,7,1,2,0</v>
      </c>
    </row>
    <row r="1465" spans="1:12" x14ac:dyDescent="0.2">
      <c r="A1465" s="1" t="str">
        <f t="shared" si="117"/>
        <v>382454</v>
      </c>
      <c r="B1465" s="1" t="str">
        <f t="shared" si="118"/>
        <v>382459</v>
      </c>
      <c r="C1465" s="1">
        <v>1464</v>
      </c>
      <c r="D1465" s="4">
        <v>38245</v>
      </c>
      <c r="E1465" s="1">
        <v>0</v>
      </c>
      <c r="F1465" s="1">
        <v>9</v>
      </c>
      <c r="G1465" s="1">
        <v>4</v>
      </c>
      <c r="H1465" s="1">
        <v>2</v>
      </c>
      <c r="I1465" s="1">
        <v>0</v>
      </c>
      <c r="J1465" s="2" t="str">
        <f t="shared" si="115"/>
        <v>CIN</v>
      </c>
      <c r="K1465" s="2" t="str">
        <f t="shared" si="116"/>
        <v>@NNN</v>
      </c>
      <c r="L1465" s="1" t="str">
        <f t="shared" si="119"/>
        <v>1464,9/15/2004,0,9,4,2,0</v>
      </c>
    </row>
    <row r="1466" spans="1:12" x14ac:dyDescent="0.2">
      <c r="A1466" s="1" t="str">
        <f t="shared" si="117"/>
        <v>382455</v>
      </c>
      <c r="B1466" s="1" t="str">
        <f t="shared" si="118"/>
        <v>382458</v>
      </c>
      <c r="C1466" s="1">
        <v>1465</v>
      </c>
      <c r="D1466" s="4">
        <v>38245</v>
      </c>
      <c r="E1466" s="1">
        <v>0</v>
      </c>
      <c r="F1466" s="1">
        <v>8</v>
      </c>
      <c r="G1466" s="1">
        <v>5</v>
      </c>
      <c r="H1466" s="1">
        <v>2</v>
      </c>
      <c r="I1466" s="1">
        <v>0</v>
      </c>
      <c r="J1466" s="2" t="str">
        <f t="shared" si="115"/>
        <v>CTW</v>
      </c>
      <c r="K1466" s="2" t="str">
        <f t="shared" si="116"/>
        <v>@OKO</v>
      </c>
      <c r="L1466" s="1" t="str">
        <f t="shared" si="119"/>
        <v>1465,9/15/2004,0,8,5,2,0</v>
      </c>
    </row>
    <row r="1467" spans="1:12" x14ac:dyDescent="0.2">
      <c r="A1467" s="1" t="str">
        <f t="shared" si="117"/>
        <v>3824511</v>
      </c>
      <c r="B1467" s="1" t="str">
        <f t="shared" si="118"/>
        <v>3824514</v>
      </c>
      <c r="C1467" s="1">
        <v>1466</v>
      </c>
      <c r="D1467" s="4">
        <v>38245</v>
      </c>
      <c r="E1467" s="1">
        <v>0</v>
      </c>
      <c r="F1467" s="1">
        <v>14</v>
      </c>
      <c r="G1467" s="1">
        <v>11</v>
      </c>
      <c r="H1467" s="1">
        <v>2</v>
      </c>
      <c r="I1467" s="1">
        <v>0</v>
      </c>
      <c r="J1467" s="2" t="str">
        <f t="shared" si="115"/>
        <v>CEN</v>
      </c>
      <c r="K1467" s="2" t="str">
        <f t="shared" si="116"/>
        <v>@HAR</v>
      </c>
      <c r="L1467" s="1" t="str">
        <f t="shared" si="119"/>
        <v>1466,9/15/2004,0,14,11,2,0</v>
      </c>
    </row>
    <row r="1468" spans="1:12" x14ac:dyDescent="0.2">
      <c r="A1468" s="1" t="str">
        <f t="shared" si="117"/>
        <v>3824512</v>
      </c>
      <c r="B1468" s="1" t="str">
        <f t="shared" si="118"/>
        <v>3824517</v>
      </c>
      <c r="C1468" s="1">
        <v>1467</v>
      </c>
      <c r="D1468" s="4">
        <v>38245</v>
      </c>
      <c r="E1468" s="1">
        <v>0</v>
      </c>
      <c r="F1468" s="1">
        <v>17</v>
      </c>
      <c r="G1468" s="1">
        <v>12</v>
      </c>
      <c r="H1468" s="1">
        <v>2</v>
      </c>
      <c r="I1468" s="1">
        <v>0</v>
      </c>
      <c r="J1468" s="2" t="str">
        <f t="shared" si="115"/>
        <v>GAR</v>
      </c>
      <c r="K1468" s="2" t="str">
        <f t="shared" si="116"/>
        <v>@RMO</v>
      </c>
      <c r="L1468" s="1" t="str">
        <f t="shared" si="119"/>
        <v>1467,9/15/2004,0,17,12,2,0</v>
      </c>
    </row>
    <row r="1469" spans="1:12" x14ac:dyDescent="0.2">
      <c r="A1469" s="1" t="str">
        <f t="shared" si="117"/>
        <v>3824516</v>
      </c>
      <c r="B1469" s="1" t="str">
        <f t="shared" si="118"/>
        <v>3824513</v>
      </c>
      <c r="C1469" s="1">
        <v>1468</v>
      </c>
      <c r="D1469" s="4">
        <v>38245</v>
      </c>
      <c r="E1469" s="1">
        <v>0</v>
      </c>
      <c r="F1469" s="1">
        <v>13</v>
      </c>
      <c r="G1469" s="1">
        <v>16</v>
      </c>
      <c r="H1469" s="1">
        <v>2</v>
      </c>
      <c r="I1469" s="1">
        <v>0</v>
      </c>
      <c r="J1469" s="2" t="str">
        <f t="shared" si="115"/>
        <v>BBG</v>
      </c>
      <c r="K1469" s="2" t="str">
        <f t="shared" si="116"/>
        <v>@DIG</v>
      </c>
      <c r="L1469" s="1" t="str">
        <f t="shared" si="119"/>
        <v>1468,9/15/2004,0,13,16,2,0</v>
      </c>
    </row>
    <row r="1470" spans="1:12" x14ac:dyDescent="0.2">
      <c r="A1470" s="1" t="str">
        <f t="shared" si="117"/>
        <v>3824521</v>
      </c>
      <c r="B1470" s="1" t="str">
        <f t="shared" si="118"/>
        <v>3824520</v>
      </c>
      <c r="C1470" s="1">
        <v>1469</v>
      </c>
      <c r="D1470" s="4">
        <v>38245</v>
      </c>
      <c r="E1470" s="1">
        <v>0</v>
      </c>
      <c r="F1470" s="1">
        <v>20</v>
      </c>
      <c r="G1470" s="1">
        <v>21</v>
      </c>
      <c r="H1470" s="1">
        <v>2</v>
      </c>
      <c r="I1470" s="1">
        <v>0</v>
      </c>
      <c r="J1470" s="2" t="str">
        <f t="shared" si="115"/>
        <v>FDH</v>
      </c>
      <c r="K1470" s="2" t="str">
        <f t="shared" si="116"/>
        <v>@NYD</v>
      </c>
      <c r="L1470" s="1" t="str">
        <f t="shared" si="119"/>
        <v>1469,9/15/2004,0,20,21,2,0</v>
      </c>
    </row>
    <row r="1471" spans="1:12" x14ac:dyDescent="0.2">
      <c r="A1471" s="1" t="str">
        <f t="shared" si="117"/>
        <v>3824522</v>
      </c>
      <c r="B1471" s="1" t="str">
        <f t="shared" si="118"/>
        <v>382452</v>
      </c>
      <c r="C1471" s="1">
        <v>1470</v>
      </c>
      <c r="D1471" s="4">
        <v>38245</v>
      </c>
      <c r="E1471" s="1">
        <v>0</v>
      </c>
      <c r="F1471" s="1">
        <v>2</v>
      </c>
      <c r="G1471" s="1">
        <v>22</v>
      </c>
      <c r="H1471" s="1">
        <v>2</v>
      </c>
      <c r="I1471" s="1">
        <v>0</v>
      </c>
      <c r="J1471" s="2" t="str">
        <f t="shared" si="115"/>
        <v>NEP</v>
      </c>
      <c r="K1471" s="2" t="str">
        <f t="shared" si="116"/>
        <v>@CBB</v>
      </c>
      <c r="L1471" s="1" t="str">
        <f t="shared" si="119"/>
        <v>1470,9/15/2004,0,2,22,2,0</v>
      </c>
    </row>
    <row r="1472" spans="1:12" x14ac:dyDescent="0.2">
      <c r="A1472" s="1" t="str">
        <f t="shared" si="117"/>
        <v>3824523</v>
      </c>
      <c r="B1472" s="1" t="str">
        <f t="shared" si="118"/>
        <v>382453</v>
      </c>
      <c r="C1472" s="1">
        <v>1471</v>
      </c>
      <c r="D1472" s="4">
        <v>38245</v>
      </c>
      <c r="E1472" s="1">
        <v>0</v>
      </c>
      <c r="F1472" s="1">
        <v>3</v>
      </c>
      <c r="G1472" s="1">
        <v>23</v>
      </c>
      <c r="H1472" s="1">
        <v>2</v>
      </c>
      <c r="I1472" s="1">
        <v>0</v>
      </c>
      <c r="J1472" s="2" t="str">
        <f t="shared" si="115"/>
        <v>TEW</v>
      </c>
      <c r="K1472" s="2" t="str">
        <f t="shared" si="116"/>
        <v>@BRK</v>
      </c>
      <c r="L1472" s="1" t="str">
        <f t="shared" si="119"/>
        <v>1471,9/15/2004,0,3,23,2,0</v>
      </c>
    </row>
    <row r="1473" spans="1:12" x14ac:dyDescent="0.2">
      <c r="A1473" s="1" t="str">
        <f t="shared" si="117"/>
        <v>3824524</v>
      </c>
      <c r="B1473" s="1" t="str">
        <f t="shared" si="118"/>
        <v>3824510</v>
      </c>
      <c r="C1473" s="1">
        <v>1472</v>
      </c>
      <c r="D1473" s="4">
        <v>38245</v>
      </c>
      <c r="E1473" s="1">
        <v>0</v>
      </c>
      <c r="F1473" s="1">
        <v>10</v>
      </c>
      <c r="G1473" s="1">
        <v>24</v>
      </c>
      <c r="H1473" s="1">
        <v>2</v>
      </c>
      <c r="I1473" s="1">
        <v>0</v>
      </c>
      <c r="J1473" s="2" t="str">
        <f t="shared" si="115"/>
        <v>REN</v>
      </c>
      <c r="K1473" s="2" t="str">
        <f t="shared" si="116"/>
        <v>@PHI</v>
      </c>
      <c r="L1473" s="1" t="str">
        <f t="shared" si="119"/>
        <v>1472,9/15/2004,0,10,24,2,0</v>
      </c>
    </row>
    <row r="1474" spans="1:12" x14ac:dyDescent="0.2">
      <c r="A1474" s="1" t="str">
        <f t="shared" si="117"/>
        <v>382461</v>
      </c>
      <c r="B1474" s="1" t="str">
        <f t="shared" si="118"/>
        <v>3824612</v>
      </c>
      <c r="C1474" s="1">
        <v>1473</v>
      </c>
      <c r="D1474" s="4">
        <v>38246</v>
      </c>
      <c r="E1474" s="1">
        <v>0</v>
      </c>
      <c r="F1474" s="1">
        <v>12</v>
      </c>
      <c r="G1474" s="1">
        <v>1</v>
      </c>
      <c r="H1474" s="1">
        <v>2</v>
      </c>
      <c r="I1474" s="1">
        <v>0</v>
      </c>
      <c r="J1474" s="2" t="str">
        <f t="shared" ref="J1474:J1511" si="120">VLOOKUP(F1474,$M$2:$N$21,2,0)</f>
        <v>RMO</v>
      </c>
      <c r="K1474" s="2" t="str">
        <f t="shared" ref="K1474:K1511" si="121">"@"&amp;VLOOKUP(G1474,$M$2:$N$21,2,0)</f>
        <v>@FFR</v>
      </c>
      <c r="L1474" s="1" t="str">
        <f t="shared" si="119"/>
        <v>1473,9/16/2004,0,12,1,2,0</v>
      </c>
    </row>
    <row r="1475" spans="1:12" x14ac:dyDescent="0.2">
      <c r="A1475" s="1" t="str">
        <f t="shared" si="117"/>
        <v>382465</v>
      </c>
      <c r="B1475" s="1" t="str">
        <f t="shared" si="118"/>
        <v>3824616</v>
      </c>
      <c r="C1475" s="1">
        <v>1474</v>
      </c>
      <c r="D1475" s="4">
        <v>38246</v>
      </c>
      <c r="E1475" s="1">
        <v>0</v>
      </c>
      <c r="F1475" s="1">
        <v>16</v>
      </c>
      <c r="G1475" s="1">
        <v>5</v>
      </c>
      <c r="H1475" s="1">
        <v>2</v>
      </c>
      <c r="I1475" s="1">
        <v>0</v>
      </c>
      <c r="J1475" s="2" t="str">
        <f t="shared" si="120"/>
        <v>DIG</v>
      </c>
      <c r="K1475" s="2" t="str">
        <f t="shared" si="121"/>
        <v>@OKO</v>
      </c>
      <c r="L1475" s="1" t="str">
        <f t="shared" si="119"/>
        <v>1474,9/16/2004,0,16,5,2,0</v>
      </c>
    </row>
    <row r="1476" spans="1:12" x14ac:dyDescent="0.2">
      <c r="A1476" s="1" t="str">
        <f t="shared" si="117"/>
        <v>382467</v>
      </c>
      <c r="B1476" s="1" t="str">
        <f t="shared" si="118"/>
        <v>382469</v>
      </c>
      <c r="C1476" s="1">
        <v>1475</v>
      </c>
      <c r="D1476" s="4">
        <v>38246</v>
      </c>
      <c r="E1476" s="1">
        <v>0</v>
      </c>
      <c r="F1476" s="1">
        <v>9</v>
      </c>
      <c r="G1476" s="1">
        <v>7</v>
      </c>
      <c r="H1476" s="1">
        <v>2</v>
      </c>
      <c r="I1476" s="1">
        <v>0</v>
      </c>
      <c r="J1476" s="2" t="str">
        <f t="shared" si="120"/>
        <v>CIN</v>
      </c>
      <c r="K1476" s="2" t="str">
        <f t="shared" si="121"/>
        <v>@BAR</v>
      </c>
      <c r="L1476" s="1" t="str">
        <f t="shared" si="119"/>
        <v>1475,9/16/2004,0,9,7,2,0</v>
      </c>
    </row>
    <row r="1477" spans="1:12" x14ac:dyDescent="0.2">
      <c r="A1477" s="1" t="str">
        <f t="shared" si="117"/>
        <v>3824610</v>
      </c>
      <c r="B1477" s="1" t="str">
        <f t="shared" si="118"/>
        <v>3824617</v>
      </c>
      <c r="C1477" s="1">
        <v>1476</v>
      </c>
      <c r="D1477" s="4">
        <v>38246</v>
      </c>
      <c r="E1477" s="1">
        <v>0</v>
      </c>
      <c r="F1477" s="1">
        <v>17</v>
      </c>
      <c r="G1477" s="1">
        <v>10</v>
      </c>
      <c r="H1477" s="1">
        <v>2</v>
      </c>
      <c r="I1477" s="1">
        <v>0</v>
      </c>
      <c r="J1477" s="2" t="str">
        <f t="shared" si="120"/>
        <v>GAR</v>
      </c>
      <c r="K1477" s="2" t="str">
        <f t="shared" si="121"/>
        <v>@REN</v>
      </c>
      <c r="L1477" s="1" t="str">
        <f t="shared" si="119"/>
        <v>1476,9/16/2004,0,17,10,2,0</v>
      </c>
    </row>
    <row r="1478" spans="1:12" x14ac:dyDescent="0.2">
      <c r="A1478" s="1" t="str">
        <f t="shared" si="117"/>
        <v>3824611</v>
      </c>
      <c r="B1478" s="1" t="str">
        <f t="shared" si="118"/>
        <v>3824624</v>
      </c>
      <c r="C1478" s="1">
        <v>1477</v>
      </c>
      <c r="D1478" s="4">
        <v>38246</v>
      </c>
      <c r="E1478" s="1">
        <v>0</v>
      </c>
      <c r="F1478" s="1">
        <v>24</v>
      </c>
      <c r="G1478" s="1">
        <v>11</v>
      </c>
      <c r="H1478" s="1">
        <v>2</v>
      </c>
      <c r="I1478" s="1">
        <v>0</v>
      </c>
      <c r="J1478" s="2" t="str">
        <f t="shared" si="120"/>
        <v>PHI</v>
      </c>
      <c r="K1478" s="2" t="str">
        <f t="shared" si="121"/>
        <v>@HAR</v>
      </c>
      <c r="L1478" s="1" t="str">
        <f t="shared" si="119"/>
        <v>1477,9/16/2004,0,24,11,2,0</v>
      </c>
    </row>
    <row r="1479" spans="1:12" x14ac:dyDescent="0.2">
      <c r="A1479" s="1" t="str">
        <f t="shared" si="117"/>
        <v>3824613</v>
      </c>
      <c r="B1479" s="1" t="str">
        <f t="shared" si="118"/>
        <v>382468</v>
      </c>
      <c r="C1479" s="1">
        <v>1478</v>
      </c>
      <c r="D1479" s="4">
        <v>38246</v>
      </c>
      <c r="E1479" s="1">
        <v>0</v>
      </c>
      <c r="F1479" s="1">
        <v>8</v>
      </c>
      <c r="G1479" s="1">
        <v>13</v>
      </c>
      <c r="H1479" s="1">
        <v>2</v>
      </c>
      <c r="I1479" s="1">
        <v>0</v>
      </c>
      <c r="J1479" s="2" t="str">
        <f t="shared" si="120"/>
        <v>CTW</v>
      </c>
      <c r="K1479" s="2" t="str">
        <f t="shared" si="121"/>
        <v>@BBG</v>
      </c>
      <c r="L1479" s="1" t="str">
        <f t="shared" si="119"/>
        <v>1478,9/16/2004,0,8,13,2,0</v>
      </c>
    </row>
    <row r="1480" spans="1:12" x14ac:dyDescent="0.2">
      <c r="A1480" s="1" t="str">
        <f t="shared" si="117"/>
        <v>3824614</v>
      </c>
      <c r="B1480" s="1" t="str">
        <f t="shared" si="118"/>
        <v>3824620</v>
      </c>
      <c r="C1480" s="1">
        <v>1479</v>
      </c>
      <c r="D1480" s="4">
        <v>38246</v>
      </c>
      <c r="E1480" s="1">
        <v>0</v>
      </c>
      <c r="F1480" s="1">
        <v>20</v>
      </c>
      <c r="G1480" s="1">
        <v>14</v>
      </c>
      <c r="H1480" s="1">
        <v>2</v>
      </c>
      <c r="I1480" s="1">
        <v>0</v>
      </c>
      <c r="J1480" s="2" t="str">
        <f t="shared" si="120"/>
        <v>FDH</v>
      </c>
      <c r="K1480" s="2" t="str">
        <f t="shared" si="121"/>
        <v>@CEN</v>
      </c>
      <c r="L1480" s="1" t="str">
        <f t="shared" si="119"/>
        <v>1479,9/16/2004,0,20,14,2,0</v>
      </c>
    </row>
    <row r="1481" spans="1:12" x14ac:dyDescent="0.2">
      <c r="A1481" s="1" t="str">
        <f t="shared" si="117"/>
        <v>3824621</v>
      </c>
      <c r="B1481" s="1" t="str">
        <f t="shared" si="118"/>
        <v>382464</v>
      </c>
      <c r="C1481" s="1">
        <v>1480</v>
      </c>
      <c r="D1481" s="4">
        <v>38246</v>
      </c>
      <c r="E1481" s="1">
        <v>0</v>
      </c>
      <c r="F1481" s="1">
        <v>4</v>
      </c>
      <c r="G1481" s="1">
        <v>21</v>
      </c>
      <c r="H1481" s="1">
        <v>2</v>
      </c>
      <c r="I1481" s="1">
        <v>0</v>
      </c>
      <c r="J1481" s="2" t="str">
        <f t="shared" si="120"/>
        <v>NNN</v>
      </c>
      <c r="K1481" s="2" t="str">
        <f t="shared" si="121"/>
        <v>@NYD</v>
      </c>
      <c r="L1481" s="1" t="str">
        <f t="shared" si="119"/>
        <v>1480,9/16/2004,0,4,21,2,0</v>
      </c>
    </row>
    <row r="1482" spans="1:12" x14ac:dyDescent="0.2">
      <c r="A1482" s="1" t="str">
        <f t="shared" si="117"/>
        <v>3824622</v>
      </c>
      <c r="B1482" s="1" t="str">
        <f t="shared" si="118"/>
        <v>3824623</v>
      </c>
      <c r="C1482" s="1">
        <v>1481</v>
      </c>
      <c r="D1482" s="4">
        <v>38246</v>
      </c>
      <c r="E1482" s="1">
        <v>0</v>
      </c>
      <c r="F1482" s="1">
        <v>23</v>
      </c>
      <c r="G1482" s="1">
        <v>22</v>
      </c>
      <c r="H1482" s="1">
        <v>2</v>
      </c>
      <c r="I1482" s="1">
        <v>0</v>
      </c>
      <c r="J1482" s="2" t="str">
        <f t="shared" si="120"/>
        <v>BRK</v>
      </c>
      <c r="K1482" s="2" t="str">
        <f t="shared" si="121"/>
        <v>@CBB</v>
      </c>
      <c r="L1482" s="1" t="str">
        <f t="shared" si="119"/>
        <v>1481,9/16/2004,0,23,22,2,0</v>
      </c>
    </row>
    <row r="1483" spans="1:12" x14ac:dyDescent="0.2">
      <c r="A1483" s="1" t="str">
        <f t="shared" si="117"/>
        <v>382463</v>
      </c>
      <c r="B1483" s="1" t="str">
        <f t="shared" si="118"/>
        <v>382462</v>
      </c>
      <c r="C1483" s="1">
        <v>1482</v>
      </c>
      <c r="D1483" s="4">
        <v>38246</v>
      </c>
      <c r="E1483" s="1">
        <v>0</v>
      </c>
      <c r="F1483" s="1">
        <v>2</v>
      </c>
      <c r="G1483" s="1">
        <v>3</v>
      </c>
      <c r="H1483" s="1">
        <v>2</v>
      </c>
      <c r="I1483" s="1">
        <v>0</v>
      </c>
      <c r="J1483" s="2" t="str">
        <f t="shared" si="120"/>
        <v>NEP</v>
      </c>
      <c r="K1483" s="2" t="str">
        <f t="shared" si="121"/>
        <v>@TEW</v>
      </c>
      <c r="L1483" s="1" t="str">
        <f t="shared" si="119"/>
        <v>1482,9/16/2004,0,2,3,2,0</v>
      </c>
    </row>
    <row r="1484" spans="1:12" x14ac:dyDescent="0.2">
      <c r="A1484" s="1" t="str">
        <f t="shared" si="117"/>
        <v>382471</v>
      </c>
      <c r="B1484" s="1" t="str">
        <f t="shared" si="118"/>
        <v>3824712</v>
      </c>
      <c r="C1484" s="1">
        <v>1483</v>
      </c>
      <c r="D1484" s="4">
        <v>38247</v>
      </c>
      <c r="E1484" s="1">
        <v>0</v>
      </c>
      <c r="F1484" s="1">
        <v>12</v>
      </c>
      <c r="G1484" s="1">
        <v>1</v>
      </c>
      <c r="H1484" s="1">
        <v>2</v>
      </c>
      <c r="I1484" s="1">
        <v>0</v>
      </c>
      <c r="J1484" s="2" t="str">
        <f t="shared" si="120"/>
        <v>RMO</v>
      </c>
      <c r="K1484" s="2" t="str">
        <f t="shared" si="121"/>
        <v>@FFR</v>
      </c>
      <c r="L1484" s="1" t="str">
        <f t="shared" si="119"/>
        <v>1483,9/17/2004,0,12,1,2,0</v>
      </c>
    </row>
    <row r="1485" spans="1:12" x14ac:dyDescent="0.2">
      <c r="A1485" s="1" t="str">
        <f t="shared" si="117"/>
        <v>382473</v>
      </c>
      <c r="B1485" s="1" t="str">
        <f t="shared" si="118"/>
        <v>382472</v>
      </c>
      <c r="C1485" s="1">
        <v>1484</v>
      </c>
      <c r="D1485" s="4">
        <v>38247</v>
      </c>
      <c r="E1485" s="1">
        <v>0</v>
      </c>
      <c r="F1485" s="1">
        <v>2</v>
      </c>
      <c r="G1485" s="1">
        <v>3</v>
      </c>
      <c r="H1485" s="1">
        <v>2</v>
      </c>
      <c r="I1485" s="1">
        <v>0</v>
      </c>
      <c r="J1485" s="2" t="str">
        <f t="shared" si="120"/>
        <v>NEP</v>
      </c>
      <c r="K1485" s="2" t="str">
        <f t="shared" si="121"/>
        <v>@TEW</v>
      </c>
      <c r="L1485" s="1" t="str">
        <f t="shared" si="119"/>
        <v>1484,9/17/2004,0,2,3,2,0</v>
      </c>
    </row>
    <row r="1486" spans="1:12" x14ac:dyDescent="0.2">
      <c r="A1486" s="1" t="str">
        <f t="shared" si="117"/>
        <v>382475</v>
      </c>
      <c r="B1486" s="1" t="str">
        <f t="shared" si="118"/>
        <v>3824716</v>
      </c>
      <c r="C1486" s="1">
        <v>1485</v>
      </c>
      <c r="D1486" s="4">
        <v>38247</v>
      </c>
      <c r="E1486" s="1">
        <v>0</v>
      </c>
      <c r="F1486" s="1">
        <v>16</v>
      </c>
      <c r="G1486" s="1">
        <v>5</v>
      </c>
      <c r="H1486" s="1">
        <v>2</v>
      </c>
      <c r="I1486" s="1">
        <v>0</v>
      </c>
      <c r="J1486" s="2" t="str">
        <f t="shared" si="120"/>
        <v>DIG</v>
      </c>
      <c r="K1486" s="2" t="str">
        <f t="shared" si="121"/>
        <v>@OKO</v>
      </c>
      <c r="L1486" s="1" t="str">
        <f t="shared" si="119"/>
        <v>1485,9/17/2004,0,16,5,2,0</v>
      </c>
    </row>
    <row r="1487" spans="1:12" x14ac:dyDescent="0.2">
      <c r="A1487" s="1" t="str">
        <f t="shared" si="117"/>
        <v>382477</v>
      </c>
      <c r="B1487" s="1" t="str">
        <f t="shared" si="118"/>
        <v>382479</v>
      </c>
      <c r="C1487" s="1">
        <v>1486</v>
      </c>
      <c r="D1487" s="4">
        <v>38247</v>
      </c>
      <c r="E1487" s="1">
        <v>0</v>
      </c>
      <c r="F1487" s="1">
        <v>9</v>
      </c>
      <c r="G1487" s="1">
        <v>7</v>
      </c>
      <c r="H1487" s="1">
        <v>2</v>
      </c>
      <c r="I1487" s="1">
        <v>0</v>
      </c>
      <c r="J1487" s="2" t="str">
        <f t="shared" si="120"/>
        <v>CIN</v>
      </c>
      <c r="K1487" s="2" t="str">
        <f t="shared" si="121"/>
        <v>@BAR</v>
      </c>
      <c r="L1487" s="1" t="str">
        <f t="shared" si="119"/>
        <v>1486,9/17/2004,0,9,7,2,0</v>
      </c>
    </row>
    <row r="1488" spans="1:12" x14ac:dyDescent="0.2">
      <c r="A1488" s="1" t="str">
        <f t="shared" si="117"/>
        <v>3824710</v>
      </c>
      <c r="B1488" s="1" t="str">
        <f t="shared" si="118"/>
        <v>3824717</v>
      </c>
      <c r="C1488" s="1">
        <v>1487</v>
      </c>
      <c r="D1488" s="4">
        <v>38247</v>
      </c>
      <c r="E1488" s="1">
        <v>0</v>
      </c>
      <c r="F1488" s="1">
        <v>17</v>
      </c>
      <c r="G1488" s="1">
        <v>10</v>
      </c>
      <c r="H1488" s="1">
        <v>2</v>
      </c>
      <c r="I1488" s="1">
        <v>0</v>
      </c>
      <c r="J1488" s="2" t="str">
        <f t="shared" si="120"/>
        <v>GAR</v>
      </c>
      <c r="K1488" s="2" t="str">
        <f t="shared" si="121"/>
        <v>@REN</v>
      </c>
      <c r="L1488" s="1" t="str">
        <f t="shared" si="119"/>
        <v>1487,9/17/2004,0,17,10,2,0</v>
      </c>
    </row>
    <row r="1489" spans="1:12" x14ac:dyDescent="0.2">
      <c r="A1489" s="1" t="str">
        <f t="shared" si="117"/>
        <v>3824711</v>
      </c>
      <c r="B1489" s="1" t="str">
        <f t="shared" si="118"/>
        <v>3824724</v>
      </c>
      <c r="C1489" s="1">
        <v>1488</v>
      </c>
      <c r="D1489" s="4">
        <v>38247</v>
      </c>
      <c r="E1489" s="1">
        <v>0</v>
      </c>
      <c r="F1489" s="1">
        <v>24</v>
      </c>
      <c r="G1489" s="1">
        <v>11</v>
      </c>
      <c r="H1489" s="1">
        <v>2</v>
      </c>
      <c r="I1489" s="1">
        <v>0</v>
      </c>
      <c r="J1489" s="2" t="str">
        <f t="shared" si="120"/>
        <v>PHI</v>
      </c>
      <c r="K1489" s="2" t="str">
        <f t="shared" si="121"/>
        <v>@HAR</v>
      </c>
      <c r="L1489" s="1" t="str">
        <f t="shared" si="119"/>
        <v>1488,9/17/2004,0,24,11,2,0</v>
      </c>
    </row>
    <row r="1490" spans="1:12" x14ac:dyDescent="0.2">
      <c r="A1490" s="1" t="str">
        <f t="shared" si="117"/>
        <v>3824713</v>
      </c>
      <c r="B1490" s="1" t="str">
        <f t="shared" si="118"/>
        <v>382478</v>
      </c>
      <c r="C1490" s="1">
        <v>1489</v>
      </c>
      <c r="D1490" s="4">
        <v>38247</v>
      </c>
      <c r="E1490" s="1">
        <v>0</v>
      </c>
      <c r="F1490" s="1">
        <v>8</v>
      </c>
      <c r="G1490" s="1">
        <v>13</v>
      </c>
      <c r="H1490" s="1">
        <v>2</v>
      </c>
      <c r="I1490" s="1">
        <v>0</v>
      </c>
      <c r="J1490" s="2" t="str">
        <f t="shared" si="120"/>
        <v>CTW</v>
      </c>
      <c r="K1490" s="2" t="str">
        <f t="shared" si="121"/>
        <v>@BBG</v>
      </c>
      <c r="L1490" s="1" t="str">
        <f t="shared" si="119"/>
        <v>1489,9/17/2004,0,8,13,2,0</v>
      </c>
    </row>
    <row r="1491" spans="1:12" x14ac:dyDescent="0.2">
      <c r="A1491" s="1" t="str">
        <f t="shared" si="117"/>
        <v>3824714</v>
      </c>
      <c r="B1491" s="1" t="str">
        <f t="shared" si="118"/>
        <v>3824720</v>
      </c>
      <c r="C1491" s="1">
        <v>1490</v>
      </c>
      <c r="D1491" s="4">
        <v>38247</v>
      </c>
      <c r="E1491" s="1">
        <v>0</v>
      </c>
      <c r="F1491" s="1">
        <v>20</v>
      </c>
      <c r="G1491" s="1">
        <v>14</v>
      </c>
      <c r="H1491" s="1">
        <v>2</v>
      </c>
      <c r="I1491" s="1">
        <v>0</v>
      </c>
      <c r="J1491" s="2" t="str">
        <f t="shared" si="120"/>
        <v>FDH</v>
      </c>
      <c r="K1491" s="2" t="str">
        <f t="shared" si="121"/>
        <v>@CEN</v>
      </c>
      <c r="L1491" s="1" t="str">
        <f t="shared" si="119"/>
        <v>1490,9/17/2004,0,20,14,2,0</v>
      </c>
    </row>
    <row r="1492" spans="1:12" x14ac:dyDescent="0.2">
      <c r="A1492" s="1" t="str">
        <f t="shared" si="117"/>
        <v>3824721</v>
      </c>
      <c r="B1492" s="1" t="str">
        <f t="shared" si="118"/>
        <v>382474</v>
      </c>
      <c r="C1492" s="1">
        <v>1491</v>
      </c>
      <c r="D1492" s="4">
        <v>38247</v>
      </c>
      <c r="E1492" s="1">
        <v>0</v>
      </c>
      <c r="F1492" s="1">
        <v>4</v>
      </c>
      <c r="G1492" s="1">
        <v>21</v>
      </c>
      <c r="H1492" s="1">
        <v>2</v>
      </c>
      <c r="I1492" s="1">
        <v>0</v>
      </c>
      <c r="J1492" s="2" t="str">
        <f t="shared" si="120"/>
        <v>NNN</v>
      </c>
      <c r="K1492" s="2" t="str">
        <f t="shared" si="121"/>
        <v>@NYD</v>
      </c>
      <c r="L1492" s="1" t="str">
        <f t="shared" si="119"/>
        <v>1491,9/17/2004,0,4,21,2,0</v>
      </c>
    </row>
    <row r="1493" spans="1:12" x14ac:dyDescent="0.2">
      <c r="A1493" s="1" t="str">
        <f t="shared" si="117"/>
        <v>3824722</v>
      </c>
      <c r="B1493" s="1" t="str">
        <f t="shared" si="118"/>
        <v>3824723</v>
      </c>
      <c r="C1493" s="1">
        <v>1492</v>
      </c>
      <c r="D1493" s="4">
        <v>38247</v>
      </c>
      <c r="E1493" s="1">
        <v>0</v>
      </c>
      <c r="F1493" s="1">
        <v>23</v>
      </c>
      <c r="G1493" s="1">
        <v>22</v>
      </c>
      <c r="H1493" s="1">
        <v>2</v>
      </c>
      <c r="I1493" s="1">
        <v>0</v>
      </c>
      <c r="J1493" s="2" t="str">
        <f t="shared" si="120"/>
        <v>BRK</v>
      </c>
      <c r="K1493" s="2" t="str">
        <f t="shared" si="121"/>
        <v>@CBB</v>
      </c>
      <c r="L1493" s="1" t="str">
        <f t="shared" si="119"/>
        <v>1492,9/17/2004,0,23,22,2,0</v>
      </c>
    </row>
    <row r="1494" spans="1:12" x14ac:dyDescent="0.2">
      <c r="A1494" s="1" t="str">
        <f t="shared" si="117"/>
        <v>3824814</v>
      </c>
      <c r="B1494" s="1" t="str">
        <f t="shared" si="118"/>
        <v>3824820</v>
      </c>
      <c r="C1494" s="1">
        <v>1493</v>
      </c>
      <c r="D1494" s="4">
        <v>38248</v>
      </c>
      <c r="E1494" s="1">
        <v>0</v>
      </c>
      <c r="F1494" s="1">
        <v>20</v>
      </c>
      <c r="G1494" s="1">
        <v>14</v>
      </c>
      <c r="H1494" s="1">
        <v>2</v>
      </c>
      <c r="I1494" s="1">
        <v>0</v>
      </c>
      <c r="J1494" s="2" t="str">
        <f t="shared" si="120"/>
        <v>FDH</v>
      </c>
      <c r="K1494" s="2" t="str">
        <f t="shared" si="121"/>
        <v>@CEN</v>
      </c>
      <c r="L1494" s="1" t="str">
        <f t="shared" si="119"/>
        <v>1493,9/18/2004,0,20,14,2,0</v>
      </c>
    </row>
    <row r="1495" spans="1:12" x14ac:dyDescent="0.2">
      <c r="A1495" s="1" t="str">
        <f t="shared" si="117"/>
        <v>3824822</v>
      </c>
      <c r="B1495" s="1" t="str">
        <f t="shared" si="118"/>
        <v>3824823</v>
      </c>
      <c r="C1495" s="1">
        <v>1494</v>
      </c>
      <c r="D1495" s="4">
        <v>38248</v>
      </c>
      <c r="E1495" s="1">
        <v>0</v>
      </c>
      <c r="F1495" s="1">
        <v>23</v>
      </c>
      <c r="G1495" s="1">
        <v>22</v>
      </c>
      <c r="H1495" s="1">
        <v>2</v>
      </c>
      <c r="I1495" s="1">
        <v>0</v>
      </c>
      <c r="J1495" s="2" t="str">
        <f t="shared" si="120"/>
        <v>BRK</v>
      </c>
      <c r="K1495" s="2" t="str">
        <f t="shared" si="121"/>
        <v>@CBB</v>
      </c>
      <c r="L1495" s="1" t="str">
        <f t="shared" si="119"/>
        <v>1494,9/18/2004,0,23,22,2,0</v>
      </c>
    </row>
    <row r="1496" spans="1:12" x14ac:dyDescent="0.2">
      <c r="A1496" s="1" t="str">
        <f t="shared" si="117"/>
        <v>382487</v>
      </c>
      <c r="B1496" s="1" t="str">
        <f t="shared" si="118"/>
        <v>382489</v>
      </c>
      <c r="C1496" s="1">
        <v>1495</v>
      </c>
      <c r="D1496" s="4">
        <v>38248</v>
      </c>
      <c r="E1496" s="1">
        <v>0</v>
      </c>
      <c r="F1496" s="1">
        <v>9</v>
      </c>
      <c r="G1496" s="1">
        <v>7</v>
      </c>
      <c r="H1496" s="1">
        <v>2</v>
      </c>
      <c r="I1496" s="1">
        <v>0</v>
      </c>
      <c r="J1496" s="2" t="str">
        <f t="shared" si="120"/>
        <v>CIN</v>
      </c>
      <c r="K1496" s="2" t="str">
        <f t="shared" si="121"/>
        <v>@BAR</v>
      </c>
      <c r="L1496" s="1" t="str">
        <f t="shared" si="119"/>
        <v>1495,9/18/2004,0,9,7,2,0</v>
      </c>
    </row>
    <row r="1497" spans="1:12" x14ac:dyDescent="0.2">
      <c r="A1497" s="1" t="str">
        <f t="shared" si="117"/>
        <v>3824813</v>
      </c>
      <c r="B1497" s="1" t="str">
        <f t="shared" si="118"/>
        <v>382488</v>
      </c>
      <c r="C1497" s="1">
        <v>1496</v>
      </c>
      <c r="D1497" s="4">
        <v>38248</v>
      </c>
      <c r="E1497" s="1">
        <v>0</v>
      </c>
      <c r="F1497" s="1">
        <v>8</v>
      </c>
      <c r="G1497" s="1">
        <v>13</v>
      </c>
      <c r="H1497" s="1">
        <v>2</v>
      </c>
      <c r="I1497" s="1">
        <v>0</v>
      </c>
      <c r="J1497" s="2" t="str">
        <f t="shared" si="120"/>
        <v>CTW</v>
      </c>
      <c r="K1497" s="2" t="str">
        <f t="shared" si="121"/>
        <v>@BBG</v>
      </c>
      <c r="L1497" s="1" t="str">
        <f t="shared" si="119"/>
        <v>1496,9/18/2004,0,8,13,2,0</v>
      </c>
    </row>
    <row r="1498" spans="1:12" x14ac:dyDescent="0.2">
      <c r="A1498" s="1" t="str">
        <f t="shared" si="117"/>
        <v>382481</v>
      </c>
      <c r="B1498" s="1" t="str">
        <f t="shared" si="118"/>
        <v>3824812</v>
      </c>
      <c r="C1498" s="1">
        <v>1497</v>
      </c>
      <c r="D1498" s="4">
        <v>38248</v>
      </c>
      <c r="E1498" s="1">
        <v>0</v>
      </c>
      <c r="F1498" s="1">
        <v>12</v>
      </c>
      <c r="G1498" s="1">
        <v>1</v>
      </c>
      <c r="H1498" s="1">
        <v>2</v>
      </c>
      <c r="I1498" s="1">
        <v>0</v>
      </c>
      <c r="J1498" s="2" t="str">
        <f t="shared" si="120"/>
        <v>RMO</v>
      </c>
      <c r="K1498" s="2" t="str">
        <f t="shared" si="121"/>
        <v>@FFR</v>
      </c>
      <c r="L1498" s="1" t="str">
        <f t="shared" si="119"/>
        <v>1497,9/18/2004,0,12,1,2,0</v>
      </c>
    </row>
    <row r="1499" spans="1:12" x14ac:dyDescent="0.2">
      <c r="A1499" s="1" t="str">
        <f t="shared" si="117"/>
        <v>3824811</v>
      </c>
      <c r="B1499" s="1" t="str">
        <f t="shared" si="118"/>
        <v>3824824</v>
      </c>
      <c r="C1499" s="1">
        <v>1498</v>
      </c>
      <c r="D1499" s="4">
        <v>38248</v>
      </c>
      <c r="E1499" s="1">
        <v>0</v>
      </c>
      <c r="F1499" s="1">
        <v>24</v>
      </c>
      <c r="G1499" s="1">
        <v>11</v>
      </c>
      <c r="H1499" s="1">
        <v>2</v>
      </c>
      <c r="I1499" s="1">
        <v>0</v>
      </c>
      <c r="J1499" s="2" t="str">
        <f t="shared" si="120"/>
        <v>PHI</v>
      </c>
      <c r="K1499" s="2" t="str">
        <f t="shared" si="121"/>
        <v>@HAR</v>
      </c>
      <c r="L1499" s="1" t="str">
        <f t="shared" si="119"/>
        <v>1498,9/18/2004,0,24,11,2,0</v>
      </c>
    </row>
    <row r="1500" spans="1:12" x14ac:dyDescent="0.2">
      <c r="A1500" s="1" t="str">
        <f t="shared" si="117"/>
        <v>382485</v>
      </c>
      <c r="B1500" s="1" t="str">
        <f t="shared" si="118"/>
        <v>3824816</v>
      </c>
      <c r="C1500" s="1">
        <v>1499</v>
      </c>
      <c r="D1500" s="4">
        <v>38248</v>
      </c>
      <c r="E1500" s="1">
        <v>0</v>
      </c>
      <c r="F1500" s="1">
        <v>16</v>
      </c>
      <c r="G1500" s="1">
        <v>5</v>
      </c>
      <c r="H1500" s="1">
        <v>2</v>
      </c>
      <c r="I1500" s="1">
        <v>0</v>
      </c>
      <c r="J1500" s="2" t="str">
        <f t="shared" si="120"/>
        <v>DIG</v>
      </c>
      <c r="K1500" s="2" t="str">
        <f t="shared" si="121"/>
        <v>@OKO</v>
      </c>
      <c r="L1500" s="1" t="str">
        <f t="shared" si="119"/>
        <v>1499,9/18/2004,0,16,5,2,0</v>
      </c>
    </row>
    <row r="1501" spans="1:12" x14ac:dyDescent="0.2">
      <c r="A1501" s="1" t="str">
        <f t="shared" si="117"/>
        <v>382483</v>
      </c>
      <c r="B1501" s="1" t="str">
        <f t="shared" si="118"/>
        <v>382482</v>
      </c>
      <c r="C1501" s="1">
        <v>1500</v>
      </c>
      <c r="D1501" s="4">
        <v>38248</v>
      </c>
      <c r="E1501" s="1">
        <v>0</v>
      </c>
      <c r="F1501" s="1">
        <v>2</v>
      </c>
      <c r="G1501" s="1">
        <v>3</v>
      </c>
      <c r="H1501" s="1">
        <v>2</v>
      </c>
      <c r="I1501" s="1">
        <v>0</v>
      </c>
      <c r="J1501" s="2" t="str">
        <f t="shared" si="120"/>
        <v>NEP</v>
      </c>
      <c r="K1501" s="2" t="str">
        <f t="shared" si="121"/>
        <v>@TEW</v>
      </c>
      <c r="L1501" s="1" t="str">
        <f t="shared" si="119"/>
        <v>1500,9/18/2004,0,2,3,2,0</v>
      </c>
    </row>
    <row r="1502" spans="1:12" x14ac:dyDescent="0.2">
      <c r="A1502" s="1" t="str">
        <f t="shared" si="117"/>
        <v>382492</v>
      </c>
      <c r="B1502" s="1" t="str">
        <f t="shared" si="118"/>
        <v>382497</v>
      </c>
      <c r="C1502" s="1">
        <v>1501</v>
      </c>
      <c r="D1502" s="4">
        <v>38249</v>
      </c>
      <c r="E1502" s="1">
        <v>0</v>
      </c>
      <c r="F1502" s="1">
        <v>7</v>
      </c>
      <c r="G1502" s="1">
        <v>2</v>
      </c>
      <c r="H1502" s="1">
        <v>2</v>
      </c>
      <c r="I1502" s="1">
        <v>0</v>
      </c>
      <c r="J1502" s="2" t="str">
        <f t="shared" si="120"/>
        <v>BAR</v>
      </c>
      <c r="K1502" s="2" t="str">
        <f t="shared" si="121"/>
        <v>@NEP</v>
      </c>
      <c r="L1502" s="1" t="str">
        <f t="shared" si="119"/>
        <v>1501,9/19/2004,0,7,2,2,0</v>
      </c>
    </row>
    <row r="1503" spans="1:12" x14ac:dyDescent="0.2">
      <c r="A1503" s="1" t="str">
        <f t="shared" si="117"/>
        <v>382493</v>
      </c>
      <c r="B1503" s="1" t="str">
        <f t="shared" si="118"/>
        <v>382499</v>
      </c>
      <c r="C1503" s="1">
        <v>1502</v>
      </c>
      <c r="D1503" s="4">
        <v>38249</v>
      </c>
      <c r="E1503" s="1">
        <v>0</v>
      </c>
      <c r="F1503" s="1">
        <v>9</v>
      </c>
      <c r="G1503" s="1">
        <v>3</v>
      </c>
      <c r="H1503" s="1">
        <v>2</v>
      </c>
      <c r="I1503" s="1">
        <v>0</v>
      </c>
      <c r="J1503" s="2" t="str">
        <f t="shared" si="120"/>
        <v>CIN</v>
      </c>
      <c r="K1503" s="2" t="str">
        <f t="shared" si="121"/>
        <v>@TEW</v>
      </c>
      <c r="L1503" s="1" t="str">
        <f t="shared" si="119"/>
        <v>1502,9/19/2004,0,9,3,2,0</v>
      </c>
    </row>
    <row r="1504" spans="1:12" x14ac:dyDescent="0.2">
      <c r="A1504" s="1" t="str">
        <f t="shared" si="117"/>
        <v>3824911</v>
      </c>
      <c r="B1504" s="1" t="str">
        <f t="shared" si="118"/>
        <v>3824916</v>
      </c>
      <c r="C1504" s="1">
        <v>1503</v>
      </c>
      <c r="D1504" s="4">
        <v>38249</v>
      </c>
      <c r="E1504" s="1">
        <v>0</v>
      </c>
      <c r="F1504" s="1">
        <v>16</v>
      </c>
      <c r="G1504" s="1">
        <v>11</v>
      </c>
      <c r="H1504" s="1">
        <v>2</v>
      </c>
      <c r="I1504" s="1">
        <v>0</v>
      </c>
      <c r="J1504" s="2" t="str">
        <f t="shared" si="120"/>
        <v>DIG</v>
      </c>
      <c r="K1504" s="2" t="str">
        <f t="shared" si="121"/>
        <v>@HAR</v>
      </c>
      <c r="L1504" s="1" t="str">
        <f t="shared" si="119"/>
        <v>1503,9/19/2004,0,16,11,2,0</v>
      </c>
    </row>
    <row r="1505" spans="1:12" x14ac:dyDescent="0.2">
      <c r="A1505" s="1" t="str">
        <f t="shared" ref="A1505:A1568" si="122">D1505&amp;G1505</f>
        <v>3824914</v>
      </c>
      <c r="B1505" s="1" t="str">
        <f t="shared" ref="B1505:B1568" si="123">D1505&amp;F1505</f>
        <v>3824913</v>
      </c>
      <c r="C1505" s="1">
        <v>1504</v>
      </c>
      <c r="D1505" s="4">
        <v>38249</v>
      </c>
      <c r="E1505" s="1">
        <v>0</v>
      </c>
      <c r="F1505" s="1">
        <v>13</v>
      </c>
      <c r="G1505" s="1">
        <v>14</v>
      </c>
      <c r="H1505" s="1">
        <v>2</v>
      </c>
      <c r="I1505" s="1">
        <v>0</v>
      </c>
      <c r="J1505" s="2" t="str">
        <f t="shared" si="120"/>
        <v>BBG</v>
      </c>
      <c r="K1505" s="2" t="str">
        <f t="shared" si="121"/>
        <v>@CEN</v>
      </c>
      <c r="L1505" s="1" t="str">
        <f t="shared" ref="L1505:L1511" si="124">C1505&amp;","&amp;MONTH(D1505)&amp;"/"&amp;DAY(D1505)&amp;"/"&amp;YEAR(D1505)&amp;","&amp;E1505&amp;","&amp;F1505&amp;","&amp;G1505&amp;","&amp;H1505&amp;","&amp;I1505</f>
        <v>1504,9/19/2004,0,13,14,2,0</v>
      </c>
    </row>
    <row r="1506" spans="1:12" x14ac:dyDescent="0.2">
      <c r="A1506" s="1" t="str">
        <f t="shared" si="122"/>
        <v>3824920</v>
      </c>
      <c r="B1506" s="1" t="str">
        <f t="shared" si="123"/>
        <v>3824917</v>
      </c>
      <c r="C1506" s="1">
        <v>1505</v>
      </c>
      <c r="D1506" s="4">
        <v>38249</v>
      </c>
      <c r="E1506" s="1">
        <v>0</v>
      </c>
      <c r="F1506" s="1">
        <v>17</v>
      </c>
      <c r="G1506" s="1">
        <v>20</v>
      </c>
      <c r="H1506" s="1">
        <v>2</v>
      </c>
      <c r="I1506" s="1">
        <v>0</v>
      </c>
      <c r="J1506" s="2" t="str">
        <f t="shared" si="120"/>
        <v>GAR</v>
      </c>
      <c r="K1506" s="2" t="str">
        <f t="shared" si="121"/>
        <v>@FDH</v>
      </c>
      <c r="L1506" s="1" t="str">
        <f t="shared" si="124"/>
        <v>1505,9/19/2004,0,17,20,2,0</v>
      </c>
    </row>
    <row r="1507" spans="1:12" x14ac:dyDescent="0.2">
      <c r="A1507" s="1" t="str">
        <f t="shared" si="122"/>
        <v>3824921</v>
      </c>
      <c r="B1507" s="1" t="str">
        <f t="shared" si="123"/>
        <v>3824912</v>
      </c>
      <c r="C1507" s="1">
        <v>1506</v>
      </c>
      <c r="D1507" s="4">
        <v>38249</v>
      </c>
      <c r="E1507" s="1">
        <v>0</v>
      </c>
      <c r="F1507" s="1">
        <v>12</v>
      </c>
      <c r="G1507" s="1">
        <v>21</v>
      </c>
      <c r="H1507" s="1">
        <v>2</v>
      </c>
      <c r="I1507" s="1">
        <v>0</v>
      </c>
      <c r="J1507" s="2" t="str">
        <f t="shared" si="120"/>
        <v>RMO</v>
      </c>
      <c r="K1507" s="2" t="str">
        <f t="shared" si="121"/>
        <v>@NYD</v>
      </c>
      <c r="L1507" s="1" t="str">
        <f t="shared" si="124"/>
        <v>1506,9/19/2004,0,12,21,2,0</v>
      </c>
    </row>
    <row r="1508" spans="1:12" x14ac:dyDescent="0.2">
      <c r="A1508" s="1" t="str">
        <f t="shared" si="122"/>
        <v>3824922</v>
      </c>
      <c r="B1508" s="1" t="str">
        <f t="shared" si="123"/>
        <v>382491</v>
      </c>
      <c r="C1508" s="1">
        <v>1507</v>
      </c>
      <c r="D1508" s="4">
        <v>38249</v>
      </c>
      <c r="E1508" s="1">
        <v>0</v>
      </c>
      <c r="F1508" s="1">
        <v>1</v>
      </c>
      <c r="G1508" s="1">
        <v>22</v>
      </c>
      <c r="H1508" s="1">
        <v>2</v>
      </c>
      <c r="I1508" s="1">
        <v>0</v>
      </c>
      <c r="J1508" s="2" t="str">
        <f t="shared" si="120"/>
        <v>FFR</v>
      </c>
      <c r="K1508" s="2" t="str">
        <f t="shared" si="121"/>
        <v>@CBB</v>
      </c>
      <c r="L1508" s="1" t="str">
        <f t="shared" si="124"/>
        <v>1507,9/19/2004,0,1,22,2,0</v>
      </c>
    </row>
    <row r="1509" spans="1:12" x14ac:dyDescent="0.2">
      <c r="A1509" s="1" t="str">
        <f t="shared" si="122"/>
        <v>3824923</v>
      </c>
      <c r="B1509" s="1" t="str">
        <f t="shared" si="123"/>
        <v>382494</v>
      </c>
      <c r="C1509" s="1">
        <v>1508</v>
      </c>
      <c r="D1509" s="4">
        <v>38249</v>
      </c>
      <c r="E1509" s="1">
        <v>0</v>
      </c>
      <c r="F1509" s="1">
        <v>4</v>
      </c>
      <c r="G1509" s="1">
        <v>23</v>
      </c>
      <c r="H1509" s="1">
        <v>2</v>
      </c>
      <c r="I1509" s="1">
        <v>0</v>
      </c>
      <c r="J1509" s="2" t="str">
        <f t="shared" si="120"/>
        <v>NNN</v>
      </c>
      <c r="K1509" s="2" t="str">
        <f t="shared" si="121"/>
        <v>@BRK</v>
      </c>
      <c r="L1509" s="1" t="str">
        <f t="shared" si="124"/>
        <v>1508,9/19/2004,0,4,23,2,0</v>
      </c>
    </row>
    <row r="1510" spans="1:12" x14ac:dyDescent="0.2">
      <c r="A1510" s="1" t="str">
        <f t="shared" si="122"/>
        <v>3824910</v>
      </c>
      <c r="B1510" s="1" t="str">
        <f t="shared" si="123"/>
        <v>382498</v>
      </c>
      <c r="C1510" s="1">
        <v>1509</v>
      </c>
      <c r="D1510" s="4">
        <v>38249</v>
      </c>
      <c r="E1510" s="1">
        <v>0</v>
      </c>
      <c r="F1510" s="1">
        <v>8</v>
      </c>
      <c r="G1510" s="1">
        <v>10</v>
      </c>
      <c r="H1510" s="1">
        <v>2</v>
      </c>
      <c r="I1510" s="1">
        <v>0</v>
      </c>
      <c r="J1510" s="2" t="str">
        <f t="shared" si="120"/>
        <v>CTW</v>
      </c>
      <c r="K1510" s="2" t="str">
        <f t="shared" si="121"/>
        <v>@REN</v>
      </c>
      <c r="L1510" s="1" t="str">
        <f t="shared" si="124"/>
        <v>1509,9/19/2004,0,8,10,2,0</v>
      </c>
    </row>
    <row r="1511" spans="1:12" x14ac:dyDescent="0.2">
      <c r="A1511" s="1" t="str">
        <f t="shared" si="122"/>
        <v>3824924</v>
      </c>
      <c r="B1511" s="1" t="str">
        <f t="shared" si="123"/>
        <v>382495</v>
      </c>
      <c r="C1511" s="1">
        <v>1510</v>
      </c>
      <c r="D1511" s="4">
        <v>38249</v>
      </c>
      <c r="E1511" s="1">
        <v>0</v>
      </c>
      <c r="F1511" s="1">
        <v>5</v>
      </c>
      <c r="G1511" s="1">
        <v>24</v>
      </c>
      <c r="H1511" s="1">
        <v>2</v>
      </c>
      <c r="I1511" s="1">
        <v>0</v>
      </c>
      <c r="J1511" s="2" t="str">
        <f t="shared" si="120"/>
        <v>OKO</v>
      </c>
      <c r="K1511" s="2" t="str">
        <f t="shared" si="121"/>
        <v>@PHI</v>
      </c>
      <c r="L1511" s="1" t="str">
        <f t="shared" si="124"/>
        <v>1510,9/19/2004,0,5,24,2,0</v>
      </c>
    </row>
    <row r="1512" spans="1:12" x14ac:dyDescent="0.2">
      <c r="A1512" s="1" t="str">
        <f t="shared" si="122"/>
        <v>382502</v>
      </c>
      <c r="B1512" s="1" t="str">
        <f t="shared" si="123"/>
        <v>382507</v>
      </c>
      <c r="C1512" s="1">
        <v>1511</v>
      </c>
      <c r="D1512" s="4">
        <v>38250</v>
      </c>
      <c r="E1512" s="1">
        <v>0</v>
      </c>
      <c r="F1512" s="1">
        <v>7</v>
      </c>
      <c r="G1512" s="1">
        <v>2</v>
      </c>
      <c r="H1512" s="1">
        <v>2</v>
      </c>
      <c r="I1512" s="1">
        <v>0</v>
      </c>
      <c r="J1512" s="2" t="str">
        <f t="shared" ref="J1512:J1543" si="125">VLOOKUP(F1512,$M$2:$N$21,2,0)</f>
        <v>BAR</v>
      </c>
      <c r="K1512" s="2" t="str">
        <f t="shared" ref="K1512:K1543" si="126">"@"&amp;VLOOKUP(G1512,$M$2:$N$21,2,0)</f>
        <v>@NEP</v>
      </c>
      <c r="L1512" s="1" t="str">
        <f t="shared" ref="L1512:L1543" si="127">C1512&amp;","&amp;MONTH(D1512)&amp;"/"&amp;DAY(D1512)&amp;"/"&amp;YEAR(D1512)&amp;","&amp;E1512&amp;","&amp;F1512&amp;","&amp;G1512&amp;","&amp;H1512&amp;","&amp;I1512</f>
        <v>1511,9/20/2004,0,7,2,2,0</v>
      </c>
    </row>
    <row r="1513" spans="1:12" x14ac:dyDescent="0.2">
      <c r="A1513" s="1" t="str">
        <f t="shared" si="122"/>
        <v>382503</v>
      </c>
      <c r="B1513" s="1" t="str">
        <f t="shared" si="123"/>
        <v>382509</v>
      </c>
      <c r="C1513" s="1">
        <v>1512</v>
      </c>
      <c r="D1513" s="4">
        <v>38250</v>
      </c>
      <c r="E1513" s="1">
        <v>0</v>
      </c>
      <c r="F1513" s="1">
        <v>9</v>
      </c>
      <c r="G1513" s="1">
        <v>3</v>
      </c>
      <c r="H1513" s="1">
        <v>2</v>
      </c>
      <c r="I1513" s="1">
        <v>0</v>
      </c>
      <c r="J1513" s="2" t="str">
        <f t="shared" si="125"/>
        <v>CIN</v>
      </c>
      <c r="K1513" s="2" t="str">
        <f t="shared" si="126"/>
        <v>@TEW</v>
      </c>
      <c r="L1513" s="1" t="str">
        <f t="shared" si="127"/>
        <v>1512,9/20/2004,0,9,3,2,0</v>
      </c>
    </row>
    <row r="1514" spans="1:12" x14ac:dyDescent="0.2">
      <c r="A1514" s="1" t="str">
        <f t="shared" si="122"/>
        <v>3825010</v>
      </c>
      <c r="B1514" s="1" t="str">
        <f t="shared" si="123"/>
        <v>382508</v>
      </c>
      <c r="C1514" s="1">
        <v>1513</v>
      </c>
      <c r="D1514" s="4">
        <v>38250</v>
      </c>
      <c r="E1514" s="1">
        <v>0</v>
      </c>
      <c r="F1514" s="1">
        <v>8</v>
      </c>
      <c r="G1514" s="1">
        <v>10</v>
      </c>
      <c r="H1514" s="1">
        <v>2</v>
      </c>
      <c r="I1514" s="1">
        <v>0</v>
      </c>
      <c r="J1514" s="2" t="str">
        <f t="shared" si="125"/>
        <v>CTW</v>
      </c>
      <c r="K1514" s="2" t="str">
        <f t="shared" si="126"/>
        <v>@REN</v>
      </c>
      <c r="L1514" s="1" t="str">
        <f t="shared" si="127"/>
        <v>1513,9/20/2004,0,8,10,2,0</v>
      </c>
    </row>
    <row r="1515" spans="1:12" x14ac:dyDescent="0.2">
      <c r="A1515" s="1" t="str">
        <f t="shared" si="122"/>
        <v>3825011</v>
      </c>
      <c r="B1515" s="1" t="str">
        <f t="shared" si="123"/>
        <v>3825016</v>
      </c>
      <c r="C1515" s="1">
        <v>1514</v>
      </c>
      <c r="D1515" s="4">
        <v>38250</v>
      </c>
      <c r="E1515" s="1">
        <v>0</v>
      </c>
      <c r="F1515" s="1">
        <v>16</v>
      </c>
      <c r="G1515" s="1">
        <v>11</v>
      </c>
      <c r="H1515" s="1">
        <v>2</v>
      </c>
      <c r="I1515" s="1">
        <v>0</v>
      </c>
      <c r="J1515" s="2" t="str">
        <f t="shared" si="125"/>
        <v>DIG</v>
      </c>
      <c r="K1515" s="2" t="str">
        <f t="shared" si="126"/>
        <v>@HAR</v>
      </c>
      <c r="L1515" s="1" t="str">
        <f t="shared" si="127"/>
        <v>1514,9/20/2004,0,16,11,2,0</v>
      </c>
    </row>
    <row r="1516" spans="1:12" x14ac:dyDescent="0.2">
      <c r="A1516" s="1" t="str">
        <f t="shared" si="122"/>
        <v>3825014</v>
      </c>
      <c r="B1516" s="1" t="str">
        <f t="shared" si="123"/>
        <v>3825013</v>
      </c>
      <c r="C1516" s="1">
        <v>1515</v>
      </c>
      <c r="D1516" s="4">
        <v>38250</v>
      </c>
      <c r="E1516" s="1">
        <v>0</v>
      </c>
      <c r="F1516" s="1">
        <v>13</v>
      </c>
      <c r="G1516" s="1">
        <v>14</v>
      </c>
      <c r="H1516" s="1">
        <v>2</v>
      </c>
      <c r="I1516" s="1">
        <v>0</v>
      </c>
      <c r="J1516" s="2" t="str">
        <f t="shared" si="125"/>
        <v>BBG</v>
      </c>
      <c r="K1516" s="2" t="str">
        <f t="shared" si="126"/>
        <v>@CEN</v>
      </c>
      <c r="L1516" s="1" t="str">
        <f t="shared" si="127"/>
        <v>1515,9/20/2004,0,13,14,2,0</v>
      </c>
    </row>
    <row r="1517" spans="1:12" x14ac:dyDescent="0.2">
      <c r="A1517" s="1" t="str">
        <f t="shared" si="122"/>
        <v>3825020</v>
      </c>
      <c r="B1517" s="1" t="str">
        <f t="shared" si="123"/>
        <v>3825017</v>
      </c>
      <c r="C1517" s="1">
        <v>1516</v>
      </c>
      <c r="D1517" s="4">
        <v>38250</v>
      </c>
      <c r="E1517" s="1">
        <v>0</v>
      </c>
      <c r="F1517" s="1">
        <v>17</v>
      </c>
      <c r="G1517" s="1">
        <v>20</v>
      </c>
      <c r="H1517" s="1">
        <v>2</v>
      </c>
      <c r="I1517" s="1">
        <v>0</v>
      </c>
      <c r="J1517" s="2" t="str">
        <f t="shared" si="125"/>
        <v>GAR</v>
      </c>
      <c r="K1517" s="2" t="str">
        <f t="shared" si="126"/>
        <v>@FDH</v>
      </c>
      <c r="L1517" s="1" t="str">
        <f t="shared" si="127"/>
        <v>1516,9/20/2004,0,17,20,2,0</v>
      </c>
    </row>
    <row r="1518" spans="1:12" x14ac:dyDescent="0.2">
      <c r="A1518" s="1" t="str">
        <f t="shared" si="122"/>
        <v>3825021</v>
      </c>
      <c r="B1518" s="1" t="str">
        <f t="shared" si="123"/>
        <v>3825012</v>
      </c>
      <c r="C1518" s="1">
        <v>1517</v>
      </c>
      <c r="D1518" s="4">
        <v>38250</v>
      </c>
      <c r="E1518" s="1">
        <v>0</v>
      </c>
      <c r="F1518" s="1">
        <v>12</v>
      </c>
      <c r="G1518" s="1">
        <v>21</v>
      </c>
      <c r="H1518" s="1">
        <v>2</v>
      </c>
      <c r="I1518" s="1">
        <v>0</v>
      </c>
      <c r="J1518" s="2" t="str">
        <f t="shared" si="125"/>
        <v>RMO</v>
      </c>
      <c r="K1518" s="2" t="str">
        <f t="shared" si="126"/>
        <v>@NYD</v>
      </c>
      <c r="L1518" s="1" t="str">
        <f t="shared" si="127"/>
        <v>1517,9/20/2004,0,12,21,2,0</v>
      </c>
    </row>
    <row r="1519" spans="1:12" x14ac:dyDescent="0.2">
      <c r="A1519" s="1" t="str">
        <f t="shared" si="122"/>
        <v>3825022</v>
      </c>
      <c r="B1519" s="1" t="str">
        <f t="shared" si="123"/>
        <v>382501</v>
      </c>
      <c r="C1519" s="1">
        <v>1518</v>
      </c>
      <c r="D1519" s="4">
        <v>38250</v>
      </c>
      <c r="E1519" s="1">
        <v>0</v>
      </c>
      <c r="F1519" s="1">
        <v>1</v>
      </c>
      <c r="G1519" s="1">
        <v>22</v>
      </c>
      <c r="H1519" s="1">
        <v>2</v>
      </c>
      <c r="I1519" s="1">
        <v>0</v>
      </c>
      <c r="J1519" s="2" t="str">
        <f t="shared" si="125"/>
        <v>FFR</v>
      </c>
      <c r="K1519" s="2" t="str">
        <f t="shared" si="126"/>
        <v>@CBB</v>
      </c>
      <c r="L1519" s="1" t="str">
        <f t="shared" si="127"/>
        <v>1518,9/20/2004,0,1,22,2,0</v>
      </c>
    </row>
    <row r="1520" spans="1:12" x14ac:dyDescent="0.2">
      <c r="A1520" s="1" t="str">
        <f t="shared" si="122"/>
        <v>3825023</v>
      </c>
      <c r="B1520" s="1" t="str">
        <f t="shared" si="123"/>
        <v>382504</v>
      </c>
      <c r="C1520" s="1">
        <v>1519</v>
      </c>
      <c r="D1520" s="4">
        <v>38250</v>
      </c>
      <c r="E1520" s="1">
        <v>0</v>
      </c>
      <c r="F1520" s="1">
        <v>4</v>
      </c>
      <c r="G1520" s="1">
        <v>23</v>
      </c>
      <c r="H1520" s="1">
        <v>2</v>
      </c>
      <c r="I1520" s="1">
        <v>0</v>
      </c>
      <c r="J1520" s="2" t="str">
        <f t="shared" si="125"/>
        <v>NNN</v>
      </c>
      <c r="K1520" s="2" t="str">
        <f t="shared" si="126"/>
        <v>@BRK</v>
      </c>
      <c r="L1520" s="1" t="str">
        <f t="shared" si="127"/>
        <v>1519,9/20/2004,0,4,23,2,0</v>
      </c>
    </row>
    <row r="1521" spans="1:12" x14ac:dyDescent="0.2">
      <c r="A1521" s="1" t="str">
        <f t="shared" si="122"/>
        <v>3825024</v>
      </c>
      <c r="B1521" s="1" t="str">
        <f t="shared" si="123"/>
        <v>382505</v>
      </c>
      <c r="C1521" s="1">
        <v>1520</v>
      </c>
      <c r="D1521" s="4">
        <v>38250</v>
      </c>
      <c r="E1521" s="1">
        <v>0</v>
      </c>
      <c r="F1521" s="1">
        <v>5</v>
      </c>
      <c r="G1521" s="1">
        <v>24</v>
      </c>
      <c r="H1521" s="1">
        <v>2</v>
      </c>
      <c r="I1521" s="1">
        <v>0</v>
      </c>
      <c r="J1521" s="2" t="str">
        <f t="shared" si="125"/>
        <v>OKO</v>
      </c>
      <c r="K1521" s="2" t="str">
        <f t="shared" si="126"/>
        <v>@PHI</v>
      </c>
      <c r="L1521" s="1" t="str">
        <f t="shared" si="127"/>
        <v>1520,9/20/2004,0,5,24,2,0</v>
      </c>
    </row>
    <row r="1522" spans="1:12" x14ac:dyDescent="0.2">
      <c r="A1522" s="1" t="str">
        <f t="shared" si="122"/>
        <v>382512</v>
      </c>
      <c r="B1522" s="1" t="str">
        <f t="shared" si="123"/>
        <v>382517</v>
      </c>
      <c r="C1522" s="1">
        <v>1521</v>
      </c>
      <c r="D1522" s="4">
        <v>38251</v>
      </c>
      <c r="E1522" s="1">
        <v>0</v>
      </c>
      <c r="F1522" s="1">
        <v>7</v>
      </c>
      <c r="G1522" s="1">
        <v>2</v>
      </c>
      <c r="H1522" s="1">
        <v>2</v>
      </c>
      <c r="I1522" s="1">
        <v>0</v>
      </c>
      <c r="J1522" s="2" t="str">
        <f t="shared" si="125"/>
        <v>BAR</v>
      </c>
      <c r="K1522" s="2" t="str">
        <f t="shared" si="126"/>
        <v>@NEP</v>
      </c>
      <c r="L1522" s="1" t="str">
        <f t="shared" si="127"/>
        <v>1521,9/21/2004,0,7,2,2,0</v>
      </c>
    </row>
    <row r="1523" spans="1:12" x14ac:dyDescent="0.2">
      <c r="A1523" s="1" t="str">
        <f t="shared" si="122"/>
        <v>382513</v>
      </c>
      <c r="B1523" s="1" t="str">
        <f t="shared" si="123"/>
        <v>382519</v>
      </c>
      <c r="C1523" s="1">
        <v>1522</v>
      </c>
      <c r="D1523" s="4">
        <v>38251</v>
      </c>
      <c r="E1523" s="1">
        <v>0</v>
      </c>
      <c r="F1523" s="1">
        <v>9</v>
      </c>
      <c r="G1523" s="1">
        <v>3</v>
      </c>
      <c r="H1523" s="1">
        <v>2</v>
      </c>
      <c r="I1523" s="1">
        <v>0</v>
      </c>
      <c r="J1523" s="2" t="str">
        <f t="shared" si="125"/>
        <v>CIN</v>
      </c>
      <c r="K1523" s="2" t="str">
        <f t="shared" si="126"/>
        <v>@TEW</v>
      </c>
      <c r="L1523" s="1" t="str">
        <f t="shared" si="127"/>
        <v>1522,9/21/2004,0,9,3,2,0</v>
      </c>
    </row>
    <row r="1524" spans="1:12" x14ac:dyDescent="0.2">
      <c r="A1524" s="1" t="str">
        <f t="shared" si="122"/>
        <v>3825110</v>
      </c>
      <c r="B1524" s="1" t="str">
        <f t="shared" si="123"/>
        <v>382518</v>
      </c>
      <c r="C1524" s="1">
        <v>1523</v>
      </c>
      <c r="D1524" s="4">
        <v>38251</v>
      </c>
      <c r="E1524" s="1">
        <v>0</v>
      </c>
      <c r="F1524" s="1">
        <v>8</v>
      </c>
      <c r="G1524" s="1">
        <v>10</v>
      </c>
      <c r="H1524" s="1">
        <v>2</v>
      </c>
      <c r="I1524" s="1">
        <v>0</v>
      </c>
      <c r="J1524" s="2" t="str">
        <f t="shared" si="125"/>
        <v>CTW</v>
      </c>
      <c r="K1524" s="2" t="str">
        <f t="shared" si="126"/>
        <v>@REN</v>
      </c>
      <c r="L1524" s="1" t="str">
        <f t="shared" si="127"/>
        <v>1523,9/21/2004,0,8,10,2,0</v>
      </c>
    </row>
    <row r="1525" spans="1:12" x14ac:dyDescent="0.2">
      <c r="A1525" s="1" t="str">
        <f t="shared" si="122"/>
        <v>3825111</v>
      </c>
      <c r="B1525" s="1" t="str">
        <f t="shared" si="123"/>
        <v>3825116</v>
      </c>
      <c r="C1525" s="1">
        <v>1524</v>
      </c>
      <c r="D1525" s="4">
        <v>38251</v>
      </c>
      <c r="E1525" s="1">
        <v>0</v>
      </c>
      <c r="F1525" s="1">
        <v>16</v>
      </c>
      <c r="G1525" s="1">
        <v>11</v>
      </c>
      <c r="H1525" s="1">
        <v>2</v>
      </c>
      <c r="I1525" s="1">
        <v>0</v>
      </c>
      <c r="J1525" s="2" t="str">
        <f t="shared" si="125"/>
        <v>DIG</v>
      </c>
      <c r="K1525" s="2" t="str">
        <f t="shared" si="126"/>
        <v>@HAR</v>
      </c>
      <c r="L1525" s="1" t="str">
        <f t="shared" si="127"/>
        <v>1524,9/21/2004,0,16,11,2,0</v>
      </c>
    </row>
    <row r="1526" spans="1:12" x14ac:dyDescent="0.2">
      <c r="A1526" s="1" t="str">
        <f t="shared" si="122"/>
        <v>3825114</v>
      </c>
      <c r="B1526" s="1" t="str">
        <f t="shared" si="123"/>
        <v>3825113</v>
      </c>
      <c r="C1526" s="1">
        <v>1525</v>
      </c>
      <c r="D1526" s="4">
        <v>38251</v>
      </c>
      <c r="E1526" s="1">
        <v>0</v>
      </c>
      <c r="F1526" s="1">
        <v>13</v>
      </c>
      <c r="G1526" s="1">
        <v>14</v>
      </c>
      <c r="H1526" s="1">
        <v>2</v>
      </c>
      <c r="I1526" s="1">
        <v>0</v>
      </c>
      <c r="J1526" s="2" t="str">
        <f t="shared" si="125"/>
        <v>BBG</v>
      </c>
      <c r="K1526" s="2" t="str">
        <f t="shared" si="126"/>
        <v>@CEN</v>
      </c>
      <c r="L1526" s="1" t="str">
        <f t="shared" si="127"/>
        <v>1525,9/21/2004,0,13,14,2,0</v>
      </c>
    </row>
    <row r="1527" spans="1:12" x14ac:dyDescent="0.2">
      <c r="A1527" s="1" t="str">
        <f t="shared" si="122"/>
        <v>3825120</v>
      </c>
      <c r="B1527" s="1" t="str">
        <f t="shared" si="123"/>
        <v>3825117</v>
      </c>
      <c r="C1527" s="1">
        <v>1526</v>
      </c>
      <c r="D1527" s="4">
        <v>38251</v>
      </c>
      <c r="E1527" s="1">
        <v>0</v>
      </c>
      <c r="F1527" s="1">
        <v>17</v>
      </c>
      <c r="G1527" s="1">
        <v>20</v>
      </c>
      <c r="H1527" s="1">
        <v>2</v>
      </c>
      <c r="I1527" s="1">
        <v>0</v>
      </c>
      <c r="J1527" s="2" t="str">
        <f t="shared" si="125"/>
        <v>GAR</v>
      </c>
      <c r="K1527" s="2" t="str">
        <f t="shared" si="126"/>
        <v>@FDH</v>
      </c>
      <c r="L1527" s="1" t="str">
        <f t="shared" si="127"/>
        <v>1526,9/21/2004,0,17,20,2,0</v>
      </c>
    </row>
    <row r="1528" spans="1:12" x14ac:dyDescent="0.2">
      <c r="A1528" s="1" t="str">
        <f t="shared" si="122"/>
        <v>3825121</v>
      </c>
      <c r="B1528" s="1" t="str">
        <f t="shared" si="123"/>
        <v>3825112</v>
      </c>
      <c r="C1528" s="1">
        <v>1527</v>
      </c>
      <c r="D1528" s="4">
        <v>38251</v>
      </c>
      <c r="E1528" s="1">
        <v>0</v>
      </c>
      <c r="F1528" s="1">
        <v>12</v>
      </c>
      <c r="G1528" s="1">
        <v>21</v>
      </c>
      <c r="H1528" s="1">
        <v>2</v>
      </c>
      <c r="I1528" s="1">
        <v>0</v>
      </c>
      <c r="J1528" s="2" t="str">
        <f t="shared" si="125"/>
        <v>RMO</v>
      </c>
      <c r="K1528" s="2" t="str">
        <f t="shared" si="126"/>
        <v>@NYD</v>
      </c>
      <c r="L1528" s="1" t="str">
        <f t="shared" si="127"/>
        <v>1527,9/21/2004,0,12,21,2,0</v>
      </c>
    </row>
    <row r="1529" spans="1:12" x14ac:dyDescent="0.2">
      <c r="A1529" s="1" t="str">
        <f t="shared" si="122"/>
        <v>3825122</v>
      </c>
      <c r="B1529" s="1" t="str">
        <f t="shared" si="123"/>
        <v>382511</v>
      </c>
      <c r="C1529" s="1">
        <v>1528</v>
      </c>
      <c r="D1529" s="4">
        <v>38251</v>
      </c>
      <c r="E1529" s="1">
        <v>0</v>
      </c>
      <c r="F1529" s="1">
        <v>1</v>
      </c>
      <c r="G1529" s="1">
        <v>22</v>
      </c>
      <c r="H1529" s="1">
        <v>2</v>
      </c>
      <c r="I1529" s="1">
        <v>0</v>
      </c>
      <c r="J1529" s="2" t="str">
        <f t="shared" si="125"/>
        <v>FFR</v>
      </c>
      <c r="K1529" s="2" t="str">
        <f t="shared" si="126"/>
        <v>@CBB</v>
      </c>
      <c r="L1529" s="1" t="str">
        <f t="shared" si="127"/>
        <v>1528,9/21/2004,0,1,22,2,0</v>
      </c>
    </row>
    <row r="1530" spans="1:12" x14ac:dyDescent="0.2">
      <c r="A1530" s="1" t="str">
        <f t="shared" si="122"/>
        <v>3825123</v>
      </c>
      <c r="B1530" s="1" t="str">
        <f t="shared" si="123"/>
        <v>382514</v>
      </c>
      <c r="C1530" s="1">
        <v>1529</v>
      </c>
      <c r="D1530" s="4">
        <v>38251</v>
      </c>
      <c r="E1530" s="1">
        <v>0</v>
      </c>
      <c r="F1530" s="1">
        <v>4</v>
      </c>
      <c r="G1530" s="1">
        <v>23</v>
      </c>
      <c r="H1530" s="1">
        <v>2</v>
      </c>
      <c r="I1530" s="1">
        <v>0</v>
      </c>
      <c r="J1530" s="2" t="str">
        <f t="shared" si="125"/>
        <v>NNN</v>
      </c>
      <c r="K1530" s="2" t="str">
        <f t="shared" si="126"/>
        <v>@BRK</v>
      </c>
      <c r="L1530" s="1" t="str">
        <f t="shared" si="127"/>
        <v>1529,9/21/2004,0,4,23,2,0</v>
      </c>
    </row>
    <row r="1531" spans="1:12" x14ac:dyDescent="0.2">
      <c r="A1531" s="1" t="str">
        <f t="shared" si="122"/>
        <v>3825124</v>
      </c>
      <c r="B1531" s="1" t="str">
        <f t="shared" si="123"/>
        <v>382515</v>
      </c>
      <c r="C1531" s="1">
        <v>1530</v>
      </c>
      <c r="D1531" s="4">
        <v>38251</v>
      </c>
      <c r="E1531" s="1">
        <v>0</v>
      </c>
      <c r="F1531" s="1">
        <v>5</v>
      </c>
      <c r="G1531" s="1">
        <v>24</v>
      </c>
      <c r="H1531" s="1">
        <v>2</v>
      </c>
      <c r="I1531" s="1">
        <v>0</v>
      </c>
      <c r="J1531" s="2" t="str">
        <f t="shared" si="125"/>
        <v>OKO</v>
      </c>
      <c r="K1531" s="2" t="str">
        <f t="shared" si="126"/>
        <v>@PHI</v>
      </c>
      <c r="L1531" s="1" t="str">
        <f t="shared" si="127"/>
        <v>1530,9/21/2004,0,5,24,2,0</v>
      </c>
    </row>
    <row r="1532" spans="1:12" x14ac:dyDescent="0.2">
      <c r="A1532" s="1" t="str">
        <f t="shared" si="122"/>
        <v>382522</v>
      </c>
      <c r="B1532" s="1" t="str">
        <f t="shared" si="123"/>
        <v>382527</v>
      </c>
      <c r="C1532" s="1">
        <v>1531</v>
      </c>
      <c r="D1532" s="4">
        <v>38252</v>
      </c>
      <c r="E1532" s="1">
        <v>0</v>
      </c>
      <c r="F1532" s="1">
        <v>7</v>
      </c>
      <c r="G1532" s="1">
        <v>2</v>
      </c>
      <c r="H1532" s="1">
        <v>2</v>
      </c>
      <c r="I1532" s="1">
        <v>0</v>
      </c>
      <c r="J1532" s="2" t="str">
        <f t="shared" si="125"/>
        <v>BAR</v>
      </c>
      <c r="K1532" s="2" t="str">
        <f t="shared" si="126"/>
        <v>@NEP</v>
      </c>
      <c r="L1532" s="1" t="str">
        <f t="shared" si="127"/>
        <v>1531,9/22/2004,0,7,2,2,0</v>
      </c>
    </row>
    <row r="1533" spans="1:12" x14ac:dyDescent="0.2">
      <c r="A1533" s="1" t="str">
        <f t="shared" si="122"/>
        <v>382523</v>
      </c>
      <c r="B1533" s="1" t="str">
        <f t="shared" si="123"/>
        <v>382529</v>
      </c>
      <c r="C1533" s="1">
        <v>1532</v>
      </c>
      <c r="D1533" s="4">
        <v>38252</v>
      </c>
      <c r="E1533" s="1">
        <v>0</v>
      </c>
      <c r="F1533" s="1">
        <v>9</v>
      </c>
      <c r="G1533" s="1">
        <v>3</v>
      </c>
      <c r="H1533" s="1">
        <v>2</v>
      </c>
      <c r="I1533" s="1">
        <v>0</v>
      </c>
      <c r="J1533" s="2" t="str">
        <f t="shared" si="125"/>
        <v>CIN</v>
      </c>
      <c r="K1533" s="2" t="str">
        <f t="shared" si="126"/>
        <v>@TEW</v>
      </c>
      <c r="L1533" s="1" t="str">
        <f t="shared" si="127"/>
        <v>1532,9/22/2004,0,9,3,2,0</v>
      </c>
    </row>
    <row r="1534" spans="1:12" x14ac:dyDescent="0.2">
      <c r="A1534" s="1" t="str">
        <f t="shared" si="122"/>
        <v>3825210</v>
      </c>
      <c r="B1534" s="1" t="str">
        <f t="shared" si="123"/>
        <v>382528</v>
      </c>
      <c r="C1534" s="1">
        <v>1533</v>
      </c>
      <c r="D1534" s="4">
        <v>38252</v>
      </c>
      <c r="E1534" s="1">
        <v>0</v>
      </c>
      <c r="F1534" s="1">
        <v>8</v>
      </c>
      <c r="G1534" s="1">
        <v>10</v>
      </c>
      <c r="H1534" s="1">
        <v>2</v>
      </c>
      <c r="I1534" s="1">
        <v>0</v>
      </c>
      <c r="J1534" s="2" t="str">
        <f t="shared" si="125"/>
        <v>CTW</v>
      </c>
      <c r="K1534" s="2" t="str">
        <f t="shared" si="126"/>
        <v>@REN</v>
      </c>
      <c r="L1534" s="1" t="str">
        <f t="shared" si="127"/>
        <v>1533,9/22/2004,0,8,10,2,0</v>
      </c>
    </row>
    <row r="1535" spans="1:12" x14ac:dyDescent="0.2">
      <c r="A1535" s="1" t="str">
        <f t="shared" si="122"/>
        <v>3825211</v>
      </c>
      <c r="B1535" s="1" t="str">
        <f t="shared" si="123"/>
        <v>3825216</v>
      </c>
      <c r="C1535" s="1">
        <v>1534</v>
      </c>
      <c r="D1535" s="4">
        <v>38252</v>
      </c>
      <c r="E1535" s="1">
        <v>0</v>
      </c>
      <c r="F1535" s="1">
        <v>16</v>
      </c>
      <c r="G1535" s="1">
        <v>11</v>
      </c>
      <c r="H1535" s="1">
        <v>2</v>
      </c>
      <c r="I1535" s="1">
        <v>0</v>
      </c>
      <c r="J1535" s="2" t="str">
        <f t="shared" si="125"/>
        <v>DIG</v>
      </c>
      <c r="K1535" s="2" t="str">
        <f t="shared" si="126"/>
        <v>@HAR</v>
      </c>
      <c r="L1535" s="1" t="str">
        <f t="shared" si="127"/>
        <v>1534,9/22/2004,0,16,11,2,0</v>
      </c>
    </row>
    <row r="1536" spans="1:12" x14ac:dyDescent="0.2">
      <c r="A1536" s="1" t="str">
        <f t="shared" si="122"/>
        <v>3825214</v>
      </c>
      <c r="B1536" s="1" t="str">
        <f t="shared" si="123"/>
        <v>3825213</v>
      </c>
      <c r="C1536" s="1">
        <v>1535</v>
      </c>
      <c r="D1536" s="4">
        <v>38252</v>
      </c>
      <c r="E1536" s="1">
        <v>0</v>
      </c>
      <c r="F1536" s="1">
        <v>13</v>
      </c>
      <c r="G1536" s="1">
        <v>14</v>
      </c>
      <c r="H1536" s="1">
        <v>2</v>
      </c>
      <c r="I1536" s="1">
        <v>0</v>
      </c>
      <c r="J1536" s="2" t="str">
        <f t="shared" si="125"/>
        <v>BBG</v>
      </c>
      <c r="K1536" s="2" t="str">
        <f t="shared" si="126"/>
        <v>@CEN</v>
      </c>
      <c r="L1536" s="1" t="str">
        <f t="shared" si="127"/>
        <v>1535,9/22/2004,0,13,14,2,0</v>
      </c>
    </row>
    <row r="1537" spans="1:12" x14ac:dyDescent="0.2">
      <c r="A1537" s="1" t="str">
        <f t="shared" si="122"/>
        <v>3825220</v>
      </c>
      <c r="B1537" s="1" t="str">
        <f t="shared" si="123"/>
        <v>3825217</v>
      </c>
      <c r="C1537" s="1">
        <v>1536</v>
      </c>
      <c r="D1537" s="4">
        <v>38252</v>
      </c>
      <c r="E1537" s="1">
        <v>0</v>
      </c>
      <c r="F1537" s="1">
        <v>17</v>
      </c>
      <c r="G1537" s="1">
        <v>20</v>
      </c>
      <c r="H1537" s="1">
        <v>2</v>
      </c>
      <c r="I1537" s="1">
        <v>0</v>
      </c>
      <c r="J1537" s="2" t="str">
        <f t="shared" si="125"/>
        <v>GAR</v>
      </c>
      <c r="K1537" s="2" t="str">
        <f t="shared" si="126"/>
        <v>@FDH</v>
      </c>
      <c r="L1537" s="1" t="str">
        <f t="shared" si="127"/>
        <v>1536,9/22/2004,0,17,20,2,0</v>
      </c>
    </row>
    <row r="1538" spans="1:12" x14ac:dyDescent="0.2">
      <c r="A1538" s="1" t="str">
        <f t="shared" si="122"/>
        <v>3825221</v>
      </c>
      <c r="B1538" s="1" t="str">
        <f t="shared" si="123"/>
        <v>3825212</v>
      </c>
      <c r="C1538" s="1">
        <v>1537</v>
      </c>
      <c r="D1538" s="4">
        <v>38252</v>
      </c>
      <c r="E1538" s="1">
        <v>0</v>
      </c>
      <c r="F1538" s="1">
        <v>12</v>
      </c>
      <c r="G1538" s="1">
        <v>21</v>
      </c>
      <c r="H1538" s="1">
        <v>2</v>
      </c>
      <c r="I1538" s="1">
        <v>0</v>
      </c>
      <c r="J1538" s="2" t="str">
        <f t="shared" si="125"/>
        <v>RMO</v>
      </c>
      <c r="K1538" s="2" t="str">
        <f t="shared" si="126"/>
        <v>@NYD</v>
      </c>
      <c r="L1538" s="1" t="str">
        <f t="shared" si="127"/>
        <v>1537,9/22/2004,0,12,21,2,0</v>
      </c>
    </row>
    <row r="1539" spans="1:12" x14ac:dyDescent="0.2">
      <c r="A1539" s="1" t="str">
        <f t="shared" si="122"/>
        <v>3825222</v>
      </c>
      <c r="B1539" s="1" t="str">
        <f t="shared" si="123"/>
        <v>382521</v>
      </c>
      <c r="C1539" s="1">
        <v>1538</v>
      </c>
      <c r="D1539" s="4">
        <v>38252</v>
      </c>
      <c r="E1539" s="1">
        <v>0</v>
      </c>
      <c r="F1539" s="1">
        <v>1</v>
      </c>
      <c r="G1539" s="1">
        <v>22</v>
      </c>
      <c r="H1539" s="1">
        <v>2</v>
      </c>
      <c r="I1539" s="1">
        <v>0</v>
      </c>
      <c r="J1539" s="2" t="str">
        <f t="shared" si="125"/>
        <v>FFR</v>
      </c>
      <c r="K1539" s="2" t="str">
        <f t="shared" si="126"/>
        <v>@CBB</v>
      </c>
      <c r="L1539" s="1" t="str">
        <f t="shared" si="127"/>
        <v>1538,9/22/2004,0,1,22,2,0</v>
      </c>
    </row>
    <row r="1540" spans="1:12" x14ac:dyDescent="0.2">
      <c r="A1540" s="1" t="str">
        <f t="shared" si="122"/>
        <v>3825223</v>
      </c>
      <c r="B1540" s="1" t="str">
        <f t="shared" si="123"/>
        <v>382524</v>
      </c>
      <c r="C1540" s="1">
        <v>1539</v>
      </c>
      <c r="D1540" s="4">
        <v>38252</v>
      </c>
      <c r="E1540" s="1">
        <v>0</v>
      </c>
      <c r="F1540" s="1">
        <v>4</v>
      </c>
      <c r="G1540" s="1">
        <v>23</v>
      </c>
      <c r="H1540" s="1">
        <v>2</v>
      </c>
      <c r="I1540" s="1">
        <v>0</v>
      </c>
      <c r="J1540" s="2" t="str">
        <f t="shared" si="125"/>
        <v>NNN</v>
      </c>
      <c r="K1540" s="2" t="str">
        <f t="shared" si="126"/>
        <v>@BRK</v>
      </c>
      <c r="L1540" s="1" t="str">
        <f t="shared" si="127"/>
        <v>1539,9/22/2004,0,4,23,2,0</v>
      </c>
    </row>
    <row r="1541" spans="1:12" x14ac:dyDescent="0.2">
      <c r="A1541" s="1" t="str">
        <f t="shared" si="122"/>
        <v>3825224</v>
      </c>
      <c r="B1541" s="1" t="str">
        <f t="shared" si="123"/>
        <v>382525</v>
      </c>
      <c r="C1541" s="1">
        <v>1540</v>
      </c>
      <c r="D1541" s="4">
        <v>38252</v>
      </c>
      <c r="E1541" s="1">
        <v>0</v>
      </c>
      <c r="F1541" s="1">
        <v>5</v>
      </c>
      <c r="G1541" s="1">
        <v>24</v>
      </c>
      <c r="H1541" s="1">
        <v>2</v>
      </c>
      <c r="I1541" s="1">
        <v>0</v>
      </c>
      <c r="J1541" s="2" t="str">
        <f t="shared" si="125"/>
        <v>OKO</v>
      </c>
      <c r="K1541" s="2" t="str">
        <f t="shared" si="126"/>
        <v>@PHI</v>
      </c>
      <c r="L1541" s="1" t="str">
        <f t="shared" si="127"/>
        <v>1540,9/22/2004,0,5,24,2,0</v>
      </c>
    </row>
    <row r="1542" spans="1:12" x14ac:dyDescent="0.2">
      <c r="A1542" s="1" t="str">
        <f t="shared" si="122"/>
        <v>382542</v>
      </c>
      <c r="B1542" s="1" t="str">
        <f t="shared" si="123"/>
        <v>3825417</v>
      </c>
      <c r="C1542" s="1">
        <v>1541</v>
      </c>
      <c r="D1542" s="4">
        <v>38254</v>
      </c>
      <c r="E1542" s="1">
        <v>0</v>
      </c>
      <c r="F1542" s="1">
        <v>17</v>
      </c>
      <c r="G1542" s="1">
        <v>2</v>
      </c>
      <c r="H1542" s="1">
        <v>2</v>
      </c>
      <c r="I1542" s="1">
        <v>0</v>
      </c>
      <c r="J1542" s="2" t="str">
        <f t="shared" si="125"/>
        <v>GAR</v>
      </c>
      <c r="K1542" s="2" t="str">
        <f t="shared" si="126"/>
        <v>@NEP</v>
      </c>
      <c r="L1542" s="1" t="str">
        <f t="shared" si="127"/>
        <v>1541,9/24/2004,0,17,2,2,0</v>
      </c>
    </row>
    <row r="1543" spans="1:12" x14ac:dyDescent="0.2">
      <c r="A1543" s="1" t="str">
        <f t="shared" si="122"/>
        <v>382543</v>
      </c>
      <c r="B1543" s="1" t="str">
        <f t="shared" si="123"/>
        <v>382547</v>
      </c>
      <c r="C1543" s="1">
        <v>1542</v>
      </c>
      <c r="D1543" s="4">
        <v>38254</v>
      </c>
      <c r="E1543" s="1">
        <v>0</v>
      </c>
      <c r="F1543" s="1">
        <v>7</v>
      </c>
      <c r="G1543" s="1">
        <v>3</v>
      </c>
      <c r="H1543" s="1">
        <v>2</v>
      </c>
      <c r="I1543" s="1">
        <v>0</v>
      </c>
      <c r="J1543" s="2" t="str">
        <f t="shared" si="125"/>
        <v>BAR</v>
      </c>
      <c r="K1543" s="2" t="str">
        <f t="shared" si="126"/>
        <v>@TEW</v>
      </c>
      <c r="L1543" s="1" t="str">
        <f t="shared" si="127"/>
        <v>1542,9/24/2004,0,7,3,2,0</v>
      </c>
    </row>
    <row r="1544" spans="1:12" x14ac:dyDescent="0.2">
      <c r="A1544" s="1" t="str">
        <f t="shared" si="122"/>
        <v>3825410</v>
      </c>
      <c r="B1544" s="1" t="str">
        <f t="shared" si="123"/>
        <v>382549</v>
      </c>
      <c r="C1544" s="1">
        <v>1543</v>
      </c>
      <c r="D1544" s="4">
        <v>38254</v>
      </c>
      <c r="E1544" s="1">
        <v>0</v>
      </c>
      <c r="F1544" s="1">
        <v>9</v>
      </c>
      <c r="G1544" s="1">
        <v>10</v>
      </c>
      <c r="H1544" s="1">
        <v>2</v>
      </c>
      <c r="I1544" s="1">
        <v>0</v>
      </c>
      <c r="J1544" s="2" t="str">
        <f t="shared" ref="J1544:J1575" si="128">VLOOKUP(F1544,$M$2:$N$21,2,0)</f>
        <v>CIN</v>
      </c>
      <c r="K1544" s="2" t="str">
        <f t="shared" ref="K1544:K1575" si="129">"@"&amp;VLOOKUP(G1544,$M$2:$N$21,2,0)</f>
        <v>@REN</v>
      </c>
      <c r="L1544" s="1" t="str">
        <f t="shared" ref="L1544:L1575" si="130">C1544&amp;","&amp;MONTH(D1544)&amp;"/"&amp;DAY(D1544)&amp;"/"&amp;YEAR(D1544)&amp;","&amp;E1544&amp;","&amp;F1544&amp;","&amp;G1544&amp;","&amp;H1544&amp;","&amp;I1544</f>
        <v>1543,9/24/2004,0,9,10,2,0</v>
      </c>
    </row>
    <row r="1545" spans="1:12" x14ac:dyDescent="0.2">
      <c r="A1545" s="1" t="str">
        <f t="shared" si="122"/>
        <v>3825411</v>
      </c>
      <c r="B1545" s="1" t="str">
        <f t="shared" si="123"/>
        <v>382545</v>
      </c>
      <c r="C1545" s="1">
        <v>1544</v>
      </c>
      <c r="D1545" s="4">
        <v>38254</v>
      </c>
      <c r="E1545" s="1">
        <v>0</v>
      </c>
      <c r="F1545" s="1">
        <v>5</v>
      </c>
      <c r="G1545" s="1">
        <v>11</v>
      </c>
      <c r="H1545" s="1">
        <v>2</v>
      </c>
      <c r="I1545" s="1">
        <v>0</v>
      </c>
      <c r="J1545" s="2" t="str">
        <f t="shared" si="128"/>
        <v>OKO</v>
      </c>
      <c r="K1545" s="2" t="str">
        <f t="shared" si="129"/>
        <v>@HAR</v>
      </c>
      <c r="L1545" s="1" t="str">
        <f t="shared" si="130"/>
        <v>1544,9/24/2004,0,5,11,2,0</v>
      </c>
    </row>
    <row r="1546" spans="1:12" x14ac:dyDescent="0.2">
      <c r="A1546" s="1" t="str">
        <f t="shared" si="122"/>
        <v>3825414</v>
      </c>
      <c r="B1546" s="1" t="str">
        <f t="shared" si="123"/>
        <v>382548</v>
      </c>
      <c r="C1546" s="1">
        <v>1545</v>
      </c>
      <c r="D1546" s="4">
        <v>38254</v>
      </c>
      <c r="E1546" s="1">
        <v>0</v>
      </c>
      <c r="F1546" s="1">
        <v>8</v>
      </c>
      <c r="G1546" s="1">
        <v>14</v>
      </c>
      <c r="H1546" s="1">
        <v>2</v>
      </c>
      <c r="I1546" s="1">
        <v>0</v>
      </c>
      <c r="J1546" s="2" t="str">
        <f t="shared" si="128"/>
        <v>CTW</v>
      </c>
      <c r="K1546" s="2" t="str">
        <f t="shared" si="129"/>
        <v>@CEN</v>
      </c>
      <c r="L1546" s="1" t="str">
        <f t="shared" si="130"/>
        <v>1545,9/24/2004,0,8,14,2,0</v>
      </c>
    </row>
    <row r="1547" spans="1:12" x14ac:dyDescent="0.2">
      <c r="A1547" s="1" t="str">
        <f t="shared" si="122"/>
        <v>3825420</v>
      </c>
      <c r="B1547" s="1" t="str">
        <f t="shared" si="123"/>
        <v>3825413</v>
      </c>
      <c r="C1547" s="1">
        <v>1546</v>
      </c>
      <c r="D1547" s="4">
        <v>38254</v>
      </c>
      <c r="E1547" s="1">
        <v>0</v>
      </c>
      <c r="F1547" s="1">
        <v>13</v>
      </c>
      <c r="G1547" s="1">
        <v>20</v>
      </c>
      <c r="H1547" s="1">
        <v>2</v>
      </c>
      <c r="I1547" s="1">
        <v>0</v>
      </c>
      <c r="J1547" s="2" t="str">
        <f t="shared" si="128"/>
        <v>BBG</v>
      </c>
      <c r="K1547" s="2" t="str">
        <f t="shared" si="129"/>
        <v>@FDH</v>
      </c>
      <c r="L1547" s="1" t="str">
        <f t="shared" si="130"/>
        <v>1546,9/24/2004,0,13,20,2,0</v>
      </c>
    </row>
    <row r="1548" spans="1:12" x14ac:dyDescent="0.2">
      <c r="A1548" s="1" t="str">
        <f t="shared" si="122"/>
        <v>3825421</v>
      </c>
      <c r="B1548" s="1" t="str">
        <f t="shared" si="123"/>
        <v>3825416</v>
      </c>
      <c r="C1548" s="1">
        <v>1547</v>
      </c>
      <c r="D1548" s="4">
        <v>38254</v>
      </c>
      <c r="E1548" s="1">
        <v>0</v>
      </c>
      <c r="F1548" s="1">
        <v>16</v>
      </c>
      <c r="G1548" s="1">
        <v>21</v>
      </c>
      <c r="H1548" s="1">
        <v>2</v>
      </c>
      <c r="I1548" s="1">
        <v>0</v>
      </c>
      <c r="J1548" s="2" t="str">
        <f t="shared" si="128"/>
        <v>DIG</v>
      </c>
      <c r="K1548" s="2" t="str">
        <f t="shared" si="129"/>
        <v>@NYD</v>
      </c>
      <c r="L1548" s="1" t="str">
        <f t="shared" si="130"/>
        <v>1547,9/24/2004,0,16,21,2,0</v>
      </c>
    </row>
    <row r="1549" spans="1:12" x14ac:dyDescent="0.2">
      <c r="A1549" s="1" t="str">
        <f t="shared" si="122"/>
        <v>3825422</v>
      </c>
      <c r="B1549" s="1" t="str">
        <f t="shared" si="123"/>
        <v>3825412</v>
      </c>
      <c r="C1549" s="1">
        <v>1548</v>
      </c>
      <c r="D1549" s="4">
        <v>38254</v>
      </c>
      <c r="E1549" s="1">
        <v>0</v>
      </c>
      <c r="F1549" s="1">
        <v>12</v>
      </c>
      <c r="G1549" s="1">
        <v>22</v>
      </c>
      <c r="H1549" s="1">
        <v>2</v>
      </c>
      <c r="I1549" s="1">
        <v>0</v>
      </c>
      <c r="J1549" s="2" t="str">
        <f t="shared" si="128"/>
        <v>RMO</v>
      </c>
      <c r="K1549" s="2" t="str">
        <f t="shared" si="129"/>
        <v>@CBB</v>
      </c>
      <c r="L1549" s="1" t="str">
        <f t="shared" si="130"/>
        <v>1548,9/24/2004,0,12,22,2,0</v>
      </c>
    </row>
    <row r="1550" spans="1:12" x14ac:dyDescent="0.2">
      <c r="A1550" s="1" t="str">
        <f t="shared" si="122"/>
        <v>3825423</v>
      </c>
      <c r="B1550" s="1" t="str">
        <f t="shared" si="123"/>
        <v>382541</v>
      </c>
      <c r="C1550" s="1">
        <v>1549</v>
      </c>
      <c r="D1550" s="4">
        <v>38254</v>
      </c>
      <c r="E1550" s="1">
        <v>0</v>
      </c>
      <c r="F1550" s="1">
        <v>1</v>
      </c>
      <c r="G1550" s="1">
        <v>23</v>
      </c>
      <c r="H1550" s="1">
        <v>2</v>
      </c>
      <c r="I1550" s="1">
        <v>0</v>
      </c>
      <c r="J1550" s="2" t="str">
        <f t="shared" si="128"/>
        <v>FFR</v>
      </c>
      <c r="K1550" s="2" t="str">
        <f t="shared" si="129"/>
        <v>@BRK</v>
      </c>
      <c r="L1550" s="1" t="str">
        <f t="shared" si="130"/>
        <v>1549,9/24/2004,0,1,23,2,0</v>
      </c>
    </row>
    <row r="1551" spans="1:12" x14ac:dyDescent="0.2">
      <c r="A1551" s="1" t="str">
        <f t="shared" si="122"/>
        <v>3825424</v>
      </c>
      <c r="B1551" s="1" t="str">
        <f t="shared" si="123"/>
        <v>382544</v>
      </c>
      <c r="C1551" s="1">
        <v>1550</v>
      </c>
      <c r="D1551" s="4">
        <v>38254</v>
      </c>
      <c r="E1551" s="1">
        <v>0</v>
      </c>
      <c r="F1551" s="1">
        <v>4</v>
      </c>
      <c r="G1551" s="1">
        <v>24</v>
      </c>
      <c r="H1551" s="1">
        <v>2</v>
      </c>
      <c r="I1551" s="1">
        <v>0</v>
      </c>
      <c r="J1551" s="2" t="str">
        <f t="shared" si="128"/>
        <v>NNN</v>
      </c>
      <c r="K1551" s="2" t="str">
        <f t="shared" si="129"/>
        <v>@PHI</v>
      </c>
      <c r="L1551" s="1" t="str">
        <f t="shared" si="130"/>
        <v>1550,9/24/2004,0,4,24,2,0</v>
      </c>
    </row>
    <row r="1552" spans="1:12" x14ac:dyDescent="0.2">
      <c r="A1552" s="1" t="str">
        <f t="shared" si="122"/>
        <v>382552</v>
      </c>
      <c r="B1552" s="1" t="str">
        <f t="shared" si="123"/>
        <v>3825517</v>
      </c>
      <c r="C1552" s="1">
        <v>1551</v>
      </c>
      <c r="D1552" s="4">
        <v>38255</v>
      </c>
      <c r="E1552" s="1">
        <v>0</v>
      </c>
      <c r="F1552" s="1">
        <v>17</v>
      </c>
      <c r="G1552" s="1">
        <v>2</v>
      </c>
      <c r="H1552" s="1">
        <v>2</v>
      </c>
      <c r="I1552" s="1">
        <v>0</v>
      </c>
      <c r="J1552" s="2" t="str">
        <f t="shared" si="128"/>
        <v>GAR</v>
      </c>
      <c r="K1552" s="2" t="str">
        <f t="shared" si="129"/>
        <v>@NEP</v>
      </c>
      <c r="L1552" s="1" t="str">
        <f t="shared" si="130"/>
        <v>1551,9/25/2004,0,17,2,2,0</v>
      </c>
    </row>
    <row r="1553" spans="1:12" x14ac:dyDescent="0.2">
      <c r="A1553" s="1" t="str">
        <f t="shared" si="122"/>
        <v>382553</v>
      </c>
      <c r="B1553" s="1" t="str">
        <f t="shared" si="123"/>
        <v>382557</v>
      </c>
      <c r="C1553" s="1">
        <v>1552</v>
      </c>
      <c r="D1553" s="4">
        <v>38255</v>
      </c>
      <c r="E1553" s="1">
        <v>0</v>
      </c>
      <c r="F1553" s="1">
        <v>7</v>
      </c>
      <c r="G1553" s="1">
        <v>3</v>
      </c>
      <c r="H1553" s="1">
        <v>2</v>
      </c>
      <c r="I1553" s="1">
        <v>0</v>
      </c>
      <c r="J1553" s="2" t="str">
        <f t="shared" si="128"/>
        <v>BAR</v>
      </c>
      <c r="K1553" s="2" t="str">
        <f t="shared" si="129"/>
        <v>@TEW</v>
      </c>
      <c r="L1553" s="1" t="str">
        <f t="shared" si="130"/>
        <v>1552,9/25/2004,0,7,3,2,0</v>
      </c>
    </row>
    <row r="1554" spans="1:12" x14ac:dyDescent="0.2">
      <c r="A1554" s="1" t="str">
        <f t="shared" si="122"/>
        <v>3825510</v>
      </c>
      <c r="B1554" s="1" t="str">
        <f t="shared" si="123"/>
        <v>382559</v>
      </c>
      <c r="C1554" s="1">
        <v>1553</v>
      </c>
      <c r="D1554" s="4">
        <v>38255</v>
      </c>
      <c r="E1554" s="1">
        <v>0</v>
      </c>
      <c r="F1554" s="1">
        <v>9</v>
      </c>
      <c r="G1554" s="1">
        <v>10</v>
      </c>
      <c r="H1554" s="1">
        <v>2</v>
      </c>
      <c r="I1554" s="1">
        <v>0</v>
      </c>
      <c r="J1554" s="2" t="str">
        <f t="shared" si="128"/>
        <v>CIN</v>
      </c>
      <c r="K1554" s="2" t="str">
        <f t="shared" si="129"/>
        <v>@REN</v>
      </c>
      <c r="L1554" s="1" t="str">
        <f t="shared" si="130"/>
        <v>1553,9/25/2004,0,9,10,2,0</v>
      </c>
    </row>
    <row r="1555" spans="1:12" x14ac:dyDescent="0.2">
      <c r="A1555" s="1" t="str">
        <f t="shared" si="122"/>
        <v>3825511</v>
      </c>
      <c r="B1555" s="1" t="str">
        <f t="shared" si="123"/>
        <v>382555</v>
      </c>
      <c r="C1555" s="1">
        <v>1554</v>
      </c>
      <c r="D1555" s="4">
        <v>38255</v>
      </c>
      <c r="E1555" s="1">
        <v>0</v>
      </c>
      <c r="F1555" s="1">
        <v>5</v>
      </c>
      <c r="G1555" s="1">
        <v>11</v>
      </c>
      <c r="H1555" s="1">
        <v>2</v>
      </c>
      <c r="I1555" s="1">
        <v>0</v>
      </c>
      <c r="J1555" s="2" t="str">
        <f t="shared" si="128"/>
        <v>OKO</v>
      </c>
      <c r="K1555" s="2" t="str">
        <f t="shared" si="129"/>
        <v>@HAR</v>
      </c>
      <c r="L1555" s="1" t="str">
        <f t="shared" si="130"/>
        <v>1554,9/25/2004,0,5,11,2,0</v>
      </c>
    </row>
    <row r="1556" spans="1:12" x14ac:dyDescent="0.2">
      <c r="A1556" s="1" t="str">
        <f t="shared" si="122"/>
        <v>3825514</v>
      </c>
      <c r="B1556" s="1" t="str">
        <f t="shared" si="123"/>
        <v>382558</v>
      </c>
      <c r="C1556" s="1">
        <v>1555</v>
      </c>
      <c r="D1556" s="4">
        <v>38255</v>
      </c>
      <c r="E1556" s="1">
        <v>0</v>
      </c>
      <c r="F1556" s="1">
        <v>8</v>
      </c>
      <c r="G1556" s="1">
        <v>14</v>
      </c>
      <c r="H1556" s="1">
        <v>2</v>
      </c>
      <c r="I1556" s="1">
        <v>0</v>
      </c>
      <c r="J1556" s="2" t="str">
        <f t="shared" si="128"/>
        <v>CTW</v>
      </c>
      <c r="K1556" s="2" t="str">
        <f t="shared" si="129"/>
        <v>@CEN</v>
      </c>
      <c r="L1556" s="1" t="str">
        <f t="shared" si="130"/>
        <v>1555,9/25/2004,0,8,14,2,0</v>
      </c>
    </row>
    <row r="1557" spans="1:12" x14ac:dyDescent="0.2">
      <c r="A1557" s="1" t="str">
        <f t="shared" si="122"/>
        <v>3825520</v>
      </c>
      <c r="B1557" s="1" t="str">
        <f t="shared" si="123"/>
        <v>3825513</v>
      </c>
      <c r="C1557" s="1">
        <v>1556</v>
      </c>
      <c r="D1557" s="4">
        <v>38255</v>
      </c>
      <c r="E1557" s="1">
        <v>0</v>
      </c>
      <c r="F1557" s="1">
        <v>13</v>
      </c>
      <c r="G1557" s="1">
        <v>20</v>
      </c>
      <c r="H1557" s="1">
        <v>2</v>
      </c>
      <c r="I1557" s="1">
        <v>0</v>
      </c>
      <c r="J1557" s="2" t="str">
        <f t="shared" si="128"/>
        <v>BBG</v>
      </c>
      <c r="K1557" s="2" t="str">
        <f t="shared" si="129"/>
        <v>@FDH</v>
      </c>
      <c r="L1557" s="1" t="str">
        <f t="shared" si="130"/>
        <v>1556,9/25/2004,0,13,20,2,0</v>
      </c>
    </row>
    <row r="1558" spans="1:12" x14ac:dyDescent="0.2">
      <c r="A1558" s="1" t="str">
        <f t="shared" si="122"/>
        <v>3825521</v>
      </c>
      <c r="B1558" s="1" t="str">
        <f t="shared" si="123"/>
        <v>3825516</v>
      </c>
      <c r="C1558" s="1">
        <v>1557</v>
      </c>
      <c r="D1558" s="4">
        <v>38255</v>
      </c>
      <c r="E1558" s="1">
        <v>0</v>
      </c>
      <c r="F1558" s="1">
        <v>16</v>
      </c>
      <c r="G1558" s="1">
        <v>21</v>
      </c>
      <c r="H1558" s="1">
        <v>2</v>
      </c>
      <c r="I1558" s="1">
        <v>0</v>
      </c>
      <c r="J1558" s="2" t="str">
        <f t="shared" si="128"/>
        <v>DIG</v>
      </c>
      <c r="K1558" s="2" t="str">
        <f t="shared" si="129"/>
        <v>@NYD</v>
      </c>
      <c r="L1558" s="1" t="str">
        <f t="shared" si="130"/>
        <v>1557,9/25/2004,0,16,21,2,0</v>
      </c>
    </row>
    <row r="1559" spans="1:12" x14ac:dyDescent="0.2">
      <c r="A1559" s="1" t="str">
        <f t="shared" si="122"/>
        <v>3825522</v>
      </c>
      <c r="B1559" s="1" t="str">
        <f t="shared" si="123"/>
        <v>3825512</v>
      </c>
      <c r="C1559" s="1">
        <v>1558</v>
      </c>
      <c r="D1559" s="4">
        <v>38255</v>
      </c>
      <c r="E1559" s="1">
        <v>0</v>
      </c>
      <c r="F1559" s="1">
        <v>12</v>
      </c>
      <c r="G1559" s="1">
        <v>22</v>
      </c>
      <c r="H1559" s="1">
        <v>2</v>
      </c>
      <c r="I1559" s="1">
        <v>0</v>
      </c>
      <c r="J1559" s="2" t="str">
        <f t="shared" si="128"/>
        <v>RMO</v>
      </c>
      <c r="K1559" s="2" t="str">
        <f t="shared" si="129"/>
        <v>@CBB</v>
      </c>
      <c r="L1559" s="1" t="str">
        <f t="shared" si="130"/>
        <v>1558,9/25/2004,0,12,22,2,0</v>
      </c>
    </row>
    <row r="1560" spans="1:12" x14ac:dyDescent="0.2">
      <c r="A1560" s="1" t="str">
        <f t="shared" si="122"/>
        <v>3825523</v>
      </c>
      <c r="B1560" s="1" t="str">
        <f t="shared" si="123"/>
        <v>382551</v>
      </c>
      <c r="C1560" s="1">
        <v>1559</v>
      </c>
      <c r="D1560" s="4">
        <v>38255</v>
      </c>
      <c r="E1560" s="1">
        <v>0</v>
      </c>
      <c r="F1560" s="1">
        <v>1</v>
      </c>
      <c r="G1560" s="1">
        <v>23</v>
      </c>
      <c r="H1560" s="1">
        <v>2</v>
      </c>
      <c r="I1560" s="1">
        <v>0</v>
      </c>
      <c r="J1560" s="2" t="str">
        <f t="shared" si="128"/>
        <v>FFR</v>
      </c>
      <c r="K1560" s="2" t="str">
        <f t="shared" si="129"/>
        <v>@BRK</v>
      </c>
      <c r="L1560" s="1" t="str">
        <f t="shared" si="130"/>
        <v>1559,9/25/2004,0,1,23,2,0</v>
      </c>
    </row>
    <row r="1561" spans="1:12" x14ac:dyDescent="0.2">
      <c r="A1561" s="1" t="str">
        <f t="shared" si="122"/>
        <v>3825524</v>
      </c>
      <c r="B1561" s="1" t="str">
        <f t="shared" si="123"/>
        <v>382554</v>
      </c>
      <c r="C1561" s="1">
        <v>1560</v>
      </c>
      <c r="D1561" s="4">
        <v>38255</v>
      </c>
      <c r="E1561" s="1">
        <v>0</v>
      </c>
      <c r="F1561" s="1">
        <v>4</v>
      </c>
      <c r="G1561" s="1">
        <v>24</v>
      </c>
      <c r="H1561" s="1">
        <v>2</v>
      </c>
      <c r="I1561" s="1">
        <v>0</v>
      </c>
      <c r="J1561" s="2" t="str">
        <f t="shared" si="128"/>
        <v>NNN</v>
      </c>
      <c r="K1561" s="2" t="str">
        <f t="shared" si="129"/>
        <v>@PHI</v>
      </c>
      <c r="L1561" s="1" t="str">
        <f t="shared" si="130"/>
        <v>1560,9/25/2004,0,4,24,2,0</v>
      </c>
    </row>
    <row r="1562" spans="1:12" x14ac:dyDescent="0.2">
      <c r="A1562" s="1" t="str">
        <f t="shared" si="122"/>
        <v>382562</v>
      </c>
      <c r="B1562" s="1" t="str">
        <f t="shared" si="123"/>
        <v>3825617</v>
      </c>
      <c r="C1562" s="1">
        <v>1561</v>
      </c>
      <c r="D1562" s="4">
        <v>38256</v>
      </c>
      <c r="E1562" s="1">
        <v>0</v>
      </c>
      <c r="F1562" s="1">
        <v>17</v>
      </c>
      <c r="G1562" s="1">
        <v>2</v>
      </c>
      <c r="H1562" s="1">
        <v>2</v>
      </c>
      <c r="I1562" s="1">
        <v>0</v>
      </c>
      <c r="J1562" s="2" t="str">
        <f t="shared" si="128"/>
        <v>GAR</v>
      </c>
      <c r="K1562" s="2" t="str">
        <f t="shared" si="129"/>
        <v>@NEP</v>
      </c>
      <c r="L1562" s="1" t="str">
        <f t="shared" si="130"/>
        <v>1561,9/26/2004,0,17,2,2,0</v>
      </c>
    </row>
    <row r="1563" spans="1:12" x14ac:dyDescent="0.2">
      <c r="A1563" s="1" t="str">
        <f t="shared" si="122"/>
        <v>382563</v>
      </c>
      <c r="B1563" s="1" t="str">
        <f t="shared" si="123"/>
        <v>382567</v>
      </c>
      <c r="C1563" s="1">
        <v>1562</v>
      </c>
      <c r="D1563" s="4">
        <v>38256</v>
      </c>
      <c r="E1563" s="1">
        <v>0</v>
      </c>
      <c r="F1563" s="1">
        <v>7</v>
      </c>
      <c r="G1563" s="1">
        <v>3</v>
      </c>
      <c r="H1563" s="1">
        <v>2</v>
      </c>
      <c r="I1563" s="1">
        <v>0</v>
      </c>
      <c r="J1563" s="2" t="str">
        <f t="shared" si="128"/>
        <v>BAR</v>
      </c>
      <c r="K1563" s="2" t="str">
        <f t="shared" si="129"/>
        <v>@TEW</v>
      </c>
      <c r="L1563" s="1" t="str">
        <f t="shared" si="130"/>
        <v>1562,9/26/2004,0,7,3,2,0</v>
      </c>
    </row>
    <row r="1564" spans="1:12" x14ac:dyDescent="0.2">
      <c r="A1564" s="1" t="str">
        <f t="shared" si="122"/>
        <v>3825610</v>
      </c>
      <c r="B1564" s="1" t="str">
        <f t="shared" si="123"/>
        <v>382569</v>
      </c>
      <c r="C1564" s="1">
        <v>1563</v>
      </c>
      <c r="D1564" s="4">
        <v>38256</v>
      </c>
      <c r="E1564" s="1">
        <v>0</v>
      </c>
      <c r="F1564" s="1">
        <v>9</v>
      </c>
      <c r="G1564" s="1">
        <v>10</v>
      </c>
      <c r="H1564" s="1">
        <v>2</v>
      </c>
      <c r="I1564" s="1">
        <v>0</v>
      </c>
      <c r="J1564" s="2" t="str">
        <f t="shared" si="128"/>
        <v>CIN</v>
      </c>
      <c r="K1564" s="2" t="str">
        <f t="shared" si="129"/>
        <v>@REN</v>
      </c>
      <c r="L1564" s="1" t="str">
        <f t="shared" si="130"/>
        <v>1563,9/26/2004,0,9,10,2,0</v>
      </c>
    </row>
    <row r="1565" spans="1:12" x14ac:dyDescent="0.2">
      <c r="A1565" s="1" t="str">
        <f t="shared" si="122"/>
        <v>3825611</v>
      </c>
      <c r="B1565" s="1" t="str">
        <f t="shared" si="123"/>
        <v>382565</v>
      </c>
      <c r="C1565" s="1">
        <v>1564</v>
      </c>
      <c r="D1565" s="4">
        <v>38256</v>
      </c>
      <c r="E1565" s="1">
        <v>0</v>
      </c>
      <c r="F1565" s="1">
        <v>5</v>
      </c>
      <c r="G1565" s="1">
        <v>11</v>
      </c>
      <c r="H1565" s="1">
        <v>2</v>
      </c>
      <c r="I1565" s="1">
        <v>0</v>
      </c>
      <c r="J1565" s="2" t="str">
        <f t="shared" si="128"/>
        <v>OKO</v>
      </c>
      <c r="K1565" s="2" t="str">
        <f t="shared" si="129"/>
        <v>@HAR</v>
      </c>
      <c r="L1565" s="1" t="str">
        <f t="shared" si="130"/>
        <v>1564,9/26/2004,0,5,11,2,0</v>
      </c>
    </row>
    <row r="1566" spans="1:12" x14ac:dyDescent="0.2">
      <c r="A1566" s="1" t="str">
        <f t="shared" si="122"/>
        <v>3825614</v>
      </c>
      <c r="B1566" s="1" t="str">
        <f t="shared" si="123"/>
        <v>382568</v>
      </c>
      <c r="C1566" s="1">
        <v>1565</v>
      </c>
      <c r="D1566" s="4">
        <v>38256</v>
      </c>
      <c r="E1566" s="1">
        <v>0</v>
      </c>
      <c r="F1566" s="1">
        <v>8</v>
      </c>
      <c r="G1566" s="1">
        <v>14</v>
      </c>
      <c r="H1566" s="1">
        <v>2</v>
      </c>
      <c r="I1566" s="1">
        <v>0</v>
      </c>
      <c r="J1566" s="2" t="str">
        <f t="shared" si="128"/>
        <v>CTW</v>
      </c>
      <c r="K1566" s="2" t="str">
        <f t="shared" si="129"/>
        <v>@CEN</v>
      </c>
      <c r="L1566" s="1" t="str">
        <f t="shared" si="130"/>
        <v>1565,9/26/2004,0,8,14,2,0</v>
      </c>
    </row>
    <row r="1567" spans="1:12" x14ac:dyDescent="0.2">
      <c r="A1567" s="1" t="str">
        <f t="shared" si="122"/>
        <v>3825620</v>
      </c>
      <c r="B1567" s="1" t="str">
        <f t="shared" si="123"/>
        <v>3825613</v>
      </c>
      <c r="C1567" s="1">
        <v>1566</v>
      </c>
      <c r="D1567" s="4">
        <v>38256</v>
      </c>
      <c r="E1567" s="1">
        <v>0</v>
      </c>
      <c r="F1567" s="1">
        <v>13</v>
      </c>
      <c r="G1567" s="1">
        <v>20</v>
      </c>
      <c r="H1567" s="1">
        <v>2</v>
      </c>
      <c r="I1567" s="1">
        <v>0</v>
      </c>
      <c r="J1567" s="2" t="str">
        <f t="shared" si="128"/>
        <v>BBG</v>
      </c>
      <c r="K1567" s="2" t="str">
        <f t="shared" si="129"/>
        <v>@FDH</v>
      </c>
      <c r="L1567" s="1" t="str">
        <f t="shared" si="130"/>
        <v>1566,9/26/2004,0,13,20,2,0</v>
      </c>
    </row>
    <row r="1568" spans="1:12" x14ac:dyDescent="0.2">
      <c r="A1568" s="1" t="str">
        <f t="shared" si="122"/>
        <v>3825621</v>
      </c>
      <c r="B1568" s="1" t="str">
        <f t="shared" si="123"/>
        <v>3825616</v>
      </c>
      <c r="C1568" s="1">
        <v>1567</v>
      </c>
      <c r="D1568" s="4">
        <v>38256</v>
      </c>
      <c r="E1568" s="1">
        <v>0</v>
      </c>
      <c r="F1568" s="1">
        <v>16</v>
      </c>
      <c r="G1568" s="1">
        <v>21</v>
      </c>
      <c r="H1568" s="1">
        <v>2</v>
      </c>
      <c r="I1568" s="1">
        <v>0</v>
      </c>
      <c r="J1568" s="2" t="str">
        <f t="shared" si="128"/>
        <v>DIG</v>
      </c>
      <c r="K1568" s="2" t="str">
        <f t="shared" si="129"/>
        <v>@NYD</v>
      </c>
      <c r="L1568" s="1" t="str">
        <f t="shared" si="130"/>
        <v>1567,9/26/2004,0,16,21,2,0</v>
      </c>
    </row>
    <row r="1569" spans="1:12" x14ac:dyDescent="0.2">
      <c r="A1569" s="1" t="str">
        <f t="shared" ref="A1569:A1601" si="131">D1569&amp;G1569</f>
        <v>3825622</v>
      </c>
      <c r="B1569" s="1" t="str">
        <f t="shared" ref="B1569:B1601" si="132">D1569&amp;F1569</f>
        <v>3825612</v>
      </c>
      <c r="C1569" s="1">
        <v>1568</v>
      </c>
      <c r="D1569" s="4">
        <v>38256</v>
      </c>
      <c r="E1569" s="1">
        <v>0</v>
      </c>
      <c r="F1569" s="1">
        <v>12</v>
      </c>
      <c r="G1569" s="1">
        <v>22</v>
      </c>
      <c r="H1569" s="1">
        <v>2</v>
      </c>
      <c r="I1569" s="1">
        <v>0</v>
      </c>
      <c r="J1569" s="2" t="str">
        <f t="shared" si="128"/>
        <v>RMO</v>
      </c>
      <c r="K1569" s="2" t="str">
        <f t="shared" si="129"/>
        <v>@CBB</v>
      </c>
      <c r="L1569" s="1" t="str">
        <f t="shared" si="130"/>
        <v>1568,9/26/2004,0,12,22,2,0</v>
      </c>
    </row>
    <row r="1570" spans="1:12" x14ac:dyDescent="0.2">
      <c r="A1570" s="1" t="str">
        <f t="shared" si="131"/>
        <v>3825623</v>
      </c>
      <c r="B1570" s="1" t="str">
        <f t="shared" si="132"/>
        <v>382561</v>
      </c>
      <c r="C1570" s="1">
        <v>1569</v>
      </c>
      <c r="D1570" s="4">
        <v>38256</v>
      </c>
      <c r="E1570" s="1">
        <v>0</v>
      </c>
      <c r="F1570" s="1">
        <v>1</v>
      </c>
      <c r="G1570" s="1">
        <v>23</v>
      </c>
      <c r="H1570" s="1">
        <v>2</v>
      </c>
      <c r="I1570" s="1">
        <v>0</v>
      </c>
      <c r="J1570" s="2" t="str">
        <f t="shared" si="128"/>
        <v>FFR</v>
      </c>
      <c r="K1570" s="2" t="str">
        <f t="shared" si="129"/>
        <v>@BRK</v>
      </c>
      <c r="L1570" s="1" t="str">
        <f t="shared" si="130"/>
        <v>1569,9/26/2004,0,1,23,2,0</v>
      </c>
    </row>
    <row r="1571" spans="1:12" x14ac:dyDescent="0.2">
      <c r="A1571" s="1" t="str">
        <f t="shared" si="131"/>
        <v>3825624</v>
      </c>
      <c r="B1571" s="1" t="str">
        <f t="shared" si="132"/>
        <v>382564</v>
      </c>
      <c r="C1571" s="1">
        <v>1570</v>
      </c>
      <c r="D1571" s="4">
        <v>38256</v>
      </c>
      <c r="E1571" s="1">
        <v>0</v>
      </c>
      <c r="F1571" s="1">
        <v>4</v>
      </c>
      <c r="G1571" s="1">
        <v>24</v>
      </c>
      <c r="H1571" s="1">
        <v>2</v>
      </c>
      <c r="I1571" s="1">
        <v>0</v>
      </c>
      <c r="J1571" s="2" t="str">
        <f t="shared" si="128"/>
        <v>NNN</v>
      </c>
      <c r="K1571" s="2" t="str">
        <f t="shared" si="129"/>
        <v>@PHI</v>
      </c>
      <c r="L1571" s="1" t="str">
        <f t="shared" si="130"/>
        <v>1570,9/26/2004,0,4,24,2,0</v>
      </c>
    </row>
    <row r="1572" spans="1:12" x14ac:dyDescent="0.2">
      <c r="A1572" s="1" t="str">
        <f t="shared" si="131"/>
        <v>382572</v>
      </c>
      <c r="B1572" s="1" t="str">
        <f t="shared" si="132"/>
        <v>3825717</v>
      </c>
      <c r="C1572" s="1">
        <v>1571</v>
      </c>
      <c r="D1572" s="4">
        <v>38257</v>
      </c>
      <c r="E1572" s="1">
        <v>0</v>
      </c>
      <c r="F1572" s="1">
        <v>17</v>
      </c>
      <c r="G1572" s="1">
        <v>2</v>
      </c>
      <c r="H1572" s="1">
        <v>2</v>
      </c>
      <c r="I1572" s="1">
        <v>0</v>
      </c>
      <c r="J1572" s="2" t="str">
        <f t="shared" si="128"/>
        <v>GAR</v>
      </c>
      <c r="K1572" s="2" t="str">
        <f t="shared" si="129"/>
        <v>@NEP</v>
      </c>
      <c r="L1572" s="1" t="str">
        <f t="shared" si="130"/>
        <v>1571,9/27/2004,0,17,2,2,0</v>
      </c>
    </row>
    <row r="1573" spans="1:12" x14ac:dyDescent="0.2">
      <c r="A1573" s="1" t="str">
        <f t="shared" si="131"/>
        <v>382573</v>
      </c>
      <c r="B1573" s="1" t="str">
        <f t="shared" si="132"/>
        <v>382577</v>
      </c>
      <c r="C1573" s="1">
        <v>1572</v>
      </c>
      <c r="D1573" s="4">
        <v>38257</v>
      </c>
      <c r="E1573" s="1">
        <v>0</v>
      </c>
      <c r="F1573" s="1">
        <v>7</v>
      </c>
      <c r="G1573" s="1">
        <v>3</v>
      </c>
      <c r="H1573" s="1">
        <v>2</v>
      </c>
      <c r="I1573" s="1">
        <v>0</v>
      </c>
      <c r="J1573" s="2" t="str">
        <f t="shared" si="128"/>
        <v>BAR</v>
      </c>
      <c r="K1573" s="2" t="str">
        <f t="shared" si="129"/>
        <v>@TEW</v>
      </c>
      <c r="L1573" s="1" t="str">
        <f t="shared" si="130"/>
        <v>1572,9/27/2004,0,7,3,2,0</v>
      </c>
    </row>
    <row r="1574" spans="1:12" x14ac:dyDescent="0.2">
      <c r="A1574" s="1" t="str">
        <f t="shared" si="131"/>
        <v>3825710</v>
      </c>
      <c r="B1574" s="1" t="str">
        <f t="shared" si="132"/>
        <v>382579</v>
      </c>
      <c r="C1574" s="1">
        <v>1573</v>
      </c>
      <c r="D1574" s="4">
        <v>38257</v>
      </c>
      <c r="E1574" s="1">
        <v>0</v>
      </c>
      <c r="F1574" s="1">
        <v>9</v>
      </c>
      <c r="G1574" s="1">
        <v>10</v>
      </c>
      <c r="H1574" s="1">
        <v>2</v>
      </c>
      <c r="I1574" s="1">
        <v>0</v>
      </c>
      <c r="J1574" s="2" t="str">
        <f t="shared" si="128"/>
        <v>CIN</v>
      </c>
      <c r="K1574" s="2" t="str">
        <f t="shared" si="129"/>
        <v>@REN</v>
      </c>
      <c r="L1574" s="1" t="str">
        <f t="shared" si="130"/>
        <v>1573,9/27/2004,0,9,10,2,0</v>
      </c>
    </row>
    <row r="1575" spans="1:12" x14ac:dyDescent="0.2">
      <c r="A1575" s="1" t="str">
        <f t="shared" si="131"/>
        <v>3825711</v>
      </c>
      <c r="B1575" s="1" t="str">
        <f t="shared" si="132"/>
        <v>382575</v>
      </c>
      <c r="C1575" s="1">
        <v>1574</v>
      </c>
      <c r="D1575" s="4">
        <v>38257</v>
      </c>
      <c r="E1575" s="1">
        <v>0</v>
      </c>
      <c r="F1575" s="1">
        <v>5</v>
      </c>
      <c r="G1575" s="1">
        <v>11</v>
      </c>
      <c r="H1575" s="1">
        <v>2</v>
      </c>
      <c r="I1575" s="1">
        <v>0</v>
      </c>
      <c r="J1575" s="2" t="str">
        <f t="shared" si="128"/>
        <v>OKO</v>
      </c>
      <c r="K1575" s="2" t="str">
        <f t="shared" si="129"/>
        <v>@HAR</v>
      </c>
      <c r="L1575" s="1" t="str">
        <f t="shared" si="130"/>
        <v>1574,9/27/2004,0,5,11,2,0</v>
      </c>
    </row>
    <row r="1576" spans="1:12" x14ac:dyDescent="0.2">
      <c r="A1576" s="1" t="str">
        <f t="shared" si="131"/>
        <v>3825714</v>
      </c>
      <c r="B1576" s="1" t="str">
        <f t="shared" si="132"/>
        <v>382578</v>
      </c>
      <c r="C1576" s="1">
        <v>1575</v>
      </c>
      <c r="D1576" s="4">
        <v>38257</v>
      </c>
      <c r="E1576" s="1">
        <v>0</v>
      </c>
      <c r="F1576" s="1">
        <v>8</v>
      </c>
      <c r="G1576" s="1">
        <v>14</v>
      </c>
      <c r="H1576" s="1">
        <v>2</v>
      </c>
      <c r="I1576" s="1">
        <v>0</v>
      </c>
      <c r="J1576" s="2" t="str">
        <f t="shared" ref="J1576:J1607" si="133">VLOOKUP(F1576,$M$2:$N$21,2,0)</f>
        <v>CTW</v>
      </c>
      <c r="K1576" s="2" t="str">
        <f t="shared" ref="K1576:K1607" si="134">"@"&amp;VLOOKUP(G1576,$M$2:$N$21,2,0)</f>
        <v>@CEN</v>
      </c>
      <c r="L1576" s="1" t="str">
        <f t="shared" ref="L1576:L1607" si="135">C1576&amp;","&amp;MONTH(D1576)&amp;"/"&amp;DAY(D1576)&amp;"/"&amp;YEAR(D1576)&amp;","&amp;E1576&amp;","&amp;F1576&amp;","&amp;G1576&amp;","&amp;H1576&amp;","&amp;I1576</f>
        <v>1575,9/27/2004,0,8,14,2,0</v>
      </c>
    </row>
    <row r="1577" spans="1:12" x14ac:dyDescent="0.2">
      <c r="A1577" s="1" t="str">
        <f t="shared" si="131"/>
        <v>3825720</v>
      </c>
      <c r="B1577" s="1" t="str">
        <f t="shared" si="132"/>
        <v>3825713</v>
      </c>
      <c r="C1577" s="1">
        <v>1576</v>
      </c>
      <c r="D1577" s="4">
        <v>38257</v>
      </c>
      <c r="E1577" s="1">
        <v>0</v>
      </c>
      <c r="F1577" s="1">
        <v>13</v>
      </c>
      <c r="G1577" s="1">
        <v>20</v>
      </c>
      <c r="H1577" s="1">
        <v>2</v>
      </c>
      <c r="I1577" s="1">
        <v>0</v>
      </c>
      <c r="J1577" s="2" t="str">
        <f t="shared" si="133"/>
        <v>BBG</v>
      </c>
      <c r="K1577" s="2" t="str">
        <f t="shared" si="134"/>
        <v>@FDH</v>
      </c>
      <c r="L1577" s="1" t="str">
        <f t="shared" si="135"/>
        <v>1576,9/27/2004,0,13,20,2,0</v>
      </c>
    </row>
    <row r="1578" spans="1:12" x14ac:dyDescent="0.2">
      <c r="A1578" s="1" t="str">
        <f t="shared" si="131"/>
        <v>3825721</v>
      </c>
      <c r="B1578" s="1" t="str">
        <f t="shared" si="132"/>
        <v>3825716</v>
      </c>
      <c r="C1578" s="1">
        <v>1577</v>
      </c>
      <c r="D1578" s="4">
        <v>38257</v>
      </c>
      <c r="E1578" s="1">
        <v>0</v>
      </c>
      <c r="F1578" s="1">
        <v>16</v>
      </c>
      <c r="G1578" s="1">
        <v>21</v>
      </c>
      <c r="H1578" s="1">
        <v>2</v>
      </c>
      <c r="I1578" s="1">
        <v>0</v>
      </c>
      <c r="J1578" s="2" t="str">
        <f t="shared" si="133"/>
        <v>DIG</v>
      </c>
      <c r="K1578" s="2" t="str">
        <f t="shared" si="134"/>
        <v>@NYD</v>
      </c>
      <c r="L1578" s="1" t="str">
        <f t="shared" si="135"/>
        <v>1577,9/27/2004,0,16,21,2,0</v>
      </c>
    </row>
    <row r="1579" spans="1:12" x14ac:dyDescent="0.2">
      <c r="A1579" s="1" t="str">
        <f t="shared" si="131"/>
        <v>3825722</v>
      </c>
      <c r="B1579" s="1" t="str">
        <f t="shared" si="132"/>
        <v>3825712</v>
      </c>
      <c r="C1579" s="1">
        <v>1578</v>
      </c>
      <c r="D1579" s="4">
        <v>38257</v>
      </c>
      <c r="E1579" s="1">
        <v>0</v>
      </c>
      <c r="F1579" s="1">
        <v>12</v>
      </c>
      <c r="G1579" s="1">
        <v>22</v>
      </c>
      <c r="H1579" s="1">
        <v>2</v>
      </c>
      <c r="I1579" s="1">
        <v>0</v>
      </c>
      <c r="J1579" s="2" t="str">
        <f t="shared" si="133"/>
        <v>RMO</v>
      </c>
      <c r="K1579" s="2" t="str">
        <f t="shared" si="134"/>
        <v>@CBB</v>
      </c>
      <c r="L1579" s="1" t="str">
        <f t="shared" si="135"/>
        <v>1578,9/27/2004,0,12,22,2,0</v>
      </c>
    </row>
    <row r="1580" spans="1:12" x14ac:dyDescent="0.2">
      <c r="A1580" s="1" t="str">
        <f t="shared" si="131"/>
        <v>3825723</v>
      </c>
      <c r="B1580" s="1" t="str">
        <f t="shared" si="132"/>
        <v>382571</v>
      </c>
      <c r="C1580" s="1">
        <v>1579</v>
      </c>
      <c r="D1580" s="4">
        <v>38257</v>
      </c>
      <c r="E1580" s="1">
        <v>0</v>
      </c>
      <c r="F1580" s="1">
        <v>1</v>
      </c>
      <c r="G1580" s="1">
        <v>23</v>
      </c>
      <c r="H1580" s="1">
        <v>2</v>
      </c>
      <c r="I1580" s="1">
        <v>0</v>
      </c>
      <c r="J1580" s="2" t="str">
        <f t="shared" si="133"/>
        <v>FFR</v>
      </c>
      <c r="K1580" s="2" t="str">
        <f t="shared" si="134"/>
        <v>@BRK</v>
      </c>
      <c r="L1580" s="1" t="str">
        <f t="shared" si="135"/>
        <v>1579,9/27/2004,0,1,23,2,0</v>
      </c>
    </row>
    <row r="1581" spans="1:12" x14ac:dyDescent="0.2">
      <c r="A1581" s="1" t="str">
        <f t="shared" si="131"/>
        <v>3825724</v>
      </c>
      <c r="B1581" s="1" t="str">
        <f t="shared" si="132"/>
        <v>382574</v>
      </c>
      <c r="C1581" s="1">
        <v>1580</v>
      </c>
      <c r="D1581" s="4">
        <v>38257</v>
      </c>
      <c r="E1581" s="1">
        <v>0</v>
      </c>
      <c r="F1581" s="1">
        <v>4</v>
      </c>
      <c r="G1581" s="1">
        <v>24</v>
      </c>
      <c r="H1581" s="1">
        <v>2</v>
      </c>
      <c r="I1581" s="1">
        <v>0</v>
      </c>
      <c r="J1581" s="2" t="str">
        <f t="shared" si="133"/>
        <v>NNN</v>
      </c>
      <c r="K1581" s="2" t="str">
        <f t="shared" si="134"/>
        <v>@PHI</v>
      </c>
      <c r="L1581" s="1" t="str">
        <f t="shared" si="135"/>
        <v>1580,9/27/2004,0,4,24,2,0</v>
      </c>
    </row>
    <row r="1582" spans="1:12" x14ac:dyDescent="0.2">
      <c r="A1582" s="1" t="str">
        <f t="shared" si="131"/>
        <v>382587</v>
      </c>
      <c r="B1582" s="1" t="str">
        <f t="shared" si="132"/>
        <v>382584</v>
      </c>
      <c r="C1582" s="1">
        <v>1581</v>
      </c>
      <c r="D1582" s="4">
        <v>38258</v>
      </c>
      <c r="E1582" s="1">
        <v>0</v>
      </c>
      <c r="F1582" s="1">
        <v>4</v>
      </c>
      <c r="G1582" s="1">
        <v>7</v>
      </c>
      <c r="H1582" s="1">
        <v>2</v>
      </c>
      <c r="I1582" s="1">
        <v>0</v>
      </c>
      <c r="J1582" s="2" t="str">
        <f t="shared" si="133"/>
        <v>NNN</v>
      </c>
      <c r="K1582" s="2" t="str">
        <f t="shared" si="134"/>
        <v>@BAR</v>
      </c>
      <c r="L1582" s="1" t="str">
        <f t="shared" si="135"/>
        <v>1581,9/28/2004,0,4,7,2,0</v>
      </c>
    </row>
    <row r="1583" spans="1:12" x14ac:dyDescent="0.2">
      <c r="A1583" s="1" t="str">
        <f t="shared" si="131"/>
        <v>382589</v>
      </c>
      <c r="B1583" s="1" t="str">
        <f t="shared" si="132"/>
        <v>382585</v>
      </c>
      <c r="C1583" s="1">
        <v>1582</v>
      </c>
      <c r="D1583" s="4">
        <v>38258</v>
      </c>
      <c r="E1583" s="1">
        <v>0</v>
      </c>
      <c r="F1583" s="1">
        <v>5</v>
      </c>
      <c r="G1583" s="1">
        <v>9</v>
      </c>
      <c r="H1583" s="1">
        <v>2</v>
      </c>
      <c r="I1583" s="1">
        <v>0</v>
      </c>
      <c r="J1583" s="2" t="str">
        <f t="shared" si="133"/>
        <v>OKO</v>
      </c>
      <c r="K1583" s="2" t="str">
        <f t="shared" si="134"/>
        <v>@CIN</v>
      </c>
      <c r="L1583" s="1" t="str">
        <f t="shared" si="135"/>
        <v>1582,9/28/2004,0,5,9,2,0</v>
      </c>
    </row>
    <row r="1584" spans="1:12" x14ac:dyDescent="0.2">
      <c r="A1584" s="1" t="str">
        <f t="shared" si="131"/>
        <v>3825810</v>
      </c>
      <c r="B1584" s="1" t="str">
        <f t="shared" si="132"/>
        <v>3825811</v>
      </c>
      <c r="C1584" s="1">
        <v>1583</v>
      </c>
      <c r="D1584" s="4">
        <v>38258</v>
      </c>
      <c r="E1584" s="1">
        <v>0</v>
      </c>
      <c r="F1584" s="1">
        <v>11</v>
      </c>
      <c r="G1584" s="1">
        <v>10</v>
      </c>
      <c r="H1584" s="1">
        <v>2</v>
      </c>
      <c r="I1584" s="1">
        <v>0</v>
      </c>
      <c r="J1584" s="2" t="str">
        <f t="shared" si="133"/>
        <v>HAR</v>
      </c>
      <c r="K1584" s="2" t="str">
        <f t="shared" si="134"/>
        <v>@REN</v>
      </c>
      <c r="L1584" s="1" t="str">
        <f t="shared" si="135"/>
        <v>1583,9/28/2004,0,11,10,2,0</v>
      </c>
    </row>
    <row r="1585" spans="1:12" x14ac:dyDescent="0.2">
      <c r="A1585" s="1" t="str">
        <f t="shared" si="131"/>
        <v>3825813</v>
      </c>
      <c r="B1585" s="1" t="str">
        <f t="shared" si="132"/>
        <v>3825812</v>
      </c>
      <c r="C1585" s="1">
        <v>1584</v>
      </c>
      <c r="D1585" s="4">
        <v>38258</v>
      </c>
      <c r="E1585" s="1">
        <v>0</v>
      </c>
      <c r="F1585" s="1">
        <v>12</v>
      </c>
      <c r="G1585" s="1">
        <v>13</v>
      </c>
      <c r="H1585" s="1">
        <v>2</v>
      </c>
      <c r="I1585" s="1">
        <v>0</v>
      </c>
      <c r="J1585" s="2" t="str">
        <f t="shared" si="133"/>
        <v>RMO</v>
      </c>
      <c r="K1585" s="2" t="str">
        <f t="shared" si="134"/>
        <v>@BBG</v>
      </c>
      <c r="L1585" s="1" t="str">
        <f t="shared" si="135"/>
        <v>1584,9/28/2004,0,12,13,2,0</v>
      </c>
    </row>
    <row r="1586" spans="1:12" x14ac:dyDescent="0.2">
      <c r="A1586" s="1" t="str">
        <f t="shared" si="131"/>
        <v>3825814</v>
      </c>
      <c r="B1586" s="1" t="str">
        <f t="shared" si="132"/>
        <v>3825821</v>
      </c>
      <c r="C1586" s="1">
        <v>1585</v>
      </c>
      <c r="D1586" s="4">
        <v>38258</v>
      </c>
      <c r="E1586" s="1">
        <v>0</v>
      </c>
      <c r="F1586" s="1">
        <v>21</v>
      </c>
      <c r="G1586" s="1">
        <v>14</v>
      </c>
      <c r="H1586" s="1">
        <v>2</v>
      </c>
      <c r="I1586" s="1">
        <v>0</v>
      </c>
      <c r="J1586" s="2" t="str">
        <f t="shared" si="133"/>
        <v>NYD</v>
      </c>
      <c r="K1586" s="2" t="str">
        <f t="shared" si="134"/>
        <v>@CEN</v>
      </c>
      <c r="L1586" s="1" t="str">
        <f t="shared" si="135"/>
        <v>1585,9/28/2004,0,21,14,2,0</v>
      </c>
    </row>
    <row r="1587" spans="1:12" x14ac:dyDescent="0.2">
      <c r="A1587" s="1" t="str">
        <f t="shared" si="131"/>
        <v>382582</v>
      </c>
      <c r="B1587" s="1" t="str">
        <f t="shared" si="132"/>
        <v>3825823</v>
      </c>
      <c r="C1587" s="1">
        <v>1586</v>
      </c>
      <c r="D1587" s="4">
        <v>38258</v>
      </c>
      <c r="E1587" s="1">
        <v>0</v>
      </c>
      <c r="F1587" s="1">
        <v>23</v>
      </c>
      <c r="G1587" s="1">
        <v>2</v>
      </c>
      <c r="H1587" s="1">
        <v>2</v>
      </c>
      <c r="I1587" s="1">
        <v>0</v>
      </c>
      <c r="J1587" s="2" t="str">
        <f t="shared" si="133"/>
        <v>BRK</v>
      </c>
      <c r="K1587" s="2" t="str">
        <f t="shared" si="134"/>
        <v>@NEP</v>
      </c>
      <c r="L1587" s="1" t="str">
        <f t="shared" si="135"/>
        <v>1586,9/28/2004,0,23,2,2,0</v>
      </c>
    </row>
    <row r="1588" spans="1:12" x14ac:dyDescent="0.2">
      <c r="A1588" s="1" t="str">
        <f t="shared" si="131"/>
        <v>382583</v>
      </c>
      <c r="B1588" s="1" t="str">
        <f t="shared" si="132"/>
        <v>3825824</v>
      </c>
      <c r="C1588" s="1">
        <v>1587</v>
      </c>
      <c r="D1588" s="4">
        <v>38258</v>
      </c>
      <c r="E1588" s="1">
        <v>0</v>
      </c>
      <c r="F1588" s="1">
        <v>24</v>
      </c>
      <c r="G1588" s="1">
        <v>3</v>
      </c>
      <c r="H1588" s="1">
        <v>2</v>
      </c>
      <c r="I1588" s="1">
        <v>0</v>
      </c>
      <c r="J1588" s="2" t="str">
        <f t="shared" si="133"/>
        <v>PHI</v>
      </c>
      <c r="K1588" s="2" t="str">
        <f t="shared" si="134"/>
        <v>@TEW</v>
      </c>
      <c r="L1588" s="1" t="str">
        <f t="shared" si="135"/>
        <v>1587,9/28/2004,0,24,3,2,0</v>
      </c>
    </row>
    <row r="1589" spans="1:12" x14ac:dyDescent="0.2">
      <c r="A1589" s="1" t="str">
        <f t="shared" si="131"/>
        <v>382588</v>
      </c>
      <c r="B1589" s="1" t="str">
        <f t="shared" si="132"/>
        <v>3825816</v>
      </c>
      <c r="C1589" s="1">
        <v>1588</v>
      </c>
      <c r="D1589" s="4">
        <v>38258</v>
      </c>
      <c r="E1589" s="1">
        <v>0</v>
      </c>
      <c r="F1589" s="1">
        <v>16</v>
      </c>
      <c r="G1589" s="1">
        <v>8</v>
      </c>
      <c r="H1589" s="1">
        <v>2</v>
      </c>
      <c r="I1589" s="1">
        <v>0</v>
      </c>
      <c r="J1589" s="2" t="str">
        <f t="shared" si="133"/>
        <v>DIG</v>
      </c>
      <c r="K1589" s="2" t="str">
        <f t="shared" si="134"/>
        <v>@CTW</v>
      </c>
      <c r="L1589" s="1" t="str">
        <f t="shared" si="135"/>
        <v>1588,9/28/2004,0,16,8,2,0</v>
      </c>
    </row>
    <row r="1590" spans="1:12" x14ac:dyDescent="0.2">
      <c r="A1590" s="1" t="str">
        <f t="shared" si="131"/>
        <v>3825817</v>
      </c>
      <c r="B1590" s="1" t="str">
        <f t="shared" si="132"/>
        <v>382581</v>
      </c>
      <c r="C1590" s="1">
        <v>1589</v>
      </c>
      <c r="D1590" s="4">
        <v>38258</v>
      </c>
      <c r="E1590" s="1">
        <v>0</v>
      </c>
      <c r="F1590" s="1">
        <v>1</v>
      </c>
      <c r="G1590" s="1">
        <v>17</v>
      </c>
      <c r="H1590" s="1">
        <v>2</v>
      </c>
      <c r="I1590" s="1">
        <v>0</v>
      </c>
      <c r="J1590" s="2" t="str">
        <f t="shared" si="133"/>
        <v>FFR</v>
      </c>
      <c r="K1590" s="2" t="str">
        <f t="shared" si="134"/>
        <v>@GAR</v>
      </c>
      <c r="L1590" s="1" t="str">
        <f t="shared" si="135"/>
        <v>1589,9/28/2004,0,1,17,2,0</v>
      </c>
    </row>
    <row r="1591" spans="1:12" x14ac:dyDescent="0.2">
      <c r="A1591" s="1" t="str">
        <f t="shared" si="131"/>
        <v>3825820</v>
      </c>
      <c r="B1591" s="1" t="str">
        <f t="shared" si="132"/>
        <v>3825822</v>
      </c>
      <c r="C1591" s="1">
        <v>1590</v>
      </c>
      <c r="D1591" s="4">
        <v>38258</v>
      </c>
      <c r="E1591" s="1">
        <v>0</v>
      </c>
      <c r="F1591" s="1">
        <v>22</v>
      </c>
      <c r="G1591" s="1">
        <v>20</v>
      </c>
      <c r="H1591" s="1">
        <v>2</v>
      </c>
      <c r="I1591" s="1">
        <v>0</v>
      </c>
      <c r="J1591" s="2" t="str">
        <f t="shared" si="133"/>
        <v>CBB</v>
      </c>
      <c r="K1591" s="2" t="str">
        <f t="shared" si="134"/>
        <v>@FDH</v>
      </c>
      <c r="L1591" s="1" t="str">
        <f t="shared" si="135"/>
        <v>1590,9/28/2004,0,22,20,2,0</v>
      </c>
    </row>
    <row r="1592" spans="1:12" x14ac:dyDescent="0.2">
      <c r="A1592" s="1" t="str">
        <f t="shared" si="131"/>
        <v>382592</v>
      </c>
      <c r="B1592" s="1" t="str">
        <f t="shared" si="132"/>
        <v>3825923</v>
      </c>
      <c r="C1592" s="1">
        <v>1591</v>
      </c>
      <c r="D1592" s="4">
        <v>38259</v>
      </c>
      <c r="E1592" s="1">
        <v>0</v>
      </c>
      <c r="F1592" s="1">
        <v>23</v>
      </c>
      <c r="G1592" s="1">
        <v>2</v>
      </c>
      <c r="H1592" s="1">
        <v>2</v>
      </c>
      <c r="I1592" s="1">
        <v>0</v>
      </c>
      <c r="J1592" s="2" t="str">
        <f t="shared" si="133"/>
        <v>BRK</v>
      </c>
      <c r="K1592" s="2" t="str">
        <f t="shared" si="134"/>
        <v>@NEP</v>
      </c>
      <c r="L1592" s="1" t="str">
        <f t="shared" si="135"/>
        <v>1591,9/29/2004,0,23,2,2,0</v>
      </c>
    </row>
    <row r="1593" spans="1:12" x14ac:dyDescent="0.2">
      <c r="A1593" s="1" t="str">
        <f t="shared" si="131"/>
        <v>382593</v>
      </c>
      <c r="B1593" s="1" t="str">
        <f t="shared" si="132"/>
        <v>3825924</v>
      </c>
      <c r="C1593" s="1">
        <v>1592</v>
      </c>
      <c r="D1593" s="4">
        <v>38259</v>
      </c>
      <c r="E1593" s="1">
        <v>0</v>
      </c>
      <c r="F1593" s="1">
        <v>24</v>
      </c>
      <c r="G1593" s="1">
        <v>3</v>
      </c>
      <c r="H1593" s="1">
        <v>2</v>
      </c>
      <c r="I1593" s="1">
        <v>0</v>
      </c>
      <c r="J1593" s="2" t="str">
        <f t="shared" si="133"/>
        <v>PHI</v>
      </c>
      <c r="K1593" s="2" t="str">
        <f t="shared" si="134"/>
        <v>@TEW</v>
      </c>
      <c r="L1593" s="1" t="str">
        <f t="shared" si="135"/>
        <v>1592,9/29/2004,0,24,3,2,0</v>
      </c>
    </row>
    <row r="1594" spans="1:12" x14ac:dyDescent="0.2">
      <c r="A1594" s="1" t="str">
        <f t="shared" si="131"/>
        <v>382597</v>
      </c>
      <c r="B1594" s="1" t="str">
        <f t="shared" si="132"/>
        <v>382594</v>
      </c>
      <c r="C1594" s="1">
        <v>1593</v>
      </c>
      <c r="D1594" s="4">
        <v>38259</v>
      </c>
      <c r="E1594" s="1">
        <v>0</v>
      </c>
      <c r="F1594" s="1">
        <v>4</v>
      </c>
      <c r="G1594" s="1">
        <v>7</v>
      </c>
      <c r="H1594" s="1">
        <v>2</v>
      </c>
      <c r="I1594" s="1">
        <v>0</v>
      </c>
      <c r="J1594" s="2" t="str">
        <f t="shared" si="133"/>
        <v>NNN</v>
      </c>
      <c r="K1594" s="2" t="str">
        <f t="shared" si="134"/>
        <v>@BAR</v>
      </c>
      <c r="L1594" s="1" t="str">
        <f t="shared" si="135"/>
        <v>1593,9/29/2004,0,4,7,2,0</v>
      </c>
    </row>
    <row r="1595" spans="1:12" x14ac:dyDescent="0.2">
      <c r="A1595" s="1" t="str">
        <f t="shared" si="131"/>
        <v>382598</v>
      </c>
      <c r="B1595" s="1" t="str">
        <f t="shared" si="132"/>
        <v>3825916</v>
      </c>
      <c r="C1595" s="1">
        <v>1594</v>
      </c>
      <c r="D1595" s="4">
        <v>38259</v>
      </c>
      <c r="E1595" s="1">
        <v>0</v>
      </c>
      <c r="F1595" s="1">
        <v>16</v>
      </c>
      <c r="G1595" s="1">
        <v>8</v>
      </c>
      <c r="H1595" s="1">
        <v>2</v>
      </c>
      <c r="I1595" s="1">
        <v>0</v>
      </c>
      <c r="J1595" s="2" t="str">
        <f t="shared" si="133"/>
        <v>DIG</v>
      </c>
      <c r="K1595" s="2" t="str">
        <f t="shared" si="134"/>
        <v>@CTW</v>
      </c>
      <c r="L1595" s="1" t="str">
        <f t="shared" si="135"/>
        <v>1594,9/29/2004,0,16,8,2,0</v>
      </c>
    </row>
    <row r="1596" spans="1:12" x14ac:dyDescent="0.2">
      <c r="A1596" s="1" t="str">
        <f t="shared" si="131"/>
        <v>382599</v>
      </c>
      <c r="B1596" s="1" t="str">
        <f t="shared" si="132"/>
        <v>382595</v>
      </c>
      <c r="C1596" s="1">
        <v>1595</v>
      </c>
      <c r="D1596" s="4">
        <v>38259</v>
      </c>
      <c r="E1596" s="1">
        <v>0</v>
      </c>
      <c r="F1596" s="1">
        <v>5</v>
      </c>
      <c r="G1596" s="1">
        <v>9</v>
      </c>
      <c r="H1596" s="1">
        <v>2</v>
      </c>
      <c r="I1596" s="1">
        <v>0</v>
      </c>
      <c r="J1596" s="2" t="str">
        <f t="shared" si="133"/>
        <v>OKO</v>
      </c>
      <c r="K1596" s="2" t="str">
        <f t="shared" si="134"/>
        <v>@CIN</v>
      </c>
      <c r="L1596" s="1" t="str">
        <f t="shared" si="135"/>
        <v>1595,9/29/2004,0,5,9,2,0</v>
      </c>
    </row>
    <row r="1597" spans="1:12" x14ac:dyDescent="0.2">
      <c r="A1597" s="1" t="str">
        <f t="shared" si="131"/>
        <v>3825910</v>
      </c>
      <c r="B1597" s="1" t="str">
        <f t="shared" si="132"/>
        <v>3825911</v>
      </c>
      <c r="C1597" s="1">
        <v>1596</v>
      </c>
      <c r="D1597" s="4">
        <v>38259</v>
      </c>
      <c r="E1597" s="1">
        <v>0</v>
      </c>
      <c r="F1597" s="1">
        <v>11</v>
      </c>
      <c r="G1597" s="1">
        <v>10</v>
      </c>
      <c r="H1597" s="1">
        <v>2</v>
      </c>
      <c r="I1597" s="1">
        <v>0</v>
      </c>
      <c r="J1597" s="2" t="str">
        <f t="shared" si="133"/>
        <v>HAR</v>
      </c>
      <c r="K1597" s="2" t="str">
        <f t="shared" si="134"/>
        <v>@REN</v>
      </c>
      <c r="L1597" s="1" t="str">
        <f t="shared" si="135"/>
        <v>1596,9/29/2004,0,11,10,2,0</v>
      </c>
    </row>
    <row r="1598" spans="1:12" x14ac:dyDescent="0.2">
      <c r="A1598" s="1" t="str">
        <f t="shared" si="131"/>
        <v>3825913</v>
      </c>
      <c r="B1598" s="1" t="str">
        <f t="shared" si="132"/>
        <v>3825912</v>
      </c>
      <c r="C1598" s="1">
        <v>1597</v>
      </c>
      <c r="D1598" s="4">
        <v>38259</v>
      </c>
      <c r="E1598" s="1">
        <v>0</v>
      </c>
      <c r="F1598" s="1">
        <v>12</v>
      </c>
      <c r="G1598" s="1">
        <v>13</v>
      </c>
      <c r="H1598" s="1">
        <v>2</v>
      </c>
      <c r="I1598" s="1">
        <v>0</v>
      </c>
      <c r="J1598" s="2" t="str">
        <f t="shared" si="133"/>
        <v>RMO</v>
      </c>
      <c r="K1598" s="2" t="str">
        <f t="shared" si="134"/>
        <v>@BBG</v>
      </c>
      <c r="L1598" s="1" t="str">
        <f t="shared" si="135"/>
        <v>1597,9/29/2004,0,12,13,2,0</v>
      </c>
    </row>
    <row r="1599" spans="1:12" x14ac:dyDescent="0.2">
      <c r="A1599" s="1" t="str">
        <f t="shared" si="131"/>
        <v>3825914</v>
      </c>
      <c r="B1599" s="1" t="str">
        <f t="shared" si="132"/>
        <v>3825921</v>
      </c>
      <c r="C1599" s="1">
        <v>1598</v>
      </c>
      <c r="D1599" s="4">
        <v>38259</v>
      </c>
      <c r="E1599" s="1">
        <v>0</v>
      </c>
      <c r="F1599" s="1">
        <v>21</v>
      </c>
      <c r="G1599" s="1">
        <v>14</v>
      </c>
      <c r="H1599" s="1">
        <v>2</v>
      </c>
      <c r="I1599" s="1">
        <v>0</v>
      </c>
      <c r="J1599" s="2" t="str">
        <f t="shared" si="133"/>
        <v>NYD</v>
      </c>
      <c r="K1599" s="2" t="str">
        <f t="shared" si="134"/>
        <v>@CEN</v>
      </c>
      <c r="L1599" s="1" t="str">
        <f t="shared" si="135"/>
        <v>1598,9/29/2004,0,21,14,2,0</v>
      </c>
    </row>
    <row r="1600" spans="1:12" x14ac:dyDescent="0.2">
      <c r="A1600" s="1" t="str">
        <f t="shared" si="131"/>
        <v>3825917</v>
      </c>
      <c r="B1600" s="1" t="str">
        <f t="shared" si="132"/>
        <v>382591</v>
      </c>
      <c r="C1600" s="1">
        <v>1599</v>
      </c>
      <c r="D1600" s="4">
        <v>38259</v>
      </c>
      <c r="E1600" s="1">
        <v>0</v>
      </c>
      <c r="F1600" s="1">
        <v>1</v>
      </c>
      <c r="G1600" s="1">
        <v>17</v>
      </c>
      <c r="H1600" s="1">
        <v>2</v>
      </c>
      <c r="I1600" s="1">
        <v>0</v>
      </c>
      <c r="J1600" s="2" t="str">
        <f t="shared" si="133"/>
        <v>FFR</v>
      </c>
      <c r="K1600" s="2" t="str">
        <f t="shared" si="134"/>
        <v>@GAR</v>
      </c>
      <c r="L1600" s="1" t="str">
        <f t="shared" si="135"/>
        <v>1599,9/29/2004,0,1,17,2,0</v>
      </c>
    </row>
    <row r="1601" spans="1:12" x14ac:dyDescent="0.2">
      <c r="A1601" s="1" t="str">
        <f t="shared" si="131"/>
        <v>3825920</v>
      </c>
      <c r="B1601" s="1" t="str">
        <f t="shared" si="132"/>
        <v>3825922</v>
      </c>
      <c r="C1601" s="1">
        <v>1600</v>
      </c>
      <c r="D1601" s="4">
        <v>38259</v>
      </c>
      <c r="E1601" s="1">
        <v>0</v>
      </c>
      <c r="F1601" s="1">
        <v>22</v>
      </c>
      <c r="G1601" s="1">
        <v>20</v>
      </c>
      <c r="H1601" s="1">
        <v>2</v>
      </c>
      <c r="I1601" s="1">
        <v>0</v>
      </c>
      <c r="J1601" s="2" t="str">
        <f t="shared" si="133"/>
        <v>CBB</v>
      </c>
      <c r="K1601" s="2" t="str">
        <f t="shared" si="134"/>
        <v>@FDH</v>
      </c>
      <c r="L1601" s="1" t="str">
        <f t="shared" si="135"/>
        <v>1600,9/29/2004,0,22,20,2,0</v>
      </c>
    </row>
    <row r="1602" spans="1:12" x14ac:dyDescent="0.2">
      <c r="A1602" s="1" t="str">
        <f t="shared" ref="A1602:A1621" si="136">D1602&amp;G1602</f>
        <v>382602</v>
      </c>
      <c r="B1602" s="1" t="str">
        <f t="shared" ref="B1602:B1621" si="137">D1602&amp;F1602</f>
        <v>3826023</v>
      </c>
      <c r="C1602" s="1">
        <v>1601</v>
      </c>
      <c r="D1602" s="4">
        <v>38260</v>
      </c>
      <c r="E1602" s="1">
        <v>0</v>
      </c>
      <c r="F1602" s="1">
        <v>23</v>
      </c>
      <c r="G1602" s="1">
        <v>2</v>
      </c>
      <c r="H1602" s="1">
        <v>2</v>
      </c>
      <c r="I1602" s="1">
        <v>0</v>
      </c>
      <c r="J1602" s="2" t="str">
        <f t="shared" si="133"/>
        <v>BRK</v>
      </c>
      <c r="K1602" s="2" t="str">
        <f t="shared" si="134"/>
        <v>@NEP</v>
      </c>
      <c r="L1602" s="1" t="str">
        <f t="shared" si="135"/>
        <v>1601,9/30/2004,0,23,2,2,0</v>
      </c>
    </row>
    <row r="1603" spans="1:12" x14ac:dyDescent="0.2">
      <c r="A1603" s="1" t="str">
        <f t="shared" si="136"/>
        <v>382603</v>
      </c>
      <c r="B1603" s="1" t="str">
        <f t="shared" si="137"/>
        <v>3826024</v>
      </c>
      <c r="C1603" s="1">
        <v>1602</v>
      </c>
      <c r="D1603" s="4">
        <v>38260</v>
      </c>
      <c r="E1603" s="1">
        <v>0</v>
      </c>
      <c r="F1603" s="1">
        <v>24</v>
      </c>
      <c r="G1603" s="1">
        <v>3</v>
      </c>
      <c r="H1603" s="1">
        <v>2</v>
      </c>
      <c r="I1603" s="1">
        <v>0</v>
      </c>
      <c r="J1603" s="2" t="str">
        <f t="shared" si="133"/>
        <v>PHI</v>
      </c>
      <c r="K1603" s="2" t="str">
        <f t="shared" si="134"/>
        <v>@TEW</v>
      </c>
      <c r="L1603" s="1" t="str">
        <f t="shared" si="135"/>
        <v>1602,9/30/2004,0,24,3,2,0</v>
      </c>
    </row>
    <row r="1604" spans="1:12" x14ac:dyDescent="0.2">
      <c r="A1604" s="1" t="str">
        <f t="shared" si="136"/>
        <v>382607</v>
      </c>
      <c r="B1604" s="1" t="str">
        <f t="shared" si="137"/>
        <v>382604</v>
      </c>
      <c r="C1604" s="1">
        <v>1603</v>
      </c>
      <c r="D1604" s="4">
        <v>38260</v>
      </c>
      <c r="E1604" s="1">
        <v>0</v>
      </c>
      <c r="F1604" s="1">
        <v>4</v>
      </c>
      <c r="G1604" s="1">
        <v>7</v>
      </c>
      <c r="H1604" s="1">
        <v>2</v>
      </c>
      <c r="I1604" s="1">
        <v>0</v>
      </c>
      <c r="J1604" s="2" t="str">
        <f t="shared" si="133"/>
        <v>NNN</v>
      </c>
      <c r="K1604" s="2" t="str">
        <f t="shared" si="134"/>
        <v>@BAR</v>
      </c>
      <c r="L1604" s="1" t="str">
        <f t="shared" si="135"/>
        <v>1603,9/30/2004,0,4,7,2,0</v>
      </c>
    </row>
    <row r="1605" spans="1:12" x14ac:dyDescent="0.2">
      <c r="A1605" s="1" t="str">
        <f t="shared" si="136"/>
        <v>382608</v>
      </c>
      <c r="B1605" s="1" t="str">
        <f t="shared" si="137"/>
        <v>3826016</v>
      </c>
      <c r="C1605" s="1">
        <v>1604</v>
      </c>
      <c r="D1605" s="4">
        <v>38260</v>
      </c>
      <c r="E1605" s="1">
        <v>0</v>
      </c>
      <c r="F1605" s="1">
        <v>16</v>
      </c>
      <c r="G1605" s="1">
        <v>8</v>
      </c>
      <c r="H1605" s="1">
        <v>2</v>
      </c>
      <c r="I1605" s="1">
        <v>0</v>
      </c>
      <c r="J1605" s="2" t="str">
        <f t="shared" si="133"/>
        <v>DIG</v>
      </c>
      <c r="K1605" s="2" t="str">
        <f t="shared" si="134"/>
        <v>@CTW</v>
      </c>
      <c r="L1605" s="1" t="str">
        <f t="shared" si="135"/>
        <v>1604,9/30/2004,0,16,8,2,0</v>
      </c>
    </row>
    <row r="1606" spans="1:12" x14ac:dyDescent="0.2">
      <c r="A1606" s="1" t="str">
        <f t="shared" si="136"/>
        <v>382609</v>
      </c>
      <c r="B1606" s="1" t="str">
        <f t="shared" si="137"/>
        <v>382605</v>
      </c>
      <c r="C1606" s="1">
        <v>1605</v>
      </c>
      <c r="D1606" s="4">
        <v>38260</v>
      </c>
      <c r="E1606" s="1">
        <v>0</v>
      </c>
      <c r="F1606" s="1">
        <v>5</v>
      </c>
      <c r="G1606" s="1">
        <v>9</v>
      </c>
      <c r="H1606" s="1">
        <v>2</v>
      </c>
      <c r="I1606" s="1">
        <v>0</v>
      </c>
      <c r="J1606" s="2" t="str">
        <f t="shared" si="133"/>
        <v>OKO</v>
      </c>
      <c r="K1606" s="2" t="str">
        <f t="shared" si="134"/>
        <v>@CIN</v>
      </c>
      <c r="L1606" s="1" t="str">
        <f t="shared" si="135"/>
        <v>1605,9/30/2004,0,5,9,2,0</v>
      </c>
    </row>
    <row r="1607" spans="1:12" x14ac:dyDescent="0.2">
      <c r="A1607" s="1" t="str">
        <f t="shared" si="136"/>
        <v>3826010</v>
      </c>
      <c r="B1607" s="1" t="str">
        <f t="shared" si="137"/>
        <v>3826011</v>
      </c>
      <c r="C1607" s="1">
        <v>1606</v>
      </c>
      <c r="D1607" s="4">
        <v>38260</v>
      </c>
      <c r="E1607" s="1">
        <v>0</v>
      </c>
      <c r="F1607" s="1">
        <v>11</v>
      </c>
      <c r="G1607" s="1">
        <v>10</v>
      </c>
      <c r="H1607" s="1">
        <v>2</v>
      </c>
      <c r="I1607" s="1">
        <v>0</v>
      </c>
      <c r="J1607" s="2" t="str">
        <f t="shared" si="133"/>
        <v>HAR</v>
      </c>
      <c r="K1607" s="2" t="str">
        <f t="shared" si="134"/>
        <v>@REN</v>
      </c>
      <c r="L1607" s="1" t="str">
        <f t="shared" si="135"/>
        <v>1606,9/30/2004,0,11,10,2,0</v>
      </c>
    </row>
    <row r="1608" spans="1:12" x14ac:dyDescent="0.2">
      <c r="A1608" s="1" t="str">
        <f t="shared" si="136"/>
        <v>3826013</v>
      </c>
      <c r="B1608" s="1" t="str">
        <f t="shared" si="137"/>
        <v>3826012</v>
      </c>
      <c r="C1608" s="1">
        <v>1607</v>
      </c>
      <c r="D1608" s="4">
        <v>38260</v>
      </c>
      <c r="E1608" s="1">
        <v>0</v>
      </c>
      <c r="F1608" s="1">
        <v>12</v>
      </c>
      <c r="G1608" s="1">
        <v>13</v>
      </c>
      <c r="H1608" s="1">
        <v>2</v>
      </c>
      <c r="I1608" s="1">
        <v>0</v>
      </c>
      <c r="J1608" s="2" t="str">
        <f t="shared" ref="J1608:J1621" si="138">VLOOKUP(F1608,$M$2:$N$21,2,0)</f>
        <v>RMO</v>
      </c>
      <c r="K1608" s="2" t="str">
        <f t="shared" ref="K1608:K1621" si="139">"@"&amp;VLOOKUP(G1608,$M$2:$N$21,2,0)</f>
        <v>@BBG</v>
      </c>
      <c r="L1608" s="1" t="str">
        <f t="shared" ref="L1608:L1621" si="140">C1608&amp;","&amp;MONTH(D1608)&amp;"/"&amp;DAY(D1608)&amp;"/"&amp;YEAR(D1608)&amp;","&amp;E1608&amp;","&amp;F1608&amp;","&amp;G1608&amp;","&amp;H1608&amp;","&amp;I1608</f>
        <v>1607,9/30/2004,0,12,13,2,0</v>
      </c>
    </row>
    <row r="1609" spans="1:12" x14ac:dyDescent="0.2">
      <c r="A1609" s="1" t="str">
        <f t="shared" si="136"/>
        <v>3826014</v>
      </c>
      <c r="B1609" s="1" t="str">
        <f t="shared" si="137"/>
        <v>3826021</v>
      </c>
      <c r="C1609" s="1">
        <v>1608</v>
      </c>
      <c r="D1609" s="4">
        <v>38260</v>
      </c>
      <c r="E1609" s="1">
        <v>0</v>
      </c>
      <c r="F1609" s="1">
        <v>21</v>
      </c>
      <c r="G1609" s="1">
        <v>14</v>
      </c>
      <c r="H1609" s="1">
        <v>2</v>
      </c>
      <c r="I1609" s="1">
        <v>0</v>
      </c>
      <c r="J1609" s="2" t="str">
        <f t="shared" si="138"/>
        <v>NYD</v>
      </c>
      <c r="K1609" s="2" t="str">
        <f t="shared" si="139"/>
        <v>@CEN</v>
      </c>
      <c r="L1609" s="1" t="str">
        <f t="shared" si="140"/>
        <v>1608,9/30/2004,0,21,14,2,0</v>
      </c>
    </row>
    <row r="1610" spans="1:12" x14ac:dyDescent="0.2">
      <c r="A1610" s="1" t="str">
        <f t="shared" si="136"/>
        <v>3826017</v>
      </c>
      <c r="B1610" s="1" t="str">
        <f t="shared" si="137"/>
        <v>382601</v>
      </c>
      <c r="C1610" s="1">
        <v>1609</v>
      </c>
      <c r="D1610" s="4">
        <v>38260</v>
      </c>
      <c r="E1610" s="1">
        <v>0</v>
      </c>
      <c r="F1610" s="1">
        <v>1</v>
      </c>
      <c r="G1610" s="1">
        <v>17</v>
      </c>
      <c r="H1610" s="1">
        <v>2</v>
      </c>
      <c r="I1610" s="1">
        <v>0</v>
      </c>
      <c r="J1610" s="2" t="str">
        <f t="shared" si="138"/>
        <v>FFR</v>
      </c>
      <c r="K1610" s="2" t="str">
        <f t="shared" si="139"/>
        <v>@GAR</v>
      </c>
      <c r="L1610" s="1" t="str">
        <f t="shared" si="140"/>
        <v>1609,9/30/2004,0,1,17,2,0</v>
      </c>
    </row>
    <row r="1611" spans="1:12" x14ac:dyDescent="0.2">
      <c r="A1611" s="1" t="str">
        <f t="shared" si="136"/>
        <v>3826020</v>
      </c>
      <c r="B1611" s="1" t="str">
        <f t="shared" si="137"/>
        <v>3826022</v>
      </c>
      <c r="C1611" s="1">
        <v>1610</v>
      </c>
      <c r="D1611" s="4">
        <v>38260</v>
      </c>
      <c r="E1611" s="1">
        <v>0</v>
      </c>
      <c r="F1611" s="1">
        <v>22</v>
      </c>
      <c r="G1611" s="1">
        <v>20</v>
      </c>
      <c r="H1611" s="1">
        <v>2</v>
      </c>
      <c r="I1611" s="1">
        <v>0</v>
      </c>
      <c r="J1611" s="2" t="str">
        <f t="shared" si="138"/>
        <v>CBB</v>
      </c>
      <c r="K1611" s="2" t="str">
        <f t="shared" si="139"/>
        <v>@FDH</v>
      </c>
      <c r="L1611" s="1" t="str">
        <f t="shared" si="140"/>
        <v>1610,9/30/2004,0,22,20,2,0</v>
      </c>
    </row>
    <row r="1612" spans="1:12" x14ac:dyDescent="0.2">
      <c r="A1612" s="1" t="str">
        <f t="shared" si="136"/>
        <v>382612</v>
      </c>
      <c r="B1612" s="1" t="str">
        <f t="shared" si="137"/>
        <v>3826123</v>
      </c>
      <c r="C1612" s="1">
        <v>1611</v>
      </c>
      <c r="D1612" s="4">
        <v>38261</v>
      </c>
      <c r="E1612" s="1">
        <v>0</v>
      </c>
      <c r="F1612" s="1">
        <v>23</v>
      </c>
      <c r="G1612" s="1">
        <v>2</v>
      </c>
      <c r="H1612" s="1">
        <v>2</v>
      </c>
      <c r="I1612" s="1">
        <v>0</v>
      </c>
      <c r="J1612" s="2" t="str">
        <f t="shared" si="138"/>
        <v>BRK</v>
      </c>
      <c r="K1612" s="2" t="str">
        <f t="shared" si="139"/>
        <v>@NEP</v>
      </c>
      <c r="L1612" s="1" t="str">
        <f t="shared" si="140"/>
        <v>1611,10/1/2004,0,23,2,2,0</v>
      </c>
    </row>
    <row r="1613" spans="1:12" x14ac:dyDescent="0.2">
      <c r="A1613" s="1" t="str">
        <f t="shared" si="136"/>
        <v>382613</v>
      </c>
      <c r="B1613" s="1" t="str">
        <f t="shared" si="137"/>
        <v>3826124</v>
      </c>
      <c r="C1613" s="1">
        <v>1612</v>
      </c>
      <c r="D1613" s="4">
        <v>38261</v>
      </c>
      <c r="E1613" s="1">
        <v>0</v>
      </c>
      <c r="F1613" s="1">
        <v>24</v>
      </c>
      <c r="G1613" s="1">
        <v>3</v>
      </c>
      <c r="H1613" s="1">
        <v>2</v>
      </c>
      <c r="I1613" s="1">
        <v>0</v>
      </c>
      <c r="J1613" s="2" t="str">
        <f t="shared" si="138"/>
        <v>PHI</v>
      </c>
      <c r="K1613" s="2" t="str">
        <f t="shared" si="139"/>
        <v>@TEW</v>
      </c>
      <c r="L1613" s="1" t="str">
        <f t="shared" si="140"/>
        <v>1612,10/1/2004,0,24,3,2,0</v>
      </c>
    </row>
    <row r="1614" spans="1:12" x14ac:dyDescent="0.2">
      <c r="A1614" s="1" t="str">
        <f t="shared" si="136"/>
        <v>382617</v>
      </c>
      <c r="B1614" s="1" t="str">
        <f t="shared" si="137"/>
        <v>382614</v>
      </c>
      <c r="C1614" s="1">
        <v>1613</v>
      </c>
      <c r="D1614" s="4">
        <v>38261</v>
      </c>
      <c r="E1614" s="1">
        <v>0</v>
      </c>
      <c r="F1614" s="1">
        <v>4</v>
      </c>
      <c r="G1614" s="1">
        <v>7</v>
      </c>
      <c r="H1614" s="1">
        <v>2</v>
      </c>
      <c r="I1614" s="1">
        <v>0</v>
      </c>
      <c r="J1614" s="2" t="str">
        <f t="shared" si="138"/>
        <v>NNN</v>
      </c>
      <c r="K1614" s="2" t="str">
        <f t="shared" si="139"/>
        <v>@BAR</v>
      </c>
      <c r="L1614" s="1" t="str">
        <f t="shared" si="140"/>
        <v>1613,10/1/2004,0,4,7,2,0</v>
      </c>
    </row>
    <row r="1615" spans="1:12" x14ac:dyDescent="0.2">
      <c r="A1615" s="1" t="str">
        <f t="shared" si="136"/>
        <v>382618</v>
      </c>
      <c r="B1615" s="1" t="str">
        <f t="shared" si="137"/>
        <v>3826116</v>
      </c>
      <c r="C1615" s="1">
        <v>1614</v>
      </c>
      <c r="D1615" s="4">
        <v>38261</v>
      </c>
      <c r="E1615" s="1">
        <v>0</v>
      </c>
      <c r="F1615" s="1">
        <v>16</v>
      </c>
      <c r="G1615" s="1">
        <v>8</v>
      </c>
      <c r="H1615" s="1">
        <v>2</v>
      </c>
      <c r="I1615" s="1">
        <v>0</v>
      </c>
      <c r="J1615" s="2" t="str">
        <f t="shared" si="138"/>
        <v>DIG</v>
      </c>
      <c r="K1615" s="2" t="str">
        <f t="shared" si="139"/>
        <v>@CTW</v>
      </c>
      <c r="L1615" s="1" t="str">
        <f t="shared" si="140"/>
        <v>1614,10/1/2004,0,16,8,2,0</v>
      </c>
    </row>
    <row r="1616" spans="1:12" x14ac:dyDescent="0.2">
      <c r="A1616" s="1" t="str">
        <f t="shared" si="136"/>
        <v>382619</v>
      </c>
      <c r="B1616" s="1" t="str">
        <f t="shared" si="137"/>
        <v>382615</v>
      </c>
      <c r="C1616" s="1">
        <v>1615</v>
      </c>
      <c r="D1616" s="4">
        <v>38261</v>
      </c>
      <c r="E1616" s="1">
        <v>0</v>
      </c>
      <c r="F1616" s="1">
        <v>5</v>
      </c>
      <c r="G1616" s="1">
        <v>9</v>
      </c>
      <c r="H1616" s="1">
        <v>2</v>
      </c>
      <c r="I1616" s="1">
        <v>0</v>
      </c>
      <c r="J1616" s="2" t="str">
        <f t="shared" si="138"/>
        <v>OKO</v>
      </c>
      <c r="K1616" s="2" t="str">
        <f t="shared" si="139"/>
        <v>@CIN</v>
      </c>
      <c r="L1616" s="1" t="str">
        <f t="shared" si="140"/>
        <v>1615,10/1/2004,0,5,9,2,0</v>
      </c>
    </row>
    <row r="1617" spans="1:12" x14ac:dyDescent="0.2">
      <c r="A1617" s="1" t="str">
        <f t="shared" si="136"/>
        <v>3826110</v>
      </c>
      <c r="B1617" s="1" t="str">
        <f t="shared" si="137"/>
        <v>3826111</v>
      </c>
      <c r="C1617" s="1">
        <v>1616</v>
      </c>
      <c r="D1617" s="4">
        <v>38261</v>
      </c>
      <c r="E1617" s="1">
        <v>0</v>
      </c>
      <c r="F1617" s="1">
        <v>11</v>
      </c>
      <c r="G1617" s="1">
        <v>10</v>
      </c>
      <c r="H1617" s="1">
        <v>2</v>
      </c>
      <c r="I1617" s="1">
        <v>0</v>
      </c>
      <c r="J1617" s="2" t="str">
        <f t="shared" si="138"/>
        <v>HAR</v>
      </c>
      <c r="K1617" s="2" t="str">
        <f t="shared" si="139"/>
        <v>@REN</v>
      </c>
      <c r="L1617" s="1" t="str">
        <f t="shared" si="140"/>
        <v>1616,10/1/2004,0,11,10,2,0</v>
      </c>
    </row>
    <row r="1618" spans="1:12" x14ac:dyDescent="0.2">
      <c r="A1618" s="1" t="str">
        <f t="shared" si="136"/>
        <v>3826113</v>
      </c>
      <c r="B1618" s="1" t="str">
        <f t="shared" si="137"/>
        <v>3826112</v>
      </c>
      <c r="C1618" s="1">
        <v>1617</v>
      </c>
      <c r="D1618" s="4">
        <v>38261</v>
      </c>
      <c r="E1618" s="1">
        <v>0</v>
      </c>
      <c r="F1618" s="1">
        <v>12</v>
      </c>
      <c r="G1618" s="1">
        <v>13</v>
      </c>
      <c r="H1618" s="1">
        <v>2</v>
      </c>
      <c r="I1618" s="1">
        <v>0</v>
      </c>
      <c r="J1618" s="2" t="str">
        <f t="shared" si="138"/>
        <v>RMO</v>
      </c>
      <c r="K1618" s="2" t="str">
        <f t="shared" si="139"/>
        <v>@BBG</v>
      </c>
      <c r="L1618" s="1" t="str">
        <f t="shared" si="140"/>
        <v>1617,10/1/2004,0,12,13,2,0</v>
      </c>
    </row>
    <row r="1619" spans="1:12" x14ac:dyDescent="0.2">
      <c r="A1619" s="1" t="str">
        <f t="shared" si="136"/>
        <v>3826114</v>
      </c>
      <c r="B1619" s="1" t="str">
        <f t="shared" si="137"/>
        <v>3826121</v>
      </c>
      <c r="C1619" s="1">
        <v>1618</v>
      </c>
      <c r="D1619" s="4">
        <v>38261</v>
      </c>
      <c r="E1619" s="1">
        <v>0</v>
      </c>
      <c r="F1619" s="1">
        <v>21</v>
      </c>
      <c r="G1619" s="1">
        <v>14</v>
      </c>
      <c r="H1619" s="1">
        <v>2</v>
      </c>
      <c r="I1619" s="1">
        <v>0</v>
      </c>
      <c r="J1619" s="2" t="str">
        <f t="shared" si="138"/>
        <v>NYD</v>
      </c>
      <c r="K1619" s="2" t="str">
        <f t="shared" si="139"/>
        <v>@CEN</v>
      </c>
      <c r="L1619" s="1" t="str">
        <f t="shared" si="140"/>
        <v>1618,10/1/2004,0,21,14,2,0</v>
      </c>
    </row>
    <row r="1620" spans="1:12" x14ac:dyDescent="0.2">
      <c r="A1620" s="1" t="str">
        <f t="shared" si="136"/>
        <v>3826117</v>
      </c>
      <c r="B1620" s="1" t="str">
        <f t="shared" si="137"/>
        <v>382611</v>
      </c>
      <c r="C1620" s="1">
        <v>1619</v>
      </c>
      <c r="D1620" s="4">
        <v>38261</v>
      </c>
      <c r="E1620" s="1">
        <v>0</v>
      </c>
      <c r="F1620" s="1">
        <v>1</v>
      </c>
      <c r="G1620" s="1">
        <v>17</v>
      </c>
      <c r="H1620" s="1">
        <v>2</v>
      </c>
      <c r="I1620" s="1">
        <v>0</v>
      </c>
      <c r="J1620" s="2" t="str">
        <f t="shared" si="138"/>
        <v>FFR</v>
      </c>
      <c r="K1620" s="2" t="str">
        <f t="shared" si="139"/>
        <v>@GAR</v>
      </c>
      <c r="L1620" s="1" t="str">
        <f t="shared" si="140"/>
        <v>1619,10/1/2004,0,1,17,2,0</v>
      </c>
    </row>
    <row r="1621" spans="1:12" x14ac:dyDescent="0.2">
      <c r="A1621" s="1" t="str">
        <f t="shared" si="136"/>
        <v>3826120</v>
      </c>
      <c r="B1621" s="1" t="str">
        <f t="shared" si="137"/>
        <v>3826122</v>
      </c>
      <c r="C1621" s="1">
        <v>1620</v>
      </c>
      <c r="D1621" s="4">
        <v>38261</v>
      </c>
      <c r="E1621" s="1">
        <v>0</v>
      </c>
      <c r="F1621" s="1">
        <v>22</v>
      </c>
      <c r="G1621" s="1">
        <v>20</v>
      </c>
      <c r="H1621" s="1">
        <v>2</v>
      </c>
      <c r="I1621" s="1">
        <v>0</v>
      </c>
      <c r="J1621" s="2" t="str">
        <f t="shared" si="138"/>
        <v>CBB</v>
      </c>
      <c r="K1621" s="2" t="str">
        <f t="shared" si="139"/>
        <v>@FDH</v>
      </c>
      <c r="L1621" s="1" t="str">
        <f t="shared" si="140"/>
        <v>1620,10/1/2004,0,22,20,2,0</v>
      </c>
    </row>
  </sheetData>
  <sortState ref="D2:G1621">
    <sortCondition ref="D2:D1621"/>
  </sortState>
  <phoneticPr fontId="1" type="noConversion"/>
  <printOptions horizontalCentered="1"/>
  <pageMargins left="0.25" right="0.25" top="0.25" bottom="0.25" header="0.5" footer="0.5"/>
  <pageSetup scale="60" fitToHeight="2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4"/>
  <sheetViews>
    <sheetView zoomScale="130" zoomScaleNormal="130" workbookViewId="0">
      <selection activeCell="G4" sqref="G4"/>
    </sheetView>
    <sheetView workbookViewId="1"/>
  </sheetViews>
  <sheetFormatPr defaultRowHeight="12.75" x14ac:dyDescent="0.2"/>
  <cols>
    <col min="1" max="3" width="4.28515625" style="14" customWidth="1"/>
    <col min="4" max="4" width="4.28515625" style="46" customWidth="1"/>
    <col min="5" max="7" width="4.28515625" style="14" customWidth="1"/>
    <col min="8" max="16384" width="9.140625" style="14"/>
  </cols>
  <sheetData>
    <row r="1" spans="1:7" x14ac:dyDescent="0.2">
      <c r="D1" s="46" t="s">
        <v>46</v>
      </c>
    </row>
    <row r="2" spans="1:7" x14ac:dyDescent="0.2">
      <c r="B2" s="14" t="s">
        <v>47</v>
      </c>
      <c r="F2" s="14" t="s">
        <v>48</v>
      </c>
    </row>
    <row r="3" spans="1:7" x14ac:dyDescent="0.2">
      <c r="D3" s="46" t="s">
        <v>49</v>
      </c>
    </row>
    <row r="4" spans="1:7" x14ac:dyDescent="0.2">
      <c r="A4" s="15">
        <v>1</v>
      </c>
      <c r="B4" s="15">
        <v>21</v>
      </c>
      <c r="C4" s="15">
        <v>10</v>
      </c>
      <c r="E4" s="15" t="s">
        <v>34</v>
      </c>
      <c r="F4" s="15" t="s">
        <v>35</v>
      </c>
      <c r="G4" s="15">
        <v>13</v>
      </c>
    </row>
    <row r="5" spans="1:7" x14ac:dyDescent="0.2">
      <c r="A5" s="15">
        <v>24</v>
      </c>
      <c r="B5" s="15">
        <v>79</v>
      </c>
      <c r="C5" s="15">
        <v>35</v>
      </c>
      <c r="E5" s="15" t="s">
        <v>36</v>
      </c>
      <c r="F5" s="15">
        <v>60</v>
      </c>
      <c r="G5" s="15">
        <v>45</v>
      </c>
    </row>
    <row r="6" spans="1:7" x14ac:dyDescent="0.2">
      <c r="A6" s="15">
        <v>55</v>
      </c>
      <c r="B6" s="15" t="s">
        <v>28</v>
      </c>
      <c r="C6" s="15" t="s">
        <v>29</v>
      </c>
      <c r="E6" s="15" t="s">
        <v>37</v>
      </c>
      <c r="F6" s="15">
        <v>90</v>
      </c>
      <c r="G6" s="15" t="s">
        <v>38</v>
      </c>
    </row>
    <row r="7" spans="1:7" x14ac:dyDescent="0.2">
      <c r="A7" s="15" t="s">
        <v>30</v>
      </c>
      <c r="B7" s="15" t="s">
        <v>31</v>
      </c>
      <c r="C7" s="15" t="s">
        <v>32</v>
      </c>
      <c r="E7" s="15" t="s">
        <v>39</v>
      </c>
      <c r="F7" s="15" t="s">
        <v>40</v>
      </c>
      <c r="G7" s="15" t="s">
        <v>41</v>
      </c>
    </row>
    <row r="8" spans="1:7" x14ac:dyDescent="0.2">
      <c r="A8" s="15">
        <v>95</v>
      </c>
      <c r="B8" s="15" t="s">
        <v>33</v>
      </c>
      <c r="C8" s="15">
        <v>43</v>
      </c>
      <c r="E8" s="15" t="s">
        <v>42</v>
      </c>
      <c r="F8" s="15" t="s">
        <v>43</v>
      </c>
      <c r="G8" s="15" t="s">
        <v>44</v>
      </c>
    </row>
    <row r="9" spans="1:7" x14ac:dyDescent="0.2">
      <c r="A9" s="15"/>
      <c r="B9" s="15"/>
      <c r="C9" s="15"/>
      <c r="D9" s="46" t="s">
        <v>50</v>
      </c>
      <c r="E9" s="15"/>
      <c r="F9" s="15"/>
      <c r="G9" s="15"/>
    </row>
    <row r="10" spans="1:7" x14ac:dyDescent="0.2">
      <c r="A10" s="15">
        <f t="shared" ref="A10:C14" si="0">HEX2DEC(A4)</f>
        <v>1</v>
      </c>
      <c r="B10" s="15">
        <f t="shared" si="0"/>
        <v>33</v>
      </c>
      <c r="C10" s="15">
        <f t="shared" si="0"/>
        <v>16</v>
      </c>
      <c r="E10" s="15">
        <f t="shared" ref="E10:G14" si="1">HEX2DEC(E4)</f>
        <v>14</v>
      </c>
      <c r="F10" s="15">
        <f t="shared" si="1"/>
        <v>26</v>
      </c>
      <c r="G10" s="15">
        <f t="shared" si="1"/>
        <v>19</v>
      </c>
    </row>
    <row r="11" spans="1:7" x14ac:dyDescent="0.2">
      <c r="A11" s="15">
        <f t="shared" si="0"/>
        <v>36</v>
      </c>
      <c r="B11" s="15">
        <f t="shared" si="0"/>
        <v>121</v>
      </c>
      <c r="C11" s="15">
        <f t="shared" si="0"/>
        <v>53</v>
      </c>
      <c r="E11" s="15">
        <f t="shared" si="1"/>
        <v>63</v>
      </c>
      <c r="F11" s="15">
        <f t="shared" si="1"/>
        <v>96</v>
      </c>
      <c r="G11" s="15">
        <f t="shared" si="1"/>
        <v>69</v>
      </c>
    </row>
    <row r="12" spans="1:7" x14ac:dyDescent="0.2">
      <c r="A12" s="15">
        <f t="shared" si="0"/>
        <v>85</v>
      </c>
      <c r="B12" s="15">
        <f t="shared" si="0"/>
        <v>180</v>
      </c>
      <c r="C12" s="15">
        <f t="shared" si="0"/>
        <v>58</v>
      </c>
      <c r="E12" s="15">
        <f t="shared" si="1"/>
        <v>106</v>
      </c>
      <c r="F12" s="15">
        <f t="shared" si="1"/>
        <v>144</v>
      </c>
      <c r="G12" s="15">
        <f t="shared" si="1"/>
        <v>95</v>
      </c>
    </row>
    <row r="13" spans="1:7" x14ac:dyDescent="0.2">
      <c r="A13" s="15">
        <f t="shared" si="0"/>
        <v>225</v>
      </c>
      <c r="B13" s="15">
        <f t="shared" si="0"/>
        <v>255</v>
      </c>
      <c r="C13" s="15">
        <f t="shared" si="0"/>
        <v>221</v>
      </c>
      <c r="E13" s="15">
        <f t="shared" si="1"/>
        <v>199</v>
      </c>
      <c r="F13" s="15">
        <f t="shared" si="1"/>
        <v>219</v>
      </c>
      <c r="G13" s="15">
        <f t="shared" si="1"/>
        <v>198</v>
      </c>
    </row>
    <row r="14" spans="1:7" x14ac:dyDescent="0.2">
      <c r="A14" s="15">
        <f t="shared" si="0"/>
        <v>149</v>
      </c>
      <c r="B14" s="15">
        <f t="shared" si="0"/>
        <v>205</v>
      </c>
      <c r="C14" s="15">
        <f t="shared" si="0"/>
        <v>67</v>
      </c>
      <c r="E14" s="15">
        <f t="shared" si="1"/>
        <v>142</v>
      </c>
      <c r="F14" s="15">
        <f t="shared" si="1"/>
        <v>164</v>
      </c>
      <c r="G14" s="15">
        <f t="shared" si="1"/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Output</vt:lpstr>
      <vt:lpstr>2004</vt:lpstr>
      <vt:lpstr>colorpalette</vt:lpstr>
      <vt:lpstr>Output!Print_Area</vt:lpstr>
      <vt:lpstr>'2004'!Print_Titles</vt:lpstr>
      <vt:lpstr>Output!Print_Titles</vt:lpstr>
      <vt:lpstr>Sched</vt:lpstr>
      <vt:lpstr>Sort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Rob Miller</cp:lastModifiedBy>
  <cp:lastPrinted>2009-12-24T04:49:54Z</cp:lastPrinted>
  <dcterms:created xsi:type="dcterms:W3CDTF">2005-01-22T18:33:51Z</dcterms:created>
  <dcterms:modified xsi:type="dcterms:W3CDTF">2014-12-05T06:18:08Z</dcterms:modified>
</cp:coreProperties>
</file>