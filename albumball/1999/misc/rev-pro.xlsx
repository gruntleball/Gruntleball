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 codeName="ThisWorkbook" defaultThemeVersion="124226"/>
  <bookViews>
    <workbookView xWindow="12585" yWindow="-15" windowWidth="12630" windowHeight="12045"/>
  </bookViews>
  <sheets>
    <sheet name="dump" sheetId="1" r:id="rId1"/>
    <sheet name="profile" sheetId="2" r:id="rId2"/>
    <sheet name="Sheet3" sheetId="3" r:id="rId3"/>
  </sheets>
  <calcPr calcId="144315"/>
</workbook>
</file>

<file path=xl/calcChain.xml><?xml version="1.0" encoding="utf-8"?>
<calcChain xmlns="http://schemas.openxmlformats.org/spreadsheetml/2006/main">
  <c r="B12" i="2" l="1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H10" i="2"/>
  <c r="F10" i="2"/>
  <c r="C10" i="2"/>
  <c r="B4" i="2"/>
  <c r="C4" i="2"/>
  <c r="D4" i="2"/>
  <c r="E4" i="2"/>
  <c r="F4" i="2"/>
  <c r="G4" i="2"/>
  <c r="H4" i="2"/>
  <c r="I4" i="2"/>
  <c r="J4" i="2"/>
  <c r="B5" i="2"/>
  <c r="C5" i="2"/>
  <c r="D5" i="2"/>
  <c r="E5" i="2"/>
  <c r="F5" i="2"/>
  <c r="G5" i="2"/>
  <c r="H5" i="2"/>
  <c r="I5" i="2"/>
  <c r="J5" i="2"/>
  <c r="B6" i="2"/>
  <c r="C6" i="2"/>
  <c r="D6" i="2"/>
  <c r="E6" i="2"/>
  <c r="F6" i="2"/>
  <c r="G6" i="2"/>
  <c r="H6" i="2"/>
  <c r="I6" i="2"/>
  <c r="J6" i="2"/>
  <c r="B7" i="2"/>
  <c r="C7" i="2"/>
  <c r="D7" i="2"/>
  <c r="E7" i="2"/>
  <c r="F7" i="2"/>
  <c r="G7" i="2"/>
  <c r="H7" i="2"/>
  <c r="I7" i="2"/>
  <c r="J7" i="2"/>
  <c r="B8" i="2"/>
  <c r="C8" i="2"/>
  <c r="D8" i="2"/>
  <c r="E8" i="2"/>
  <c r="F8" i="2"/>
  <c r="G8" i="2"/>
  <c r="H8" i="2"/>
  <c r="I8" i="2"/>
  <c r="J8" i="2"/>
  <c r="D7" i="1"/>
  <c r="I2" i="2"/>
  <c r="F2" i="2"/>
  <c r="C2" i="2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2"/>
  <c r="J182" i="2"/>
  <c r="K182" i="1"/>
  <c r="J182" i="1"/>
  <c r="I182" i="1"/>
  <c r="H191" i="2"/>
  <c r="H190" i="2"/>
  <c r="H189" i="2"/>
  <c r="H188" i="2"/>
  <c r="H187" i="2"/>
  <c r="H186" i="2"/>
  <c r="H185" i="2"/>
  <c r="H184" i="2"/>
  <c r="H183" i="2"/>
  <c r="H191" i="1"/>
  <c r="H190" i="1"/>
  <c r="H189" i="1"/>
  <c r="H188" i="1"/>
  <c r="H187" i="1"/>
  <c r="H186" i="1"/>
  <c r="H185" i="1"/>
  <c r="H184" i="1"/>
  <c r="H183" i="1"/>
  <c r="H182" i="2"/>
  <c r="H182" i="1"/>
  <c r="G191" i="2"/>
  <c r="G190" i="2"/>
  <c r="G189" i="2"/>
  <c r="G188" i="2"/>
  <c r="G187" i="2"/>
  <c r="G186" i="2"/>
  <c r="G185" i="2"/>
  <c r="G184" i="2"/>
  <c r="G183" i="2"/>
  <c r="G191" i="1"/>
  <c r="G190" i="1"/>
  <c r="G189" i="1"/>
  <c r="G188" i="1"/>
  <c r="G187" i="1"/>
  <c r="G186" i="1"/>
  <c r="G185" i="1"/>
  <c r="G184" i="1"/>
  <c r="G183" i="1"/>
  <c r="G182" i="2"/>
  <c r="G182" i="1"/>
  <c r="F191" i="2"/>
  <c r="F190" i="2"/>
  <c r="F189" i="2"/>
  <c r="F188" i="2"/>
  <c r="F187" i="2"/>
  <c r="F186" i="2"/>
  <c r="F185" i="2"/>
  <c r="F184" i="2"/>
  <c r="F183" i="2"/>
  <c r="F191" i="1"/>
  <c r="F190" i="1"/>
  <c r="F189" i="1"/>
  <c r="F188" i="1"/>
  <c r="F187" i="1"/>
  <c r="F186" i="1"/>
  <c r="F185" i="1"/>
  <c r="F184" i="1"/>
  <c r="F183" i="1"/>
  <c r="F182" i="2"/>
  <c r="F182" i="1"/>
  <c r="E191" i="2"/>
  <c r="E190" i="2"/>
  <c r="E189" i="2"/>
  <c r="E188" i="2"/>
  <c r="E187" i="2"/>
  <c r="E186" i="2"/>
  <c r="E185" i="2"/>
  <c r="E184" i="2"/>
  <c r="E183" i="2"/>
  <c r="E182" i="2"/>
  <c r="H124" i="1"/>
  <c r="B125" i="1" s="1"/>
  <c r="I117" i="1"/>
  <c r="I116" i="1"/>
  <c r="I115" i="1"/>
  <c r="G120" i="1"/>
  <c r="G119" i="1"/>
  <c r="G118" i="1"/>
  <c r="G117" i="1"/>
  <c r="G116" i="1"/>
  <c r="G115" i="1"/>
  <c r="E118" i="1"/>
  <c r="E117" i="1"/>
  <c r="E116" i="1"/>
  <c r="E115" i="1"/>
  <c r="C121" i="1"/>
  <c r="C120" i="1"/>
  <c r="C118" i="1"/>
  <c r="C117" i="1"/>
  <c r="C116" i="1"/>
  <c r="C115" i="1"/>
  <c r="C119" i="1"/>
  <c r="H117" i="1"/>
  <c r="H116" i="1"/>
  <c r="H115" i="1"/>
  <c r="F120" i="1"/>
  <c r="F119" i="1"/>
  <c r="F118" i="1"/>
  <c r="F117" i="1"/>
  <c r="F116" i="1"/>
  <c r="F115" i="1"/>
  <c r="D118" i="1"/>
  <c r="D117" i="1"/>
  <c r="D116" i="1"/>
  <c r="D115" i="1"/>
  <c r="B121" i="1"/>
  <c r="B120" i="1"/>
  <c r="B119" i="1"/>
  <c r="B118" i="1"/>
  <c r="B117" i="1"/>
  <c r="B116" i="1"/>
  <c r="B115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C69" i="1"/>
  <c r="C68" i="1"/>
  <c r="C67" i="1"/>
  <c r="B65" i="1"/>
  <c r="I110" i="1"/>
  <c r="J110" i="1" s="1"/>
  <c r="E110" i="1"/>
  <c r="C110" i="1"/>
  <c r="I109" i="1"/>
  <c r="E109" i="1"/>
  <c r="C109" i="1"/>
  <c r="I108" i="1"/>
  <c r="E108" i="1"/>
  <c r="C108" i="1"/>
  <c r="I107" i="1"/>
  <c r="E107" i="1"/>
  <c r="C107" i="1"/>
  <c r="E106" i="1"/>
  <c r="C106" i="1"/>
  <c r="E105" i="1"/>
  <c r="C105" i="1"/>
  <c r="E104" i="1"/>
  <c r="C104" i="1"/>
  <c r="E103" i="1"/>
  <c r="C103" i="1"/>
  <c r="I100" i="1"/>
  <c r="J100" i="1" s="1"/>
  <c r="G100" i="1"/>
  <c r="H100" i="1" s="1"/>
  <c r="E100" i="1"/>
  <c r="F100" i="1" s="1"/>
  <c r="C100" i="1"/>
  <c r="D100" i="1" s="1"/>
  <c r="I99" i="1"/>
  <c r="J99" i="1" s="1"/>
  <c r="G99" i="1"/>
  <c r="H99" i="1" s="1"/>
  <c r="E99" i="1"/>
  <c r="F99" i="1" s="1"/>
  <c r="C99" i="1"/>
  <c r="D99" i="1" s="1"/>
  <c r="I98" i="1"/>
  <c r="J98" i="1" s="1"/>
  <c r="G98" i="1"/>
  <c r="H98" i="1" s="1"/>
  <c r="E98" i="1"/>
  <c r="F98" i="1" s="1"/>
  <c r="C98" i="1"/>
  <c r="D98" i="1" s="1"/>
  <c r="I97" i="1"/>
  <c r="J97" i="1" s="1"/>
  <c r="G97" i="1"/>
  <c r="H97" i="1" s="1"/>
  <c r="E97" i="1"/>
  <c r="F97" i="1" s="1"/>
  <c r="C97" i="1"/>
  <c r="D97" i="1" s="1"/>
  <c r="I96" i="1"/>
  <c r="J96" i="1" s="1"/>
  <c r="G96" i="1"/>
  <c r="H96" i="1" s="1"/>
  <c r="E96" i="1"/>
  <c r="F96" i="1" s="1"/>
  <c r="C96" i="1"/>
  <c r="D96" i="1" s="1"/>
  <c r="I95" i="1"/>
  <c r="G95" i="1"/>
  <c r="E95" i="1"/>
  <c r="C95" i="1"/>
  <c r="I94" i="1"/>
  <c r="G94" i="1"/>
  <c r="E94" i="1"/>
  <c r="C94" i="1"/>
  <c r="I93" i="1"/>
  <c r="G93" i="1"/>
  <c r="E93" i="1"/>
  <c r="C93" i="1"/>
  <c r="K90" i="1"/>
  <c r="L90" i="1" s="1"/>
  <c r="I90" i="1"/>
  <c r="J90" i="1" s="1"/>
  <c r="G90" i="1"/>
  <c r="H90" i="1" s="1"/>
  <c r="E90" i="1"/>
  <c r="F90" i="1" s="1"/>
  <c r="C90" i="1"/>
  <c r="D90" i="1" s="1"/>
  <c r="K89" i="1"/>
  <c r="L89" i="1" s="1"/>
  <c r="I89" i="1"/>
  <c r="J89" i="1" s="1"/>
  <c r="G89" i="1"/>
  <c r="H89" i="1" s="1"/>
  <c r="E89" i="1"/>
  <c r="F89" i="1" s="1"/>
  <c r="C89" i="1"/>
  <c r="D89" i="1" s="1"/>
  <c r="K88" i="1"/>
  <c r="L88" i="1" s="1"/>
  <c r="I88" i="1"/>
  <c r="J88" i="1" s="1"/>
  <c r="G88" i="1"/>
  <c r="H88" i="1" s="1"/>
  <c r="E88" i="1"/>
  <c r="F88" i="1" s="1"/>
  <c r="C88" i="1"/>
  <c r="D88" i="1" s="1"/>
  <c r="K87" i="1"/>
  <c r="L87" i="1" s="1"/>
  <c r="I87" i="1"/>
  <c r="J87" i="1" s="1"/>
  <c r="G87" i="1"/>
  <c r="H87" i="1" s="1"/>
  <c r="E87" i="1"/>
  <c r="F87" i="1" s="1"/>
  <c r="C87" i="1"/>
  <c r="D87" i="1" s="1"/>
  <c r="K86" i="1"/>
  <c r="L86" i="1" s="1"/>
  <c r="I86" i="1"/>
  <c r="J86" i="1" s="1"/>
  <c r="G86" i="1"/>
  <c r="H86" i="1" s="1"/>
  <c r="E86" i="1"/>
  <c r="F86" i="1" s="1"/>
  <c r="C86" i="1"/>
  <c r="D86" i="1" s="1"/>
  <c r="K85" i="1"/>
  <c r="I85" i="1"/>
  <c r="G85" i="1"/>
  <c r="E85" i="1"/>
  <c r="C85" i="1"/>
  <c r="K84" i="1"/>
  <c r="I84" i="1"/>
  <c r="G84" i="1"/>
  <c r="E84" i="1"/>
  <c r="C84" i="1"/>
  <c r="K83" i="1"/>
  <c r="I83" i="1"/>
  <c r="G83" i="1"/>
  <c r="E83" i="1"/>
  <c r="C83" i="1"/>
  <c r="C125" i="1" l="1"/>
  <c r="B179" i="1"/>
  <c r="B177" i="1"/>
  <c r="B175" i="1"/>
  <c r="B173" i="1"/>
  <c r="B171" i="1"/>
  <c r="B169" i="1"/>
  <c r="B167" i="1"/>
  <c r="C167" i="1" s="1"/>
  <c r="B165" i="1"/>
  <c r="C165" i="1" s="1"/>
  <c r="B163" i="1"/>
  <c r="C163" i="1" s="1"/>
  <c r="B161" i="1"/>
  <c r="C161" i="1" s="1"/>
  <c r="B159" i="1"/>
  <c r="C159" i="1" s="1"/>
  <c r="B157" i="1"/>
  <c r="C157" i="1" s="1"/>
  <c r="B155" i="1"/>
  <c r="C155" i="1" s="1"/>
  <c r="B153" i="1"/>
  <c r="C153" i="1" s="1"/>
  <c r="B151" i="1"/>
  <c r="C151" i="1" s="1"/>
  <c r="B149" i="1"/>
  <c r="C149" i="1" s="1"/>
  <c r="B147" i="1"/>
  <c r="C147" i="1" s="1"/>
  <c r="B145" i="1"/>
  <c r="C145" i="1" s="1"/>
  <c r="B143" i="1"/>
  <c r="C143" i="1" s="1"/>
  <c r="B141" i="1"/>
  <c r="C141" i="1" s="1"/>
  <c r="B139" i="1"/>
  <c r="C139" i="1" s="1"/>
  <c r="B137" i="1"/>
  <c r="C137" i="1" s="1"/>
  <c r="B135" i="1"/>
  <c r="C135" i="1" s="1"/>
  <c r="B133" i="1"/>
  <c r="C133" i="1" s="1"/>
  <c r="B131" i="1"/>
  <c r="C131" i="1" s="1"/>
  <c r="B129" i="1"/>
  <c r="C129" i="1" s="1"/>
  <c r="B127" i="1"/>
  <c r="B178" i="1"/>
  <c r="B176" i="1"/>
  <c r="B174" i="1"/>
  <c r="B172" i="1"/>
  <c r="B170" i="1"/>
  <c r="B168" i="1"/>
  <c r="B166" i="1"/>
  <c r="C166" i="1" s="1"/>
  <c r="B164" i="1"/>
  <c r="C164" i="1" s="1"/>
  <c r="B162" i="1"/>
  <c r="C162" i="1" s="1"/>
  <c r="B160" i="1"/>
  <c r="C160" i="1" s="1"/>
  <c r="B158" i="1"/>
  <c r="C158" i="1" s="1"/>
  <c r="B156" i="1"/>
  <c r="C156" i="1" s="1"/>
  <c r="B154" i="1"/>
  <c r="C154" i="1" s="1"/>
  <c r="B152" i="1"/>
  <c r="C152" i="1" s="1"/>
  <c r="B150" i="1"/>
  <c r="C150" i="1" s="1"/>
  <c r="B148" i="1"/>
  <c r="C148" i="1" s="1"/>
  <c r="B146" i="1"/>
  <c r="C146" i="1" s="1"/>
  <c r="B144" i="1"/>
  <c r="C144" i="1" s="1"/>
  <c r="B142" i="1"/>
  <c r="C142" i="1" s="1"/>
  <c r="B140" i="1"/>
  <c r="C140" i="1" s="1"/>
  <c r="B138" i="1"/>
  <c r="C138" i="1" s="1"/>
  <c r="B136" i="1"/>
  <c r="C136" i="1" s="1"/>
  <c r="B134" i="1"/>
  <c r="C134" i="1" s="1"/>
  <c r="B132" i="1"/>
  <c r="C132" i="1" s="1"/>
  <c r="B130" i="1"/>
  <c r="C130" i="1" s="1"/>
  <c r="B128" i="1"/>
  <c r="C128" i="1" s="1"/>
  <c r="B126" i="1"/>
  <c r="E61" i="1"/>
  <c r="E60" i="1"/>
  <c r="E59" i="1"/>
  <c r="E58" i="1"/>
  <c r="E57" i="1"/>
  <c r="E56" i="1"/>
  <c r="E55" i="1"/>
  <c r="C61" i="1"/>
  <c r="C60" i="1"/>
  <c r="C59" i="1"/>
  <c r="C58" i="1"/>
  <c r="C57" i="1"/>
  <c r="C56" i="1"/>
  <c r="C55" i="1"/>
  <c r="I47" i="1"/>
  <c r="I46" i="1"/>
  <c r="I45" i="1"/>
  <c r="E62" i="1"/>
  <c r="C62" i="1"/>
  <c r="I52" i="1"/>
  <c r="J52" i="1" s="1"/>
  <c r="I51" i="1"/>
  <c r="J51" i="1" s="1"/>
  <c r="I64" i="1"/>
  <c r="J64" i="1" s="1"/>
  <c r="I50" i="1"/>
  <c r="J50" i="1" s="1"/>
  <c r="I63" i="1"/>
  <c r="J63" i="1" s="1"/>
  <c r="I49" i="1"/>
  <c r="J49" i="1" s="1"/>
  <c r="I62" i="1"/>
  <c r="J62" i="1" s="1"/>
  <c r="I48" i="1"/>
  <c r="J48" i="1" s="1"/>
  <c r="I61" i="1"/>
  <c r="I60" i="1"/>
  <c r="I59" i="1"/>
  <c r="G52" i="1"/>
  <c r="H52" i="1" s="1"/>
  <c r="E52" i="1"/>
  <c r="F52" i="1" s="1"/>
  <c r="C52" i="1"/>
  <c r="D52" i="1" s="1"/>
  <c r="K42" i="1"/>
  <c r="L42" i="1" s="1"/>
  <c r="G51" i="1"/>
  <c r="H51" i="1" s="1"/>
  <c r="E51" i="1"/>
  <c r="F51" i="1" s="1"/>
  <c r="C51" i="1"/>
  <c r="D51" i="1" s="1"/>
  <c r="K41" i="1"/>
  <c r="L41" i="1" s="1"/>
  <c r="G50" i="1"/>
  <c r="H50" i="1" s="1"/>
  <c r="E50" i="1"/>
  <c r="F50" i="1" s="1"/>
  <c r="C50" i="1"/>
  <c r="D50" i="1" s="1"/>
  <c r="K40" i="1"/>
  <c r="L40" i="1" s="1"/>
  <c r="G49" i="1"/>
  <c r="H49" i="1" s="1"/>
  <c r="E49" i="1"/>
  <c r="F49" i="1" s="1"/>
  <c r="C49" i="1"/>
  <c r="D49" i="1" s="1"/>
  <c r="K39" i="1"/>
  <c r="L39" i="1" s="1"/>
  <c r="G48" i="1"/>
  <c r="H48" i="1" s="1"/>
  <c r="E48" i="1"/>
  <c r="F48" i="1" s="1"/>
  <c r="C48" i="1"/>
  <c r="D48" i="1" s="1"/>
  <c r="K38" i="1"/>
  <c r="L38" i="1" s="1"/>
  <c r="G47" i="1"/>
  <c r="E47" i="1"/>
  <c r="C47" i="1"/>
  <c r="K37" i="1"/>
  <c r="G46" i="1"/>
  <c r="E46" i="1"/>
  <c r="C46" i="1"/>
  <c r="K36" i="1"/>
  <c r="G45" i="1"/>
  <c r="E45" i="1"/>
  <c r="C45" i="1"/>
  <c r="K35" i="1"/>
  <c r="I42" i="1"/>
  <c r="J42" i="1" s="1"/>
  <c r="I41" i="1"/>
  <c r="J41" i="1" s="1"/>
  <c r="I40" i="1"/>
  <c r="J40" i="1" s="1"/>
  <c r="I39" i="1"/>
  <c r="J39" i="1" s="1"/>
  <c r="I38" i="1"/>
  <c r="J38" i="1" s="1"/>
  <c r="I37" i="1"/>
  <c r="I36" i="1"/>
  <c r="I35" i="1"/>
  <c r="H41" i="1"/>
  <c r="G42" i="1"/>
  <c r="H42" i="1" s="1"/>
  <c r="G41" i="1"/>
  <c r="G40" i="1"/>
  <c r="H40" i="1" s="1"/>
  <c r="G39" i="1"/>
  <c r="H39" i="1" s="1"/>
  <c r="G38" i="1"/>
  <c r="H38" i="1" s="1"/>
  <c r="G37" i="1"/>
  <c r="G36" i="1"/>
  <c r="G35" i="1"/>
  <c r="E42" i="1"/>
  <c r="F42" i="1" s="1"/>
  <c r="C42" i="1"/>
  <c r="D42" i="1" s="1"/>
  <c r="E41" i="1"/>
  <c r="F41" i="1" s="1"/>
  <c r="C41" i="1"/>
  <c r="D41" i="1" s="1"/>
  <c r="E40" i="1"/>
  <c r="F40" i="1" s="1"/>
  <c r="C40" i="1"/>
  <c r="D40" i="1" s="1"/>
  <c r="E39" i="1"/>
  <c r="F39" i="1" s="1"/>
  <c r="C39" i="1"/>
  <c r="D39" i="1" s="1"/>
  <c r="E38" i="1"/>
  <c r="F38" i="1" s="1"/>
  <c r="C38" i="1"/>
  <c r="D38" i="1" s="1"/>
  <c r="E37" i="1"/>
  <c r="C37" i="1"/>
  <c r="E36" i="1"/>
  <c r="C36" i="1"/>
  <c r="E35" i="1"/>
  <c r="C35" i="1"/>
  <c r="D32" i="1"/>
  <c r="D31" i="1"/>
  <c r="D30" i="1"/>
  <c r="D29" i="1"/>
  <c r="D28" i="1"/>
  <c r="D27" i="1"/>
  <c r="D26" i="1"/>
  <c r="D25" i="1"/>
  <c r="C32" i="1"/>
  <c r="C31" i="1"/>
  <c r="C30" i="1"/>
  <c r="C29" i="1"/>
  <c r="C28" i="1"/>
  <c r="C27" i="1"/>
  <c r="C26" i="1"/>
  <c r="C25" i="1"/>
  <c r="C21" i="1"/>
  <c r="C20" i="1"/>
  <c r="C19" i="1"/>
  <c r="B17" i="1"/>
  <c r="K14" i="1"/>
  <c r="J14" i="1"/>
  <c r="I14" i="1"/>
  <c r="H14" i="1"/>
  <c r="G14" i="1"/>
  <c r="F14" i="1"/>
  <c r="D14" i="1"/>
  <c r="E14" i="1" s="1"/>
  <c r="C14" i="1"/>
  <c r="K13" i="1"/>
  <c r="J13" i="1"/>
  <c r="I13" i="1"/>
  <c r="H13" i="1"/>
  <c r="G13" i="1"/>
  <c r="F13" i="1"/>
  <c r="D13" i="1"/>
  <c r="E13" i="1" s="1"/>
  <c r="C13" i="1"/>
  <c r="K12" i="1"/>
  <c r="J12" i="1"/>
  <c r="I12" i="1"/>
  <c r="H12" i="1"/>
  <c r="G12" i="1"/>
  <c r="F12" i="1"/>
  <c r="D12" i="1"/>
  <c r="E12" i="1" s="1"/>
  <c r="C12" i="1"/>
  <c r="K11" i="1"/>
  <c r="J11" i="1"/>
  <c r="I11" i="1"/>
  <c r="H11" i="1"/>
  <c r="G11" i="1"/>
  <c r="F11" i="1"/>
  <c r="D11" i="1"/>
  <c r="E11" i="1" s="1"/>
  <c r="C11" i="1"/>
  <c r="K10" i="1"/>
  <c r="J10" i="1"/>
  <c r="I10" i="1"/>
  <c r="H10" i="1"/>
  <c r="G10" i="1"/>
  <c r="F10" i="1"/>
  <c r="E10" i="1"/>
  <c r="D10" i="1"/>
  <c r="C10" i="1"/>
  <c r="D125" i="1" s="1"/>
  <c r="C6" i="1"/>
  <c r="C7" i="1"/>
  <c r="C5" i="1"/>
  <c r="B3" i="1"/>
  <c r="B1" i="1"/>
  <c r="E168" i="1" l="1"/>
  <c r="D168" i="1"/>
  <c r="C168" i="1"/>
  <c r="E172" i="1"/>
  <c r="D172" i="1"/>
  <c r="C172" i="1"/>
  <c r="E176" i="1"/>
  <c r="D176" i="1"/>
  <c r="C176" i="1"/>
  <c r="D127" i="1"/>
  <c r="D128" i="1" s="1"/>
  <c r="D129" i="1" s="1"/>
  <c r="D130" i="1" s="1"/>
  <c r="C127" i="1"/>
  <c r="D171" i="1"/>
  <c r="C171" i="1"/>
  <c r="E171" i="1"/>
  <c r="D175" i="1"/>
  <c r="C175" i="1"/>
  <c r="E175" i="1"/>
  <c r="D179" i="1"/>
  <c r="C179" i="1"/>
  <c r="E179" i="1"/>
  <c r="E125" i="1"/>
  <c r="D126" i="1"/>
  <c r="C126" i="1"/>
  <c r="E170" i="1"/>
  <c r="D170" i="1"/>
  <c r="C170" i="1"/>
  <c r="E174" i="1"/>
  <c r="D174" i="1"/>
  <c r="C174" i="1"/>
  <c r="E178" i="1"/>
  <c r="D178" i="1"/>
  <c r="C178" i="1"/>
  <c r="D169" i="1"/>
  <c r="C169" i="1"/>
  <c r="E169" i="1"/>
  <c r="D173" i="1"/>
  <c r="C173" i="1"/>
  <c r="E173" i="1"/>
  <c r="D177" i="1"/>
  <c r="C177" i="1"/>
  <c r="E177" i="1"/>
  <c r="F125" i="1"/>
  <c r="E126" i="1" l="1"/>
  <c r="E127" i="1" s="1"/>
  <c r="E128" i="1" s="1"/>
  <c r="E129" i="1" s="1"/>
  <c r="E130" i="1" s="1"/>
  <c r="D182" i="1"/>
  <c r="G125" i="1"/>
  <c r="G126" i="1"/>
  <c r="F126" i="1"/>
  <c r="F127" i="1" s="1"/>
  <c r="F128" i="1" s="1"/>
  <c r="F129" i="1" s="1"/>
  <c r="F130" i="1" s="1"/>
  <c r="B182" i="1"/>
  <c r="B183" i="1"/>
  <c r="D131" i="1"/>
  <c r="G127" i="1" l="1"/>
  <c r="G128" i="1" s="1"/>
  <c r="G129" i="1" s="1"/>
  <c r="G130" i="1" s="1"/>
  <c r="D184" i="1"/>
  <c r="D185" i="1"/>
  <c r="F131" i="1"/>
  <c r="D183" i="1"/>
  <c r="D132" i="1"/>
  <c r="E131" i="1"/>
  <c r="G131" i="1" l="1"/>
  <c r="D186" i="1"/>
  <c r="F132" i="1"/>
  <c r="D133" i="1"/>
  <c r="E132" i="1"/>
  <c r="F133" i="1" l="1"/>
  <c r="G132" i="1"/>
  <c r="D134" i="1"/>
  <c r="E133" i="1"/>
  <c r="D187" i="1" l="1"/>
  <c r="G133" i="1"/>
  <c r="F134" i="1"/>
  <c r="D135" i="1"/>
  <c r="E134" i="1"/>
  <c r="F135" i="1" l="1"/>
  <c r="G134" i="1"/>
  <c r="D136" i="1"/>
  <c r="E135" i="1"/>
  <c r="G135" i="1" l="1"/>
  <c r="F136" i="1"/>
  <c r="D137" i="1"/>
  <c r="E136" i="1"/>
  <c r="F137" i="1" l="1"/>
  <c r="G136" i="1"/>
  <c r="D138" i="1"/>
  <c r="E137" i="1"/>
  <c r="G137" i="1" l="1"/>
  <c r="F138" i="1"/>
  <c r="D139" i="1"/>
  <c r="E138" i="1"/>
  <c r="F139" i="1" l="1"/>
  <c r="G138" i="1"/>
  <c r="D140" i="1"/>
  <c r="E139" i="1"/>
  <c r="G139" i="1" l="1"/>
  <c r="F140" i="1"/>
  <c r="D141" i="1"/>
  <c r="E140" i="1"/>
  <c r="F141" i="1" l="1"/>
  <c r="G140" i="1"/>
  <c r="D142" i="1"/>
  <c r="E141" i="1"/>
  <c r="G141" i="1" l="1"/>
  <c r="F142" i="1"/>
  <c r="D143" i="1"/>
  <c r="F143" i="1" s="1"/>
  <c r="E142" i="1"/>
  <c r="G142" i="1" l="1"/>
  <c r="D144" i="1"/>
  <c r="F144" i="1" s="1"/>
  <c r="E143" i="1"/>
  <c r="G143" i="1" l="1"/>
  <c r="D145" i="1"/>
  <c r="F145" i="1" s="1"/>
  <c r="E144" i="1"/>
  <c r="G144" i="1" l="1"/>
  <c r="D146" i="1"/>
  <c r="F146" i="1" s="1"/>
  <c r="E145" i="1"/>
  <c r="G145" i="1" l="1"/>
  <c r="D147" i="1"/>
  <c r="F147" i="1" s="1"/>
  <c r="E146" i="1"/>
  <c r="G146" i="1" l="1"/>
  <c r="D148" i="1"/>
  <c r="F148" i="1" s="1"/>
  <c r="E147" i="1"/>
  <c r="G147" i="1" l="1"/>
  <c r="D149" i="1"/>
  <c r="F149" i="1" s="1"/>
  <c r="E148" i="1"/>
  <c r="G148" i="1" l="1"/>
  <c r="D150" i="1"/>
  <c r="F150" i="1" s="1"/>
  <c r="E149" i="1"/>
  <c r="G149" i="1" l="1"/>
  <c r="D151" i="1"/>
  <c r="F151" i="1" s="1"/>
  <c r="E150" i="1"/>
  <c r="G150" i="1" l="1"/>
  <c r="D152" i="1"/>
  <c r="F152" i="1" s="1"/>
  <c r="E151" i="1"/>
  <c r="G151" i="1" l="1"/>
  <c r="D153" i="1"/>
  <c r="F153" i="1" s="1"/>
  <c r="E152" i="1"/>
  <c r="G152" i="1" l="1"/>
  <c r="D154" i="1"/>
  <c r="F154" i="1" s="1"/>
  <c r="E153" i="1"/>
  <c r="G153" i="1" l="1"/>
  <c r="D155" i="1"/>
  <c r="F155" i="1" s="1"/>
  <c r="E154" i="1"/>
  <c r="G154" i="1" l="1"/>
  <c r="D156" i="1"/>
  <c r="F156" i="1" s="1"/>
  <c r="E155" i="1"/>
  <c r="G155" i="1" l="1"/>
  <c r="D157" i="1"/>
  <c r="F157" i="1" s="1"/>
  <c r="E156" i="1"/>
  <c r="G156" i="1" l="1"/>
  <c r="D158" i="1"/>
  <c r="F158" i="1" s="1"/>
  <c r="E157" i="1"/>
  <c r="G157" i="1" l="1"/>
  <c r="D159" i="1"/>
  <c r="F159" i="1" s="1"/>
  <c r="E158" i="1"/>
  <c r="G158" i="1" l="1"/>
  <c r="D160" i="1"/>
  <c r="F160" i="1" s="1"/>
  <c r="E159" i="1"/>
  <c r="G159" i="1" l="1"/>
  <c r="D161" i="1"/>
  <c r="F161" i="1" s="1"/>
  <c r="E160" i="1"/>
  <c r="G160" i="1" l="1"/>
  <c r="D162" i="1"/>
  <c r="F162" i="1" s="1"/>
  <c r="E161" i="1"/>
  <c r="G161" i="1" l="1"/>
  <c r="D163" i="1"/>
  <c r="F163" i="1" s="1"/>
  <c r="E162" i="1"/>
  <c r="G162" i="1" l="1"/>
  <c r="D164" i="1"/>
  <c r="F164" i="1" s="1"/>
  <c r="E163" i="1"/>
  <c r="G163" i="1" l="1"/>
  <c r="D165" i="1"/>
  <c r="F165" i="1" s="1"/>
  <c r="E164" i="1"/>
  <c r="G164" i="1" l="1"/>
  <c r="D166" i="1"/>
  <c r="F166" i="1" s="1"/>
  <c r="E165" i="1"/>
  <c r="G165" i="1" l="1"/>
  <c r="D167" i="1"/>
  <c r="E166" i="1"/>
  <c r="G166" i="1" l="1"/>
  <c r="C191" i="1"/>
  <c r="B187" i="1"/>
  <c r="B185" i="1"/>
  <c r="B190" i="1"/>
  <c r="C183" i="1"/>
  <c r="C185" i="1"/>
  <c r="C186" i="1"/>
  <c r="B188" i="1"/>
  <c r="C188" i="1"/>
  <c r="D123" i="1"/>
  <c r="C184" i="1"/>
  <c r="B184" i="1"/>
  <c r="B189" i="1"/>
  <c r="B191" i="1"/>
  <c r="C182" i="1"/>
  <c r="C187" i="1"/>
  <c r="B186" i="1"/>
  <c r="C189" i="1"/>
  <c r="C190" i="1"/>
  <c r="F167" i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23" i="1" s="1"/>
  <c r="E167" i="1"/>
  <c r="E182" i="1" l="1"/>
  <c r="E189" i="1"/>
  <c r="D191" i="1"/>
  <c r="D188" i="1"/>
  <c r="E190" i="1"/>
  <c r="E186" i="1"/>
  <c r="E123" i="1"/>
  <c r="E183" i="1"/>
  <c r="E187" i="1"/>
  <c r="E191" i="1"/>
  <c r="E188" i="1"/>
  <c r="D189" i="1"/>
  <c r="D190" i="1"/>
  <c r="E184" i="1"/>
  <c r="E185" i="1"/>
  <c r="G167" i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23" i="1" s="1"/>
</calcChain>
</file>

<file path=xl/sharedStrings.xml><?xml version="1.0" encoding="utf-8"?>
<sst xmlns="http://schemas.openxmlformats.org/spreadsheetml/2006/main" count="336" uniqueCount="206">
  <si>
    <t xml:space="preserve">                   Manager Profile for 1999 Chinatrust Whales</t>
  </si>
  <si>
    <t xml:space="preserve"> </t>
  </si>
  <si>
    <t>Pitching Chart</t>
  </si>
  <si>
    <t>Usage mode:    Strict</t>
  </si>
  <si>
    <t>Rotation size: 4</t>
  </si>
  <si>
    <t>Next starter:  1</t>
  </si>
  <si>
    <t xml:space="preserve">Starting Rotation   Johnson,Ra        Boehringer        Lima              Burba                               </t>
  </si>
  <si>
    <t xml:space="preserve">Spot Starters                                                                                                 </t>
  </si>
  <si>
    <t xml:space="preserve">Spot Pct                                                                                                      </t>
  </si>
  <si>
    <t xml:space="preserve">Mopup situations    Loaiza            Boehringer                                                              </t>
  </si>
  <si>
    <t xml:space="preserve">Long relievers      Trombley          Shuey             Montgomery,S      Quantrill         Perisho           </t>
  </si>
  <si>
    <t xml:space="preserve">Setup vs LHB        Quantrill         Montgomery,S      Trombley          Perisho           Shuey             </t>
  </si>
  <si>
    <t xml:space="preserve">Setup vs RHB        Perisho           Quantrill         Shuey             Montgomery,S      Trombley          </t>
  </si>
  <si>
    <t xml:space="preserve">Closers vs LHB      Rivera,M          Montgomery,S                                                            </t>
  </si>
  <si>
    <t xml:space="preserve">Closers vs RHB      Rivera,M          Quantrill                                                               </t>
  </si>
  <si>
    <t>....................................................................................................</t>
  </si>
  <si>
    <t>Depth Chart for 1999 Chinatrust Whales -- vs LHP</t>
  </si>
  <si>
    <t>Usage: Game by game        Versus: Left        DH: No</t>
  </si>
  <si>
    <t>Starting Lineup</t>
  </si>
  <si>
    <t>1: Henderson        lf</t>
  </si>
  <si>
    <t>2: Bordick          ss</t>
  </si>
  <si>
    <t>3: Sanders,R        cf</t>
  </si>
  <si>
    <t>4: Jones,C          3b</t>
  </si>
  <si>
    <t>5: McGwire          1b</t>
  </si>
  <si>
    <t>6: Howard,T         rf</t>
  </si>
  <si>
    <t>7: Reese            2b</t>
  </si>
  <si>
    <t>8: Pratt            c</t>
  </si>
  <si>
    <t xml:space="preserve">      ----- Catcher -----  --- First Base ----  --- Second Base ---  --- Third Base ----</t>
  </si>
  <si>
    <t xml:space="preserve">Start Pratt                McGwire              Reese                Jones,C         </t>
  </si>
  <si>
    <t xml:space="preserve">Plat                                                                                 </t>
  </si>
  <si>
    <t xml:space="preserve">Def                        Durazo               Reese                                </t>
  </si>
  <si>
    <t xml:space="preserve">Util1 Kinkade           0  Buhner            0                       Battle            0  </t>
  </si>
  <si>
    <t xml:space="preserve">Util2 Pratt             0                                                            </t>
  </si>
  <si>
    <t xml:space="preserve">Util3 Johnson,B         0                                                            </t>
  </si>
  <si>
    <t xml:space="preserve">Util4                                                                                </t>
  </si>
  <si>
    <t xml:space="preserve">Util5                                                                                </t>
  </si>
  <si>
    <t xml:space="preserve">      ---- Shortstop ----  --- Left Field ----  -- Center Field ---  --- Right Field ---</t>
  </si>
  <si>
    <t xml:space="preserve">Start Bordick              Henderson            Sanders,R            Howard,T        </t>
  </si>
  <si>
    <t xml:space="preserve">Plat                                                                 Everett         </t>
  </si>
  <si>
    <t xml:space="preserve">Def                                             Everett              Santangelo      </t>
  </si>
  <si>
    <t xml:space="preserve">Util1                                                                                </t>
  </si>
  <si>
    <t xml:space="preserve">Util2                                                                                </t>
  </si>
  <si>
    <t xml:space="preserve">Util3                                                                                </t>
  </si>
  <si>
    <t xml:space="preserve">       Designated Hitter   ---- PH vs LHP ----  ---- PH vs RHP ----</t>
  </si>
  <si>
    <t xml:space="preserve">Start                                      </t>
  </si>
  <si>
    <t xml:space="preserve">Plat                                       </t>
  </si>
  <si>
    <t xml:space="preserve">Def                                        </t>
  </si>
  <si>
    <t xml:space="preserve">Util1                      Battle               Canizaro        </t>
  </si>
  <si>
    <t xml:space="preserve">Util2                      Durazo               Everett         </t>
  </si>
  <si>
    <t xml:space="preserve">Util3                      Santangelo           Durazo          </t>
  </si>
  <si>
    <t xml:space="preserve">Util4                      Everett              Benard          </t>
  </si>
  <si>
    <t xml:space="preserve">Util5                      Reese                Santangelo      </t>
  </si>
  <si>
    <t>Depth Chart for 1999 Chinatrust Whales -- vs RHP</t>
  </si>
  <si>
    <t>Usage: Game by game        Versus: Right        DH: No</t>
  </si>
  <si>
    <t>1: Everett          cf</t>
  </si>
  <si>
    <t>2: Jones,C          3b</t>
  </si>
  <si>
    <t>3: Sanders,R        rf</t>
  </si>
  <si>
    <t>4: McGwire          1b</t>
  </si>
  <si>
    <t>5: Benard           lf</t>
  </si>
  <si>
    <t>6: LaRue            c</t>
  </si>
  <si>
    <t>8: Bordick          ss</t>
  </si>
  <si>
    <t xml:space="preserve">Start LaRue                McGwire              Reese                Jones,C         </t>
  </si>
  <si>
    <t xml:space="preserve">Plat  Servais                                                                        </t>
  </si>
  <si>
    <t xml:space="preserve">Util1 Decker            0  Durazo           25  Canizaro          0                  </t>
  </si>
  <si>
    <t xml:space="preserve">Util3 Spehr             0                                                            </t>
  </si>
  <si>
    <t xml:space="preserve">Util4 LaRue             0                                                            </t>
  </si>
  <si>
    <t xml:space="preserve">Util5 Servais           0                                                            </t>
  </si>
  <si>
    <t xml:space="preserve">Start Bordick              Benard               Everett              Sanders,R       </t>
  </si>
  <si>
    <t xml:space="preserve">Plat  Bordick              Henderson                                                 </t>
  </si>
  <si>
    <t xml:space="preserve">Def   Bordick              Benard                                    Sanders,R       </t>
  </si>
  <si>
    <t xml:space="preserve">Util1 Reese             0  Everett           0  Benard            0  Henderson        50  </t>
  </si>
  <si>
    <t xml:space="preserve">Util2                      Henderson         0                       Buhner           25  </t>
  </si>
  <si>
    <t xml:space="preserve">Util2                      Henderson            McGwire         </t>
  </si>
  <si>
    <t xml:space="preserve">Util3                                           Durazo          </t>
  </si>
  <si>
    <t xml:space="preserve">Util4                      McGwire              Sanders,R       </t>
  </si>
  <si>
    <t xml:space="preserve">Util5                      Sanders,R            Henderson       </t>
  </si>
  <si>
    <t>Manager Tendencies</t>
  </si>
  <si>
    <t>Bunting for a hit:        Less frequent</t>
  </si>
  <si>
    <t>Sacrifice bunting:        Least frequent</t>
  </si>
  <si>
    <t>Squeeze bunting:          Less frequent</t>
  </si>
  <si>
    <t>Hit and run:              Least frequent</t>
  </si>
  <si>
    <t>Stealing:                 Less frequent</t>
  </si>
  <si>
    <t>Running:                  Less frequent</t>
  </si>
  <si>
    <t>Taking pitches:           More frequent</t>
  </si>
  <si>
    <t>PH for a pitcher:         Less frequent</t>
  </si>
  <si>
    <t>PH for a non-pitcher:     Neutral</t>
  </si>
  <si>
    <t>PH for platoon player:    Neutral</t>
  </si>
  <si>
    <t>PH in a blowout:          More frequent</t>
  </si>
  <si>
    <t>Pitching around:          Less frequent</t>
  </si>
  <si>
    <t>Intentional walk:         Least frequent</t>
  </si>
  <si>
    <t>Pickoff throws:           Neutral</t>
  </si>
  <si>
    <t>Pitching out:             Least frequent</t>
  </si>
  <si>
    <t>Using relievers:          Less frequent</t>
  </si>
  <si>
    <t>Using closers:            More frequent</t>
  </si>
  <si>
    <t>Holding runners:          Neutral</t>
  </si>
  <si>
    <t>Infield in:               Least frequent</t>
  </si>
  <si>
    <t>Guard lines:              Least frequent</t>
  </si>
  <si>
    <t>Player-specific tendencies</t>
  </si>
  <si>
    <t>(++ most, + more, = neutral, - less, -- least, N never)</t>
  </si>
  <si>
    <t xml:space="preserve">Player          BHt BSc BSq H&amp;R Stl Run Tak PHL PHR PHP Blw Ard IBB Pck Out Rel Cls </t>
  </si>
  <si>
    <t>Playing Time Limits</t>
  </si>
  <si>
    <t xml:space="preserve">                  Maximum Atbats</t>
  </si>
  <si>
    <t>Player            vsLHP    vsRHP    Starts    Relief App</t>
  </si>
  <si>
    <t>Battle              11        6          0            0</t>
  </si>
  <si>
    <t>Benard             114      448          0            0</t>
  </si>
  <si>
    <t>Boehringer           0        0         11           22</t>
  </si>
  <si>
    <t>Bordick            107      524          0            0</t>
  </si>
  <si>
    <t>Buhner              64      202          0            0</t>
  </si>
  <si>
    <t>Burba                0        0         34            0</t>
  </si>
  <si>
    <t>Canizaro            10        8          0            0</t>
  </si>
  <si>
    <t>Castillo,A          86      169          0            0</t>
  </si>
  <si>
    <t>Decker              28       35          0            0</t>
  </si>
  <si>
    <t>Durazo              18      137          0            0</t>
  </si>
  <si>
    <t>Everett            117      347          0            0</t>
  </si>
  <si>
    <t>Gonzalez,AS         41      113          0            0</t>
  </si>
  <si>
    <t>Henderson          105      333          0            0</t>
  </si>
  <si>
    <t>Howard,T            37      158          0            0</t>
  </si>
  <si>
    <t>Johnson,B           60       57          0            0</t>
  </si>
  <si>
    <t>Johnson,Ra           0        0         35            0</t>
  </si>
  <si>
    <t>Jones,C            142      425          0            0</t>
  </si>
  <si>
    <t>Kida                 0        0          0           49</t>
  </si>
  <si>
    <t>Kinkade             19       27          0            0</t>
  </si>
  <si>
    <t>LaRue               37       53          0            0</t>
  </si>
  <si>
    <t>Lima                 0        0         35            0</t>
  </si>
  <si>
    <t>Loaiza               0        0         15           15</t>
  </si>
  <si>
    <t>Luke                 9       21          0            0</t>
  </si>
  <si>
    <t>Martin,T             0        0          0            6</t>
  </si>
  <si>
    <t>Mateo               20      102          0            0</t>
  </si>
  <si>
    <t>Matthews            20       16          0            0</t>
  </si>
  <si>
    <t>McElroy              0        0          0           56</t>
  </si>
  <si>
    <t>McGwire            122      399          0            0</t>
  </si>
  <si>
    <t>Montgomery,S         0        0          0           53</t>
  </si>
  <si>
    <t>Orie                57      183          0            0</t>
  </si>
  <si>
    <t>Perisho              0        0          1            3</t>
  </si>
  <si>
    <t>Pratt               43       97          0            0</t>
  </si>
  <si>
    <t>Quantrill            0        0          0           41</t>
  </si>
  <si>
    <t>Reese              146      439          0            0</t>
  </si>
  <si>
    <t>Reynolds             0        0         35            0</t>
  </si>
  <si>
    <t>Rivera,M             0        0          0           66</t>
  </si>
  <si>
    <t>Sanders,R          142      336          0            0</t>
  </si>
  <si>
    <t>Santangelo         132      122          0            0</t>
  </si>
  <si>
    <t>Servais             89      109          0            0</t>
  </si>
  <si>
    <t>Shuey                0        0          0           72</t>
  </si>
  <si>
    <t>Spehr               48      107          0            0</t>
  </si>
  <si>
    <t>Thompson,M           0        0          5            0</t>
  </si>
  <si>
    <t>Trombley             0        0          0           75</t>
  </si>
  <si>
    <t>12345678901234567890123456789012345678901234567890123456789012345678901234567890123456789012345678901234567890</t>
  </si>
  <si>
    <t>Usage Mode:</t>
  </si>
  <si>
    <t>Rotation Size:</t>
  </si>
  <si>
    <t>Next Starter:</t>
  </si>
  <si>
    <t>Spot Starters</t>
  </si>
  <si>
    <t>%</t>
  </si>
  <si>
    <t>Mopup</t>
  </si>
  <si>
    <t>Long</t>
  </si>
  <si>
    <t>Setup Vs LHB</t>
  </si>
  <si>
    <t>Setup vs RHB</t>
  </si>
  <si>
    <t>Closers vs RHB</t>
  </si>
  <si>
    <t>Closers vs LHB</t>
  </si>
  <si>
    <t>Usage:</t>
  </si>
  <si>
    <t>Versus:</t>
  </si>
  <si>
    <t>DH:</t>
  </si>
  <si>
    <t>Start</t>
  </si>
  <si>
    <t>Plat</t>
  </si>
  <si>
    <t>Def</t>
  </si>
  <si>
    <t>Util1</t>
  </si>
  <si>
    <t>Util2</t>
  </si>
  <si>
    <t>Util3</t>
  </si>
  <si>
    <t>Util4</t>
  </si>
  <si>
    <t>Util5</t>
  </si>
  <si>
    <t>Catcher</t>
  </si>
  <si>
    <t>First Base</t>
  </si>
  <si>
    <t>Second Base</t>
  </si>
  <si>
    <t>Third Base</t>
  </si>
  <si>
    <t>Shortstop</t>
  </si>
  <si>
    <t>Left Field</t>
  </si>
  <si>
    <t>Right Field</t>
  </si>
  <si>
    <t>Center Field</t>
  </si>
  <si>
    <t>PH vs LHP</t>
  </si>
  <si>
    <t>PH vs RHP</t>
  </si>
  <si>
    <t>Designated Hitter</t>
  </si>
  <si>
    <t>Pos</t>
  </si>
  <si>
    <t>Rotation</t>
  </si>
  <si>
    <t>Roster</t>
  </si>
  <si>
    <t>Active Pitcher</t>
  </si>
  <si>
    <t>Active Batter</t>
  </si>
  <si>
    <t>Farm Pitcher</t>
  </si>
  <si>
    <t>Farm Batter</t>
  </si>
  <si>
    <t>Pitcher/Batter</t>
  </si>
  <si>
    <t>BUILD ROSTER</t>
  </si>
  <si>
    <t>Active Pitchers</t>
  </si>
  <si>
    <t>Farm Pitchers</t>
  </si>
  <si>
    <t>Farm Batters</t>
  </si>
  <si>
    <t>Active Batters</t>
  </si>
  <si>
    <t>PITCHING CHART</t>
  </si>
  <si>
    <t>Slot</t>
  </si>
  <si>
    <t>Starters</t>
  </si>
  <si>
    <t>Spot Starter</t>
  </si>
  <si>
    <t>Spot%</t>
  </si>
  <si>
    <t>Setup vs L</t>
  </si>
  <si>
    <t>Setup vs R</t>
  </si>
  <si>
    <t>Closer vs L</t>
  </si>
  <si>
    <t>Closer vs R</t>
  </si>
  <si>
    <t>DEPTH CHART VS LHP</t>
  </si>
  <si>
    <t>Pitcher</t>
  </si>
  <si>
    <t>Player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</si>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</sst>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Lucida Sans Typewriter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18"/>
  <sheetViews>
    <sheetView tabSelected="1" topLeftCell="B1" zoomScale="85" zoomScaleNormal="85" workbookViewId="0">
      <pane ySplit="2" topLeftCell="A148" activePane="bottomLeft" state="frozen"/>
      <selection activeCell="I182" sqref="I182:K182"/>
      <selection pane="bottomLeft" activeCell="J170" sqref="J170"/>
    </sheetView>
  </sheetViews>
  <sheetFormatPr defaultColWidth="9" defaultRowHeight="12.75" x14ac:dyDescent="0.2"/>
  <cols>
    <col min="1" max="1" width="135.5703125" style="3" bestFit="1" customWidth="1"/>
    <col min="2" max="12" width="20.5703125" style="5" customWidth="1"/>
    <col min="13" max="16384" width="9" style="1"/>
  </cols>
  <sheetData>
    <row r="1" spans="1:11" x14ac:dyDescent="0.2">
      <c r="A1" s="3" t="s">
        <v>0</v>
      </c>
      <c r="B1" s="5" t="str">
        <f>TRIM(A1)</f>
        <v>Manager Profile for 1999 Chinatrust Whales</v>
      </c>
    </row>
    <row r="2" spans="1:11" x14ac:dyDescent="0.2">
      <c r="A2" s="4" t="s">
        <v>146</v>
      </c>
    </row>
    <row r="3" spans="1:11" x14ac:dyDescent="0.2">
      <c r="A3" s="3" t="s">
        <v>2</v>
      </c>
      <c r="B3" s="5" t="str">
        <f>TRIM(A3)</f>
        <v>Pitching Chart</v>
      </c>
    </row>
    <row r="4" spans="1:11" x14ac:dyDescent="0.2">
      <c r="A4" s="3" t="s">
        <v>1</v>
      </c>
    </row>
    <row r="5" spans="1:11" x14ac:dyDescent="0.2">
      <c r="A5" s="3" t="s">
        <v>3</v>
      </c>
      <c r="B5" s="5" t="s">
        <v>147</v>
      </c>
      <c r="C5" s="5" t="str">
        <f>TRIM(MID(A5,16,6))</f>
        <v>Strict</v>
      </c>
    </row>
    <row r="6" spans="1:11" x14ac:dyDescent="0.2">
      <c r="A6" s="3" t="s">
        <v>4</v>
      </c>
      <c r="B6" s="5" t="s">
        <v>148</v>
      </c>
      <c r="C6" s="5">
        <f>1*MID(A6,16,1)</f>
        <v>4</v>
      </c>
    </row>
    <row r="7" spans="1:11" x14ac:dyDescent="0.2">
      <c r="A7" s="3" t="s">
        <v>5</v>
      </c>
      <c r="B7" s="5" t="s">
        <v>149</v>
      </c>
      <c r="C7" s="5">
        <f>1*MID(A7,16,1)</f>
        <v>1</v>
      </c>
      <c r="D7" s="5" t="str">
        <f>VLOOKUP(C7,$B$10:$C$14,2,0)</f>
        <v>Johnson,Ra</v>
      </c>
    </row>
    <row r="8" spans="1:11" x14ac:dyDescent="0.2">
      <c r="A8" s="3" t="s">
        <v>1</v>
      </c>
    </row>
    <row r="9" spans="1:11" x14ac:dyDescent="0.2">
      <c r="A9" s="3" t="s">
        <v>6</v>
      </c>
      <c r="C9" s="5" t="s">
        <v>181</v>
      </c>
      <c r="D9" s="5" t="s">
        <v>150</v>
      </c>
      <c r="E9" s="5" t="s">
        <v>151</v>
      </c>
      <c r="F9" s="5" t="s">
        <v>152</v>
      </c>
      <c r="G9" s="5" t="s">
        <v>153</v>
      </c>
      <c r="H9" s="5" t="s">
        <v>154</v>
      </c>
      <c r="I9" s="5" t="s">
        <v>155</v>
      </c>
      <c r="J9" s="5" t="s">
        <v>157</v>
      </c>
      <c r="K9" s="5" t="s">
        <v>156</v>
      </c>
    </row>
    <row r="10" spans="1:11" x14ac:dyDescent="0.2">
      <c r="A10" s="3" t="s">
        <v>7</v>
      </c>
      <c r="B10" s="5">
        <v>1</v>
      </c>
      <c r="C10" s="5" t="str">
        <f>TRIM(MID(A$9,21,18))</f>
        <v>Johnson,Ra</v>
      </c>
      <c r="D10" s="5" t="str">
        <f>TRIM(MID(A$10,21,18))</f>
        <v/>
      </c>
      <c r="E10" s="5" t="str">
        <f>IF(D10="","",1*TRIM(MID(A$11,21,18)))</f>
        <v/>
      </c>
      <c r="F10" s="5" t="str">
        <f>TRIM(MID(A$13,21,18))</f>
        <v>Loaiza</v>
      </c>
      <c r="G10" s="5" t="str">
        <f>TRIM(MID(A$14,21,18))</f>
        <v>Trombley</v>
      </c>
      <c r="H10" s="5" t="str">
        <f>TRIM(MID(A$15,21,18))</f>
        <v>Quantrill</v>
      </c>
      <c r="I10" s="5" t="str">
        <f>TRIM(MID(A$16,21,18))</f>
        <v>Perisho</v>
      </c>
      <c r="J10" s="5" t="str">
        <f>TRIM(MID(A$17,21,18))</f>
        <v>Rivera,M</v>
      </c>
      <c r="K10" s="5" t="str">
        <f>TRIM(MID(A$18,21,18))</f>
        <v>Rivera,M</v>
      </c>
    </row>
    <row r="11" spans="1:11" x14ac:dyDescent="0.2">
      <c r="A11" s="3" t="s">
        <v>8</v>
      </c>
      <c r="B11" s="5">
        <v>2</v>
      </c>
      <c r="C11" s="5" t="str">
        <f>TRIM(MID(A$9,39,18))</f>
        <v>Boehringer</v>
      </c>
      <c r="D11" s="5" t="str">
        <f>TRIM(MID(A$10,39,18))</f>
        <v/>
      </c>
      <c r="E11" s="5" t="str">
        <f>IF(D11="","",1*TRIM(MID(A$11,39,18)))</f>
        <v/>
      </c>
      <c r="F11" s="5" t="str">
        <f>TRIM(MID(A$13,39,18))</f>
        <v>Boehringer</v>
      </c>
      <c r="G11" s="5" t="str">
        <f>TRIM(MID(A$14,39,18))</f>
        <v>Shuey</v>
      </c>
      <c r="H11" s="5" t="str">
        <f>TRIM(MID(A$15,39,18))</f>
        <v>Montgomery,S</v>
      </c>
      <c r="I11" s="5" t="str">
        <f>TRIM(MID(A$16,39,18))</f>
        <v>Quantrill</v>
      </c>
      <c r="J11" s="5" t="str">
        <f>TRIM(MID(A$17,39,18))</f>
        <v>Montgomery,S</v>
      </c>
      <c r="K11" s="5" t="str">
        <f>TRIM(MID(A$18,39,18))</f>
        <v>Quantrill</v>
      </c>
    </row>
    <row r="12" spans="1:11" x14ac:dyDescent="0.2">
      <c r="A12" s="3" t="s">
        <v>1</v>
      </c>
      <c r="B12" s="5">
        <v>3</v>
      </c>
      <c r="C12" s="5" t="str">
        <f>TRIM(MID(A$9,57,18))</f>
        <v>Lima</v>
      </c>
      <c r="D12" s="5" t="str">
        <f>TRIM(MID(A$10,57,18))</f>
        <v/>
      </c>
      <c r="E12" s="5" t="str">
        <f>IF(D12="","",1*TRIM(MID(A$11,57,18)))</f>
        <v/>
      </c>
      <c r="F12" s="5" t="str">
        <f>TRIM(MID(A$13,57,18))</f>
        <v/>
      </c>
      <c r="G12" s="5" t="str">
        <f>TRIM(MID(A$14,57,18))</f>
        <v>Montgomery,S</v>
      </c>
      <c r="H12" s="5" t="str">
        <f>TRIM(MID(A$15,57,18))</f>
        <v>Trombley</v>
      </c>
      <c r="I12" s="5" t="str">
        <f>TRIM(MID(A$16,57,18))</f>
        <v>Shuey</v>
      </c>
      <c r="J12" s="5" t="str">
        <f>TRIM(MID(A$17,57,18))</f>
        <v/>
      </c>
      <c r="K12" s="5" t="str">
        <f>TRIM(MID(A$18,57,18))</f>
        <v/>
      </c>
    </row>
    <row r="13" spans="1:11" x14ac:dyDescent="0.2">
      <c r="A13" s="3" t="s">
        <v>9</v>
      </c>
      <c r="B13" s="5">
        <v>4</v>
      </c>
      <c r="C13" s="5" t="str">
        <f>TRIM(MID(A$9,75,18))</f>
        <v>Burba</v>
      </c>
      <c r="D13" s="5" t="str">
        <f>TRIM(MID(A$10,75,18))</f>
        <v/>
      </c>
      <c r="E13" s="5" t="str">
        <f>IF(D13="","",1*TRIM(MID(A$11,75,18)))</f>
        <v/>
      </c>
      <c r="F13" s="5" t="str">
        <f>TRIM(MID(A$13,75,18))</f>
        <v/>
      </c>
      <c r="G13" s="5" t="str">
        <f>TRIM(MID(A$14,75,18))</f>
        <v>Quantrill</v>
      </c>
      <c r="H13" s="5" t="str">
        <f>TRIM(MID(A$15,75,18))</f>
        <v>Perisho</v>
      </c>
      <c r="I13" s="5" t="str">
        <f>TRIM(MID(A$16,75,18))</f>
        <v>Montgomery,S</v>
      </c>
      <c r="J13" s="5" t="str">
        <f>TRIM(MID(A$17,75,18))</f>
        <v/>
      </c>
      <c r="K13" s="5" t="str">
        <f>TRIM(MID(A$18,75,18))</f>
        <v/>
      </c>
    </row>
    <row r="14" spans="1:11" x14ac:dyDescent="0.2">
      <c r="A14" s="3" t="s">
        <v>10</v>
      </c>
      <c r="B14" s="5">
        <v>5</v>
      </c>
      <c r="C14" s="5" t="str">
        <f>TRIM(MID(A$9,93,18))</f>
        <v/>
      </c>
      <c r="D14" s="5" t="str">
        <f>TRIM(MID(A$10,93,18))</f>
        <v/>
      </c>
      <c r="E14" s="5" t="str">
        <f>IF(D14="","",1*TRIM(MID(A$11,93,18)))</f>
        <v/>
      </c>
      <c r="F14" s="5" t="str">
        <f>TRIM(MID(A$13,93,18))</f>
        <v/>
      </c>
      <c r="G14" s="5" t="str">
        <f>TRIM(MID(A$14,93,18))</f>
        <v>Perisho</v>
      </c>
      <c r="H14" s="5" t="str">
        <f>TRIM(MID(A$15,93,18))</f>
        <v>Shuey</v>
      </c>
      <c r="I14" s="5" t="str">
        <f>TRIM(MID(A$16,93,18))</f>
        <v>Trombley</v>
      </c>
      <c r="J14" s="5" t="str">
        <f>TRIM(MID(A$17,93,18))</f>
        <v/>
      </c>
      <c r="K14" s="5" t="str">
        <f>TRIM(MID(A$18,93,18))</f>
        <v/>
      </c>
    </row>
    <row r="15" spans="1:11" x14ac:dyDescent="0.2">
      <c r="A15" s="3" t="s">
        <v>11</v>
      </c>
    </row>
    <row r="16" spans="1:11" x14ac:dyDescent="0.2">
      <c r="A16" s="3" t="s">
        <v>12</v>
      </c>
    </row>
    <row r="17" spans="1:4" x14ac:dyDescent="0.2">
      <c r="A17" s="3" t="s">
        <v>13</v>
      </c>
      <c r="B17" s="5" t="str">
        <f>TRIM(A23)</f>
        <v>Depth Chart for 1999 Chinatrust Whales -- vs LHP</v>
      </c>
    </row>
    <row r="18" spans="1:4" x14ac:dyDescent="0.2">
      <c r="A18" s="3" t="s">
        <v>14</v>
      </c>
    </row>
    <row r="19" spans="1:4" x14ac:dyDescent="0.2">
      <c r="B19" s="5" t="s">
        <v>158</v>
      </c>
      <c r="C19" s="5" t="str">
        <f>TRIM(MID(A26,8,18))</f>
        <v>Game by game</v>
      </c>
    </row>
    <row r="20" spans="1:4" x14ac:dyDescent="0.2">
      <c r="A20" s="3" t="s">
        <v>15</v>
      </c>
      <c r="B20" s="5" t="s">
        <v>159</v>
      </c>
      <c r="C20" s="5" t="str">
        <f>TRIM(MID(A26,36,5))</f>
        <v>Left</v>
      </c>
    </row>
    <row r="21" spans="1:4" x14ac:dyDescent="0.2">
      <c r="A21" s="3" t="s">
        <v>0</v>
      </c>
      <c r="B21" s="5" t="s">
        <v>160</v>
      </c>
      <c r="C21" s="5" t="str">
        <f>TRIM(MID(A26,52,3))</f>
        <v>No</v>
      </c>
    </row>
    <row r="22" spans="1:4" x14ac:dyDescent="0.2">
      <c r="A22" s="3" t="s">
        <v>1</v>
      </c>
    </row>
    <row r="23" spans="1:4" x14ac:dyDescent="0.2">
      <c r="A23" s="3" t="s">
        <v>16</v>
      </c>
      <c r="B23" s="5" t="s">
        <v>18</v>
      </c>
    </row>
    <row r="24" spans="1:4" x14ac:dyDescent="0.2">
      <c r="A24" s="3" t="s">
        <v>1</v>
      </c>
    </row>
    <row r="25" spans="1:4" x14ac:dyDescent="0.2">
      <c r="A25" s="3" t="s">
        <v>1</v>
      </c>
      <c r="B25" s="5">
        <v>1</v>
      </c>
      <c r="C25" s="5" t="str">
        <f>TRIM(MID(A30,4,16))</f>
        <v>Henderson</v>
      </c>
      <c r="D25" s="5" t="str">
        <f>TRIM(MID(A30,21,2))</f>
        <v>lf</v>
      </c>
    </row>
    <row r="26" spans="1:4" x14ac:dyDescent="0.2">
      <c r="A26" s="3" t="s">
        <v>17</v>
      </c>
      <c r="B26" s="5">
        <v>2</v>
      </c>
      <c r="C26" s="5" t="str">
        <f t="shared" ref="C26:C32" si="0">TRIM(MID(A31,4,16))</f>
        <v>Bordick</v>
      </c>
      <c r="D26" s="5" t="str">
        <f t="shared" ref="D26:D32" si="1">TRIM(MID(A31,21,2))</f>
        <v>ss</v>
      </c>
    </row>
    <row r="27" spans="1:4" x14ac:dyDescent="0.2">
      <c r="A27" s="3" t="s">
        <v>1</v>
      </c>
      <c r="B27" s="5">
        <v>3</v>
      </c>
      <c r="C27" s="5" t="str">
        <f t="shared" si="0"/>
        <v>Sanders,R</v>
      </c>
      <c r="D27" s="5" t="str">
        <f t="shared" si="1"/>
        <v>cf</v>
      </c>
    </row>
    <row r="28" spans="1:4" x14ac:dyDescent="0.2">
      <c r="A28" s="3" t="s">
        <v>18</v>
      </c>
      <c r="B28" s="5">
        <v>4</v>
      </c>
      <c r="C28" s="5" t="str">
        <f t="shared" si="0"/>
        <v>Jones,C</v>
      </c>
      <c r="D28" s="5" t="str">
        <f t="shared" si="1"/>
        <v>3b</v>
      </c>
    </row>
    <row r="29" spans="1:4" x14ac:dyDescent="0.2">
      <c r="A29" s="3" t="s">
        <v>1</v>
      </c>
      <c r="B29" s="5">
        <v>5</v>
      </c>
      <c r="C29" s="5" t="str">
        <f t="shared" si="0"/>
        <v>McGwire</v>
      </c>
      <c r="D29" s="5" t="str">
        <f t="shared" si="1"/>
        <v>1b</v>
      </c>
    </row>
    <row r="30" spans="1:4" x14ac:dyDescent="0.2">
      <c r="A30" s="3" t="s">
        <v>19</v>
      </c>
      <c r="B30" s="5">
        <v>6</v>
      </c>
      <c r="C30" s="5" t="str">
        <f t="shared" si="0"/>
        <v>Howard,T</v>
      </c>
      <c r="D30" s="5" t="str">
        <f t="shared" si="1"/>
        <v>rf</v>
      </c>
    </row>
    <row r="31" spans="1:4" x14ac:dyDescent="0.2">
      <c r="A31" s="3" t="s">
        <v>20</v>
      </c>
      <c r="B31" s="5">
        <v>7</v>
      </c>
      <c r="C31" s="5" t="str">
        <f t="shared" si="0"/>
        <v>Reese</v>
      </c>
      <c r="D31" s="5" t="str">
        <f t="shared" si="1"/>
        <v>2b</v>
      </c>
    </row>
    <row r="32" spans="1:4" x14ac:dyDescent="0.2">
      <c r="A32" s="3" t="s">
        <v>21</v>
      </c>
      <c r="B32" s="5">
        <v>8</v>
      </c>
      <c r="C32" s="5" t="str">
        <f t="shared" si="0"/>
        <v>Pratt</v>
      </c>
      <c r="D32" s="5" t="str">
        <f t="shared" si="1"/>
        <v>c</v>
      </c>
    </row>
    <row r="33" spans="1:12" x14ac:dyDescent="0.2">
      <c r="A33" s="3" t="s">
        <v>22</v>
      </c>
    </row>
    <row r="34" spans="1:12" x14ac:dyDescent="0.2">
      <c r="A34" s="3" t="s">
        <v>23</v>
      </c>
      <c r="C34" s="5" t="s">
        <v>169</v>
      </c>
      <c r="E34" s="5" t="s">
        <v>170</v>
      </c>
      <c r="G34" s="5" t="s">
        <v>171</v>
      </c>
      <c r="I34" s="5" t="s">
        <v>172</v>
      </c>
      <c r="K34" s="5" t="s">
        <v>173</v>
      </c>
    </row>
    <row r="35" spans="1:12" x14ac:dyDescent="0.2">
      <c r="A35" s="3" t="s">
        <v>24</v>
      </c>
      <c r="B35" s="5" t="s">
        <v>161</v>
      </c>
      <c r="C35" s="5" t="str">
        <f t="shared" ref="C35:C42" si="2">TRIM(MID($A44,7,16))</f>
        <v>Pratt</v>
      </c>
      <c r="E35" s="5" t="str">
        <f t="shared" ref="E35:E42" si="3">TRIM(MID($A44,28,16))</f>
        <v>McGwire</v>
      </c>
      <c r="G35" s="5" t="str">
        <f t="shared" ref="G35:G42" si="4">TRIM(MID($A44,49,16))</f>
        <v>Reese</v>
      </c>
      <c r="I35" s="5" t="str">
        <f t="shared" ref="I35:I42" si="5">TRIM(MID($A44,70,16))</f>
        <v>Jones,C</v>
      </c>
      <c r="K35" s="5" t="str">
        <f t="shared" ref="K35:K42" si="6">TRIM(MID($A56,7,16))</f>
        <v>Bordick</v>
      </c>
    </row>
    <row r="36" spans="1:12" x14ac:dyDescent="0.2">
      <c r="A36" s="3" t="s">
        <v>25</v>
      </c>
      <c r="B36" s="5" t="s">
        <v>162</v>
      </c>
      <c r="C36" s="5" t="str">
        <f t="shared" si="2"/>
        <v/>
      </c>
      <c r="E36" s="5" t="str">
        <f t="shared" si="3"/>
        <v/>
      </c>
      <c r="G36" s="5" t="str">
        <f t="shared" si="4"/>
        <v/>
      </c>
      <c r="I36" s="5" t="str">
        <f t="shared" si="5"/>
        <v/>
      </c>
      <c r="K36" s="5" t="str">
        <f t="shared" si="6"/>
        <v/>
      </c>
    </row>
    <row r="37" spans="1:12" x14ac:dyDescent="0.2">
      <c r="A37" s="3" t="s">
        <v>26</v>
      </c>
      <c r="B37" s="5" t="s">
        <v>163</v>
      </c>
      <c r="C37" s="5" t="str">
        <f t="shared" si="2"/>
        <v/>
      </c>
      <c r="E37" s="5" t="str">
        <f t="shared" si="3"/>
        <v>Durazo</v>
      </c>
      <c r="G37" s="5" t="str">
        <f t="shared" si="4"/>
        <v>Reese</v>
      </c>
      <c r="I37" s="5" t="str">
        <f t="shared" si="5"/>
        <v/>
      </c>
      <c r="K37" s="5" t="str">
        <f t="shared" si="6"/>
        <v/>
      </c>
    </row>
    <row r="38" spans="1:12" x14ac:dyDescent="0.2">
      <c r="A38" s="2">
        <v>0.375</v>
      </c>
      <c r="B38" s="5" t="s">
        <v>164</v>
      </c>
      <c r="C38" s="5" t="str">
        <f t="shared" si="2"/>
        <v>Kinkade</v>
      </c>
      <c r="D38" s="5">
        <f>IF(C38="","",1*MID($A47,24,2))</f>
        <v>0</v>
      </c>
      <c r="E38" s="5" t="str">
        <f t="shared" si="3"/>
        <v>Buhner</v>
      </c>
      <c r="F38" s="5">
        <f>IF(E38="","",1*MID($A47,45,2))</f>
        <v>0</v>
      </c>
      <c r="G38" s="5" t="str">
        <f t="shared" si="4"/>
        <v/>
      </c>
      <c r="H38" s="5" t="str">
        <f>IF(G38="","",1*MID($A47,66,2))</f>
        <v/>
      </c>
      <c r="I38" s="5" t="str">
        <f t="shared" si="5"/>
        <v>Battle</v>
      </c>
      <c r="J38" s="5">
        <f>IF(I38="","",1*MID($A47,87,2))</f>
        <v>0</v>
      </c>
      <c r="K38" s="5" t="str">
        <f t="shared" si="6"/>
        <v/>
      </c>
      <c r="L38" s="5" t="str">
        <f>IF(K38="","",1*MID($A59,24,2))</f>
        <v/>
      </c>
    </row>
    <row r="39" spans="1:12" x14ac:dyDescent="0.2">
      <c r="A39" s="3" t="s">
        <v>1</v>
      </c>
      <c r="B39" s="5" t="s">
        <v>165</v>
      </c>
      <c r="C39" s="5" t="str">
        <f t="shared" si="2"/>
        <v>Pratt</v>
      </c>
      <c r="D39" s="5">
        <f>IF(C39="","",1*MID($A48,24,2))</f>
        <v>0</v>
      </c>
      <c r="E39" s="5" t="str">
        <f t="shared" si="3"/>
        <v/>
      </c>
      <c r="F39" s="5" t="str">
        <f>IF(E39="","",1*MID($A48,45,2))</f>
        <v/>
      </c>
      <c r="G39" s="5" t="str">
        <f t="shared" si="4"/>
        <v/>
      </c>
      <c r="H39" s="5" t="str">
        <f>IF(G39="","",1*MID($A48,66,2))</f>
        <v/>
      </c>
      <c r="I39" s="5" t="str">
        <f t="shared" si="5"/>
        <v/>
      </c>
      <c r="J39" s="5" t="str">
        <f>IF(I39="","",1*MID($A48,87,2))</f>
        <v/>
      </c>
      <c r="K39" s="5" t="str">
        <f t="shared" si="6"/>
        <v/>
      </c>
      <c r="L39" s="5" t="str">
        <f>IF(K39="","",1*MID($A60,24,2))</f>
        <v/>
      </c>
    </row>
    <row r="40" spans="1:12" x14ac:dyDescent="0.2">
      <c r="A40" s="3" t="s">
        <v>1</v>
      </c>
      <c r="B40" s="5" t="s">
        <v>166</v>
      </c>
      <c r="C40" s="5" t="str">
        <f t="shared" si="2"/>
        <v>Johnson,B</v>
      </c>
      <c r="D40" s="5">
        <f>IF(C40="","",1*MID($A49,24,2))</f>
        <v>0</v>
      </c>
      <c r="E40" s="5" t="str">
        <f t="shared" si="3"/>
        <v/>
      </c>
      <c r="F40" s="5" t="str">
        <f>IF(E40="","",1*MID($A49,45,2))</f>
        <v/>
      </c>
      <c r="G40" s="5" t="str">
        <f t="shared" si="4"/>
        <v/>
      </c>
      <c r="H40" s="5" t="str">
        <f>IF(G40="","",1*MID($A49,66,2))</f>
        <v/>
      </c>
      <c r="I40" s="5" t="str">
        <f t="shared" si="5"/>
        <v/>
      </c>
      <c r="J40" s="5" t="str">
        <f>IF(I40="","",1*MID($A49,87,2))</f>
        <v/>
      </c>
      <c r="K40" s="5" t="str">
        <f t="shared" si="6"/>
        <v/>
      </c>
      <c r="L40" s="5" t="str">
        <f>IF(K40="","",1*MID($A61,24,2))</f>
        <v/>
      </c>
    </row>
    <row r="41" spans="1:12" x14ac:dyDescent="0.2">
      <c r="A41" s="3" t="s">
        <v>1</v>
      </c>
      <c r="B41" s="5" t="s">
        <v>167</v>
      </c>
      <c r="C41" s="5" t="str">
        <f t="shared" si="2"/>
        <v/>
      </c>
      <c r="D41" s="5" t="str">
        <f>IF(C41="","",1*MID($A50,24,2))</f>
        <v/>
      </c>
      <c r="E41" s="5" t="str">
        <f t="shared" si="3"/>
        <v/>
      </c>
      <c r="F41" s="5" t="str">
        <f>IF(E41="","",1*MID($A50,45,2))</f>
        <v/>
      </c>
      <c r="G41" s="5" t="str">
        <f t="shared" si="4"/>
        <v/>
      </c>
      <c r="H41" s="5" t="str">
        <f>IF(G41="","",1*MID($A50,66,2))</f>
        <v/>
      </c>
      <c r="I41" s="5" t="str">
        <f t="shared" si="5"/>
        <v/>
      </c>
      <c r="J41" s="5" t="str">
        <f>IF(I41="","",1*MID($A50,87,2))</f>
        <v/>
      </c>
      <c r="K41" s="5" t="str">
        <f t="shared" si="6"/>
        <v/>
      </c>
      <c r="L41" s="5" t="str">
        <f>IF(K41="","",1*MID($A62,24,2))</f>
        <v/>
      </c>
    </row>
    <row r="42" spans="1:12" x14ac:dyDescent="0.2">
      <c r="A42" s="3" t="s">
        <v>27</v>
      </c>
      <c r="B42" s="5" t="s">
        <v>168</v>
      </c>
      <c r="C42" s="5" t="str">
        <f t="shared" si="2"/>
        <v/>
      </c>
      <c r="D42" s="5" t="str">
        <f>IF(C42="","",1*MID($A51,24,2))</f>
        <v/>
      </c>
      <c r="E42" s="5" t="str">
        <f t="shared" si="3"/>
        <v/>
      </c>
      <c r="F42" s="5" t="str">
        <f>IF(E42="","",1*MID($A51,45,2))</f>
        <v/>
      </c>
      <c r="G42" s="5" t="str">
        <f t="shared" si="4"/>
        <v/>
      </c>
      <c r="H42" s="5" t="str">
        <f>IF(G42="","",1*MID($A51,66,2))</f>
        <v/>
      </c>
      <c r="I42" s="5" t="str">
        <f t="shared" si="5"/>
        <v/>
      </c>
      <c r="J42" s="5" t="str">
        <f>IF(I42="","",1*MID($A51,87,2))</f>
        <v/>
      </c>
      <c r="K42" s="5" t="str">
        <f t="shared" si="6"/>
        <v/>
      </c>
      <c r="L42" s="5" t="str">
        <f>IF(K42="","",1*MID($A63,24,2))</f>
        <v/>
      </c>
    </row>
    <row r="43" spans="1:12" x14ac:dyDescent="0.2">
      <c r="A43" s="3" t="s">
        <v>1</v>
      </c>
    </row>
    <row r="44" spans="1:12" x14ac:dyDescent="0.2">
      <c r="A44" s="3" t="s">
        <v>28</v>
      </c>
      <c r="C44" s="5" t="s">
        <v>174</v>
      </c>
      <c r="E44" s="5" t="s">
        <v>176</v>
      </c>
      <c r="G44" s="5" t="s">
        <v>175</v>
      </c>
      <c r="I44" s="5" t="s">
        <v>179</v>
      </c>
    </row>
    <row r="45" spans="1:12" x14ac:dyDescent="0.2">
      <c r="A45" s="3" t="s">
        <v>29</v>
      </c>
      <c r="B45" s="5" t="s">
        <v>161</v>
      </c>
      <c r="C45" s="5" t="str">
        <f t="shared" ref="C45:C52" si="7">TRIM(MID($A56,28,16))</f>
        <v>Henderson</v>
      </c>
      <c r="E45" s="5" t="str">
        <f t="shared" ref="E45:E52" si="8">TRIM(MID($A56,49,16))</f>
        <v>Sanders,R</v>
      </c>
      <c r="G45" s="5" t="str">
        <f t="shared" ref="G45:G52" si="9">TRIM(MID($A56,70,16))</f>
        <v>Howard,T</v>
      </c>
      <c r="I45" s="5" t="str">
        <f t="shared" ref="I45:I52" si="10">TRIM(MID($A68,7,16))</f>
        <v/>
      </c>
    </row>
    <row r="46" spans="1:12" x14ac:dyDescent="0.2">
      <c r="A46" s="3" t="s">
        <v>30</v>
      </c>
      <c r="B46" s="5" t="s">
        <v>162</v>
      </c>
      <c r="C46" s="5" t="str">
        <f t="shared" si="7"/>
        <v/>
      </c>
      <c r="E46" s="5" t="str">
        <f t="shared" si="8"/>
        <v/>
      </c>
      <c r="G46" s="5" t="str">
        <f t="shared" si="9"/>
        <v>Everett</v>
      </c>
      <c r="I46" s="5" t="str">
        <f t="shared" si="10"/>
        <v/>
      </c>
    </row>
    <row r="47" spans="1:12" x14ac:dyDescent="0.2">
      <c r="A47" s="3" t="s">
        <v>31</v>
      </c>
      <c r="B47" s="5" t="s">
        <v>163</v>
      </c>
      <c r="C47" s="5" t="str">
        <f t="shared" si="7"/>
        <v/>
      </c>
      <c r="E47" s="5" t="str">
        <f t="shared" si="8"/>
        <v>Everett</v>
      </c>
      <c r="G47" s="5" t="str">
        <f t="shared" si="9"/>
        <v>Santangelo</v>
      </c>
      <c r="I47" s="5" t="str">
        <f t="shared" si="10"/>
        <v/>
      </c>
    </row>
    <row r="48" spans="1:12" x14ac:dyDescent="0.2">
      <c r="A48" s="3" t="s">
        <v>32</v>
      </c>
      <c r="B48" s="5" t="s">
        <v>164</v>
      </c>
      <c r="C48" s="5" t="str">
        <f t="shared" si="7"/>
        <v/>
      </c>
      <c r="D48" s="5" t="str">
        <f>IF(C48="","",1*MID($A59,45,2))</f>
        <v/>
      </c>
      <c r="E48" s="5" t="str">
        <f t="shared" si="8"/>
        <v/>
      </c>
      <c r="F48" s="5" t="str">
        <f>IF(E48="","",1*MID($A59,66,2))</f>
        <v/>
      </c>
      <c r="G48" s="5" t="str">
        <f t="shared" si="9"/>
        <v/>
      </c>
      <c r="H48" s="5" t="str">
        <f>IF(G48="","",1*MID($A59,87,2))</f>
        <v/>
      </c>
      <c r="I48" s="5" t="str">
        <f t="shared" si="10"/>
        <v/>
      </c>
      <c r="J48" s="5" t="str">
        <f>IF(I48="","",1*MID($A71,24,2))</f>
        <v/>
      </c>
    </row>
    <row r="49" spans="1:10" x14ac:dyDescent="0.2">
      <c r="A49" s="3" t="s">
        <v>33</v>
      </c>
      <c r="B49" s="5" t="s">
        <v>165</v>
      </c>
      <c r="C49" s="5" t="str">
        <f t="shared" si="7"/>
        <v/>
      </c>
      <c r="D49" s="5" t="str">
        <f>IF(C49="","",1*MID($A60,45,2))</f>
        <v/>
      </c>
      <c r="E49" s="5" t="str">
        <f t="shared" si="8"/>
        <v/>
      </c>
      <c r="F49" s="5" t="str">
        <f>IF(E49="","",1*MID($A60,66,2))</f>
        <v/>
      </c>
      <c r="G49" s="5" t="str">
        <f t="shared" si="9"/>
        <v/>
      </c>
      <c r="H49" s="5" t="str">
        <f>IF(G49="","",1*MID($A60,87,2))</f>
        <v/>
      </c>
      <c r="I49" s="5" t="str">
        <f t="shared" si="10"/>
        <v/>
      </c>
      <c r="J49" s="5" t="str">
        <f>IF(I49="","",1*MID($A72,24,2))</f>
        <v/>
      </c>
    </row>
    <row r="50" spans="1:10" x14ac:dyDescent="0.2">
      <c r="A50" s="3" t="s">
        <v>34</v>
      </c>
      <c r="B50" s="5" t="s">
        <v>166</v>
      </c>
      <c r="C50" s="5" t="str">
        <f t="shared" si="7"/>
        <v/>
      </c>
      <c r="D50" s="5" t="str">
        <f>IF(C50="","",1*MID($A61,45,2))</f>
        <v/>
      </c>
      <c r="E50" s="5" t="str">
        <f t="shared" si="8"/>
        <v/>
      </c>
      <c r="F50" s="5" t="str">
        <f>IF(E50="","",1*MID($A61,66,2))</f>
        <v/>
      </c>
      <c r="G50" s="5" t="str">
        <f t="shared" si="9"/>
        <v/>
      </c>
      <c r="H50" s="5" t="str">
        <f>IF(G50="","",1*MID($A61,87,2))</f>
        <v/>
      </c>
      <c r="I50" s="5" t="str">
        <f t="shared" si="10"/>
        <v/>
      </c>
      <c r="J50" s="5" t="str">
        <f>IF(I50="","",1*MID($A73,24,2))</f>
        <v/>
      </c>
    </row>
    <row r="51" spans="1:10" x14ac:dyDescent="0.2">
      <c r="A51" s="3" t="s">
        <v>35</v>
      </c>
      <c r="B51" s="5" t="s">
        <v>167</v>
      </c>
      <c r="C51" s="5" t="str">
        <f t="shared" si="7"/>
        <v/>
      </c>
      <c r="D51" s="5" t="str">
        <f>IF(C51="","",1*MID($A62,45,2))</f>
        <v/>
      </c>
      <c r="E51" s="5" t="str">
        <f t="shared" si="8"/>
        <v/>
      </c>
      <c r="F51" s="5" t="str">
        <f>IF(E51="","",1*MID($A62,66,2))</f>
        <v/>
      </c>
      <c r="G51" s="5" t="str">
        <f t="shared" si="9"/>
        <v/>
      </c>
      <c r="H51" s="5" t="str">
        <f>IF(G51="","",1*MID($A62,87,2))</f>
        <v/>
      </c>
      <c r="I51" s="5" t="str">
        <f t="shared" si="10"/>
        <v/>
      </c>
      <c r="J51" s="5" t="str">
        <f>IF(I51="","",1*MID($A74,24,2))</f>
        <v/>
      </c>
    </row>
    <row r="52" spans="1:10" x14ac:dyDescent="0.2">
      <c r="A52" s="3" t="s">
        <v>1</v>
      </c>
      <c r="B52" s="5" t="s">
        <v>168</v>
      </c>
      <c r="C52" s="5" t="str">
        <f t="shared" si="7"/>
        <v/>
      </c>
      <c r="D52" s="5" t="str">
        <f>IF(C52="","",1*MID($A63,45,2))</f>
        <v/>
      </c>
      <c r="E52" s="5" t="str">
        <f t="shared" si="8"/>
        <v/>
      </c>
      <c r="F52" s="5" t="str">
        <f>IF(E52="","",1*MID($A63,66,2))</f>
        <v/>
      </c>
      <c r="G52" s="5" t="str">
        <f t="shared" si="9"/>
        <v/>
      </c>
      <c r="H52" s="5" t="str">
        <f>IF(G52="","",1*MID($A63,87,2))</f>
        <v/>
      </c>
      <c r="I52" s="5" t="str">
        <f t="shared" si="10"/>
        <v/>
      </c>
      <c r="J52" s="5" t="str">
        <f>IF(I52="","",1*MID($A75,24,2))</f>
        <v/>
      </c>
    </row>
    <row r="53" spans="1:10" x14ac:dyDescent="0.2">
      <c r="A53" s="3" t="s">
        <v>1</v>
      </c>
    </row>
    <row r="54" spans="1:10" x14ac:dyDescent="0.2">
      <c r="A54" s="3" t="s">
        <v>36</v>
      </c>
      <c r="C54" s="5" t="s">
        <v>177</v>
      </c>
      <c r="E54" s="5" t="s">
        <v>178</v>
      </c>
    </row>
    <row r="55" spans="1:10" x14ac:dyDescent="0.2">
      <c r="A55" s="3" t="s">
        <v>1</v>
      </c>
      <c r="B55" s="5" t="s">
        <v>161</v>
      </c>
      <c r="C55" s="5" t="str">
        <f t="shared" ref="C55:C61" si="11">TRIM(MID($A68,28,16))</f>
        <v/>
      </c>
      <c r="E55" s="5" t="str">
        <f t="shared" ref="E55:E61" si="12">TRIM(MID($A68,49,16))</f>
        <v/>
      </c>
    </row>
    <row r="56" spans="1:10" x14ac:dyDescent="0.2">
      <c r="A56" s="3" t="s">
        <v>37</v>
      </c>
      <c r="B56" s="5" t="s">
        <v>162</v>
      </c>
      <c r="C56" s="5" t="str">
        <f t="shared" si="11"/>
        <v/>
      </c>
      <c r="E56" s="5" t="str">
        <f t="shared" si="12"/>
        <v/>
      </c>
    </row>
    <row r="57" spans="1:10" x14ac:dyDescent="0.2">
      <c r="A57" s="3" t="s">
        <v>38</v>
      </c>
      <c r="B57" s="5" t="s">
        <v>163</v>
      </c>
      <c r="C57" s="5" t="str">
        <f t="shared" si="11"/>
        <v/>
      </c>
      <c r="E57" s="5" t="str">
        <f t="shared" si="12"/>
        <v/>
      </c>
    </row>
    <row r="58" spans="1:10" x14ac:dyDescent="0.2">
      <c r="A58" s="3" t="s">
        <v>39</v>
      </c>
      <c r="B58" s="5" t="s">
        <v>164</v>
      </c>
      <c r="C58" s="5" t="str">
        <f t="shared" si="11"/>
        <v>Battle</v>
      </c>
      <c r="E58" s="5" t="str">
        <f t="shared" si="12"/>
        <v>Canizaro</v>
      </c>
    </row>
    <row r="59" spans="1:10" x14ac:dyDescent="0.2">
      <c r="A59" s="3" t="s">
        <v>40</v>
      </c>
      <c r="B59" s="5" t="s">
        <v>165</v>
      </c>
      <c r="C59" s="5" t="str">
        <f t="shared" si="11"/>
        <v>Durazo</v>
      </c>
      <c r="E59" s="5" t="str">
        <f t="shared" si="12"/>
        <v>Everett</v>
      </c>
      <c r="I59" s="5" t="str">
        <f t="shared" ref="I59:I66" si="13">TRIM(MID($A68,70,16))</f>
        <v/>
      </c>
    </row>
    <row r="60" spans="1:10" x14ac:dyDescent="0.2">
      <c r="A60" s="3" t="s">
        <v>41</v>
      </c>
      <c r="B60" s="5" t="s">
        <v>166</v>
      </c>
      <c r="C60" s="5" t="str">
        <f t="shared" si="11"/>
        <v>Santangelo</v>
      </c>
      <c r="E60" s="5" t="str">
        <f t="shared" si="12"/>
        <v>Durazo</v>
      </c>
      <c r="I60" s="5" t="str">
        <f t="shared" si="13"/>
        <v/>
      </c>
    </row>
    <row r="61" spans="1:10" x14ac:dyDescent="0.2">
      <c r="A61" s="3" t="s">
        <v>42</v>
      </c>
      <c r="B61" s="5" t="s">
        <v>167</v>
      </c>
      <c r="C61" s="5" t="str">
        <f t="shared" si="11"/>
        <v>Everett</v>
      </c>
      <c r="E61" s="5" t="str">
        <f t="shared" si="12"/>
        <v>Benard</v>
      </c>
      <c r="I61" s="5" t="str">
        <f t="shared" si="13"/>
        <v/>
      </c>
    </row>
    <row r="62" spans="1:10" x14ac:dyDescent="0.2">
      <c r="A62" s="3" t="s">
        <v>34</v>
      </c>
      <c r="B62" s="5" t="s">
        <v>168</v>
      </c>
      <c r="C62" s="5" t="str">
        <f>TRIM(MID($A75,28,16))</f>
        <v>Reese</v>
      </c>
      <c r="E62" s="5" t="str">
        <f>TRIM(MID($A75,49,16))</f>
        <v>Santangelo</v>
      </c>
      <c r="I62" s="5" t="str">
        <f t="shared" si="13"/>
        <v/>
      </c>
      <c r="J62" s="5" t="str">
        <f>IF(I62="","",1*MID($A71,87,2))</f>
        <v/>
      </c>
    </row>
    <row r="63" spans="1:10" x14ac:dyDescent="0.2">
      <c r="A63" s="3" t="s">
        <v>35</v>
      </c>
      <c r="I63" s="5" t="str">
        <f t="shared" si="13"/>
        <v/>
      </c>
      <c r="J63" s="5" t="str">
        <f>IF(I63="","",1*MID($A72,87,2))</f>
        <v/>
      </c>
    </row>
    <row r="64" spans="1:10" x14ac:dyDescent="0.2">
      <c r="A64" s="3" t="s">
        <v>1</v>
      </c>
      <c r="I64" s="5" t="str">
        <f t="shared" si="13"/>
        <v/>
      </c>
      <c r="J64" s="5" t="str">
        <f>IF(I64="","",1*MID($A73,87,2))</f>
        <v/>
      </c>
    </row>
    <row r="65" spans="1:4" x14ac:dyDescent="0.2">
      <c r="A65" s="3" t="s">
        <v>1</v>
      </c>
      <c r="B65" s="5" t="str">
        <f>TRIM(A80)</f>
        <v>Depth Chart for 1999 Chinatrust Whales -- vs RHP</v>
      </c>
    </row>
    <row r="66" spans="1:4" x14ac:dyDescent="0.2">
      <c r="A66" s="3" t="s">
        <v>43</v>
      </c>
    </row>
    <row r="67" spans="1:4" x14ac:dyDescent="0.2">
      <c r="A67" s="3" t="s">
        <v>1</v>
      </c>
      <c r="B67" s="5" t="s">
        <v>158</v>
      </c>
      <c r="C67" s="5" t="str">
        <f>TRIM(MID(A83,8,18))</f>
        <v>Game by game</v>
      </c>
    </row>
    <row r="68" spans="1:4" x14ac:dyDescent="0.2">
      <c r="A68" s="3" t="s">
        <v>44</v>
      </c>
      <c r="B68" s="5" t="s">
        <v>159</v>
      </c>
      <c r="C68" s="5" t="str">
        <f>TRIM(MID(A83,36,5))</f>
        <v>Right</v>
      </c>
    </row>
    <row r="69" spans="1:4" x14ac:dyDescent="0.2">
      <c r="A69" s="3" t="s">
        <v>45</v>
      </c>
      <c r="B69" s="5" t="s">
        <v>160</v>
      </c>
      <c r="C69" s="5" t="str">
        <f>TRIM(MID(A83,52,3))</f>
        <v>No</v>
      </c>
    </row>
    <row r="70" spans="1:4" x14ac:dyDescent="0.2">
      <c r="A70" s="3" t="s">
        <v>46</v>
      </c>
    </row>
    <row r="71" spans="1:4" x14ac:dyDescent="0.2">
      <c r="A71" s="3" t="s">
        <v>47</v>
      </c>
      <c r="B71" s="5" t="s">
        <v>18</v>
      </c>
    </row>
    <row r="72" spans="1:4" x14ac:dyDescent="0.2">
      <c r="A72" s="3" t="s">
        <v>48</v>
      </c>
    </row>
    <row r="73" spans="1:4" x14ac:dyDescent="0.2">
      <c r="A73" s="3" t="s">
        <v>49</v>
      </c>
      <c r="B73" s="5">
        <v>1</v>
      </c>
      <c r="C73" s="5" t="str">
        <f>TRIM(MID(A87,4,16))</f>
        <v>Everett</v>
      </c>
      <c r="D73" s="5" t="str">
        <f>TRIM(MID(A87,21,2))</f>
        <v>cf</v>
      </c>
    </row>
    <row r="74" spans="1:4" x14ac:dyDescent="0.2">
      <c r="A74" s="3" t="s">
        <v>50</v>
      </c>
      <c r="B74" s="5">
        <v>2</v>
      </c>
      <c r="C74" s="5" t="str">
        <f>TRIM(MID(A88,4,16))</f>
        <v>Jones,C</v>
      </c>
      <c r="D74" s="5" t="str">
        <f>TRIM(MID(A88,21,2))</f>
        <v>3b</v>
      </c>
    </row>
    <row r="75" spans="1:4" x14ac:dyDescent="0.2">
      <c r="A75" s="3" t="s">
        <v>51</v>
      </c>
      <c r="B75" s="5">
        <v>3</v>
      </c>
      <c r="C75" s="5" t="str">
        <f>TRIM(MID(A89,4,16))</f>
        <v>Sanders,R</v>
      </c>
      <c r="D75" s="5" t="str">
        <f>TRIM(MID(A89,21,2))</f>
        <v>rf</v>
      </c>
    </row>
    <row r="76" spans="1:4" x14ac:dyDescent="0.2">
      <c r="B76" s="5">
        <v>4</v>
      </c>
      <c r="C76" s="5" t="str">
        <f>TRIM(MID(A90,4,16))</f>
        <v>McGwire</v>
      </c>
      <c r="D76" s="5" t="str">
        <f>TRIM(MID(A90,21,2))</f>
        <v>1b</v>
      </c>
    </row>
    <row r="77" spans="1:4" x14ac:dyDescent="0.2">
      <c r="A77" s="3" t="s">
        <v>15</v>
      </c>
      <c r="B77" s="5">
        <v>5</v>
      </c>
      <c r="C77" s="5" t="str">
        <f>TRIM(MID(A91,4,16))</f>
        <v>Benard</v>
      </c>
      <c r="D77" s="5" t="str">
        <f>TRIM(MID(A91,21,2))</f>
        <v>lf</v>
      </c>
    </row>
    <row r="78" spans="1:4" x14ac:dyDescent="0.2">
      <c r="A78" s="3" t="s">
        <v>0</v>
      </c>
      <c r="B78" s="5">
        <v>6</v>
      </c>
      <c r="C78" s="5" t="str">
        <f>TRIM(MID(A92,4,16))</f>
        <v>LaRue</v>
      </c>
      <c r="D78" s="5" t="str">
        <f>TRIM(MID(A92,21,2))</f>
        <v>c</v>
      </c>
    </row>
    <row r="79" spans="1:4" x14ac:dyDescent="0.2">
      <c r="A79" s="3" t="s">
        <v>1</v>
      </c>
      <c r="B79" s="5">
        <v>7</v>
      </c>
      <c r="C79" s="5" t="str">
        <f>TRIM(MID(A93,4,16))</f>
        <v>Reese</v>
      </c>
      <c r="D79" s="5" t="str">
        <f>TRIM(MID(A93,21,2))</f>
        <v>2b</v>
      </c>
    </row>
    <row r="80" spans="1:4" x14ac:dyDescent="0.2">
      <c r="A80" s="3" t="s">
        <v>52</v>
      </c>
      <c r="B80" s="5">
        <v>8</v>
      </c>
      <c r="C80" s="5" t="str">
        <f>TRIM(MID(A94,4,16))</f>
        <v>Bordick</v>
      </c>
      <c r="D80" s="5" t="str">
        <f>TRIM(MID(A94,21,2))</f>
        <v>ss</v>
      </c>
    </row>
    <row r="81" spans="1:12" x14ac:dyDescent="0.2">
      <c r="A81" s="3" t="s">
        <v>1</v>
      </c>
    </row>
    <row r="82" spans="1:12" x14ac:dyDescent="0.2">
      <c r="A82" s="3" t="s">
        <v>1</v>
      </c>
      <c r="C82" s="5" t="s">
        <v>169</v>
      </c>
      <c r="E82" s="5" t="s">
        <v>170</v>
      </c>
      <c r="G82" s="5" t="s">
        <v>171</v>
      </c>
      <c r="I82" s="5" t="s">
        <v>172</v>
      </c>
      <c r="K82" s="5" t="s">
        <v>173</v>
      </c>
    </row>
    <row r="83" spans="1:12" x14ac:dyDescent="0.2">
      <c r="A83" s="3" t="s">
        <v>53</v>
      </c>
      <c r="B83" s="5" t="s">
        <v>161</v>
      </c>
      <c r="C83" s="5" t="str">
        <f>TRIM(MID($A101,7,16))</f>
        <v>LaRue</v>
      </c>
      <c r="E83" s="5" t="str">
        <f>TRIM(MID($A101,28,16))</f>
        <v>McGwire</v>
      </c>
      <c r="G83" s="5" t="str">
        <f>TRIM(MID($A101,49,16))</f>
        <v>Reese</v>
      </c>
      <c r="I83" s="5" t="str">
        <f>TRIM(MID($A101,70,16))</f>
        <v>Jones,C</v>
      </c>
      <c r="K83" s="5" t="str">
        <f>TRIM(MID($A113,7,16))</f>
        <v>Bordick</v>
      </c>
    </row>
    <row r="84" spans="1:12" x14ac:dyDescent="0.2">
      <c r="A84" s="3" t="s">
        <v>1</v>
      </c>
      <c r="B84" s="5" t="s">
        <v>162</v>
      </c>
      <c r="C84" s="5" t="str">
        <f>TRIM(MID($A102,7,16))</f>
        <v>Servais</v>
      </c>
      <c r="E84" s="5" t="str">
        <f>TRIM(MID($A102,28,16))</f>
        <v/>
      </c>
      <c r="G84" s="5" t="str">
        <f>TRIM(MID($A102,49,16))</f>
        <v/>
      </c>
      <c r="I84" s="5" t="str">
        <f>TRIM(MID($A102,70,16))</f>
        <v/>
      </c>
      <c r="K84" s="5" t="str">
        <f>TRIM(MID($A114,7,16))</f>
        <v>Bordick</v>
      </c>
    </row>
    <row r="85" spans="1:12" x14ac:dyDescent="0.2">
      <c r="A85" s="3" t="s">
        <v>18</v>
      </c>
      <c r="B85" s="5" t="s">
        <v>163</v>
      </c>
      <c r="C85" s="5" t="str">
        <f>TRIM(MID($A103,7,16))</f>
        <v/>
      </c>
      <c r="E85" s="5" t="str">
        <f>TRIM(MID($A103,28,16))</f>
        <v>Durazo</v>
      </c>
      <c r="G85" s="5" t="str">
        <f>TRIM(MID($A103,49,16))</f>
        <v>Reese</v>
      </c>
      <c r="I85" s="5" t="str">
        <f>TRIM(MID($A103,70,16))</f>
        <v/>
      </c>
      <c r="K85" s="5" t="str">
        <f>TRIM(MID($A115,7,16))</f>
        <v>Bordick</v>
      </c>
    </row>
    <row r="86" spans="1:12" x14ac:dyDescent="0.2">
      <c r="A86" s="3" t="s">
        <v>1</v>
      </c>
      <c r="B86" s="5" t="s">
        <v>164</v>
      </c>
      <c r="C86" s="5" t="str">
        <f>TRIM(MID($A104,7,16))</f>
        <v>Decker</v>
      </c>
      <c r="D86" s="5">
        <f>IF(C86="","",1*MID($A104,24,2))</f>
        <v>0</v>
      </c>
      <c r="E86" s="5" t="str">
        <f>TRIM(MID($A104,28,16))</f>
        <v>Durazo</v>
      </c>
      <c r="F86" s="5">
        <f>IF(E86="","",1*MID($A104,45,2))</f>
        <v>25</v>
      </c>
      <c r="G86" s="5" t="str">
        <f>TRIM(MID($A104,49,16))</f>
        <v>Canizaro</v>
      </c>
      <c r="H86" s="5">
        <f>IF(G86="","",1*MID($A104,66,2))</f>
        <v>0</v>
      </c>
      <c r="I86" s="5" t="str">
        <f>TRIM(MID($A104,70,16))</f>
        <v/>
      </c>
      <c r="J86" s="5" t="str">
        <f>IF(I86="","",1*MID($A104,87,2))</f>
        <v/>
      </c>
      <c r="K86" s="5" t="str">
        <f>TRIM(MID($A116,7,16))</f>
        <v>Reese</v>
      </c>
      <c r="L86" s="5">
        <f>IF(K86="","",1*MID($A116,24,2))</f>
        <v>0</v>
      </c>
    </row>
    <row r="87" spans="1:12" x14ac:dyDescent="0.2">
      <c r="A87" s="3" t="s">
        <v>54</v>
      </c>
      <c r="B87" s="5" t="s">
        <v>165</v>
      </c>
      <c r="C87" s="5" t="str">
        <f>TRIM(MID($A105,7,16))</f>
        <v>Pratt</v>
      </c>
      <c r="D87" s="5">
        <f>IF(C87="","",1*MID($A105,24,2))</f>
        <v>0</v>
      </c>
      <c r="E87" s="5" t="str">
        <f>TRIM(MID($A105,28,16))</f>
        <v/>
      </c>
      <c r="F87" s="5" t="str">
        <f>IF(E87="","",1*MID($A105,45,2))</f>
        <v/>
      </c>
      <c r="G87" s="5" t="str">
        <f>TRIM(MID($A105,49,16))</f>
        <v/>
      </c>
      <c r="H87" s="5" t="str">
        <f>IF(G87="","",1*MID($A105,66,2))</f>
        <v/>
      </c>
      <c r="I87" s="5" t="str">
        <f>TRIM(MID($A105,70,16))</f>
        <v/>
      </c>
      <c r="J87" s="5" t="str">
        <f>IF(I87="","",1*MID($A105,87,2))</f>
        <v/>
      </c>
      <c r="K87" s="5" t="str">
        <f>TRIM(MID($A117,7,16))</f>
        <v/>
      </c>
      <c r="L87" s="5" t="str">
        <f>IF(K87="","",1*MID($A117,24,2))</f>
        <v/>
      </c>
    </row>
    <row r="88" spans="1:12" x14ac:dyDescent="0.2">
      <c r="A88" s="3" t="s">
        <v>55</v>
      </c>
      <c r="B88" s="5" t="s">
        <v>166</v>
      </c>
      <c r="C88" s="5" t="str">
        <f>TRIM(MID($A106,7,16))</f>
        <v>Spehr</v>
      </c>
      <c r="D88" s="5">
        <f>IF(C88="","",1*MID($A106,24,2))</f>
        <v>0</v>
      </c>
      <c r="E88" s="5" t="str">
        <f>TRIM(MID($A106,28,16))</f>
        <v/>
      </c>
      <c r="F88" s="5" t="str">
        <f>IF(E88="","",1*MID($A106,45,2))</f>
        <v/>
      </c>
      <c r="G88" s="5" t="str">
        <f>TRIM(MID($A106,49,16))</f>
        <v/>
      </c>
      <c r="H88" s="5" t="str">
        <f>IF(G88="","",1*MID($A106,66,2))</f>
        <v/>
      </c>
      <c r="I88" s="5" t="str">
        <f>TRIM(MID($A106,70,16))</f>
        <v/>
      </c>
      <c r="J88" s="5" t="str">
        <f>IF(I88="","",1*MID($A106,87,2))</f>
        <v/>
      </c>
      <c r="K88" s="5" t="str">
        <f>TRIM(MID($A118,7,16))</f>
        <v/>
      </c>
      <c r="L88" s="5" t="str">
        <f>IF(K88="","",1*MID($A118,24,2))</f>
        <v/>
      </c>
    </row>
    <row r="89" spans="1:12" x14ac:dyDescent="0.2">
      <c r="A89" s="3" t="s">
        <v>56</v>
      </c>
      <c r="B89" s="5" t="s">
        <v>167</v>
      </c>
      <c r="C89" s="5" t="str">
        <f>TRIM(MID($A107,7,16))</f>
        <v>LaRue</v>
      </c>
      <c r="D89" s="5">
        <f>IF(C89="","",1*MID($A107,24,2))</f>
        <v>0</v>
      </c>
      <c r="E89" s="5" t="str">
        <f>TRIM(MID($A107,28,16))</f>
        <v/>
      </c>
      <c r="F89" s="5" t="str">
        <f>IF(E89="","",1*MID($A107,45,2))</f>
        <v/>
      </c>
      <c r="G89" s="5" t="str">
        <f>TRIM(MID($A107,49,16))</f>
        <v/>
      </c>
      <c r="H89" s="5" t="str">
        <f>IF(G89="","",1*MID($A107,66,2))</f>
        <v/>
      </c>
      <c r="I89" s="5" t="str">
        <f>TRIM(MID($A107,70,16))</f>
        <v/>
      </c>
      <c r="J89" s="5" t="str">
        <f>IF(I89="","",1*MID($A107,87,2))</f>
        <v/>
      </c>
      <c r="K89" s="5" t="str">
        <f>TRIM(MID($A119,7,16))</f>
        <v/>
      </c>
      <c r="L89" s="5" t="str">
        <f>IF(K89="","",1*MID($A119,24,2))</f>
        <v/>
      </c>
    </row>
    <row r="90" spans="1:12" x14ac:dyDescent="0.2">
      <c r="A90" s="3" t="s">
        <v>57</v>
      </c>
      <c r="B90" s="5" t="s">
        <v>168</v>
      </c>
      <c r="C90" s="5" t="str">
        <f>TRIM(MID($A108,7,16))</f>
        <v>Servais</v>
      </c>
      <c r="D90" s="5">
        <f>IF(C90="","",1*MID($A108,24,2))</f>
        <v>0</v>
      </c>
      <c r="E90" s="5" t="str">
        <f>TRIM(MID($A108,28,16))</f>
        <v/>
      </c>
      <c r="F90" s="5" t="str">
        <f>IF(E90="","",1*MID($A108,45,2))</f>
        <v/>
      </c>
      <c r="G90" s="5" t="str">
        <f>TRIM(MID($A108,49,16))</f>
        <v/>
      </c>
      <c r="H90" s="5" t="str">
        <f>IF(G90="","",1*MID($A108,66,2))</f>
        <v/>
      </c>
      <c r="I90" s="5" t="str">
        <f>TRIM(MID($A108,70,16))</f>
        <v/>
      </c>
      <c r="J90" s="5" t="str">
        <f>IF(I90="","",1*MID($A108,87,2))</f>
        <v/>
      </c>
      <c r="K90" s="5" t="str">
        <f>TRIM(MID($A120,7,16))</f>
        <v/>
      </c>
      <c r="L90" s="5" t="str">
        <f>IF(K90="","",1*MID($A120,24,2))</f>
        <v/>
      </c>
    </row>
    <row r="91" spans="1:12" x14ac:dyDescent="0.2">
      <c r="A91" s="3" t="s">
        <v>58</v>
      </c>
    </row>
    <row r="92" spans="1:12" x14ac:dyDescent="0.2">
      <c r="A92" s="3" t="s">
        <v>59</v>
      </c>
      <c r="C92" s="5" t="s">
        <v>174</v>
      </c>
      <c r="E92" s="5" t="s">
        <v>176</v>
      </c>
      <c r="G92" s="5" t="s">
        <v>175</v>
      </c>
      <c r="I92" s="5" t="s">
        <v>179</v>
      </c>
    </row>
    <row r="93" spans="1:12" x14ac:dyDescent="0.2">
      <c r="A93" s="3" t="s">
        <v>25</v>
      </c>
      <c r="B93" s="5" t="s">
        <v>161</v>
      </c>
      <c r="C93" s="5" t="str">
        <f>TRIM(MID($A113,28,16))</f>
        <v>Benard</v>
      </c>
      <c r="E93" s="5" t="str">
        <f>TRIM(MID($A113,49,16))</f>
        <v>Everett</v>
      </c>
      <c r="G93" s="5" t="str">
        <f>TRIM(MID($A113,70,16))</f>
        <v>Sanders,R</v>
      </c>
      <c r="I93" s="5" t="str">
        <f>TRIM(MID($A125,7,16))</f>
        <v/>
      </c>
    </row>
    <row r="94" spans="1:12" x14ac:dyDescent="0.2">
      <c r="A94" s="3" t="s">
        <v>60</v>
      </c>
      <c r="B94" s="5" t="s">
        <v>162</v>
      </c>
      <c r="C94" s="5" t="str">
        <f>TRIM(MID($A114,28,16))</f>
        <v>Henderson</v>
      </c>
      <c r="E94" s="5" t="str">
        <f>TRIM(MID($A114,49,16))</f>
        <v/>
      </c>
      <c r="G94" s="5" t="str">
        <f>TRIM(MID($A114,70,16))</f>
        <v/>
      </c>
      <c r="I94" s="5" t="str">
        <f>TRIM(MID($A126,7,16))</f>
        <v/>
      </c>
    </row>
    <row r="95" spans="1:12" x14ac:dyDescent="0.2">
      <c r="A95" s="2">
        <v>0.375</v>
      </c>
      <c r="B95" s="5" t="s">
        <v>163</v>
      </c>
      <c r="C95" s="5" t="str">
        <f>TRIM(MID($A115,28,16))</f>
        <v>Benard</v>
      </c>
      <c r="E95" s="5" t="str">
        <f>TRIM(MID($A115,49,16))</f>
        <v/>
      </c>
      <c r="G95" s="5" t="str">
        <f>TRIM(MID($A115,70,16))</f>
        <v>Sanders,R</v>
      </c>
      <c r="I95" s="5" t="str">
        <f>TRIM(MID($A127,7,16))</f>
        <v/>
      </c>
    </row>
    <row r="96" spans="1:12" x14ac:dyDescent="0.2">
      <c r="A96" s="3" t="s">
        <v>1</v>
      </c>
      <c r="B96" s="5" t="s">
        <v>164</v>
      </c>
      <c r="C96" s="5" t="str">
        <f>TRIM(MID($A116,28,16))</f>
        <v>Everett</v>
      </c>
      <c r="D96" s="5">
        <f>IF(C96="","",1*MID($A116,45,2))</f>
        <v>0</v>
      </c>
      <c r="E96" s="5" t="str">
        <f>TRIM(MID($A116,49,16))</f>
        <v>Benard</v>
      </c>
      <c r="F96" s="5">
        <f>IF(E96="","",1*MID($A116,66,2))</f>
        <v>0</v>
      </c>
      <c r="G96" s="5" t="str">
        <f>TRIM(MID($A116,70,16))</f>
        <v>Henderson</v>
      </c>
      <c r="H96" s="5">
        <f>IF(G96="","",1*MID($A116,87,2))</f>
        <v>50</v>
      </c>
      <c r="I96" s="5" t="str">
        <f>TRIM(MID($A128,7,16))</f>
        <v/>
      </c>
      <c r="J96" s="5" t="str">
        <f>IF(I96="","",1*MID($A128,24,2))</f>
        <v/>
      </c>
    </row>
    <row r="97" spans="1:10" x14ac:dyDescent="0.2">
      <c r="A97" s="3" t="s">
        <v>1</v>
      </c>
      <c r="B97" s="5" t="s">
        <v>165</v>
      </c>
      <c r="C97" s="5" t="str">
        <f>TRIM(MID($A117,28,16))</f>
        <v>Henderson</v>
      </c>
      <c r="D97" s="5">
        <f>IF(C97="","",1*MID($A117,45,2))</f>
        <v>0</v>
      </c>
      <c r="E97" s="5" t="str">
        <f>TRIM(MID($A117,49,16))</f>
        <v/>
      </c>
      <c r="F97" s="5" t="str">
        <f>IF(E97="","",1*MID($A117,66,2))</f>
        <v/>
      </c>
      <c r="G97" s="5" t="str">
        <f>TRIM(MID($A117,70,16))</f>
        <v>Buhner</v>
      </c>
      <c r="H97" s="5">
        <f>IF(G97="","",1*MID($A117,87,2))</f>
        <v>25</v>
      </c>
      <c r="I97" s="5" t="str">
        <f>TRIM(MID($A129,7,16))</f>
        <v/>
      </c>
      <c r="J97" s="5" t="str">
        <f>IF(I97="","",1*MID($A129,24,2))</f>
        <v/>
      </c>
    </row>
    <row r="98" spans="1:10" x14ac:dyDescent="0.2">
      <c r="A98" s="3" t="s">
        <v>1</v>
      </c>
      <c r="B98" s="5" t="s">
        <v>166</v>
      </c>
      <c r="C98" s="5" t="str">
        <f>TRIM(MID($A118,28,16))</f>
        <v/>
      </c>
      <c r="D98" s="5" t="str">
        <f>IF(C98="","",1*MID($A118,45,2))</f>
        <v/>
      </c>
      <c r="E98" s="5" t="str">
        <f>TRIM(MID($A118,49,16))</f>
        <v/>
      </c>
      <c r="F98" s="5" t="str">
        <f>IF(E98="","",1*MID($A118,66,2))</f>
        <v/>
      </c>
      <c r="G98" s="5" t="str">
        <f>TRIM(MID($A118,70,16))</f>
        <v/>
      </c>
      <c r="H98" s="5" t="str">
        <f>IF(G98="","",1*MID($A118,87,2))</f>
        <v/>
      </c>
      <c r="I98" s="5" t="str">
        <f>TRIM(MID($A130,7,16))</f>
        <v/>
      </c>
      <c r="J98" s="5" t="str">
        <f>IF(I98="","",1*MID($A130,24,2))</f>
        <v/>
      </c>
    </row>
    <row r="99" spans="1:10" x14ac:dyDescent="0.2">
      <c r="A99" s="3" t="s">
        <v>27</v>
      </c>
      <c r="B99" s="5" t="s">
        <v>167</v>
      </c>
      <c r="C99" s="5" t="str">
        <f>TRIM(MID($A119,28,16))</f>
        <v/>
      </c>
      <c r="D99" s="5" t="str">
        <f>IF(C99="","",1*MID($A119,45,2))</f>
        <v/>
      </c>
      <c r="E99" s="5" t="str">
        <f>TRIM(MID($A119,49,16))</f>
        <v/>
      </c>
      <c r="F99" s="5" t="str">
        <f>IF(E99="","",1*MID($A119,66,2))</f>
        <v/>
      </c>
      <c r="G99" s="5" t="str">
        <f>TRIM(MID($A119,70,16))</f>
        <v/>
      </c>
      <c r="H99" s="5" t="str">
        <f>IF(G99="","",1*MID($A119,87,2))</f>
        <v/>
      </c>
      <c r="I99" s="5" t="str">
        <f>TRIM(MID($A131,7,16))</f>
        <v/>
      </c>
      <c r="J99" s="5" t="str">
        <f>IF(I99="","",1*MID($A131,24,2))</f>
        <v/>
      </c>
    </row>
    <row r="100" spans="1:10" x14ac:dyDescent="0.2">
      <c r="A100" s="3" t="s">
        <v>1</v>
      </c>
      <c r="B100" s="5" t="s">
        <v>168</v>
      </c>
      <c r="C100" s="5" t="str">
        <f>TRIM(MID($A120,28,16))</f>
        <v/>
      </c>
      <c r="D100" s="5" t="str">
        <f>IF(C100="","",1*MID($A120,45,2))</f>
        <v/>
      </c>
      <c r="E100" s="5" t="str">
        <f>TRIM(MID($A120,49,16))</f>
        <v/>
      </c>
      <c r="F100" s="5" t="str">
        <f>IF(E100="","",1*MID($A120,66,2))</f>
        <v/>
      </c>
      <c r="G100" s="5" t="str">
        <f>TRIM(MID($A120,70,16))</f>
        <v/>
      </c>
      <c r="H100" s="5" t="str">
        <f>IF(G100="","",1*MID($A120,87,2))</f>
        <v/>
      </c>
      <c r="I100" s="5" t="str">
        <f>TRIM(MID($A132,7,16))</f>
        <v/>
      </c>
      <c r="J100" s="5" t="str">
        <f>IF(I100="","",1*MID($A132,24,2))</f>
        <v/>
      </c>
    </row>
    <row r="101" spans="1:10" x14ac:dyDescent="0.2">
      <c r="A101" s="3" t="s">
        <v>61</v>
      </c>
    </row>
    <row r="102" spans="1:10" x14ac:dyDescent="0.2">
      <c r="A102" s="3" t="s">
        <v>62</v>
      </c>
      <c r="C102" s="5" t="s">
        <v>177</v>
      </c>
      <c r="E102" s="5" t="s">
        <v>178</v>
      </c>
    </row>
    <row r="103" spans="1:10" x14ac:dyDescent="0.2">
      <c r="A103" s="3" t="s">
        <v>30</v>
      </c>
      <c r="B103" s="5" t="s">
        <v>161</v>
      </c>
      <c r="C103" s="5" t="str">
        <f>TRIM(MID($A125,28,16))</f>
        <v/>
      </c>
      <c r="E103" s="5" t="str">
        <f>TRIM(MID($A125,49,16))</f>
        <v/>
      </c>
    </row>
    <row r="104" spans="1:10" x14ac:dyDescent="0.2">
      <c r="A104" s="3" t="s">
        <v>63</v>
      </c>
      <c r="B104" s="5" t="s">
        <v>162</v>
      </c>
      <c r="C104" s="5" t="str">
        <f>TRIM(MID($A126,28,16))</f>
        <v/>
      </c>
      <c r="E104" s="5" t="str">
        <f>TRIM(MID($A126,49,16))</f>
        <v/>
      </c>
    </row>
    <row r="105" spans="1:10" x14ac:dyDescent="0.2">
      <c r="A105" s="3" t="s">
        <v>32</v>
      </c>
      <c r="B105" s="5" t="s">
        <v>163</v>
      </c>
      <c r="C105" s="5" t="str">
        <f>TRIM(MID($A127,28,16))</f>
        <v/>
      </c>
      <c r="E105" s="5" t="str">
        <f>TRIM(MID($A127,49,16))</f>
        <v/>
      </c>
    </row>
    <row r="106" spans="1:10" x14ac:dyDescent="0.2">
      <c r="A106" s="3" t="s">
        <v>64</v>
      </c>
      <c r="B106" s="5" t="s">
        <v>164</v>
      </c>
      <c r="C106" s="5" t="str">
        <f>TRIM(MID($A128,28,16))</f>
        <v>Battle</v>
      </c>
      <c r="E106" s="5" t="str">
        <f>TRIM(MID($A128,49,16))</f>
        <v>Canizaro</v>
      </c>
    </row>
    <row r="107" spans="1:10" x14ac:dyDescent="0.2">
      <c r="A107" s="3" t="s">
        <v>65</v>
      </c>
      <c r="B107" s="5" t="s">
        <v>165</v>
      </c>
      <c r="C107" s="5" t="str">
        <f>TRIM(MID($A129,28,16))</f>
        <v>Henderson</v>
      </c>
      <c r="E107" s="5" t="str">
        <f>TRIM(MID($A129,49,16))</f>
        <v>McGwire</v>
      </c>
      <c r="I107" s="5" t="str">
        <f>TRIM(MID($A125,70,16))</f>
        <v/>
      </c>
    </row>
    <row r="108" spans="1:10" x14ac:dyDescent="0.2">
      <c r="A108" s="3" t="s">
        <v>66</v>
      </c>
      <c r="B108" s="5" t="s">
        <v>166</v>
      </c>
      <c r="C108" s="5" t="str">
        <f>TRIM(MID($A130,28,16))</f>
        <v/>
      </c>
      <c r="E108" s="5" t="str">
        <f>TRIM(MID($A130,49,16))</f>
        <v>Durazo</v>
      </c>
      <c r="I108" s="5" t="str">
        <f>TRIM(MID($A126,70,16))</f>
        <v/>
      </c>
    </row>
    <row r="109" spans="1:10" x14ac:dyDescent="0.2">
      <c r="A109" s="3" t="s">
        <v>1</v>
      </c>
      <c r="B109" s="5" t="s">
        <v>167</v>
      </c>
      <c r="C109" s="5" t="str">
        <f>TRIM(MID($A131,28,16))</f>
        <v>McGwire</v>
      </c>
      <c r="E109" s="5" t="str">
        <f>TRIM(MID($A131,49,16))</f>
        <v>Sanders,R</v>
      </c>
      <c r="I109" s="5" t="str">
        <f>TRIM(MID($A127,70,16))</f>
        <v/>
      </c>
    </row>
    <row r="110" spans="1:10" x14ac:dyDescent="0.2">
      <c r="A110" s="3" t="s">
        <v>1</v>
      </c>
      <c r="B110" s="5" t="s">
        <v>168</v>
      </c>
      <c r="C110" s="5" t="str">
        <f>TRIM(MID($A132,28,16))</f>
        <v>Sanders,R</v>
      </c>
      <c r="E110" s="5" t="str">
        <f>TRIM(MID($A132,49,16))</f>
        <v>Henderson</v>
      </c>
      <c r="I110" s="5" t="str">
        <f>TRIM(MID($A128,70,16))</f>
        <v/>
      </c>
      <c r="J110" s="5" t="str">
        <f>IF(I110="","",1*MID($A128,87,2))</f>
        <v/>
      </c>
    </row>
    <row r="111" spans="1:10" x14ac:dyDescent="0.2">
      <c r="A111" s="3" t="s">
        <v>36</v>
      </c>
    </row>
    <row r="112" spans="1:10" x14ac:dyDescent="0.2">
      <c r="A112" s="3" t="s">
        <v>1</v>
      </c>
    </row>
    <row r="113" spans="1:9" x14ac:dyDescent="0.2">
      <c r="A113" s="3" t="s">
        <v>67</v>
      </c>
      <c r="B113" s="5" t="s">
        <v>76</v>
      </c>
    </row>
    <row r="114" spans="1:9" x14ac:dyDescent="0.2">
      <c r="A114" s="3" t="s">
        <v>68</v>
      </c>
    </row>
    <row r="115" spans="1:9" x14ac:dyDescent="0.2">
      <c r="A115" s="3" t="s">
        <v>69</v>
      </c>
      <c r="B115" s="5" t="str">
        <f>TRIM(LEFT(A139,22))</f>
        <v>Bunting for a hit:</v>
      </c>
      <c r="C115" s="5" t="str">
        <f t="shared" ref="C115:C118" si="14">TRIM(SUBSTITUTE(MID(A139,27,14)," frequent",""))</f>
        <v>Less</v>
      </c>
      <c r="D115" s="5" t="str">
        <f>TRIM(LEFT(A147,22))</f>
        <v>PH for a pitcher:</v>
      </c>
      <c r="E115" s="5" t="str">
        <f>TRIM(SUBSTITUTE(MID(A147,27,14)," frequent",""))</f>
        <v>Less</v>
      </c>
      <c r="F115" s="5" t="str">
        <f>TRIM(LEFT(A152,22))</f>
        <v>Pitching around:</v>
      </c>
      <c r="G115" s="5" t="str">
        <f>TRIM(SUBSTITUTE(MID(A152,27,14)," frequent",""))</f>
        <v>Less</v>
      </c>
      <c r="H115" s="5" t="str">
        <f>TRIM(LEFT(A159,22))</f>
        <v>Holding runners:</v>
      </c>
      <c r="I115" s="5" t="str">
        <f>TRIM(SUBSTITUTE(MID(A159,27,14)," frequent",""))</f>
        <v>Neutral</v>
      </c>
    </row>
    <row r="116" spans="1:9" x14ac:dyDescent="0.2">
      <c r="A116" s="3" t="s">
        <v>70</v>
      </c>
      <c r="B116" s="5" t="str">
        <f t="shared" ref="B116:B142" si="15">TRIM(LEFT(A140,22))</f>
        <v>Sacrifice bunting:</v>
      </c>
      <c r="C116" s="5" t="str">
        <f t="shared" si="14"/>
        <v>Least</v>
      </c>
      <c r="D116" s="5" t="str">
        <f>TRIM(LEFT(A148,22))</f>
        <v>PH for a non-pitcher:</v>
      </c>
      <c r="E116" s="5" t="str">
        <f>TRIM(SUBSTITUTE(MID(A148,27,14)," frequent",""))</f>
        <v>Neutral</v>
      </c>
      <c r="F116" s="5" t="str">
        <f>TRIM(LEFT(A153,22))</f>
        <v>Intentional walk:</v>
      </c>
      <c r="G116" s="5" t="str">
        <f>TRIM(SUBSTITUTE(MID(A153,27,14)," frequent",""))</f>
        <v>Least</v>
      </c>
      <c r="H116" s="5" t="str">
        <f>TRIM(LEFT(A160,22))</f>
        <v>Infield in:</v>
      </c>
      <c r="I116" s="5" t="str">
        <f>TRIM(SUBSTITUTE(MID(A160,27,14)," frequent",""))</f>
        <v>Least</v>
      </c>
    </row>
    <row r="117" spans="1:9" x14ac:dyDescent="0.2">
      <c r="A117" s="3" t="s">
        <v>71</v>
      </c>
      <c r="B117" s="5" t="str">
        <f t="shared" si="15"/>
        <v>Squeeze bunting:</v>
      </c>
      <c r="C117" s="5" t="str">
        <f t="shared" si="14"/>
        <v>Less</v>
      </c>
      <c r="D117" s="5" t="str">
        <f>TRIM(LEFT(A149,22))</f>
        <v>PH for platoon player:</v>
      </c>
      <c r="E117" s="5" t="str">
        <f>TRIM(SUBSTITUTE(MID(A149,27,14)," frequent",""))</f>
        <v>Neutral</v>
      </c>
      <c r="F117" s="5" t="str">
        <f>TRIM(LEFT(A154,22))</f>
        <v>Pickoff throws:</v>
      </c>
      <c r="G117" s="5" t="str">
        <f>TRIM(SUBSTITUTE(MID(A154,27,14)," frequent",""))</f>
        <v>Neutral</v>
      </c>
      <c r="H117" s="5" t="str">
        <f>TRIM(LEFT(A161,22))</f>
        <v>Guard lines:</v>
      </c>
      <c r="I117" s="5" t="str">
        <f>TRIM(SUBSTITUTE(MID(A161,27,14)," frequent",""))</f>
        <v>Least</v>
      </c>
    </row>
    <row r="118" spans="1:9" x14ac:dyDescent="0.2">
      <c r="A118" s="3" t="s">
        <v>42</v>
      </c>
      <c r="B118" s="5" t="str">
        <f t="shared" si="15"/>
        <v>Hit and run:</v>
      </c>
      <c r="C118" s="5" t="str">
        <f t="shared" si="14"/>
        <v>Least</v>
      </c>
      <c r="D118" s="5" t="str">
        <f>TRIM(LEFT(A150,22))</f>
        <v>PH in a blowout:</v>
      </c>
      <c r="E118" s="5" t="str">
        <f>TRIM(SUBSTITUTE(MID(A150,27,14)," frequent",""))</f>
        <v>More</v>
      </c>
      <c r="F118" s="5" t="str">
        <f>TRIM(LEFT(A155,22))</f>
        <v>Pitching out:</v>
      </c>
      <c r="G118" s="5" t="str">
        <f>TRIM(SUBSTITUTE(MID(A155,27,14)," frequent",""))</f>
        <v>Least</v>
      </c>
    </row>
    <row r="119" spans="1:9" x14ac:dyDescent="0.2">
      <c r="A119" s="3" t="s">
        <v>34</v>
      </c>
      <c r="B119" s="5" t="str">
        <f t="shared" si="15"/>
        <v>Stealing:</v>
      </c>
      <c r="C119" s="5" t="str">
        <f>TRIM(SUBSTITUTE(MID(A143,27,14)," frequent",""))</f>
        <v>Less</v>
      </c>
      <c r="F119" s="5" t="str">
        <f>TRIM(LEFT(A156,22))</f>
        <v>Using relievers:</v>
      </c>
      <c r="G119" s="5" t="str">
        <f>TRIM(SUBSTITUTE(MID(A156,27,14)," frequent",""))</f>
        <v>Less</v>
      </c>
    </row>
    <row r="120" spans="1:9" x14ac:dyDescent="0.2">
      <c r="A120" s="3" t="s">
        <v>35</v>
      </c>
      <c r="B120" s="5" t="str">
        <f t="shared" si="15"/>
        <v>Running:</v>
      </c>
      <c r="C120" s="5" t="str">
        <f t="shared" ref="C120:C137" si="16">TRIM(SUBSTITUTE(MID(A144,27,14)," frequent",""))</f>
        <v>Less</v>
      </c>
      <c r="F120" s="5" t="str">
        <f>TRIM(LEFT(A157,22))</f>
        <v>Using closers:</v>
      </c>
      <c r="G120" s="5" t="str">
        <f>TRIM(SUBSTITUTE(MID(A157,27,14)," frequent",""))</f>
        <v>More</v>
      </c>
    </row>
    <row r="121" spans="1:9" x14ac:dyDescent="0.2">
      <c r="A121" s="3" t="s">
        <v>1</v>
      </c>
      <c r="B121" s="5" t="str">
        <f t="shared" si="15"/>
        <v>Taking pitches:</v>
      </c>
      <c r="C121" s="5" t="str">
        <f t="shared" si="16"/>
        <v>More</v>
      </c>
    </row>
    <row r="122" spans="1:9" x14ac:dyDescent="0.2">
      <c r="A122" s="3" t="s">
        <v>1</v>
      </c>
    </row>
    <row r="123" spans="1:9" x14ac:dyDescent="0.2">
      <c r="A123" s="3" t="s">
        <v>43</v>
      </c>
      <c r="D123" s="5">
        <f>MAX(D125:D179)</f>
        <v>11</v>
      </c>
      <c r="E123" s="5">
        <f t="shared" ref="E123:G123" si="17">MAX(E125:E179)</f>
        <v>21</v>
      </c>
      <c r="F123" s="5">
        <f t="shared" si="17"/>
        <v>5</v>
      </c>
      <c r="G123" s="5">
        <f t="shared" si="17"/>
        <v>6</v>
      </c>
    </row>
    <row r="124" spans="1:9" x14ac:dyDescent="0.2">
      <c r="A124" s="3" t="s">
        <v>1</v>
      </c>
      <c r="B124" s="5" t="s">
        <v>182</v>
      </c>
      <c r="C124" s="5" t="s">
        <v>187</v>
      </c>
      <c r="D124" s="5" t="s">
        <v>183</v>
      </c>
      <c r="E124" s="5" t="s">
        <v>184</v>
      </c>
      <c r="F124" s="5" t="s">
        <v>185</v>
      </c>
      <c r="G124" s="5" t="s">
        <v>186</v>
      </c>
      <c r="H124" s="5">
        <f>MATCH("Playing Time Limits",$A$1:$A$230,0)</f>
        <v>172</v>
      </c>
    </row>
    <row r="125" spans="1:9" x14ac:dyDescent="0.2">
      <c r="A125" s="3" t="s">
        <v>44</v>
      </c>
      <c r="B125" s="5" t="str">
        <f>TRIM(LEFT(INDEX(A$1:A$230,H$124+4+ROW()-125),18))</f>
        <v>Battle</v>
      </c>
      <c r="C125" s="5" t="str">
        <f>IF(B125="","",IF(MID(INDEX(A$1:A$230,H$124+4+ROW()-125),20,3)*1=0,"P","B"))</f>
        <v>B</v>
      </c>
      <c r="D125" s="5">
        <f>IF(B125="","",SIGN(COUNTIF($C$9:$L$14,B125)))</f>
        <v>0</v>
      </c>
      <c r="E125" s="5">
        <f>IF(B125="","",SIGN(COUNTIF($C$25:$L$110,B125)))</f>
        <v>1</v>
      </c>
      <c r="F125" s="5">
        <f>IF(AND(C125="P",D125=D124),1,0)</f>
        <v>0</v>
      </c>
      <c r="G125" s="5">
        <f>IF(AND(C125="B",E125=E124),1,0)</f>
        <v>0</v>
      </c>
    </row>
    <row r="126" spans="1:9" x14ac:dyDescent="0.2">
      <c r="A126" s="3" t="s">
        <v>45</v>
      </c>
      <c r="B126" s="5" t="str">
        <f>TRIM(LEFT(INDEX(A$1:A$230,H$124+4+ROW()-125),18))</f>
        <v>Benard</v>
      </c>
      <c r="C126" s="5" t="str">
        <f>IF(B126="","",IF(MID(INDEX(A$1:A$230,H$124+4+ROW()-125),20,3)*1=0,"P","B"))</f>
        <v>B</v>
      </c>
      <c r="D126" s="5">
        <f>IF(B126="","",SIGN(COUNTIF($C$9:$L$14,B126))+D125)</f>
        <v>0</v>
      </c>
      <c r="E126" s="5">
        <f>IF(B126="","",SIGN(COUNTIF($C$25:$L$110,B126))+E125)</f>
        <v>2</v>
      </c>
      <c r="F126" s="5">
        <f t="shared" ref="F125:F142" si="18">IF(AND(C126="P",D126=D125),1,0)+F125</f>
        <v>0</v>
      </c>
      <c r="G126" s="5">
        <f>IF(AND(C126="B",E126=E125),1,0)+G125</f>
        <v>0</v>
      </c>
    </row>
    <row r="127" spans="1:9" x14ac:dyDescent="0.2">
      <c r="A127" s="3" t="s">
        <v>46</v>
      </c>
      <c r="B127" s="5" t="str">
        <f>TRIM(LEFT(INDEX(A$1:A$230,H$124+4+ROW()-125),18))</f>
        <v>Boehringer</v>
      </c>
      <c r="C127" s="5" t="str">
        <f>IF(B127="","",IF(MID(INDEX(A$1:A$230,H$124+4+ROW()-125),20,3)*1=0,"P","B"))</f>
        <v>P</v>
      </c>
      <c r="D127" s="5">
        <f t="shared" ref="D127:D179" si="19">IF(B127="","",SIGN(COUNTIF($C$9:$L$14,B127))+D126)</f>
        <v>1</v>
      </c>
      <c r="E127" s="5">
        <f t="shared" ref="E127:E179" si="20">IF(B127="","",SIGN(COUNTIF($C$25:$L$110,B127))+E126)</f>
        <v>2</v>
      </c>
      <c r="F127" s="5">
        <f t="shared" si="18"/>
        <v>0</v>
      </c>
      <c r="G127" s="5">
        <f t="shared" ref="G127:G179" si="21">IF(AND(C127="B",E127=E126),1,0)+G126</f>
        <v>0</v>
      </c>
    </row>
    <row r="128" spans="1:9" x14ac:dyDescent="0.2">
      <c r="A128" s="3" t="s">
        <v>47</v>
      </c>
      <c r="B128" s="5" t="str">
        <f>TRIM(LEFT(INDEX(A$1:A$230,H$124+4+ROW()-125),18))</f>
        <v>Bordick</v>
      </c>
      <c r="C128" s="5" t="str">
        <f>IF(B128="","",IF(MID(INDEX(A$1:A$230,H$124+4+ROW()-125),20,3)*1=0,"P","B"))</f>
        <v>B</v>
      </c>
      <c r="D128" s="5">
        <f t="shared" si="19"/>
        <v>1</v>
      </c>
      <c r="E128" s="5">
        <f t="shared" si="20"/>
        <v>3</v>
      </c>
      <c r="F128" s="5">
        <f t="shared" si="18"/>
        <v>0</v>
      </c>
      <c r="G128" s="5">
        <f t="shared" si="21"/>
        <v>0</v>
      </c>
    </row>
    <row r="129" spans="1:7" x14ac:dyDescent="0.2">
      <c r="A129" s="3" t="s">
        <v>72</v>
      </c>
      <c r="B129" s="5" t="str">
        <f>TRIM(LEFT(INDEX(A$1:A$230,H$124+4+ROW()-125),18))</f>
        <v>Buhner</v>
      </c>
      <c r="C129" s="5" t="str">
        <f>IF(B129="","",IF(MID(INDEX(A$1:A$230,H$124+4+ROW()-125),20,3)*1=0,"P","B"))</f>
        <v>B</v>
      </c>
      <c r="D129" s="5">
        <f t="shared" si="19"/>
        <v>1</v>
      </c>
      <c r="E129" s="5">
        <f t="shared" si="20"/>
        <v>4</v>
      </c>
      <c r="F129" s="5">
        <f t="shared" si="18"/>
        <v>0</v>
      </c>
      <c r="G129" s="5">
        <f t="shared" si="21"/>
        <v>0</v>
      </c>
    </row>
    <row r="130" spans="1:7" x14ac:dyDescent="0.2">
      <c r="A130" s="3" t="s">
        <v>73</v>
      </c>
      <c r="B130" s="5" t="str">
        <f>TRIM(LEFT(INDEX(A$1:A$230,H$124+4+ROW()-125),18))</f>
        <v>Burba</v>
      </c>
      <c r="C130" s="5" t="str">
        <f>IF(B130="","",IF(MID(INDEX(A$1:A$230,H$124+4+ROW()-125),20,3)*1=0,"P","B"))</f>
        <v>P</v>
      </c>
      <c r="D130" s="5">
        <f t="shared" si="19"/>
        <v>2</v>
      </c>
      <c r="E130" s="5">
        <f t="shared" si="20"/>
        <v>4</v>
      </c>
      <c r="F130" s="5">
        <f t="shared" si="18"/>
        <v>0</v>
      </c>
      <c r="G130" s="5">
        <f t="shared" si="21"/>
        <v>0</v>
      </c>
    </row>
    <row r="131" spans="1:7" x14ac:dyDescent="0.2">
      <c r="A131" s="3" t="s">
        <v>74</v>
      </c>
      <c r="B131" s="5" t="str">
        <f>TRIM(LEFT(INDEX(A$1:A$230,H$124+4+ROW()-125),18))</f>
        <v>Canizaro</v>
      </c>
      <c r="C131" s="5" t="str">
        <f>IF(B131="","",IF(MID(INDEX(A$1:A$230,H$124+4+ROW()-125),20,3)*1=0,"P","B"))</f>
        <v>B</v>
      </c>
      <c r="D131" s="5">
        <f t="shared" si="19"/>
        <v>2</v>
      </c>
      <c r="E131" s="5">
        <f t="shared" si="20"/>
        <v>5</v>
      </c>
      <c r="F131" s="5">
        <f t="shared" si="18"/>
        <v>0</v>
      </c>
      <c r="G131" s="5">
        <f t="shared" si="21"/>
        <v>0</v>
      </c>
    </row>
    <row r="132" spans="1:7" x14ac:dyDescent="0.2">
      <c r="A132" s="3" t="s">
        <v>75</v>
      </c>
      <c r="B132" s="5" t="str">
        <f>TRIM(LEFT(INDEX(A$1:A$230,H$124+4+ROW()-125),18))</f>
        <v>Castillo,A</v>
      </c>
      <c r="C132" s="5" t="str">
        <f>IF(B132="","",IF(MID(INDEX(A$1:A$230,H$124+4+ROW()-125),20,3)*1=0,"P","B"))</f>
        <v>B</v>
      </c>
      <c r="D132" s="5">
        <f t="shared" si="19"/>
        <v>2</v>
      </c>
      <c r="E132" s="5">
        <f t="shared" si="20"/>
        <v>5</v>
      </c>
      <c r="F132" s="5">
        <f t="shared" si="18"/>
        <v>0</v>
      </c>
      <c r="G132" s="5">
        <f t="shared" si="21"/>
        <v>1</v>
      </c>
    </row>
    <row r="133" spans="1:7" x14ac:dyDescent="0.2">
      <c r="B133" s="5" t="str">
        <f>TRIM(LEFT(INDEX(A$1:A$230,H$124+4+ROW()-125),18))</f>
        <v>Decker</v>
      </c>
      <c r="C133" s="5" t="str">
        <f>IF(B133="","",IF(MID(INDEX(A$1:A$230,H$124+4+ROW()-125),20,3)*1=0,"P","B"))</f>
        <v>B</v>
      </c>
      <c r="D133" s="5">
        <f t="shared" si="19"/>
        <v>2</v>
      </c>
      <c r="E133" s="5">
        <f t="shared" si="20"/>
        <v>6</v>
      </c>
      <c r="F133" s="5">
        <f t="shared" si="18"/>
        <v>0</v>
      </c>
      <c r="G133" s="5">
        <f t="shared" si="21"/>
        <v>1</v>
      </c>
    </row>
    <row r="134" spans="1:7" x14ac:dyDescent="0.2">
      <c r="A134" s="3" t="s">
        <v>15</v>
      </c>
      <c r="B134" s="5" t="str">
        <f>TRIM(LEFT(INDEX(A$1:A$230,H$124+4+ROW()-125),18))</f>
        <v>Durazo</v>
      </c>
      <c r="C134" s="5" t="str">
        <f>IF(B134="","",IF(MID(INDEX(A$1:A$230,H$124+4+ROW()-125),20,3)*1=0,"P","B"))</f>
        <v>B</v>
      </c>
      <c r="D134" s="5">
        <f t="shared" si="19"/>
        <v>2</v>
      </c>
      <c r="E134" s="5">
        <f t="shared" si="20"/>
        <v>7</v>
      </c>
      <c r="F134" s="5">
        <f t="shared" si="18"/>
        <v>0</v>
      </c>
      <c r="G134" s="5">
        <f t="shared" si="21"/>
        <v>1</v>
      </c>
    </row>
    <row r="135" spans="1:7" x14ac:dyDescent="0.2">
      <c r="A135" s="3" t="s">
        <v>0</v>
      </c>
      <c r="B135" s="5" t="str">
        <f>TRIM(LEFT(INDEX(A$1:A$230,H$124+4+ROW()-125),18))</f>
        <v>Everett</v>
      </c>
      <c r="C135" s="5" t="str">
        <f>IF(B135="","",IF(MID(INDEX(A$1:A$230,H$124+4+ROW()-125),20,3)*1=0,"P","B"))</f>
        <v>B</v>
      </c>
      <c r="D135" s="5">
        <f t="shared" si="19"/>
        <v>2</v>
      </c>
      <c r="E135" s="5">
        <f t="shared" si="20"/>
        <v>8</v>
      </c>
      <c r="F135" s="5">
        <f t="shared" si="18"/>
        <v>0</v>
      </c>
      <c r="G135" s="5">
        <f t="shared" si="21"/>
        <v>1</v>
      </c>
    </row>
    <row r="136" spans="1:7" x14ac:dyDescent="0.2">
      <c r="A136" s="3" t="s">
        <v>1</v>
      </c>
      <c r="B136" s="5" t="str">
        <f>TRIM(LEFT(INDEX(A$1:A$230,H$124+4+ROW()-125),18))</f>
        <v>Gonzalez,AS</v>
      </c>
      <c r="C136" s="5" t="str">
        <f>IF(B136="","",IF(MID(INDEX(A$1:A$230,H$124+4+ROW()-125),20,3)*1=0,"P","B"))</f>
        <v>B</v>
      </c>
      <c r="D136" s="5">
        <f t="shared" si="19"/>
        <v>2</v>
      </c>
      <c r="E136" s="5">
        <f t="shared" si="20"/>
        <v>8</v>
      </c>
      <c r="F136" s="5">
        <f t="shared" si="18"/>
        <v>0</v>
      </c>
      <c r="G136" s="5">
        <f t="shared" si="21"/>
        <v>2</v>
      </c>
    </row>
    <row r="137" spans="1:7" x14ac:dyDescent="0.2">
      <c r="A137" s="3" t="s">
        <v>76</v>
      </c>
      <c r="B137" s="5" t="str">
        <f>TRIM(LEFT(INDEX(A$1:A$230,H$124+4+ROW()-125),18))</f>
        <v>Henderson</v>
      </c>
      <c r="C137" s="5" t="str">
        <f>IF(B137="","",IF(MID(INDEX(A$1:A$230,H$124+4+ROW()-125),20,3)*1=0,"P","B"))</f>
        <v>B</v>
      </c>
      <c r="D137" s="5">
        <f t="shared" si="19"/>
        <v>2</v>
      </c>
      <c r="E137" s="5">
        <f t="shared" si="20"/>
        <v>9</v>
      </c>
      <c r="F137" s="5">
        <f t="shared" si="18"/>
        <v>0</v>
      </c>
      <c r="G137" s="5">
        <f t="shared" si="21"/>
        <v>2</v>
      </c>
    </row>
    <row r="138" spans="1:7" x14ac:dyDescent="0.2">
      <c r="A138" s="3" t="s">
        <v>1</v>
      </c>
      <c r="B138" s="5" t="str">
        <f>TRIM(LEFT(INDEX(A$1:A$230,H$124+4+ROW()-125),18))</f>
        <v>Howard,T</v>
      </c>
      <c r="C138" s="5" t="str">
        <f>IF(B138="","",IF(MID(INDEX(A$1:A$230,H$124+4+ROW()-125),20,3)*1=0,"P","B"))</f>
        <v>B</v>
      </c>
      <c r="D138" s="5">
        <f t="shared" si="19"/>
        <v>2</v>
      </c>
      <c r="E138" s="5">
        <f t="shared" si="20"/>
        <v>10</v>
      </c>
      <c r="F138" s="5">
        <f t="shared" si="18"/>
        <v>0</v>
      </c>
      <c r="G138" s="5">
        <f t="shared" si="21"/>
        <v>2</v>
      </c>
    </row>
    <row r="139" spans="1:7" x14ac:dyDescent="0.2">
      <c r="A139" s="3" t="s">
        <v>77</v>
      </c>
      <c r="B139" s="5" t="str">
        <f>TRIM(LEFT(INDEX(A$1:A$230,H$124+4+ROW()-125),18))</f>
        <v>Johnson,B</v>
      </c>
      <c r="C139" s="5" t="str">
        <f>IF(B139="","",IF(MID(INDEX(A$1:A$230,H$124+4+ROW()-125),20,3)*1=0,"P","B"))</f>
        <v>B</v>
      </c>
      <c r="D139" s="5">
        <f t="shared" si="19"/>
        <v>2</v>
      </c>
      <c r="E139" s="5">
        <f t="shared" si="20"/>
        <v>11</v>
      </c>
      <c r="F139" s="5">
        <f t="shared" si="18"/>
        <v>0</v>
      </c>
      <c r="G139" s="5">
        <f t="shared" si="21"/>
        <v>2</v>
      </c>
    </row>
    <row r="140" spans="1:7" x14ac:dyDescent="0.2">
      <c r="A140" s="3" t="s">
        <v>78</v>
      </c>
      <c r="B140" s="5" t="str">
        <f>TRIM(LEFT(INDEX(A$1:A$230,H$124+4+ROW()-125),18))</f>
        <v>Johnson,Ra</v>
      </c>
      <c r="C140" s="5" t="str">
        <f>IF(B140="","",IF(MID(INDEX(A$1:A$230,H$124+4+ROW()-125),20,3)*1=0,"P","B"))</f>
        <v>P</v>
      </c>
      <c r="D140" s="5">
        <f t="shared" si="19"/>
        <v>3</v>
      </c>
      <c r="E140" s="5">
        <f t="shared" si="20"/>
        <v>11</v>
      </c>
      <c r="F140" s="5">
        <f t="shared" si="18"/>
        <v>0</v>
      </c>
      <c r="G140" s="5">
        <f t="shared" si="21"/>
        <v>2</v>
      </c>
    </row>
    <row r="141" spans="1:7" x14ac:dyDescent="0.2">
      <c r="A141" s="3" t="s">
        <v>79</v>
      </c>
      <c r="B141" s="5" t="str">
        <f>TRIM(LEFT(INDEX(A$1:A$230,H$124+4+ROW()-125),18))</f>
        <v>Jones,C</v>
      </c>
      <c r="C141" s="5" t="str">
        <f>IF(B141="","",IF(MID(INDEX(A$1:A$230,H$124+4+ROW()-125),20,3)*1=0,"P","B"))</f>
        <v>B</v>
      </c>
      <c r="D141" s="5">
        <f t="shared" si="19"/>
        <v>3</v>
      </c>
      <c r="E141" s="5">
        <f t="shared" si="20"/>
        <v>12</v>
      </c>
      <c r="F141" s="5">
        <f t="shared" si="18"/>
        <v>0</v>
      </c>
      <c r="G141" s="5">
        <f t="shared" si="21"/>
        <v>2</v>
      </c>
    </row>
    <row r="142" spans="1:7" x14ac:dyDescent="0.2">
      <c r="A142" s="3" t="s">
        <v>80</v>
      </c>
      <c r="B142" s="5" t="str">
        <f>TRIM(LEFT(INDEX(A$1:A$230,H$124+4+ROW()-125),18))</f>
        <v>Kida</v>
      </c>
      <c r="C142" s="5" t="str">
        <f>IF(B142="","",IF(MID(INDEX(A$1:A$230,H$124+4+ROW()-125),20,3)*1=0,"P","B"))</f>
        <v>P</v>
      </c>
      <c r="D142" s="5">
        <f t="shared" si="19"/>
        <v>3</v>
      </c>
      <c r="E142" s="5">
        <f t="shared" si="20"/>
        <v>12</v>
      </c>
      <c r="F142" s="5">
        <f>IF(AND(C142="P",D142=D141),1,0)+F141</f>
        <v>1</v>
      </c>
      <c r="G142" s="5">
        <f t="shared" si="21"/>
        <v>2</v>
      </c>
    </row>
    <row r="143" spans="1:7" x14ac:dyDescent="0.2">
      <c r="A143" s="3" t="s">
        <v>81</v>
      </c>
      <c r="B143" s="5" t="str">
        <f>TRIM(LEFT(INDEX(A$1:A$230,H$124+4+ROW()-125),18))</f>
        <v>Kinkade</v>
      </c>
      <c r="C143" s="5" t="str">
        <f>IF(B143="","",IF(MID(INDEX(A$1:A$230,H$124+4+ROW()-125),20,3)*1=0,"P","B"))</f>
        <v>B</v>
      </c>
      <c r="D143" s="5">
        <f t="shared" si="19"/>
        <v>3</v>
      </c>
      <c r="E143" s="5">
        <f t="shared" si="20"/>
        <v>13</v>
      </c>
      <c r="F143" s="5">
        <f t="shared" ref="F143:F179" si="22">IF(AND(C143="P",D143=D142),1,0)+F142</f>
        <v>1</v>
      </c>
      <c r="G143" s="5">
        <f t="shared" si="21"/>
        <v>2</v>
      </c>
    </row>
    <row r="144" spans="1:7" x14ac:dyDescent="0.2">
      <c r="A144" s="3" t="s">
        <v>82</v>
      </c>
      <c r="B144" s="5" t="str">
        <f>TRIM(LEFT(INDEX(A$1:A$230,H$124+4+ROW()-125),18))</f>
        <v>LaRue</v>
      </c>
      <c r="C144" s="5" t="str">
        <f>IF(B144="","",IF(MID(INDEX(A$1:A$230,H$124+4+ROW()-125),20,3)*1=0,"P","B"))</f>
        <v>B</v>
      </c>
      <c r="D144" s="5">
        <f t="shared" si="19"/>
        <v>3</v>
      </c>
      <c r="E144" s="5">
        <f t="shared" si="20"/>
        <v>14</v>
      </c>
      <c r="F144" s="5">
        <f t="shared" si="22"/>
        <v>1</v>
      </c>
      <c r="G144" s="5">
        <f t="shared" si="21"/>
        <v>2</v>
      </c>
    </row>
    <row r="145" spans="1:7" x14ac:dyDescent="0.2">
      <c r="A145" s="3" t="s">
        <v>83</v>
      </c>
      <c r="B145" s="5" t="str">
        <f>TRIM(LEFT(INDEX(A$1:A$230,H$124+4+ROW()-125),18))</f>
        <v>Lima</v>
      </c>
      <c r="C145" s="5" t="str">
        <f>IF(B145="","",IF(MID(INDEX(A$1:A$230,H$124+4+ROW()-125),20,3)*1=0,"P","B"))</f>
        <v>P</v>
      </c>
      <c r="D145" s="5">
        <f t="shared" si="19"/>
        <v>4</v>
      </c>
      <c r="E145" s="5">
        <f t="shared" si="20"/>
        <v>14</v>
      </c>
      <c r="F145" s="5">
        <f t="shared" si="22"/>
        <v>1</v>
      </c>
      <c r="G145" s="5">
        <f t="shared" si="21"/>
        <v>2</v>
      </c>
    </row>
    <row r="146" spans="1:7" x14ac:dyDescent="0.2">
      <c r="A146" s="3" t="s">
        <v>1</v>
      </c>
      <c r="B146" s="5" t="str">
        <f>TRIM(LEFT(INDEX(A$1:A$230,H$124+4+ROW()-125),18))</f>
        <v>Loaiza</v>
      </c>
      <c r="C146" s="5" t="str">
        <f>IF(B146="","",IF(MID(INDEX(A$1:A$230,H$124+4+ROW()-125),20,3)*1=0,"P","B"))</f>
        <v>P</v>
      </c>
      <c r="D146" s="5">
        <f t="shared" si="19"/>
        <v>5</v>
      </c>
      <c r="E146" s="5">
        <f t="shared" si="20"/>
        <v>14</v>
      </c>
      <c r="F146" s="5">
        <f t="shared" si="22"/>
        <v>1</v>
      </c>
      <c r="G146" s="5">
        <f t="shared" si="21"/>
        <v>2</v>
      </c>
    </row>
    <row r="147" spans="1:7" x14ac:dyDescent="0.2">
      <c r="A147" s="3" t="s">
        <v>84</v>
      </c>
      <c r="B147" s="5" t="str">
        <f>TRIM(LEFT(INDEX(A$1:A$230,H$124+4+ROW()-125),18))</f>
        <v>Luke</v>
      </c>
      <c r="C147" s="5" t="str">
        <f>IF(B147="","",IF(MID(INDEX(A$1:A$230,H$124+4+ROW()-125),20,3)*1=0,"P","B"))</f>
        <v>B</v>
      </c>
      <c r="D147" s="5">
        <f t="shared" si="19"/>
        <v>5</v>
      </c>
      <c r="E147" s="5">
        <f t="shared" si="20"/>
        <v>14</v>
      </c>
      <c r="F147" s="5">
        <f t="shared" si="22"/>
        <v>1</v>
      </c>
      <c r="G147" s="5">
        <f t="shared" si="21"/>
        <v>3</v>
      </c>
    </row>
    <row r="148" spans="1:7" x14ac:dyDescent="0.2">
      <c r="A148" s="3" t="s">
        <v>85</v>
      </c>
      <c r="B148" s="5" t="str">
        <f>TRIM(LEFT(INDEX(A$1:A$230,H$124+4+ROW()-125),18))</f>
        <v>Martin,T</v>
      </c>
      <c r="C148" s="5" t="str">
        <f>IF(B148="","",IF(MID(INDEX(A$1:A$230,H$124+4+ROW()-125),20,3)*1=0,"P","B"))</f>
        <v>P</v>
      </c>
      <c r="D148" s="5">
        <f t="shared" si="19"/>
        <v>5</v>
      </c>
      <c r="E148" s="5">
        <f t="shared" si="20"/>
        <v>14</v>
      </c>
      <c r="F148" s="5">
        <f t="shared" si="22"/>
        <v>2</v>
      </c>
      <c r="G148" s="5">
        <f t="shared" si="21"/>
        <v>3</v>
      </c>
    </row>
    <row r="149" spans="1:7" x14ac:dyDescent="0.2">
      <c r="A149" s="3" t="s">
        <v>86</v>
      </c>
      <c r="B149" s="5" t="str">
        <f>TRIM(LEFT(INDEX(A$1:A$230,H$124+4+ROW()-125),18))</f>
        <v>Mateo</v>
      </c>
      <c r="C149" s="5" t="str">
        <f>IF(B149="","",IF(MID(INDEX(A$1:A$230,H$124+4+ROW()-125),20,3)*1=0,"P","B"))</f>
        <v>B</v>
      </c>
      <c r="D149" s="5">
        <f t="shared" si="19"/>
        <v>5</v>
      </c>
      <c r="E149" s="5">
        <f t="shared" si="20"/>
        <v>14</v>
      </c>
      <c r="F149" s="5">
        <f t="shared" si="22"/>
        <v>2</v>
      </c>
      <c r="G149" s="5">
        <f t="shared" si="21"/>
        <v>4</v>
      </c>
    </row>
    <row r="150" spans="1:7" x14ac:dyDescent="0.2">
      <c r="A150" s="3" t="s">
        <v>87</v>
      </c>
      <c r="B150" s="5" t="str">
        <f>TRIM(LEFT(INDEX(A$1:A$230,H$124+4+ROW()-125),18))</f>
        <v>Matthews</v>
      </c>
      <c r="C150" s="5" t="str">
        <f>IF(B150="","",IF(MID(INDEX(A$1:A$230,H$124+4+ROW()-125),20,3)*1=0,"P","B"))</f>
        <v>B</v>
      </c>
      <c r="D150" s="5">
        <f t="shared" si="19"/>
        <v>5</v>
      </c>
      <c r="E150" s="5">
        <f t="shared" si="20"/>
        <v>14</v>
      </c>
      <c r="F150" s="5">
        <f t="shared" si="22"/>
        <v>2</v>
      </c>
      <c r="G150" s="5">
        <f t="shared" si="21"/>
        <v>5</v>
      </c>
    </row>
    <row r="151" spans="1:7" x14ac:dyDescent="0.2">
      <c r="A151" s="3" t="s">
        <v>1</v>
      </c>
      <c r="B151" s="5" t="str">
        <f>TRIM(LEFT(INDEX(A$1:A$230,H$124+4+ROW()-125),18))</f>
        <v>McElroy</v>
      </c>
      <c r="C151" s="5" t="str">
        <f>IF(B151="","",IF(MID(INDEX(A$1:A$230,H$124+4+ROW()-125),20,3)*1=0,"P","B"))</f>
        <v>P</v>
      </c>
      <c r="D151" s="5">
        <f t="shared" si="19"/>
        <v>5</v>
      </c>
      <c r="E151" s="5">
        <f t="shared" si="20"/>
        <v>14</v>
      </c>
      <c r="F151" s="5">
        <f t="shared" si="22"/>
        <v>3</v>
      </c>
      <c r="G151" s="5">
        <f t="shared" si="21"/>
        <v>5</v>
      </c>
    </row>
    <row r="152" spans="1:7" x14ac:dyDescent="0.2">
      <c r="A152" s="3" t="s">
        <v>88</v>
      </c>
      <c r="B152" s="5" t="str">
        <f>TRIM(LEFT(INDEX(A$1:A$230,H$124+4+ROW()-125),18))</f>
        <v>McGwire</v>
      </c>
      <c r="C152" s="5" t="str">
        <f>IF(B152="","",IF(MID(INDEX(A$1:A$230,H$124+4+ROW()-125),20,3)*1=0,"P","B"))</f>
        <v>B</v>
      </c>
      <c r="D152" s="5">
        <f t="shared" si="19"/>
        <v>5</v>
      </c>
      <c r="E152" s="5">
        <f t="shared" si="20"/>
        <v>15</v>
      </c>
      <c r="F152" s="5">
        <f t="shared" si="22"/>
        <v>3</v>
      </c>
      <c r="G152" s="5">
        <f t="shared" si="21"/>
        <v>5</v>
      </c>
    </row>
    <row r="153" spans="1:7" x14ac:dyDescent="0.2">
      <c r="A153" s="3" t="s">
        <v>89</v>
      </c>
      <c r="B153" s="5" t="str">
        <f>TRIM(LEFT(INDEX(A$1:A$230,H$124+4+ROW()-125),18))</f>
        <v>Montgomery,S</v>
      </c>
      <c r="C153" s="5" t="str">
        <f>IF(B153="","",IF(MID(INDEX(A$1:A$230,H$124+4+ROW()-125),20,3)*1=0,"P","B"))</f>
        <v>P</v>
      </c>
      <c r="D153" s="5">
        <f t="shared" si="19"/>
        <v>6</v>
      </c>
      <c r="E153" s="5">
        <f t="shared" si="20"/>
        <v>15</v>
      </c>
      <c r="F153" s="5">
        <f t="shared" si="22"/>
        <v>3</v>
      </c>
      <c r="G153" s="5">
        <f t="shared" si="21"/>
        <v>5</v>
      </c>
    </row>
    <row r="154" spans="1:7" x14ac:dyDescent="0.2">
      <c r="A154" s="3" t="s">
        <v>90</v>
      </c>
      <c r="B154" s="5" t="str">
        <f>TRIM(LEFT(INDEX(A$1:A$230,H$124+4+ROW()-125),18))</f>
        <v>Orie</v>
      </c>
      <c r="C154" s="5" t="str">
        <f>IF(B154="","",IF(MID(INDEX(A$1:A$230,H$124+4+ROW()-125),20,3)*1=0,"P","B"))</f>
        <v>B</v>
      </c>
      <c r="D154" s="5">
        <f t="shared" si="19"/>
        <v>6</v>
      </c>
      <c r="E154" s="5">
        <f t="shared" si="20"/>
        <v>15</v>
      </c>
      <c r="F154" s="5">
        <f t="shared" si="22"/>
        <v>3</v>
      </c>
      <c r="G154" s="5">
        <f t="shared" si="21"/>
        <v>6</v>
      </c>
    </row>
    <row r="155" spans="1:7" x14ac:dyDescent="0.2">
      <c r="A155" s="3" t="s">
        <v>91</v>
      </c>
      <c r="B155" s="5" t="str">
        <f>TRIM(LEFT(INDEX(A$1:A$230,H$124+4+ROW()-125),18))</f>
        <v>Perisho</v>
      </c>
      <c r="C155" s="5" t="str">
        <f>IF(B155="","",IF(MID(INDEX(A$1:A$230,H$124+4+ROW()-125),20,3)*1=0,"P","B"))</f>
        <v>P</v>
      </c>
      <c r="D155" s="5">
        <f t="shared" si="19"/>
        <v>7</v>
      </c>
      <c r="E155" s="5">
        <f t="shared" si="20"/>
        <v>15</v>
      </c>
      <c r="F155" s="5">
        <f t="shared" si="22"/>
        <v>3</v>
      </c>
      <c r="G155" s="5">
        <f t="shared" si="21"/>
        <v>6</v>
      </c>
    </row>
    <row r="156" spans="1:7" x14ac:dyDescent="0.2">
      <c r="A156" s="3" t="s">
        <v>92</v>
      </c>
      <c r="B156" s="5" t="str">
        <f>TRIM(LEFT(INDEX(A$1:A$230,H$124+4+ROW()-125),18))</f>
        <v>Pratt</v>
      </c>
      <c r="C156" s="5" t="str">
        <f>IF(B156="","",IF(MID(INDEX(A$1:A$230,H$124+4+ROW()-125),20,3)*1=0,"P","B"))</f>
        <v>B</v>
      </c>
      <c r="D156" s="5">
        <f t="shared" si="19"/>
        <v>7</v>
      </c>
      <c r="E156" s="5">
        <f t="shared" si="20"/>
        <v>16</v>
      </c>
      <c r="F156" s="5">
        <f t="shared" si="22"/>
        <v>3</v>
      </c>
      <c r="G156" s="5">
        <f t="shared" si="21"/>
        <v>6</v>
      </c>
    </row>
    <row r="157" spans="1:7" x14ac:dyDescent="0.2">
      <c r="A157" s="3" t="s">
        <v>93</v>
      </c>
      <c r="B157" s="5" t="str">
        <f>TRIM(LEFT(INDEX(A$1:A$230,H$124+4+ROW()-125),18))</f>
        <v>Quantrill</v>
      </c>
      <c r="C157" s="5" t="str">
        <f>IF(B157="","",IF(MID(INDEX(A$1:A$230,H$124+4+ROW()-125),20,3)*1=0,"P","B"))</f>
        <v>P</v>
      </c>
      <c r="D157" s="5">
        <f t="shared" si="19"/>
        <v>8</v>
      </c>
      <c r="E157" s="5">
        <f t="shared" si="20"/>
        <v>16</v>
      </c>
      <c r="F157" s="5">
        <f t="shared" si="22"/>
        <v>3</v>
      </c>
      <c r="G157" s="5">
        <f t="shared" si="21"/>
        <v>6</v>
      </c>
    </row>
    <row r="158" spans="1:7" x14ac:dyDescent="0.2">
      <c r="A158" s="3" t="s">
        <v>1</v>
      </c>
      <c r="B158" s="5" t="str">
        <f>TRIM(LEFT(INDEX(A$1:A$230,H$124+4+ROW()-125),18))</f>
        <v>Reese</v>
      </c>
      <c r="C158" s="5" t="str">
        <f>IF(B158="","",IF(MID(INDEX(A$1:A$230,H$124+4+ROW()-125),20,3)*1=0,"P","B"))</f>
        <v>B</v>
      </c>
      <c r="D158" s="5">
        <f t="shared" si="19"/>
        <v>8</v>
      </c>
      <c r="E158" s="5">
        <f t="shared" si="20"/>
        <v>17</v>
      </c>
      <c r="F158" s="5">
        <f t="shared" si="22"/>
        <v>3</v>
      </c>
      <c r="G158" s="5">
        <f t="shared" si="21"/>
        <v>6</v>
      </c>
    </row>
    <row r="159" spans="1:7" x14ac:dyDescent="0.2">
      <c r="A159" s="3" t="s">
        <v>94</v>
      </c>
      <c r="B159" s="5" t="str">
        <f>TRIM(LEFT(INDEX(A$1:A$230,H$124+4+ROW()-125),18))</f>
        <v>Reynolds</v>
      </c>
      <c r="C159" s="5" t="str">
        <f>IF(B159="","",IF(MID(INDEX(A$1:A$230,H$124+4+ROW()-125),20,3)*1=0,"P","B"))</f>
        <v>P</v>
      </c>
      <c r="D159" s="5">
        <f t="shared" si="19"/>
        <v>8</v>
      </c>
      <c r="E159" s="5">
        <f t="shared" si="20"/>
        <v>17</v>
      </c>
      <c r="F159" s="5">
        <f t="shared" si="22"/>
        <v>4</v>
      </c>
      <c r="G159" s="5">
        <f t="shared" si="21"/>
        <v>6</v>
      </c>
    </row>
    <row r="160" spans="1:7" x14ac:dyDescent="0.2">
      <c r="A160" s="3" t="s">
        <v>95</v>
      </c>
      <c r="B160" s="5" t="str">
        <f>TRIM(LEFT(INDEX(A$1:A$230,H$124+4+ROW()-125),18))</f>
        <v>Rivera,M</v>
      </c>
      <c r="C160" s="5" t="str">
        <f>IF(B160="","",IF(MID(INDEX(A$1:A$230,H$124+4+ROW()-125),20,3)*1=0,"P","B"))</f>
        <v>P</v>
      </c>
      <c r="D160" s="5">
        <f t="shared" si="19"/>
        <v>9</v>
      </c>
      <c r="E160" s="5">
        <f t="shared" si="20"/>
        <v>17</v>
      </c>
      <c r="F160" s="5">
        <f t="shared" si="22"/>
        <v>4</v>
      </c>
      <c r="G160" s="5">
        <f t="shared" si="21"/>
        <v>6</v>
      </c>
    </row>
    <row r="161" spans="1:7" x14ac:dyDescent="0.2">
      <c r="A161" s="3" t="s">
        <v>96</v>
      </c>
      <c r="B161" s="5" t="str">
        <f>TRIM(LEFT(INDEX(A$1:A$230,H$124+4+ROW()-125),18))</f>
        <v>Sanders,R</v>
      </c>
      <c r="C161" s="5" t="str">
        <f>IF(B161="","",IF(MID(INDEX(A$1:A$230,H$124+4+ROW()-125),20,3)*1=0,"P","B"))</f>
        <v>B</v>
      </c>
      <c r="D161" s="5">
        <f t="shared" si="19"/>
        <v>9</v>
      </c>
      <c r="E161" s="5">
        <f t="shared" si="20"/>
        <v>18</v>
      </c>
      <c r="F161" s="5">
        <f t="shared" si="22"/>
        <v>4</v>
      </c>
      <c r="G161" s="5">
        <f t="shared" si="21"/>
        <v>6</v>
      </c>
    </row>
    <row r="162" spans="1:7" x14ac:dyDescent="0.2">
      <c r="A162" s="3" t="s">
        <v>1</v>
      </c>
      <c r="B162" s="5" t="str">
        <f>TRIM(LEFT(INDEX(A$1:A$230,H$124+4+ROW()-125),18))</f>
        <v>Santangelo</v>
      </c>
      <c r="C162" s="5" t="str">
        <f>IF(B162="","",IF(MID(INDEX(A$1:A$230,H$124+4+ROW()-125),20,3)*1=0,"P","B"))</f>
        <v>B</v>
      </c>
      <c r="D162" s="5">
        <f t="shared" si="19"/>
        <v>9</v>
      </c>
      <c r="E162" s="5">
        <f t="shared" si="20"/>
        <v>19</v>
      </c>
      <c r="F162" s="5">
        <f t="shared" si="22"/>
        <v>4</v>
      </c>
      <c r="G162" s="5">
        <f t="shared" si="21"/>
        <v>6</v>
      </c>
    </row>
    <row r="163" spans="1:7" x14ac:dyDescent="0.2">
      <c r="A163" s="3" t="s">
        <v>1</v>
      </c>
      <c r="B163" s="5" t="str">
        <f>TRIM(LEFT(INDEX(A$1:A$230,H$124+4+ROW()-125),18))</f>
        <v>Servais</v>
      </c>
      <c r="C163" s="5" t="str">
        <f>IF(B163="","",IF(MID(INDEX(A$1:A$230,H$124+4+ROW()-125),20,3)*1=0,"P","B"))</f>
        <v>B</v>
      </c>
      <c r="D163" s="5">
        <f t="shared" si="19"/>
        <v>9</v>
      </c>
      <c r="E163" s="5">
        <f t="shared" si="20"/>
        <v>20</v>
      </c>
      <c r="F163" s="5">
        <f t="shared" si="22"/>
        <v>4</v>
      </c>
      <c r="G163" s="5">
        <f t="shared" si="21"/>
        <v>6</v>
      </c>
    </row>
    <row r="164" spans="1:7" x14ac:dyDescent="0.2">
      <c r="A164" s="3" t="s">
        <v>97</v>
      </c>
      <c r="B164" s="5" t="str">
        <f>TRIM(LEFT(INDEX(A$1:A$230,H$124+4+ROW()-125),18))</f>
        <v>Shuey</v>
      </c>
      <c r="C164" s="5" t="str">
        <f>IF(B164="","",IF(MID(INDEX(A$1:A$230,H$124+4+ROW()-125),20,3)*1=0,"P","B"))</f>
        <v>P</v>
      </c>
      <c r="D164" s="5">
        <f t="shared" si="19"/>
        <v>10</v>
      </c>
      <c r="E164" s="5">
        <f t="shared" si="20"/>
        <v>20</v>
      </c>
      <c r="F164" s="5">
        <f t="shared" si="22"/>
        <v>4</v>
      </c>
      <c r="G164" s="5">
        <f t="shared" si="21"/>
        <v>6</v>
      </c>
    </row>
    <row r="165" spans="1:7" x14ac:dyDescent="0.2">
      <c r="A165" s="3" t="s">
        <v>98</v>
      </c>
      <c r="B165" s="5" t="str">
        <f>TRIM(LEFT(INDEX(A$1:A$230,H$124+4+ROW()-125),18))</f>
        <v>Spehr</v>
      </c>
      <c r="C165" s="5" t="str">
        <f>IF(B165="","",IF(MID(INDEX(A$1:A$230,H$124+4+ROW()-125),20,3)*1=0,"P","B"))</f>
        <v>B</v>
      </c>
      <c r="D165" s="5">
        <f t="shared" si="19"/>
        <v>10</v>
      </c>
      <c r="E165" s="5">
        <f t="shared" si="20"/>
        <v>21</v>
      </c>
      <c r="F165" s="5">
        <f t="shared" si="22"/>
        <v>4</v>
      </c>
      <c r="G165" s="5">
        <f t="shared" si="21"/>
        <v>6</v>
      </c>
    </row>
    <row r="166" spans="1:7" x14ac:dyDescent="0.2">
      <c r="A166" s="3" t="s">
        <v>1</v>
      </c>
      <c r="B166" s="5" t="str">
        <f>TRIM(LEFT(INDEX(A$1:A$230,H$124+4+ROW()-125),18))</f>
        <v>Thompson,M</v>
      </c>
      <c r="C166" s="5" t="str">
        <f>IF(B166="","",IF(MID(INDEX(A$1:A$230,H$124+4+ROW()-125),20,3)*1=0,"P","B"))</f>
        <v>P</v>
      </c>
      <c r="D166" s="5">
        <f t="shared" si="19"/>
        <v>10</v>
      </c>
      <c r="E166" s="5">
        <f t="shared" si="20"/>
        <v>21</v>
      </c>
      <c r="F166" s="5">
        <f t="shared" si="22"/>
        <v>5</v>
      </c>
      <c r="G166" s="5">
        <f t="shared" si="21"/>
        <v>6</v>
      </c>
    </row>
    <row r="167" spans="1:7" x14ac:dyDescent="0.2">
      <c r="A167" s="3" t="s">
        <v>99</v>
      </c>
      <c r="B167" s="5" t="str">
        <f>TRIM(LEFT(INDEX(A$1:A$230,H$124+4+ROW()-125),18))</f>
        <v>Trombley</v>
      </c>
      <c r="C167" s="5" t="str">
        <f>IF(B167="","",IF(MID(INDEX(A$1:A$230,H$124+4+ROW()-125),20,3)*1=0,"P","B"))</f>
        <v>P</v>
      </c>
      <c r="D167" s="5">
        <f t="shared" si="19"/>
        <v>11</v>
      </c>
      <c r="E167" s="5">
        <f t="shared" si="20"/>
        <v>21</v>
      </c>
      <c r="F167" s="5">
        <f t="shared" si="22"/>
        <v>5</v>
      </c>
      <c r="G167" s="5">
        <f t="shared" si="21"/>
        <v>6</v>
      </c>
    </row>
    <row r="168" spans="1:7" x14ac:dyDescent="0.2">
      <c r="B168" s="5" t="str">
        <f>TRIM(LEFT(INDEX(A$1:A$230,H$124+4+ROW()-125),18))</f>
        <v/>
      </c>
      <c r="C168" s="5" t="str">
        <f>IF(B168="","",IF(MID(INDEX(A$1:A$230,H$124+4+ROW()-125),20,3)*1=0,"P","B"))</f>
        <v/>
      </c>
      <c r="D168" s="5" t="str">
        <f t="shared" si="19"/>
        <v/>
      </c>
      <c r="E168" s="5" t="str">
        <f t="shared" si="20"/>
        <v/>
      </c>
      <c r="F168" s="5">
        <f t="shared" si="22"/>
        <v>5</v>
      </c>
      <c r="G168" s="5">
        <f t="shared" si="21"/>
        <v>6</v>
      </c>
    </row>
    <row r="169" spans="1:7" x14ac:dyDescent="0.2">
      <c r="A169" s="3" t="s">
        <v>15</v>
      </c>
      <c r="B169" s="5" t="str">
        <f>TRIM(LEFT(INDEX(A$1:A$230,H$124+4+ROW()-125),18))</f>
        <v/>
      </c>
      <c r="C169" s="5" t="str">
        <f>IF(B169="","",IF(MID(INDEX(A$1:A$230,H$124+4+ROW()-125),20,3)*1=0,"P","B"))</f>
        <v/>
      </c>
      <c r="D169" s="5" t="str">
        <f t="shared" si="19"/>
        <v/>
      </c>
      <c r="E169" s="5" t="str">
        <f t="shared" si="20"/>
        <v/>
      </c>
      <c r="F169" s="5">
        <f t="shared" si="22"/>
        <v>5</v>
      </c>
      <c r="G169" s="5">
        <f t="shared" si="21"/>
        <v>6</v>
      </c>
    </row>
    <row r="170" spans="1:7" x14ac:dyDescent="0.2">
      <c r="A170" s="3" t="s">
        <v>0</v>
      </c>
      <c r="B170" s="5" t="str">
        <f>TRIM(LEFT(INDEX(A$1:A$230,H$124+4+ROW()-125),18))</f>
        <v/>
      </c>
      <c r="C170" s="5" t="str">
        <f>IF(B170="","",IF(MID(INDEX(A$1:A$230,H$124+4+ROW()-125),20,3)*1=0,"P","B"))</f>
        <v/>
      </c>
      <c r="D170" s="5" t="str">
        <f t="shared" si="19"/>
        <v/>
      </c>
      <c r="E170" s="5" t="str">
        <f t="shared" si="20"/>
        <v/>
      </c>
      <c r="F170" s="5">
        <f t="shared" si="22"/>
        <v>5</v>
      </c>
      <c r="G170" s="5">
        <f t="shared" si="21"/>
        <v>6</v>
      </c>
    </row>
    <row r="171" spans="1:7" x14ac:dyDescent="0.2">
      <c r="A171" s="3" t="s">
        <v>1</v>
      </c>
      <c r="B171" s="5" t="str">
        <f>TRIM(LEFT(INDEX(A$1:A$230,H$124+4+ROW()-125),18))</f>
        <v/>
      </c>
      <c r="C171" s="5" t="str">
        <f>IF(B171="","",IF(MID(INDEX(A$1:A$230,H$124+4+ROW()-125),20,3)*1=0,"P","B"))</f>
        <v/>
      </c>
      <c r="D171" s="5" t="str">
        <f t="shared" si="19"/>
        <v/>
      </c>
      <c r="E171" s="5" t="str">
        <f t="shared" si="20"/>
        <v/>
      </c>
      <c r="F171" s="5">
        <f t="shared" si="22"/>
        <v>5</v>
      </c>
      <c r="G171" s="5">
        <f t="shared" si="21"/>
        <v>6</v>
      </c>
    </row>
    <row r="172" spans="1:7" x14ac:dyDescent="0.2">
      <c r="A172" s="3" t="s">
        <v>100</v>
      </c>
      <c r="B172" s="5" t="str">
        <f>TRIM(LEFT(INDEX(A$1:A$230,H$124+4+ROW()-125),18))</f>
        <v/>
      </c>
      <c r="C172" s="5" t="str">
        <f>IF(B172="","",IF(MID(INDEX(A$1:A$230,H$124+4+ROW()-125),20,3)*1=0,"P","B"))</f>
        <v/>
      </c>
      <c r="D172" s="5" t="str">
        <f t="shared" si="19"/>
        <v/>
      </c>
      <c r="E172" s="5" t="str">
        <f t="shared" si="20"/>
        <v/>
      </c>
      <c r="F172" s="5">
        <f t="shared" si="22"/>
        <v>5</v>
      </c>
      <c r="G172" s="5">
        <f t="shared" si="21"/>
        <v>6</v>
      </c>
    </row>
    <row r="173" spans="1:7" x14ac:dyDescent="0.2">
      <c r="A173" s="3" t="s">
        <v>1</v>
      </c>
      <c r="B173" s="5" t="str">
        <f>TRIM(LEFT(INDEX(A$1:A$230,H$124+4+ROW()-125),18))</f>
        <v/>
      </c>
      <c r="C173" s="5" t="str">
        <f>IF(B173="","",IF(MID(INDEX(A$1:A$230,H$124+4+ROW()-125),20,3)*1=0,"P","B"))</f>
        <v/>
      </c>
      <c r="D173" s="5" t="str">
        <f t="shared" si="19"/>
        <v/>
      </c>
      <c r="E173" s="5" t="str">
        <f t="shared" si="20"/>
        <v/>
      </c>
      <c r="F173" s="5">
        <f t="shared" si="22"/>
        <v>5</v>
      </c>
      <c r="G173" s="5">
        <f t="shared" si="21"/>
        <v>6</v>
      </c>
    </row>
    <row r="174" spans="1:7" x14ac:dyDescent="0.2">
      <c r="A174" s="3" t="s">
        <v>101</v>
      </c>
      <c r="B174" s="5" t="str">
        <f>TRIM(LEFT(INDEX(A$1:A$230,H$124+4+ROW()-125),18))</f>
        <v/>
      </c>
      <c r="C174" s="5" t="str">
        <f>IF(B174="","",IF(MID(INDEX(A$1:A$230,H$124+4+ROW()-125),20,3)*1=0,"P","B"))</f>
        <v/>
      </c>
      <c r="D174" s="5" t="str">
        <f t="shared" si="19"/>
        <v/>
      </c>
      <c r="E174" s="5" t="str">
        <f t="shared" si="20"/>
        <v/>
      </c>
      <c r="F174" s="5">
        <f t="shared" si="22"/>
        <v>5</v>
      </c>
      <c r="G174" s="5">
        <f t="shared" si="21"/>
        <v>6</v>
      </c>
    </row>
    <row r="175" spans="1:7" x14ac:dyDescent="0.2">
      <c r="A175" s="3" t="s">
        <v>102</v>
      </c>
      <c r="B175" s="5" t="str">
        <f>TRIM(LEFT(INDEX(A$1:A$230,H$124+4+ROW()-125),18))</f>
        <v/>
      </c>
      <c r="C175" s="5" t="str">
        <f>IF(B175="","",IF(MID(INDEX(A$1:A$230,H$124+4+ROW()-125),20,3)*1=0,"P","B"))</f>
        <v/>
      </c>
      <c r="D175" s="5" t="str">
        <f t="shared" si="19"/>
        <v/>
      </c>
      <c r="E175" s="5" t="str">
        <f t="shared" si="20"/>
        <v/>
      </c>
      <c r="F175" s="5">
        <f t="shared" si="22"/>
        <v>5</v>
      </c>
      <c r="G175" s="5">
        <f t="shared" si="21"/>
        <v>6</v>
      </c>
    </row>
    <row r="176" spans="1:7" x14ac:dyDescent="0.2">
      <c r="A176" s="3" t="s">
        <v>103</v>
      </c>
      <c r="B176" s="5" t="str">
        <f>TRIM(LEFT(INDEX(A$1:A$230,H$124+4+ROW()-125),18))</f>
        <v/>
      </c>
      <c r="C176" s="5" t="str">
        <f>IF(B176="","",IF(MID(INDEX(A$1:A$230,H$124+4+ROW()-125),20,3)*1=0,"P","B"))</f>
        <v/>
      </c>
      <c r="D176" s="5" t="str">
        <f t="shared" si="19"/>
        <v/>
      </c>
      <c r="E176" s="5" t="str">
        <f t="shared" si="20"/>
        <v/>
      </c>
      <c r="F176" s="5">
        <f t="shared" si="22"/>
        <v>5</v>
      </c>
      <c r="G176" s="5">
        <f t="shared" si="21"/>
        <v>6</v>
      </c>
    </row>
    <row r="177" spans="1:12" x14ac:dyDescent="0.2">
      <c r="A177" s="3" t="s">
        <v>104</v>
      </c>
      <c r="B177" s="5" t="str">
        <f>TRIM(LEFT(INDEX(A$1:A$230,H$124+4+ROW()-125),18))</f>
        <v/>
      </c>
      <c r="C177" s="5" t="str">
        <f>IF(B177="","",IF(MID(INDEX(A$1:A$230,H$124+4+ROW()-125),20,3)*1=0,"P","B"))</f>
        <v/>
      </c>
      <c r="D177" s="5" t="str">
        <f t="shared" si="19"/>
        <v/>
      </c>
      <c r="E177" s="5" t="str">
        <f t="shared" si="20"/>
        <v/>
      </c>
      <c r="F177" s="5">
        <f t="shared" si="22"/>
        <v>5</v>
      </c>
      <c r="G177" s="5">
        <f t="shared" si="21"/>
        <v>6</v>
      </c>
    </row>
    <row r="178" spans="1:12" x14ac:dyDescent="0.2">
      <c r="A178" s="3" t="s">
        <v>105</v>
      </c>
      <c r="B178" s="5" t="str">
        <f>TRIM(LEFT(INDEX(A$1:A$230,H$124+4+ROW()-125),18))</f>
        <v/>
      </c>
      <c r="C178" s="5" t="str">
        <f>IF(B178="","",IF(MID(INDEX(A$1:A$230,H$124+4+ROW()-125),20,3)*1=0,"P","B"))</f>
        <v/>
      </c>
      <c r="D178" s="5" t="str">
        <f t="shared" si="19"/>
        <v/>
      </c>
      <c r="E178" s="5" t="str">
        <f t="shared" si="20"/>
        <v/>
      </c>
      <c r="F178" s="5">
        <f t="shared" si="22"/>
        <v>5</v>
      </c>
      <c r="G178" s="5">
        <f t="shared" si="21"/>
        <v>6</v>
      </c>
    </row>
    <row r="179" spans="1:12" x14ac:dyDescent="0.2">
      <c r="A179" s="3" t="s">
        <v>106</v>
      </c>
      <c r="B179" s="6" t="str">
        <f>TRIM(LEFT(INDEX(A$1:A$230,H$124+4+ROW()-125),18))</f>
        <v/>
      </c>
      <c r="C179" s="6" t="str">
        <f>IF(B179="","",IF(MID(INDEX(A$1:A$230,H$124+4+ROW()-125),20,3)*1=0,"P","B"))</f>
        <v/>
      </c>
      <c r="D179" s="6" t="str">
        <f t="shared" si="19"/>
        <v/>
      </c>
      <c r="E179" s="6" t="str">
        <f t="shared" si="20"/>
        <v/>
      </c>
      <c r="F179" s="6">
        <f t="shared" si="22"/>
        <v>5</v>
      </c>
      <c r="G179" s="6">
        <f t="shared" si="21"/>
        <v>6</v>
      </c>
      <c r="H179" s="6"/>
      <c r="I179" s="6"/>
      <c r="J179" s="6"/>
      <c r="K179" s="6"/>
      <c r="L179" s="6"/>
    </row>
    <row r="180" spans="1:12" x14ac:dyDescent="0.2">
      <c r="A180" s="3" t="s">
        <v>107</v>
      </c>
      <c r="B180" s="5" t="s">
        <v>188</v>
      </c>
    </row>
    <row r="181" spans="1:12" x14ac:dyDescent="0.2">
      <c r="A181" s="3" t="s">
        <v>108</v>
      </c>
      <c r="B181" s="6" t="s">
        <v>189</v>
      </c>
      <c r="C181" s="6"/>
      <c r="D181" s="5" t="s">
        <v>192</v>
      </c>
      <c r="G181" s="5" t="s">
        <v>190</v>
      </c>
      <c r="I181" s="5" t="s">
        <v>191</v>
      </c>
    </row>
    <row r="182" spans="1:12" x14ac:dyDescent="0.2">
      <c r="A182" s="3" t="s">
        <v>109</v>
      </c>
      <c r="B182" s="5" t="str">
        <f>INDEX($B$125:$B$179,MATCH(ROW()-181,$D$125:$D$179,0))</f>
        <v>Boehringer</v>
      </c>
      <c r="C182" s="5" t="str">
        <f>INDEX($B$125:$B$179,MATCH(ROW()-181+10,$D$125:$D$179,0))</f>
        <v>Trombley</v>
      </c>
      <c r="D182" s="5" t="str">
        <f>INDEX($B$125:$B$179,MATCH(ROW()-181,$E$125:$E$179,0))</f>
        <v>Battle</v>
      </c>
      <c r="E182" s="5" t="str">
        <f>INDEX($B$125:$B$179,MATCH(ROW()-181+10,$E$125:$E$179,0))</f>
        <v>Johnson,B</v>
      </c>
      <c r="F182" s="5" t="str">
        <f>INDEX($B$125:$B$179,MATCH(ROW()-181+20,$E$125:$E$179,0))</f>
        <v>Spehr</v>
      </c>
      <c r="G182" s="5" t="str">
        <f>INDEX($B$125:$B$179,MATCH(ROW()-181,$F$125:$F$179,0))</f>
        <v>Kida</v>
      </c>
      <c r="H182" s="5" t="e">
        <f>INDEX($B$125:$B$179,MATCH(ROW()-181+10,$F$125:$F$179,0))</f>
        <v>#N/A</v>
      </c>
      <c r="I182" s="5" t="str">
        <f>INDEX($B$125:$B$179,MATCH(ROW()-181,$G$125:$G$179,0))</f>
        <v>Castillo,A</v>
      </c>
      <c r="J182" s="5" t="e">
        <f>INDEX($B$125:$B$179,MATCH(ROW()-181+10,$G$125:$G$179,0))</f>
        <v>#N/A</v>
      </c>
      <c r="K182" s="5" t="e">
        <f>INDEX($B$125:$B$179,MATCH(ROW()-181+20,$G$125:$G$179,0))</f>
        <v>#N/A</v>
      </c>
    </row>
    <row r="183" spans="1:12" x14ac:dyDescent="0.2">
      <c r="A183" s="3" t="s">
        <v>110</v>
      </c>
      <c r="B183" s="5" t="str">
        <f t="shared" ref="B183:B191" si="23">INDEX($B$125:$B$179,MATCH(ROW()-181,$D$125:$D$179,0))</f>
        <v>Burba</v>
      </c>
      <c r="C183" s="5" t="e">
        <f t="shared" ref="C183:C191" si="24">INDEX($B$125:$B$179,MATCH(ROW()-181+10,$D$125:$D$179,0))</f>
        <v>#N/A</v>
      </c>
      <c r="D183" s="5" t="str">
        <f t="shared" ref="D183:D191" si="25">INDEX($B$125:$B$179,MATCH(ROW()-181,$E$125:$E$179,0))</f>
        <v>Benard</v>
      </c>
      <c r="E183" s="5" t="str">
        <f t="shared" ref="E183:E191" si="26">INDEX($B$125:$B$179,MATCH(ROW()-181+10,$E$125:$E$179,0))</f>
        <v>Jones,C</v>
      </c>
      <c r="F183" s="5" t="e">
        <f t="shared" ref="F183:F191" si="27">INDEX($B$125:$B$179,MATCH(ROW()-181+20,$E$125:$E$179,0))</f>
        <v>#N/A</v>
      </c>
      <c r="G183" s="5" t="str">
        <f t="shared" ref="G183:G191" si="28">INDEX($B$125:$B$179,MATCH(ROW()-181,$F$125:$F$179,0))</f>
        <v>Martin,T</v>
      </c>
      <c r="H183" s="5" t="e">
        <f t="shared" ref="H183:H191" si="29">INDEX($B$125:$B$179,MATCH(ROW()-181+10,$F$125:$F$179,0))</f>
        <v>#N/A</v>
      </c>
      <c r="I183" s="5" t="str">
        <f t="shared" ref="I183:I191" si="30">INDEX($B$125:$B$179,MATCH(ROW()-181,$G$125:$G$179,0))</f>
        <v>Gonzalez,AS</v>
      </c>
      <c r="J183" s="5" t="e">
        <f t="shared" ref="J183:J191" si="31">INDEX($B$125:$B$179,MATCH(ROW()-181+10,$G$125:$G$179,0))</f>
        <v>#N/A</v>
      </c>
      <c r="K183" s="5" t="e">
        <f t="shared" ref="K183:K191" si="32">INDEX($B$125:$B$179,MATCH(ROW()-181+20,$G$125:$G$179,0))</f>
        <v>#N/A</v>
      </c>
    </row>
    <row r="184" spans="1:12" x14ac:dyDescent="0.2">
      <c r="A184" s="3" t="s">
        <v>111</v>
      </c>
      <c r="B184" s="5" t="str">
        <f t="shared" si="23"/>
        <v>Johnson,Ra</v>
      </c>
      <c r="C184" s="5" t="e">
        <f t="shared" si="24"/>
        <v>#N/A</v>
      </c>
      <c r="D184" s="5" t="str">
        <f t="shared" si="25"/>
        <v>Bordick</v>
      </c>
      <c r="E184" s="5" t="str">
        <f t="shared" si="26"/>
        <v>Kinkade</v>
      </c>
      <c r="F184" s="5" t="e">
        <f t="shared" si="27"/>
        <v>#N/A</v>
      </c>
      <c r="G184" s="5" t="str">
        <f t="shared" si="28"/>
        <v>McElroy</v>
      </c>
      <c r="H184" s="5" t="e">
        <f t="shared" si="29"/>
        <v>#N/A</v>
      </c>
      <c r="I184" s="5" t="str">
        <f t="shared" si="30"/>
        <v>Luke</v>
      </c>
      <c r="J184" s="5" t="e">
        <f t="shared" si="31"/>
        <v>#N/A</v>
      </c>
      <c r="K184" s="5" t="e">
        <f t="shared" si="32"/>
        <v>#N/A</v>
      </c>
    </row>
    <row r="185" spans="1:12" x14ac:dyDescent="0.2">
      <c r="A185" s="3" t="s">
        <v>112</v>
      </c>
      <c r="B185" s="5" t="str">
        <f t="shared" si="23"/>
        <v>Lima</v>
      </c>
      <c r="C185" s="5" t="e">
        <f t="shared" si="24"/>
        <v>#N/A</v>
      </c>
      <c r="D185" s="5" t="str">
        <f t="shared" si="25"/>
        <v>Buhner</v>
      </c>
      <c r="E185" s="5" t="str">
        <f t="shared" si="26"/>
        <v>LaRue</v>
      </c>
      <c r="F185" s="5" t="e">
        <f t="shared" si="27"/>
        <v>#N/A</v>
      </c>
      <c r="G185" s="5" t="str">
        <f t="shared" si="28"/>
        <v>Reynolds</v>
      </c>
      <c r="H185" s="5" t="e">
        <f t="shared" si="29"/>
        <v>#N/A</v>
      </c>
      <c r="I185" s="5" t="str">
        <f t="shared" si="30"/>
        <v>Mateo</v>
      </c>
      <c r="J185" s="5" t="e">
        <f t="shared" si="31"/>
        <v>#N/A</v>
      </c>
      <c r="K185" s="5" t="e">
        <f t="shared" si="32"/>
        <v>#N/A</v>
      </c>
    </row>
    <row r="186" spans="1:12" x14ac:dyDescent="0.2">
      <c r="A186" s="3" t="s">
        <v>113</v>
      </c>
      <c r="B186" s="5" t="str">
        <f t="shared" si="23"/>
        <v>Loaiza</v>
      </c>
      <c r="C186" s="5" t="e">
        <f t="shared" si="24"/>
        <v>#N/A</v>
      </c>
      <c r="D186" s="5" t="str">
        <f t="shared" si="25"/>
        <v>Canizaro</v>
      </c>
      <c r="E186" s="5" t="str">
        <f t="shared" si="26"/>
        <v>McGwire</v>
      </c>
      <c r="F186" s="5" t="e">
        <f t="shared" si="27"/>
        <v>#N/A</v>
      </c>
      <c r="G186" s="5" t="str">
        <f t="shared" si="28"/>
        <v>Thompson,M</v>
      </c>
      <c r="H186" s="5" t="e">
        <f t="shared" si="29"/>
        <v>#N/A</v>
      </c>
      <c r="I186" s="5" t="str">
        <f t="shared" si="30"/>
        <v>Matthews</v>
      </c>
      <c r="J186" s="5" t="e">
        <f t="shared" si="31"/>
        <v>#N/A</v>
      </c>
      <c r="K186" s="5" t="e">
        <f t="shared" si="32"/>
        <v>#N/A</v>
      </c>
    </row>
    <row r="187" spans="1:12" x14ac:dyDescent="0.2">
      <c r="A187" s="3" t="s">
        <v>114</v>
      </c>
      <c r="B187" s="5" t="str">
        <f t="shared" si="23"/>
        <v>Montgomery,S</v>
      </c>
      <c r="C187" s="5" t="e">
        <f t="shared" si="24"/>
        <v>#N/A</v>
      </c>
      <c r="D187" s="5" t="str">
        <f t="shared" si="25"/>
        <v>Decker</v>
      </c>
      <c r="E187" s="5" t="str">
        <f t="shared" si="26"/>
        <v>Pratt</v>
      </c>
      <c r="F187" s="5" t="e">
        <f t="shared" si="27"/>
        <v>#N/A</v>
      </c>
      <c r="G187" s="5" t="e">
        <f t="shared" si="28"/>
        <v>#N/A</v>
      </c>
      <c r="H187" s="5" t="e">
        <f t="shared" si="29"/>
        <v>#N/A</v>
      </c>
      <c r="I187" s="5" t="str">
        <f t="shared" si="30"/>
        <v>Orie</v>
      </c>
      <c r="J187" s="5" t="e">
        <f t="shared" si="31"/>
        <v>#N/A</v>
      </c>
      <c r="K187" s="5" t="e">
        <f t="shared" si="32"/>
        <v>#N/A</v>
      </c>
    </row>
    <row r="188" spans="1:12" x14ac:dyDescent="0.2">
      <c r="A188" s="3" t="s">
        <v>115</v>
      </c>
      <c r="B188" s="5" t="str">
        <f t="shared" si="23"/>
        <v>Perisho</v>
      </c>
      <c r="C188" s="5" t="e">
        <f t="shared" si="24"/>
        <v>#N/A</v>
      </c>
      <c r="D188" s="5" t="str">
        <f t="shared" si="25"/>
        <v>Durazo</v>
      </c>
      <c r="E188" s="5" t="str">
        <f t="shared" si="26"/>
        <v>Reese</v>
      </c>
      <c r="F188" s="5" t="e">
        <f t="shared" si="27"/>
        <v>#N/A</v>
      </c>
      <c r="G188" s="5" t="e">
        <f t="shared" si="28"/>
        <v>#N/A</v>
      </c>
      <c r="H188" s="5" t="e">
        <f t="shared" si="29"/>
        <v>#N/A</v>
      </c>
      <c r="I188" s="5" t="e">
        <f t="shared" si="30"/>
        <v>#N/A</v>
      </c>
      <c r="J188" s="5" t="e">
        <f t="shared" si="31"/>
        <v>#N/A</v>
      </c>
      <c r="K188" s="5" t="e">
        <f t="shared" si="32"/>
        <v>#N/A</v>
      </c>
    </row>
    <row r="189" spans="1:12" x14ac:dyDescent="0.2">
      <c r="A189" s="3" t="s">
        <v>116</v>
      </c>
      <c r="B189" s="5" t="str">
        <f t="shared" si="23"/>
        <v>Quantrill</v>
      </c>
      <c r="C189" s="5" t="e">
        <f t="shared" si="24"/>
        <v>#N/A</v>
      </c>
      <c r="D189" s="5" t="str">
        <f t="shared" si="25"/>
        <v>Everett</v>
      </c>
      <c r="E189" s="5" t="str">
        <f t="shared" si="26"/>
        <v>Sanders,R</v>
      </c>
      <c r="F189" s="5" t="e">
        <f t="shared" si="27"/>
        <v>#N/A</v>
      </c>
      <c r="G189" s="5" t="e">
        <f t="shared" si="28"/>
        <v>#N/A</v>
      </c>
      <c r="H189" s="5" t="e">
        <f t="shared" si="29"/>
        <v>#N/A</v>
      </c>
      <c r="I189" s="5" t="e">
        <f t="shared" si="30"/>
        <v>#N/A</v>
      </c>
      <c r="J189" s="5" t="e">
        <f t="shared" si="31"/>
        <v>#N/A</v>
      </c>
      <c r="K189" s="5" t="e">
        <f t="shared" si="32"/>
        <v>#N/A</v>
      </c>
    </row>
    <row r="190" spans="1:12" x14ac:dyDescent="0.2">
      <c r="A190" s="3" t="s">
        <v>117</v>
      </c>
      <c r="B190" s="5" t="str">
        <f t="shared" si="23"/>
        <v>Rivera,M</v>
      </c>
      <c r="C190" s="5" t="e">
        <f t="shared" si="24"/>
        <v>#N/A</v>
      </c>
      <c r="D190" s="5" t="str">
        <f t="shared" si="25"/>
        <v>Henderson</v>
      </c>
      <c r="E190" s="5" t="str">
        <f t="shared" si="26"/>
        <v>Santangelo</v>
      </c>
      <c r="F190" s="5" t="e">
        <f t="shared" si="27"/>
        <v>#N/A</v>
      </c>
      <c r="G190" s="5" t="e">
        <f t="shared" si="28"/>
        <v>#N/A</v>
      </c>
      <c r="H190" s="5" t="e">
        <f t="shared" si="29"/>
        <v>#N/A</v>
      </c>
      <c r="I190" s="5" t="e">
        <f t="shared" si="30"/>
        <v>#N/A</v>
      </c>
      <c r="J190" s="5" t="e">
        <f t="shared" si="31"/>
        <v>#N/A</v>
      </c>
      <c r="K190" s="5" t="e">
        <f t="shared" si="32"/>
        <v>#N/A</v>
      </c>
    </row>
    <row r="191" spans="1:12" x14ac:dyDescent="0.2">
      <c r="A191" s="3" t="s">
        <v>118</v>
      </c>
      <c r="B191" s="5" t="str">
        <f t="shared" si="23"/>
        <v>Shuey</v>
      </c>
      <c r="C191" s="5" t="e">
        <f t="shared" si="24"/>
        <v>#N/A</v>
      </c>
      <c r="D191" s="5" t="str">
        <f t="shared" si="25"/>
        <v>Howard,T</v>
      </c>
      <c r="E191" s="5" t="str">
        <f t="shared" si="26"/>
        <v>Servais</v>
      </c>
      <c r="F191" s="5" t="e">
        <f t="shared" si="27"/>
        <v>#N/A</v>
      </c>
      <c r="G191" s="5" t="e">
        <f t="shared" si="28"/>
        <v>#N/A</v>
      </c>
      <c r="H191" s="5" t="e">
        <f t="shared" si="29"/>
        <v>#N/A</v>
      </c>
      <c r="I191" s="5" t="e">
        <f t="shared" si="30"/>
        <v>#N/A</v>
      </c>
      <c r="J191" s="5" t="e">
        <f t="shared" si="31"/>
        <v>#N/A</v>
      </c>
      <c r="K191" s="5" t="e">
        <f t="shared" si="32"/>
        <v>#N/A</v>
      </c>
    </row>
    <row r="192" spans="1:12" x14ac:dyDescent="0.2">
      <c r="A192" s="3" t="s">
        <v>119</v>
      </c>
    </row>
    <row r="193" spans="1:1" x14ac:dyDescent="0.2">
      <c r="A193" s="3" t="s">
        <v>120</v>
      </c>
    </row>
    <row r="194" spans="1:1" x14ac:dyDescent="0.2">
      <c r="A194" s="3" t="s">
        <v>121</v>
      </c>
    </row>
    <row r="195" spans="1:1" x14ac:dyDescent="0.2">
      <c r="A195" s="3" t="s">
        <v>122</v>
      </c>
    </row>
    <row r="196" spans="1:1" x14ac:dyDescent="0.2">
      <c r="A196" s="3" t="s">
        <v>123</v>
      </c>
    </row>
    <row r="197" spans="1:1" x14ac:dyDescent="0.2">
      <c r="A197" s="3" t="s">
        <v>124</v>
      </c>
    </row>
    <row r="198" spans="1:1" x14ac:dyDescent="0.2">
      <c r="A198" s="3" t="s">
        <v>125</v>
      </c>
    </row>
    <row r="199" spans="1:1" x14ac:dyDescent="0.2">
      <c r="A199" s="3" t="s">
        <v>126</v>
      </c>
    </row>
    <row r="200" spans="1:1" x14ac:dyDescent="0.2">
      <c r="A200" s="3" t="s">
        <v>127</v>
      </c>
    </row>
    <row r="201" spans="1:1" x14ac:dyDescent="0.2">
      <c r="A201" s="3" t="s">
        <v>128</v>
      </c>
    </row>
    <row r="202" spans="1:1" x14ac:dyDescent="0.2">
      <c r="A202" s="3" t="s">
        <v>129</v>
      </c>
    </row>
    <row r="203" spans="1:1" x14ac:dyDescent="0.2">
      <c r="A203" s="3" t="s">
        <v>130</v>
      </c>
    </row>
    <row r="204" spans="1:1" x14ac:dyDescent="0.2">
      <c r="A204" s="3" t="s">
        <v>131</v>
      </c>
    </row>
    <row r="205" spans="1:1" x14ac:dyDescent="0.2">
      <c r="A205" s="3" t="s">
        <v>132</v>
      </c>
    </row>
    <row r="206" spans="1:1" x14ac:dyDescent="0.2">
      <c r="A206" s="3" t="s">
        <v>133</v>
      </c>
    </row>
    <row r="207" spans="1:1" x14ac:dyDescent="0.2">
      <c r="A207" s="3" t="s">
        <v>134</v>
      </c>
    </row>
    <row r="208" spans="1:1" x14ac:dyDescent="0.2">
      <c r="A208" s="3" t="s">
        <v>135</v>
      </c>
    </row>
    <row r="209" spans="1:1" x14ac:dyDescent="0.2">
      <c r="A209" s="3" t="s">
        <v>136</v>
      </c>
    </row>
    <row r="210" spans="1:1" x14ac:dyDescent="0.2">
      <c r="A210" s="3" t="s">
        <v>137</v>
      </c>
    </row>
    <row r="211" spans="1:1" x14ac:dyDescent="0.2">
      <c r="A211" s="3" t="s">
        <v>138</v>
      </c>
    </row>
    <row r="212" spans="1:1" x14ac:dyDescent="0.2">
      <c r="A212" s="3" t="s">
        <v>139</v>
      </c>
    </row>
    <row r="213" spans="1:1" x14ac:dyDescent="0.2">
      <c r="A213" s="3" t="s">
        <v>140</v>
      </c>
    </row>
    <row r="214" spans="1:1" x14ac:dyDescent="0.2">
      <c r="A214" s="3" t="s">
        <v>141</v>
      </c>
    </row>
    <row r="215" spans="1:1" x14ac:dyDescent="0.2">
      <c r="A215" s="3" t="s">
        <v>142</v>
      </c>
    </row>
    <row r="216" spans="1:1" x14ac:dyDescent="0.2">
      <c r="A216" s="3" t="s">
        <v>143</v>
      </c>
    </row>
    <row r="217" spans="1:1" x14ac:dyDescent="0.2">
      <c r="A217" s="3" t="s">
        <v>144</v>
      </c>
    </row>
    <row r="218" spans="1:1" x14ac:dyDescent="0.2">
      <c r="A218" s="3" t="s">
        <v>145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91"/>
  <sheetViews>
    <sheetView workbookViewId="0">
      <selection activeCell="I182" sqref="I182:K182"/>
    </sheetView>
  </sheetViews>
  <sheetFormatPr defaultRowHeight="15" x14ac:dyDescent="0.25"/>
  <cols>
    <col min="1" max="1" width="4.42578125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3.28515625" bestFit="1" customWidth="1"/>
    <col min="6" max="9" width="14.140625" bestFit="1" customWidth="1"/>
    <col min="10" max="10" width="10.42578125" bestFit="1" customWidth="1"/>
    <col min="11" max="11" width="5.5703125" bestFit="1" customWidth="1"/>
  </cols>
  <sheetData>
    <row r="1" spans="1:12" x14ac:dyDescent="0.25">
      <c r="A1" s="7" t="s">
        <v>193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B2" s="8" t="s">
        <v>147</v>
      </c>
      <c r="C2" t="str">
        <f>dump!$C$5</f>
        <v>Strict</v>
      </c>
      <c r="E2" s="8" t="s">
        <v>148</v>
      </c>
      <c r="F2" s="9">
        <f>dump!$C$6</f>
        <v>4</v>
      </c>
      <c r="H2" s="8" t="s">
        <v>149</v>
      </c>
      <c r="I2" s="9">
        <f>dump!$C$7</f>
        <v>1</v>
      </c>
    </row>
    <row r="3" spans="1:12" x14ac:dyDescent="0.25">
      <c r="A3" t="s">
        <v>194</v>
      </c>
      <c r="B3" t="s">
        <v>195</v>
      </c>
      <c r="C3" t="s">
        <v>196</v>
      </c>
      <c r="D3" t="s">
        <v>197</v>
      </c>
      <c r="E3" t="s">
        <v>152</v>
      </c>
      <c r="F3" t="s">
        <v>153</v>
      </c>
      <c r="G3" t="s">
        <v>198</v>
      </c>
      <c r="H3" t="s">
        <v>199</v>
      </c>
      <c r="I3" t="s">
        <v>200</v>
      </c>
      <c r="J3" t="s">
        <v>201</v>
      </c>
    </row>
    <row r="4" spans="1:12" x14ac:dyDescent="0.25">
      <c r="A4">
        <v>1</v>
      </c>
      <c r="B4" t="str">
        <f>dump!C10</f>
        <v>Johnson,Ra</v>
      </c>
      <c r="C4" t="str">
        <f>dump!D10</f>
        <v/>
      </c>
      <c r="D4" t="str">
        <f>dump!E10</f>
        <v/>
      </c>
      <c r="E4" t="str">
        <f>dump!F10</f>
        <v>Loaiza</v>
      </c>
      <c r="F4" t="str">
        <f>dump!G10</f>
        <v>Trombley</v>
      </c>
      <c r="G4" t="str">
        <f>dump!H10</f>
        <v>Quantrill</v>
      </c>
      <c r="H4" t="str">
        <f>dump!I10</f>
        <v>Perisho</v>
      </c>
      <c r="I4" t="str">
        <f>dump!J10</f>
        <v>Rivera,M</v>
      </c>
      <c r="J4" t="str">
        <f>dump!K10</f>
        <v>Rivera,M</v>
      </c>
    </row>
    <row r="5" spans="1:12" x14ac:dyDescent="0.25">
      <c r="A5">
        <v>2</v>
      </c>
      <c r="B5" t="str">
        <f>dump!C11</f>
        <v>Boehringer</v>
      </c>
      <c r="C5" t="str">
        <f>dump!D11</f>
        <v/>
      </c>
      <c r="D5" t="str">
        <f>dump!E11</f>
        <v/>
      </c>
      <c r="E5" t="str">
        <f>dump!F11</f>
        <v>Boehringer</v>
      </c>
      <c r="F5" t="str">
        <f>dump!G11</f>
        <v>Shuey</v>
      </c>
      <c r="G5" t="str">
        <f>dump!H11</f>
        <v>Montgomery,S</v>
      </c>
      <c r="H5" t="str">
        <f>dump!I11</f>
        <v>Quantrill</v>
      </c>
      <c r="I5" t="str">
        <f>dump!J11</f>
        <v>Montgomery,S</v>
      </c>
      <c r="J5" t="str">
        <f>dump!K11</f>
        <v>Quantrill</v>
      </c>
    </row>
    <row r="6" spans="1:12" x14ac:dyDescent="0.25">
      <c r="A6">
        <v>3</v>
      </c>
      <c r="B6" t="str">
        <f>dump!C12</f>
        <v>Lima</v>
      </c>
      <c r="C6" t="str">
        <f>dump!D12</f>
        <v/>
      </c>
      <c r="D6" t="str">
        <f>dump!E12</f>
        <v/>
      </c>
      <c r="E6" t="str">
        <f>dump!F12</f>
        <v/>
      </c>
      <c r="F6" t="str">
        <f>dump!G12</f>
        <v>Montgomery,S</v>
      </c>
      <c r="G6" t="str">
        <f>dump!H12</f>
        <v>Trombley</v>
      </c>
      <c r="H6" t="str">
        <f>dump!I12</f>
        <v>Shuey</v>
      </c>
      <c r="I6" t="str">
        <f>dump!J12</f>
        <v/>
      </c>
      <c r="J6" t="str">
        <f>dump!K12</f>
        <v/>
      </c>
    </row>
    <row r="7" spans="1:12" x14ac:dyDescent="0.25">
      <c r="A7">
        <v>4</v>
      </c>
      <c r="B7" t="str">
        <f>dump!C13</f>
        <v>Burba</v>
      </c>
      <c r="C7" t="str">
        <f>dump!D13</f>
        <v/>
      </c>
      <c r="D7" t="str">
        <f>dump!E13</f>
        <v/>
      </c>
      <c r="E7" t="str">
        <f>dump!F13</f>
        <v/>
      </c>
      <c r="F7" t="str">
        <f>dump!G13</f>
        <v>Quantrill</v>
      </c>
      <c r="G7" t="str">
        <f>dump!H13</f>
        <v>Perisho</v>
      </c>
      <c r="H7" t="str">
        <f>dump!I13</f>
        <v>Montgomery,S</v>
      </c>
      <c r="I7" t="str">
        <f>dump!J13</f>
        <v/>
      </c>
      <c r="J7" t="str">
        <f>dump!K13</f>
        <v/>
      </c>
    </row>
    <row r="8" spans="1:12" x14ac:dyDescent="0.25">
      <c r="A8">
        <v>5</v>
      </c>
      <c r="B8" t="str">
        <f>dump!C14</f>
        <v/>
      </c>
      <c r="C8" t="str">
        <f>dump!D14</f>
        <v/>
      </c>
      <c r="D8" t="str">
        <f>dump!E14</f>
        <v/>
      </c>
      <c r="E8" t="str">
        <f>dump!F14</f>
        <v/>
      </c>
      <c r="F8" t="str">
        <f>dump!G14</f>
        <v>Perisho</v>
      </c>
      <c r="G8" t="str">
        <f>dump!H14</f>
        <v>Shuey</v>
      </c>
      <c r="H8" t="str">
        <f>dump!I14</f>
        <v>Trombley</v>
      </c>
      <c r="I8" t="str">
        <f>dump!J14</f>
        <v/>
      </c>
      <c r="J8" t="str">
        <f>dump!K14</f>
        <v/>
      </c>
    </row>
    <row r="9" spans="1:12" x14ac:dyDescent="0.25">
      <c r="A9" s="7" t="s">
        <v>202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B10" s="8" t="s">
        <v>158</v>
      </c>
      <c r="C10" s="9" t="str">
        <f>dump!$C$19</f>
        <v>Game by game</v>
      </c>
      <c r="D10" s="8"/>
      <c r="E10" s="8" t="s">
        <v>159</v>
      </c>
      <c r="F10" s="9" t="str">
        <f>dump!$C$20</f>
        <v>Left</v>
      </c>
      <c r="G10" s="8" t="s">
        <v>160</v>
      </c>
      <c r="H10" s="9" t="str">
        <f>dump!$C$21</f>
        <v>No</v>
      </c>
    </row>
    <row r="11" spans="1:12" x14ac:dyDescent="0.25">
      <c r="B11" t="s">
        <v>204</v>
      </c>
      <c r="C11" t="s">
        <v>180</v>
      </c>
    </row>
    <row r="12" spans="1:12" x14ac:dyDescent="0.25">
      <c r="A12">
        <v>1</v>
      </c>
      <c r="B12" t="str">
        <f>dump!C25</f>
        <v>Henderson</v>
      </c>
      <c r="C12" t="str">
        <f>dump!D25</f>
        <v>lf</v>
      </c>
    </row>
    <row r="13" spans="1:12" x14ac:dyDescent="0.25">
      <c r="A13">
        <v>2</v>
      </c>
      <c r="B13" t="str">
        <f>dump!C26</f>
        <v>Bordick</v>
      </c>
      <c r="C13" t="str">
        <f>dump!D26</f>
        <v>ss</v>
      </c>
    </row>
    <row r="14" spans="1:12" x14ac:dyDescent="0.25">
      <c r="A14">
        <v>3</v>
      </c>
      <c r="B14" t="str">
        <f>dump!C27</f>
        <v>Sanders,R</v>
      </c>
      <c r="C14" t="str">
        <f>dump!D27</f>
        <v>cf</v>
      </c>
    </row>
    <row r="15" spans="1:12" x14ac:dyDescent="0.25">
      <c r="A15">
        <v>4</v>
      </c>
      <c r="B15" t="str">
        <f>dump!C28</f>
        <v>Jones,C</v>
      </c>
      <c r="C15" t="str">
        <f>dump!D28</f>
        <v>3b</v>
      </c>
    </row>
    <row r="16" spans="1:12" x14ac:dyDescent="0.25">
      <c r="A16">
        <v>5</v>
      </c>
      <c r="B16" t="str">
        <f>dump!C29</f>
        <v>McGwire</v>
      </c>
      <c r="C16" t="str">
        <f>dump!D29</f>
        <v>1b</v>
      </c>
    </row>
    <row r="17" spans="1:3" x14ac:dyDescent="0.25">
      <c r="A17">
        <v>6</v>
      </c>
      <c r="B17" t="str">
        <f>dump!C30</f>
        <v>Howard,T</v>
      </c>
      <c r="C17" t="str">
        <f>dump!D30</f>
        <v>rf</v>
      </c>
    </row>
    <row r="18" spans="1:3" x14ac:dyDescent="0.25">
      <c r="A18">
        <v>7</v>
      </c>
      <c r="B18" t="str">
        <f>dump!C31</f>
        <v>Reese</v>
      </c>
      <c r="C18" t="str">
        <f>dump!D31</f>
        <v>2b</v>
      </c>
    </row>
    <row r="19" spans="1:3" x14ac:dyDescent="0.25">
      <c r="A19">
        <v>8</v>
      </c>
      <c r="B19" t="str">
        <f>dump!C32</f>
        <v>Pratt</v>
      </c>
      <c r="C19" t="str">
        <f>dump!D32</f>
        <v>c</v>
      </c>
    </row>
    <row r="20" spans="1:3" x14ac:dyDescent="0.25">
      <c r="A20">
        <v>9</v>
      </c>
      <c r="B20" t="s">
        <v>203</v>
      </c>
      <c r="C20" t="s">
        <v>205</v>
      </c>
    </row>
    <row r="182" spans="5:11" x14ac:dyDescent="0.25">
      <c r="E182" t="e">
        <f>INDEX($B$125:$B$179,MATCH(ROW()-181+10,$E$125:$E$179,0))</f>
        <v>#N/A</v>
      </c>
      <c r="F182" t="e">
        <f>INDEX($B$125:$B$179,MATCH(ROW()-181+20,$E$125:$E$179,0))</f>
        <v>#N/A</v>
      </c>
      <c r="G182" t="e">
        <f>INDEX($B$125:$B$179,MATCH(ROW()-181,$F$125:$F$179,0))</f>
        <v>#N/A</v>
      </c>
      <c r="H182" t="e">
        <f>INDEX($B$125:$B$179,MATCH(ROW()-181+10,$F$125:$F$179,0))</f>
        <v>#N/A</v>
      </c>
      <c r="J182" t="e">
        <f>INDEX($B$125:$B$179,MATCH(ROW()-181+10,$G$125:$G$179,0))</f>
        <v>#N/A</v>
      </c>
      <c r="K182" t="e">
        <f>INDEX($B$125:$B$179,MATCH(ROW()-181+20,$G$125:$G$179,0))</f>
        <v>#N/A</v>
      </c>
    </row>
    <row r="183" spans="5:11" x14ac:dyDescent="0.25">
      <c r="E183" t="e">
        <f t="shared" ref="E183:E191" si="0">INDEX($B$125:$B$179,MATCH(ROW()-181+10,$E$125:$E$179,0))</f>
        <v>#N/A</v>
      </c>
      <c r="F183" t="e">
        <f t="shared" ref="F183:F191" si="1">INDEX($B$125:$B$179,MATCH(ROW()-181+20,$E$125:$E$179,0))</f>
        <v>#N/A</v>
      </c>
      <c r="G183" t="e">
        <f t="shared" ref="G183:G191" si="2">INDEX($B$125:$B$179,MATCH(ROW()-181,$F$125:$F$179,0))</f>
        <v>#N/A</v>
      </c>
      <c r="H183" t="e">
        <f t="shared" ref="H183:H191" si="3">INDEX($B$125:$B$179,MATCH(ROW()-181+10,$F$125:$F$179,0))</f>
        <v>#N/A</v>
      </c>
    </row>
    <row r="184" spans="5:11" x14ac:dyDescent="0.25">
      <c r="E184" t="e">
        <f t="shared" si="0"/>
        <v>#N/A</v>
      </c>
      <c r="F184" t="e">
        <f t="shared" si="1"/>
        <v>#N/A</v>
      </c>
      <c r="G184" t="e">
        <f t="shared" si="2"/>
        <v>#N/A</v>
      </c>
      <c r="H184" t="e">
        <f t="shared" si="3"/>
        <v>#N/A</v>
      </c>
    </row>
    <row r="185" spans="5:11" x14ac:dyDescent="0.25">
      <c r="E185" t="e">
        <f t="shared" si="0"/>
        <v>#N/A</v>
      </c>
      <c r="F185" t="e">
        <f t="shared" si="1"/>
        <v>#N/A</v>
      </c>
      <c r="G185" t="e">
        <f t="shared" si="2"/>
        <v>#N/A</v>
      </c>
      <c r="H185" t="e">
        <f t="shared" si="3"/>
        <v>#N/A</v>
      </c>
    </row>
    <row r="186" spans="5:11" x14ac:dyDescent="0.25">
      <c r="E186" t="e">
        <f t="shared" si="0"/>
        <v>#N/A</v>
      </c>
      <c r="F186" t="e">
        <f t="shared" si="1"/>
        <v>#N/A</v>
      </c>
      <c r="G186" t="e">
        <f t="shared" si="2"/>
        <v>#N/A</v>
      </c>
      <c r="H186" t="e">
        <f t="shared" si="3"/>
        <v>#N/A</v>
      </c>
    </row>
    <row r="187" spans="5:11" x14ac:dyDescent="0.25">
      <c r="E187" t="e">
        <f t="shared" si="0"/>
        <v>#N/A</v>
      </c>
      <c r="F187" t="e">
        <f t="shared" si="1"/>
        <v>#N/A</v>
      </c>
      <c r="G187" t="e">
        <f t="shared" si="2"/>
        <v>#N/A</v>
      </c>
      <c r="H187" t="e">
        <f t="shared" si="3"/>
        <v>#N/A</v>
      </c>
    </row>
    <row r="188" spans="5:11" x14ac:dyDescent="0.25">
      <c r="E188" t="e">
        <f t="shared" si="0"/>
        <v>#N/A</v>
      </c>
      <c r="F188" t="e">
        <f t="shared" si="1"/>
        <v>#N/A</v>
      </c>
      <c r="G188" t="e">
        <f t="shared" si="2"/>
        <v>#N/A</v>
      </c>
      <c r="H188" t="e">
        <f t="shared" si="3"/>
        <v>#N/A</v>
      </c>
    </row>
    <row r="189" spans="5:11" x14ac:dyDescent="0.25">
      <c r="E189" t="e">
        <f t="shared" si="0"/>
        <v>#N/A</v>
      </c>
      <c r="F189" t="e">
        <f t="shared" si="1"/>
        <v>#N/A</v>
      </c>
      <c r="G189" t="e">
        <f t="shared" si="2"/>
        <v>#N/A</v>
      </c>
      <c r="H189" t="e">
        <f t="shared" si="3"/>
        <v>#N/A</v>
      </c>
    </row>
    <row r="190" spans="5:11" x14ac:dyDescent="0.25">
      <c r="E190" t="e">
        <f t="shared" si="0"/>
        <v>#N/A</v>
      </c>
      <c r="F190" t="e">
        <f t="shared" si="1"/>
        <v>#N/A</v>
      </c>
      <c r="G190" t="e">
        <f t="shared" si="2"/>
        <v>#N/A</v>
      </c>
      <c r="H190" t="e">
        <f t="shared" si="3"/>
        <v>#N/A</v>
      </c>
    </row>
    <row r="191" spans="5:11" x14ac:dyDescent="0.25">
      <c r="E191" t="e">
        <f t="shared" si="0"/>
        <v>#N/A</v>
      </c>
      <c r="F191" t="e">
        <f t="shared" si="1"/>
        <v>#N/A</v>
      </c>
      <c r="G191" t="e">
        <f t="shared" si="2"/>
        <v>#N/A</v>
      </c>
      <c r="H191" t="e">
        <f t="shared" si="3"/>
        <v>#N/A</v>
      </c>
    </row>
  </sheetData>
  <mergeCells count="2">
    <mergeCell ref="A1:L1"/>
    <mergeCell ref="A9:L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dump</vt:lpstr>
      <vt:lpstr>profile</vt:lpstr>
      <vt:lpstr>Sheet3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2010-01-20T01:51:11Z</dcterms:created>
  <dcterms:modified xsi:type="dcterms:W3CDTF">2010-01-21T02:03:45Z</dcterms:modified>
</cp:coreProperties>
</file>