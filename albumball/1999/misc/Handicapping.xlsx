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/>
  <bookViews>
    <workbookView xWindow="240" yWindow="15" windowWidth="19995" windowHeight="11760" activeTab="1"/>
  </bookViews>
  <sheets>
    <sheet name="Sheet1" sheetId="1" r:id="rId1"/>
    <sheet name="Sheet5" sheetId="5" r:id="rId2"/>
    <sheet name="Sheet2" sheetId="2" r:id="rId3"/>
    <sheet name="Sheet3" sheetId="3" r:id="rId4"/>
  </sheets>
  <definedNames>
    <definedName name="_xlnm._FilterDatabase" localSheetId="0" hidden="1">Sheet1!$A$2:$J$202</definedName>
    <definedName name="_xlnm._FilterDatabase" localSheetId="2" hidden="1">Sheet2!$A$2:$M$802</definedName>
    <definedName name="_xlnm.Print_Area" localSheetId="0">Sheet1!$O$1:$AC$24</definedName>
    <definedName name="solver_adj" localSheetId="0" hidden="1">Sheet1!$AA$2</definedName>
    <definedName name="solver_adj" localSheetId="2" hidden="1">Sheet2!$AB$1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Sheet1!$AA$2</definedName>
    <definedName name="solver_lhs1" localSheetId="2" hidden="1">Sheet2!$AB$1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1</definedName>
    <definedName name="solver_num" localSheetId="2" hidden="1">1</definedName>
    <definedName name="solver_nwt" localSheetId="0" hidden="1">1</definedName>
    <definedName name="solver_nwt" localSheetId="2" hidden="1">1</definedName>
    <definedName name="solver_opt" localSheetId="0" hidden="1">Sheet1!$AC$24</definedName>
    <definedName name="solver_opt" localSheetId="2" hidden="1">Sheet2!$AD$24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3</definedName>
    <definedName name="solver_rel1" localSheetId="2" hidden="1">3</definedName>
    <definedName name="solver_rhs1" localSheetId="0" hidden="1">1.5</definedName>
    <definedName name="solver_rhs1" localSheetId="2" hidden="1">1.5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2</definedName>
    <definedName name="solver_typ" localSheetId="2" hidden="1">2</definedName>
    <definedName name="solver_val" localSheetId="0" hidden="1">81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44315"/>
  <pivotCaches>
    <pivotCache cacheId="5" r:id="rId5"/>
  </pivotCaches>
</workbook>
</file>

<file path=xl/calcChain.xml><?xml version="1.0" encoding="utf-8"?>
<calcChain xmlns="http://schemas.openxmlformats.org/spreadsheetml/2006/main">
  <c r="AO47" i="5" l="1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O36" i="5"/>
  <c r="AO32" i="5" s="1"/>
  <c r="AN36" i="5"/>
  <c r="AM36" i="5"/>
  <c r="AM32" i="5" s="1"/>
  <c r="AL36" i="5"/>
  <c r="AK36" i="5"/>
  <c r="AK32" i="5" s="1"/>
  <c r="AJ36" i="5"/>
  <c r="AI36" i="5"/>
  <c r="AI32" i="5" s="1"/>
  <c r="AH36" i="5"/>
  <c r="AG36" i="5"/>
  <c r="AG32" i="5" s="1"/>
  <c r="AF36" i="5"/>
  <c r="AE36" i="5"/>
  <c r="AE32" i="5" s="1"/>
  <c r="AD36" i="5"/>
  <c r="AC36" i="5"/>
  <c r="AC32" i="5" s="1"/>
  <c r="AB36" i="5"/>
  <c r="AA36" i="5"/>
  <c r="AA32" i="5" s="1"/>
  <c r="Z36" i="5"/>
  <c r="Y36" i="5"/>
  <c r="Y32" i="5" s="1"/>
  <c r="X36" i="5"/>
  <c r="W36" i="5"/>
  <c r="W32" i="5" s="1"/>
  <c r="V36" i="5"/>
  <c r="U36" i="5"/>
  <c r="U32" i="5" s="1"/>
  <c r="T36" i="5"/>
  <c r="S36" i="5"/>
  <c r="S32" i="5" s="1"/>
  <c r="R36" i="5"/>
  <c r="Q36" i="5"/>
  <c r="Q32" i="5" s="1"/>
  <c r="P36" i="5"/>
  <c r="O36" i="5"/>
  <c r="O32" i="5" s="1"/>
  <c r="N36" i="5"/>
  <c r="M36" i="5"/>
  <c r="M32" i="5" s="1"/>
  <c r="L36" i="5"/>
  <c r="K36" i="5"/>
  <c r="K32" i="5" s="1"/>
  <c r="J36" i="5"/>
  <c r="I36" i="5"/>
  <c r="I32" i="5" s="1"/>
  <c r="H36" i="5"/>
  <c r="G36" i="5"/>
  <c r="G32" i="5" s="1"/>
  <c r="F36" i="5"/>
  <c r="E36" i="5"/>
  <c r="E32" i="5" s="1"/>
  <c r="D36" i="5"/>
  <c r="C36" i="5"/>
  <c r="C32" i="5" s="1"/>
  <c r="B47" i="5"/>
  <c r="B44" i="5"/>
  <c r="B41" i="5"/>
  <c r="B38" i="5"/>
  <c r="B46" i="5"/>
  <c r="B43" i="5"/>
  <c r="B40" i="5"/>
  <c r="B37" i="5"/>
  <c r="B45" i="5"/>
  <c r="B42" i="5"/>
  <c r="B39" i="5"/>
  <c r="B36" i="5"/>
  <c r="B32" i="5" s="1"/>
  <c r="D31" i="5" l="1"/>
  <c r="F31" i="5"/>
  <c r="H31" i="5"/>
  <c r="J31" i="5"/>
  <c r="L31" i="5"/>
  <c r="N31" i="5"/>
  <c r="P31" i="5"/>
  <c r="R31" i="5"/>
  <c r="T31" i="5"/>
  <c r="V31" i="5"/>
  <c r="X31" i="5"/>
  <c r="Z31" i="5"/>
  <c r="AB31" i="5"/>
  <c r="AD31" i="5"/>
  <c r="AF31" i="5"/>
  <c r="AH31" i="5"/>
  <c r="AJ31" i="5"/>
  <c r="AL31" i="5"/>
  <c r="AN31" i="5"/>
  <c r="B33" i="5"/>
  <c r="C33" i="5"/>
  <c r="E33" i="5"/>
  <c r="G33" i="5"/>
  <c r="I33" i="5"/>
  <c r="K33" i="5"/>
  <c r="M33" i="5"/>
  <c r="O33" i="5"/>
  <c r="Q33" i="5"/>
  <c r="S33" i="5"/>
  <c r="U33" i="5"/>
  <c r="W33" i="5"/>
  <c r="Y33" i="5"/>
  <c r="AA33" i="5"/>
  <c r="AC33" i="5"/>
  <c r="AE33" i="5"/>
  <c r="AG33" i="5"/>
  <c r="AI33" i="5"/>
  <c r="AK33" i="5"/>
  <c r="AM33" i="5"/>
  <c r="AO33" i="5"/>
  <c r="D34" i="5"/>
  <c r="F34" i="5"/>
  <c r="H34" i="5"/>
  <c r="J34" i="5"/>
  <c r="L34" i="5"/>
  <c r="N34" i="5"/>
  <c r="P34" i="5"/>
  <c r="R34" i="5"/>
  <c r="T34" i="5"/>
  <c r="V34" i="5"/>
  <c r="X34" i="5"/>
  <c r="Z34" i="5"/>
  <c r="AB34" i="5"/>
  <c r="AD34" i="5"/>
  <c r="AF34" i="5"/>
  <c r="AH34" i="5"/>
  <c r="AJ34" i="5"/>
  <c r="AL34" i="5"/>
  <c r="AN34" i="5"/>
  <c r="B34" i="5"/>
  <c r="D33" i="5"/>
  <c r="F33" i="5"/>
  <c r="H33" i="5"/>
  <c r="J33" i="5"/>
  <c r="L33" i="5"/>
  <c r="N33" i="5"/>
  <c r="P33" i="5"/>
  <c r="R33" i="5"/>
  <c r="T33" i="5"/>
  <c r="V33" i="5"/>
  <c r="X33" i="5"/>
  <c r="Z33" i="5"/>
  <c r="AB33" i="5"/>
  <c r="AD33" i="5"/>
  <c r="AF33" i="5"/>
  <c r="AH33" i="5"/>
  <c r="AJ33" i="5"/>
  <c r="AL33" i="5"/>
  <c r="AN33" i="5"/>
  <c r="C34" i="5"/>
  <c r="E34" i="5"/>
  <c r="G34" i="5"/>
  <c r="I34" i="5"/>
  <c r="K34" i="5"/>
  <c r="M34" i="5"/>
  <c r="O34" i="5"/>
  <c r="Q34" i="5"/>
  <c r="S34" i="5"/>
  <c r="U34" i="5"/>
  <c r="W34" i="5"/>
  <c r="Y34" i="5"/>
  <c r="AA34" i="5"/>
  <c r="AC34" i="5"/>
  <c r="AE34" i="5"/>
  <c r="AG34" i="5"/>
  <c r="AI34" i="5"/>
  <c r="AK34" i="5"/>
  <c r="AM34" i="5"/>
  <c r="AO34" i="5"/>
  <c r="C31" i="5"/>
  <c r="E31" i="5"/>
  <c r="G31" i="5"/>
  <c r="I31" i="5"/>
  <c r="K31" i="5"/>
  <c r="M31" i="5"/>
  <c r="O31" i="5"/>
  <c r="Q31" i="5"/>
  <c r="S31" i="5"/>
  <c r="U31" i="5"/>
  <c r="W31" i="5"/>
  <c r="Y31" i="5"/>
  <c r="AA31" i="5"/>
  <c r="AC31" i="5"/>
  <c r="AE31" i="5"/>
  <c r="AG31" i="5"/>
  <c r="AI31" i="5"/>
  <c r="AK31" i="5"/>
  <c r="AM31" i="5"/>
  <c r="AO31" i="5"/>
  <c r="D32" i="5"/>
  <c r="F32" i="5"/>
  <c r="H32" i="5"/>
  <c r="J32" i="5"/>
  <c r="L32" i="5"/>
  <c r="N32" i="5"/>
  <c r="P32" i="5"/>
  <c r="R32" i="5"/>
  <c r="T32" i="5"/>
  <c r="V32" i="5"/>
  <c r="X32" i="5"/>
  <c r="Z32" i="5"/>
  <c r="AB32" i="5"/>
  <c r="AD32" i="5"/>
  <c r="AF32" i="5"/>
  <c r="AH32" i="5"/>
  <c r="AJ32" i="5"/>
  <c r="AL32" i="5"/>
  <c r="AN32" i="5"/>
  <c r="B31" i="5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AB14" i="2" s="1"/>
  <c r="V14" i="2"/>
  <c r="W13" i="2"/>
  <c r="AB13" i="2" s="1"/>
  <c r="V13" i="2"/>
  <c r="W12" i="2"/>
  <c r="AB12" i="2" s="1"/>
  <c r="V12" i="2"/>
  <c r="W11" i="2"/>
  <c r="V11" i="2"/>
  <c r="W10" i="2"/>
  <c r="V10" i="2"/>
  <c r="W9" i="2"/>
  <c r="AB9" i="2" s="1"/>
  <c r="V9" i="2"/>
  <c r="W8" i="2"/>
  <c r="AB8" i="2" s="1"/>
  <c r="V8" i="2"/>
  <c r="W7" i="2"/>
  <c r="V7" i="2"/>
  <c r="W6" i="2"/>
  <c r="V6" i="2"/>
  <c r="W5" i="2"/>
  <c r="V5" i="2"/>
  <c r="W4" i="2"/>
  <c r="V4" i="2"/>
  <c r="W3" i="2"/>
  <c r="V3" i="2"/>
  <c r="R3" i="2"/>
  <c r="S3" i="2"/>
  <c r="U3" i="2"/>
  <c r="AA3" i="2"/>
  <c r="R4" i="2"/>
  <c r="S4" i="2"/>
  <c r="T4" i="2"/>
  <c r="U4" i="2"/>
  <c r="Y4" i="2"/>
  <c r="Z4" i="2"/>
  <c r="R5" i="2"/>
  <c r="S5" i="2"/>
  <c r="T5" i="2"/>
  <c r="U5" i="2"/>
  <c r="Y5" i="2"/>
  <c r="Z5" i="2"/>
  <c r="AB5" i="2"/>
  <c r="AC5" i="2" s="1"/>
  <c r="AD5" i="2" s="1"/>
  <c r="R6" i="2"/>
  <c r="S6" i="2"/>
  <c r="T6" i="2" s="1"/>
  <c r="U6" i="2"/>
  <c r="Y6" i="2"/>
  <c r="Z6" i="2"/>
  <c r="AA6" i="2"/>
  <c r="AB6" i="2"/>
  <c r="R7" i="2"/>
  <c r="S7" i="2"/>
  <c r="U7" i="2"/>
  <c r="Y7" i="2"/>
  <c r="Z7" i="2"/>
  <c r="AA7" i="2"/>
  <c r="AB7" i="2"/>
  <c r="AC7" i="2" s="1"/>
  <c r="R8" i="2"/>
  <c r="S8" i="2"/>
  <c r="T8" i="2" s="1"/>
  <c r="U8" i="2"/>
  <c r="AA8" i="2"/>
  <c r="R9" i="2"/>
  <c r="S9" i="2"/>
  <c r="T9" i="2" s="1"/>
  <c r="U9" i="2"/>
  <c r="Y9" i="2"/>
  <c r="Z9" i="2"/>
  <c r="AA9" i="2"/>
  <c r="R10" i="2"/>
  <c r="S10" i="2"/>
  <c r="U10" i="2"/>
  <c r="Y10" i="2"/>
  <c r="Z10" i="2"/>
  <c r="AA10" i="2"/>
  <c r="AB10" i="2"/>
  <c r="R11" i="2"/>
  <c r="S11" i="2"/>
  <c r="U11" i="2"/>
  <c r="Y11" i="2"/>
  <c r="Z11" i="2"/>
  <c r="AA11" i="2"/>
  <c r="AB11" i="2"/>
  <c r="AC11" i="2" s="1"/>
  <c r="AD11" i="2" s="1"/>
  <c r="R12" i="2"/>
  <c r="S12" i="2"/>
  <c r="T12" i="2" s="1"/>
  <c r="U12" i="2"/>
  <c r="Y12" i="2"/>
  <c r="Z12" i="2"/>
  <c r="AA12" i="2"/>
  <c r="R13" i="2"/>
  <c r="S13" i="2"/>
  <c r="T13" i="2" s="1"/>
  <c r="U13" i="2"/>
  <c r="Y13" i="2"/>
  <c r="Z13" i="2"/>
  <c r="AA13" i="2"/>
  <c r="R14" i="2"/>
  <c r="S14" i="2"/>
  <c r="U14" i="2"/>
  <c r="Y14" i="2"/>
  <c r="Z14" i="2"/>
  <c r="R15" i="2"/>
  <c r="S15" i="2"/>
  <c r="U15" i="2"/>
  <c r="Y15" i="2"/>
  <c r="Z15" i="2"/>
  <c r="AA15" i="2"/>
  <c r="AB15" i="2"/>
  <c r="R16" i="2"/>
  <c r="S16" i="2"/>
  <c r="U16" i="2"/>
  <c r="AB16" i="2"/>
  <c r="Y16" i="2"/>
  <c r="Z16" i="2"/>
  <c r="AA16" i="2"/>
  <c r="R17" i="2"/>
  <c r="S17" i="2"/>
  <c r="U17" i="2"/>
  <c r="Y17" i="2"/>
  <c r="Z17" i="2"/>
  <c r="AA17" i="2"/>
  <c r="AB17" i="2"/>
  <c r="R18" i="2"/>
  <c r="S18" i="2"/>
  <c r="U18" i="2"/>
  <c r="AB18" i="2"/>
  <c r="Y18" i="2"/>
  <c r="Z18" i="2"/>
  <c r="R19" i="2"/>
  <c r="S19" i="2"/>
  <c r="T19" i="2"/>
  <c r="U19" i="2"/>
  <c r="Y19" i="2"/>
  <c r="Z19" i="2"/>
  <c r="AB19" i="2"/>
  <c r="AC19" i="2" s="1"/>
  <c r="AD19" i="2" s="1"/>
  <c r="R20" i="2"/>
  <c r="S20" i="2"/>
  <c r="U20" i="2"/>
  <c r="AB20" i="2"/>
  <c r="Y20" i="2"/>
  <c r="Z20" i="2"/>
  <c r="AA20" i="2"/>
  <c r="R21" i="2"/>
  <c r="S21" i="2"/>
  <c r="U21" i="2"/>
  <c r="AB21" i="2"/>
  <c r="R22" i="2"/>
  <c r="S22" i="2"/>
  <c r="U22" i="2"/>
  <c r="AB22" i="2"/>
  <c r="Y22" i="2"/>
  <c r="Z22" i="2"/>
  <c r="AA22" i="2"/>
  <c r="S24" i="2"/>
  <c r="L698" i="2"/>
  <c r="Z21" i="2" s="1"/>
  <c r="L688" i="2"/>
  <c r="Z8" i="2" s="1"/>
  <c r="L683" i="2"/>
  <c r="Z3" i="2" s="1"/>
  <c r="Z24" i="2" s="1"/>
  <c r="K698" i="2"/>
  <c r="Y21" i="2" s="1"/>
  <c r="K688" i="2"/>
  <c r="Y8" i="2" s="1"/>
  <c r="K683" i="2"/>
  <c r="Y3" i="2" s="1"/>
  <c r="M624" i="2"/>
  <c r="M634" i="2"/>
  <c r="AA14" i="2" s="1"/>
  <c r="M639" i="2"/>
  <c r="T17" i="2" l="1"/>
  <c r="T15" i="2"/>
  <c r="AC10" i="2"/>
  <c r="AD10" i="2" s="1"/>
  <c r="AC6" i="2"/>
  <c r="AD6" i="2" s="1"/>
  <c r="U24" i="2"/>
  <c r="R24" i="2"/>
  <c r="AC8" i="2"/>
  <c r="AD8" i="2" s="1"/>
  <c r="AC9" i="2"/>
  <c r="AD9" i="2" s="1"/>
  <c r="AC12" i="2"/>
  <c r="AD12" i="2" s="1"/>
  <c r="AC13" i="2"/>
  <c r="AD13" i="2" s="1"/>
  <c r="AC14" i="2"/>
  <c r="AD14" i="2" s="1"/>
  <c r="AC22" i="2"/>
  <c r="AD22" i="2" s="1"/>
  <c r="T22" i="2"/>
  <c r="AC21" i="2"/>
  <c r="AD21" i="2" s="1"/>
  <c r="T21" i="2"/>
  <c r="AC18" i="2"/>
  <c r="AD18" i="2" s="1"/>
  <c r="T18" i="2"/>
  <c r="AC17" i="2"/>
  <c r="AD17" i="2" s="1"/>
  <c r="T16" i="2"/>
  <c r="AC15" i="2"/>
  <c r="AD15" i="2" s="1"/>
  <c r="T14" i="2"/>
  <c r="T11" i="2"/>
  <c r="T10" i="2"/>
  <c r="T7" i="2"/>
  <c r="T3" i="2"/>
  <c r="AB4" i="2"/>
  <c r="AC4" i="2" s="1"/>
  <c r="AD4" i="2" s="1"/>
  <c r="AC20" i="2"/>
  <c r="AD20" i="2" s="1"/>
  <c r="T20" i="2"/>
  <c r="Y24" i="2"/>
  <c r="V24" i="2"/>
  <c r="AB3" i="2"/>
  <c r="AC3" i="2" s="1"/>
  <c r="AD3" i="2" s="1"/>
  <c r="AC16" i="2"/>
  <c r="AD16" i="2" s="1"/>
  <c r="T24" i="2"/>
  <c r="AD7" i="2"/>
  <c r="W24" i="2"/>
  <c r="M312" i="2"/>
  <c r="AA19" i="2" s="1"/>
  <c r="M319" i="2"/>
  <c r="M313" i="2"/>
  <c r="AA5" i="2" s="1"/>
  <c r="M96" i="2"/>
  <c r="AA21" i="2" s="1"/>
  <c r="M88" i="2"/>
  <c r="AA18" i="2" s="1"/>
  <c r="M93" i="2"/>
  <c r="AA4" i="2" s="1"/>
  <c r="AA24" i="2" l="1"/>
  <c r="AD24" i="2"/>
  <c r="AB24" i="2"/>
  <c r="AC24" i="2"/>
  <c r="AC24" i="1" l="1"/>
  <c r="AB24" i="1"/>
  <c r="AA24" i="1"/>
  <c r="W24" i="1"/>
  <c r="V24" i="1"/>
  <c r="U24" i="1"/>
  <c r="T24" i="1"/>
  <c r="S24" i="1"/>
  <c r="R24" i="1"/>
  <c r="Q24" i="1"/>
  <c r="Z22" i="1"/>
  <c r="Y22" i="1"/>
  <c r="X22" i="1"/>
  <c r="V22" i="1"/>
  <c r="U22" i="1"/>
  <c r="T22" i="1"/>
  <c r="R22" i="1"/>
  <c r="Q22" i="1"/>
  <c r="Z21" i="1"/>
  <c r="Y21" i="1"/>
  <c r="X21" i="1"/>
  <c r="V21" i="1"/>
  <c r="U21" i="1"/>
  <c r="T21" i="1"/>
  <c r="R21" i="1"/>
  <c r="Q21" i="1"/>
  <c r="Z20" i="1"/>
  <c r="Y20" i="1"/>
  <c r="X20" i="1"/>
  <c r="V20" i="1"/>
  <c r="U20" i="1"/>
  <c r="T20" i="1"/>
  <c r="R20" i="1"/>
  <c r="Q20" i="1"/>
  <c r="Y19" i="1"/>
  <c r="X19" i="1"/>
  <c r="V19" i="1"/>
  <c r="U19" i="1"/>
  <c r="T19" i="1"/>
  <c r="R19" i="1"/>
  <c r="Q19" i="1"/>
  <c r="Z18" i="1"/>
  <c r="Y18" i="1"/>
  <c r="X18" i="1"/>
  <c r="V18" i="1"/>
  <c r="U18" i="1"/>
  <c r="T18" i="1"/>
  <c r="R18" i="1"/>
  <c r="Q18" i="1"/>
  <c r="Z16" i="1"/>
  <c r="Y16" i="1"/>
  <c r="X16" i="1"/>
  <c r="V16" i="1"/>
  <c r="U16" i="1"/>
  <c r="T16" i="1"/>
  <c r="R16" i="1"/>
  <c r="Q16" i="1"/>
  <c r="Z17" i="1"/>
  <c r="Y17" i="1"/>
  <c r="X17" i="1"/>
  <c r="V17" i="1"/>
  <c r="U17" i="1"/>
  <c r="T17" i="1"/>
  <c r="R17" i="1"/>
  <c r="Q17" i="1"/>
  <c r="Z15" i="1"/>
  <c r="Y15" i="1"/>
  <c r="X15" i="1"/>
  <c r="V15" i="1"/>
  <c r="U15" i="1"/>
  <c r="T15" i="1"/>
  <c r="R15" i="1"/>
  <c r="Q15" i="1"/>
  <c r="Z14" i="1"/>
  <c r="Y14" i="1"/>
  <c r="X14" i="1"/>
  <c r="V14" i="1"/>
  <c r="U14" i="1"/>
  <c r="T14" i="1"/>
  <c r="R14" i="1"/>
  <c r="Q14" i="1"/>
  <c r="Z13" i="1"/>
  <c r="Y13" i="1"/>
  <c r="X13" i="1"/>
  <c r="V13" i="1"/>
  <c r="U13" i="1"/>
  <c r="T13" i="1"/>
  <c r="R13" i="1"/>
  <c r="Q13" i="1"/>
  <c r="Z12" i="1"/>
  <c r="Y12" i="1"/>
  <c r="X12" i="1"/>
  <c r="V12" i="1"/>
  <c r="U12" i="1"/>
  <c r="T12" i="1"/>
  <c r="R12" i="1"/>
  <c r="Q12" i="1"/>
  <c r="Z11" i="1"/>
  <c r="Y11" i="1"/>
  <c r="X11" i="1"/>
  <c r="V11" i="1"/>
  <c r="U11" i="1"/>
  <c r="T11" i="1"/>
  <c r="R11" i="1"/>
  <c r="Q11" i="1"/>
  <c r="Z10" i="1"/>
  <c r="Y10" i="1"/>
  <c r="X10" i="1"/>
  <c r="V10" i="1"/>
  <c r="U10" i="1"/>
  <c r="T10" i="1"/>
  <c r="R10" i="1"/>
  <c r="Q10" i="1"/>
  <c r="Z9" i="1"/>
  <c r="Y9" i="1"/>
  <c r="X9" i="1"/>
  <c r="V9" i="1"/>
  <c r="U9" i="1"/>
  <c r="T9" i="1"/>
  <c r="R9" i="1"/>
  <c r="Q9" i="1"/>
  <c r="Z8" i="1"/>
  <c r="Y8" i="1"/>
  <c r="X8" i="1"/>
  <c r="V8" i="1"/>
  <c r="U8" i="1"/>
  <c r="T8" i="1"/>
  <c r="R8" i="1"/>
  <c r="Q8" i="1"/>
  <c r="Z7" i="1"/>
  <c r="Y7" i="1"/>
  <c r="X7" i="1"/>
  <c r="V7" i="1"/>
  <c r="U7" i="1"/>
  <c r="T7" i="1"/>
  <c r="R7" i="1"/>
  <c r="Q7" i="1"/>
  <c r="Z6" i="1"/>
  <c r="Y6" i="1"/>
  <c r="X6" i="1"/>
  <c r="V6" i="1"/>
  <c r="U6" i="1"/>
  <c r="T6" i="1"/>
  <c r="R6" i="1"/>
  <c r="Q6" i="1"/>
  <c r="Y5" i="1"/>
  <c r="X5" i="1"/>
  <c r="V5" i="1"/>
  <c r="U5" i="1"/>
  <c r="T5" i="1"/>
  <c r="R5" i="1"/>
  <c r="Q5" i="1"/>
  <c r="Y4" i="1"/>
  <c r="X4" i="1"/>
  <c r="V4" i="1"/>
  <c r="U4" i="1"/>
  <c r="T4" i="1"/>
  <c r="R4" i="1"/>
  <c r="Q4" i="1"/>
  <c r="Z3" i="1"/>
  <c r="Y3" i="1"/>
  <c r="Y24" i="1" s="1"/>
  <c r="X3" i="1"/>
  <c r="X24" i="1" s="1"/>
  <c r="V3" i="1"/>
  <c r="U3" i="1"/>
  <c r="T3" i="1"/>
  <c r="R3" i="1"/>
  <c r="Q3" i="1"/>
  <c r="M99" i="1" l="1"/>
  <c r="Z19" i="1" s="1"/>
  <c r="M85" i="1"/>
  <c r="Z4" i="1" s="1"/>
  <c r="Z24" i="1" s="1"/>
  <c r="M84" i="1"/>
  <c r="Z5" i="1" s="1"/>
  <c r="W20" i="1"/>
  <c r="W6" i="1"/>
  <c r="W9" i="1"/>
  <c r="W7" i="1"/>
  <c r="W10" i="1"/>
  <c r="W15" i="1"/>
  <c r="W8" i="1"/>
  <c r="W4" i="1"/>
  <c r="W17" i="1"/>
  <c r="W21" i="1"/>
  <c r="W19" i="1"/>
  <c r="W22" i="1"/>
  <c r="W12" i="1"/>
  <c r="W16" i="1"/>
  <c r="W14" i="1"/>
  <c r="W11" i="1"/>
  <c r="W3" i="1"/>
  <c r="W5" i="1"/>
  <c r="W18" i="1"/>
  <c r="S20" i="1"/>
  <c r="S6" i="1"/>
  <c r="S9" i="1"/>
  <c r="S7" i="1"/>
  <c r="S10" i="1"/>
  <c r="S15" i="1"/>
  <c r="S8" i="1"/>
  <c r="S4" i="1"/>
  <c r="S17" i="1"/>
  <c r="S21" i="1"/>
  <c r="S19" i="1"/>
  <c r="S22" i="1"/>
  <c r="S12" i="1"/>
  <c r="S16" i="1"/>
  <c r="S14" i="1"/>
  <c r="S11" i="1"/>
  <c r="S3" i="1"/>
  <c r="S5" i="1"/>
  <c r="S18" i="1"/>
  <c r="W13" i="1" l="1"/>
  <c r="AA18" i="1"/>
  <c r="AB18" i="1" s="1"/>
  <c r="AC18" i="1" s="1"/>
  <c r="AA3" i="1"/>
  <c r="AB3" i="1" s="1"/>
  <c r="AC3" i="1" s="1"/>
  <c r="AA14" i="1"/>
  <c r="AB14" i="1" s="1"/>
  <c r="AC14" i="1" s="1"/>
  <c r="AA12" i="1"/>
  <c r="AB12" i="1" s="1"/>
  <c r="AC12" i="1" s="1"/>
  <c r="AA19" i="1"/>
  <c r="AB19" i="1" s="1"/>
  <c r="AC19" i="1" s="1"/>
  <c r="AA17" i="1"/>
  <c r="AB17" i="1" s="1"/>
  <c r="AC17" i="1" s="1"/>
  <c r="AA8" i="1"/>
  <c r="AB8" i="1" s="1"/>
  <c r="AC8" i="1" s="1"/>
  <c r="AA10" i="1"/>
  <c r="AB10" i="1" s="1"/>
  <c r="AC10" i="1" s="1"/>
  <c r="AA9" i="1"/>
  <c r="AB9" i="1" s="1"/>
  <c r="AC9" i="1" s="1"/>
  <c r="AA20" i="1"/>
  <c r="AB20" i="1" s="1"/>
  <c r="AC20" i="1" s="1"/>
  <c r="S13" i="1"/>
  <c r="AA13" i="1"/>
  <c r="AA5" i="1"/>
  <c r="AB5" i="1" s="1"/>
  <c r="AC5" i="1" s="1"/>
  <c r="AA11" i="1"/>
  <c r="AB11" i="1" s="1"/>
  <c r="AC11" i="1" s="1"/>
  <c r="AA16" i="1"/>
  <c r="AB16" i="1" s="1"/>
  <c r="AC16" i="1" s="1"/>
  <c r="AA22" i="1"/>
  <c r="AB22" i="1" s="1"/>
  <c r="AC22" i="1" s="1"/>
  <c r="AA21" i="1"/>
  <c r="AB21" i="1" s="1"/>
  <c r="AC21" i="1" s="1"/>
  <c r="AA4" i="1"/>
  <c r="AB4" i="1" s="1"/>
  <c r="AC4" i="1" s="1"/>
  <c r="AA15" i="1"/>
  <c r="AB15" i="1" s="1"/>
  <c r="AC15" i="1" s="1"/>
  <c r="AA7" i="1"/>
  <c r="AB7" i="1" s="1"/>
  <c r="AC7" i="1" s="1"/>
  <c r="AA6" i="1"/>
  <c r="AB6" i="1" s="1"/>
  <c r="AC6" i="1" s="1"/>
  <c r="AB13" i="1"/>
  <c r="AC13" i="1" l="1"/>
</calcChain>
</file>

<file path=xl/sharedStrings.xml><?xml version="1.0" encoding="utf-8"?>
<sst xmlns="http://schemas.openxmlformats.org/spreadsheetml/2006/main" count="2717" uniqueCount="93">
  <si>
    <t>Team</t>
  </si>
  <si>
    <t>W</t>
  </si>
  <si>
    <t>L</t>
  </si>
  <si>
    <t>Pct</t>
  </si>
  <si>
    <t>GB</t>
  </si>
  <si>
    <t>RF</t>
  </si>
  <si>
    <t>RA</t>
  </si>
  <si>
    <t>Mgn</t>
  </si>
  <si>
    <t>Barcelona Brewers</t>
  </si>
  <si>
    <t>Tewksbury Bobs</t>
  </si>
  <si>
    <t>Ferdinand Magellans</t>
  </si>
  <si>
    <t>Ferlin Huskies</t>
  </si>
  <si>
    <t>Felldownhead Firsts</t>
  </si>
  <si>
    <t>McCullers Lancers</t>
  </si>
  <si>
    <t>Rocky Mountain Oysters</t>
  </si>
  <si>
    <t>Newport Never Nudes</t>
  </si>
  <si>
    <t>Cincinnati Reds</t>
  </si>
  <si>
    <t>Fallkirk Frightened Rabbit</t>
  </si>
  <si>
    <t>Chinatrust Whales</t>
  </si>
  <si>
    <t>Garmisch-Parten Shebazzle!</t>
  </si>
  <si>
    <t>Century Atoms</t>
  </si>
  <si>
    <t>Tarboro Goobers</t>
  </si>
  <si>
    <t>Okoboji Cropdusters</t>
  </si>
  <si>
    <t>Baraboo GoiterMen</t>
  </si>
  <si>
    <t>Dún Laoghaire Messiahs</t>
  </si>
  <si>
    <t>Newfoundland Perfectos</t>
  </si>
  <si>
    <t>Evanston Endorphins</t>
  </si>
  <si>
    <t>French Lick Linguists</t>
  </si>
  <si>
    <t>division</t>
  </si>
  <si>
    <t>Jumping</t>
  </si>
  <si>
    <t>Cruise</t>
  </si>
  <si>
    <t>Barcelona</t>
  </si>
  <si>
    <t>Goodbye</t>
  </si>
  <si>
    <t>Sim#</t>
  </si>
  <si>
    <t>Div</t>
  </si>
  <si>
    <t>pW</t>
  </si>
  <si>
    <t>Err^2</t>
  </si>
  <si>
    <t>AVERAGES</t>
  </si>
  <si>
    <t>Bye</t>
  </si>
  <si>
    <t>WC</t>
  </si>
  <si>
    <t>Division</t>
  </si>
  <si>
    <t>Seven More Minutes League Handicapping - 16 Seasons</t>
  </si>
  <si>
    <r>
      <t xml:space="preserve">Teams in </t>
    </r>
    <r>
      <rPr>
        <i/>
        <sz val="11"/>
        <color rgb="FFC00000"/>
        <rFont val="Calibri"/>
        <family val="2"/>
        <scheme val="minor"/>
      </rPr>
      <t>Red</t>
    </r>
    <r>
      <rPr>
        <i/>
        <sz val="11"/>
        <color rgb="FFFFFFFF"/>
        <rFont val="Calibri"/>
        <family val="2"/>
        <scheme val="minor"/>
      </rPr>
      <t xml:space="preserve"> Italic font have not yet turned in a profile.</t>
    </r>
  </si>
  <si>
    <t>DivIsion</t>
  </si>
  <si>
    <t>Pyth%</t>
  </si>
  <si>
    <t>Postseason</t>
  </si>
  <si>
    <r>
      <t xml:space="preserve">Teams in </t>
    </r>
    <r>
      <rPr>
        <i/>
        <sz val="11"/>
        <color rgb="FFC00000"/>
        <rFont val="Calibri"/>
        <family val="2"/>
        <scheme val="minor"/>
      </rPr>
      <t>Red</t>
    </r>
    <r>
      <rPr>
        <i/>
        <sz val="11"/>
        <color rgb="FFFFFFFF"/>
        <rFont val="Calibri"/>
        <family val="2"/>
        <scheme val="minor"/>
      </rPr>
      <t xml:space="preserve"> Italic font had not yet turned in a profile.</t>
    </r>
  </si>
  <si>
    <t>Seven More Minutes League Handicapping - 40 Seasons</t>
  </si>
  <si>
    <t>Error</t>
  </si>
  <si>
    <t>RS/g</t>
  </si>
  <si>
    <t>RA/g</t>
  </si>
  <si>
    <t>Diff</t>
  </si>
  <si>
    <t>Owner</t>
  </si>
  <si>
    <t>Miller,R</t>
  </si>
  <si>
    <t>Bernstein</t>
  </si>
  <si>
    <t>Stearns</t>
  </si>
  <si>
    <t>Lingo</t>
  </si>
  <si>
    <t>Smith</t>
  </si>
  <si>
    <t>Manuel</t>
  </si>
  <si>
    <t>Poole</t>
  </si>
  <si>
    <t>Miller,C</t>
  </si>
  <si>
    <t>Scott</t>
  </si>
  <si>
    <t>Canter</t>
  </si>
  <si>
    <t>Potter</t>
  </si>
  <si>
    <t>Sasman</t>
  </si>
  <si>
    <t>Henninger</t>
  </si>
  <si>
    <t>Carroll/Kleine</t>
  </si>
  <si>
    <t>Haverty/Mojo</t>
  </si>
  <si>
    <t>Marshall</t>
  </si>
  <si>
    <t>Olkin</t>
  </si>
  <si>
    <t>Bailey</t>
  </si>
  <si>
    <t>Chernow</t>
  </si>
  <si>
    <t>English</t>
  </si>
  <si>
    <t>Manual</t>
  </si>
  <si>
    <t>Column Labels</t>
  </si>
  <si>
    <t>Row Labels</t>
  </si>
  <si>
    <t>Sum of W</t>
  </si>
  <si>
    <t>Winner Barcelona</t>
  </si>
  <si>
    <t>Winner Cruise</t>
  </si>
  <si>
    <t>Winner Goodbye</t>
  </si>
  <si>
    <t>Winner Jumping</t>
  </si>
  <si>
    <t>2nd Place Barcelona</t>
  </si>
  <si>
    <t>2nd Place Cruise</t>
  </si>
  <si>
    <t>2nd Place Goodbye</t>
  </si>
  <si>
    <t>2nd Place Jumping</t>
  </si>
  <si>
    <t>3rd Place Barcelona</t>
  </si>
  <si>
    <t>3rd Place Cruise</t>
  </si>
  <si>
    <t>3rd Place Goodbye</t>
  </si>
  <si>
    <t>3rd Place Jumping</t>
  </si>
  <si>
    <t>Win Rank 1</t>
  </si>
  <si>
    <t>Win Rank 2</t>
  </si>
  <si>
    <t>Win Rank 3</t>
  </si>
  <si>
    <t>Win Rank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</si>
</sst>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"/>
    <numFmt numFmtId="166" formatCode="_(* #,##0.0;\-#,##0.0;_(* &quot;-&quot;?;_(@"/>
    <numFmt numFmtId="167" formatCode="0%;;"/>
    <numFmt numFmtId="168" formatCode=".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6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6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0" fontId="0" fillId="3" borderId="0" xfId="0" applyFill="1"/>
    <xf numFmtId="0" fontId="0" fillId="5" borderId="1" xfId="0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166" fontId="0" fillId="5" borderId="1" xfId="0" applyNumberFormat="1" applyFill="1" applyBorder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  <xf numFmtId="0" fontId="2" fillId="5" borderId="1" xfId="0" applyFont="1" applyFill="1" applyBorder="1"/>
    <xf numFmtId="0" fontId="1" fillId="5" borderId="0" xfId="0" applyFont="1" applyFill="1"/>
    <xf numFmtId="0" fontId="2" fillId="2" borderId="1" xfId="0" applyFont="1" applyFill="1" applyBorder="1"/>
    <xf numFmtId="0" fontId="4" fillId="2" borderId="0" xfId="0" applyFont="1" applyFill="1"/>
    <xf numFmtId="0" fontId="5" fillId="4" borderId="2" xfId="0" applyFont="1" applyFill="1" applyBorder="1"/>
    <xf numFmtId="0" fontId="5" fillId="4" borderId="2" xfId="0" applyFont="1" applyFill="1" applyBorder="1" applyAlignment="1">
      <alignment horizontal="right"/>
    </xf>
    <xf numFmtId="165" fontId="5" fillId="4" borderId="2" xfId="0" applyNumberFormat="1" applyFont="1" applyFill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0" fontId="2" fillId="3" borderId="0" xfId="0" applyFont="1" applyFill="1"/>
    <xf numFmtId="0" fontId="6" fillId="2" borderId="0" xfId="0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166" fontId="6" fillId="2" borderId="0" xfId="0" applyNumberFormat="1" applyFont="1" applyFill="1"/>
    <xf numFmtId="0" fontId="6" fillId="5" borderId="0" xfId="0" applyFont="1" applyFill="1"/>
    <xf numFmtId="164" fontId="6" fillId="5" borderId="0" xfId="0" applyNumberFormat="1" applyFont="1" applyFill="1"/>
    <xf numFmtId="165" fontId="6" fillId="5" borderId="0" xfId="0" applyNumberFormat="1" applyFont="1" applyFill="1"/>
    <xf numFmtId="166" fontId="6" fillId="5" borderId="0" xfId="0" applyNumberFormat="1" applyFont="1" applyFill="1"/>
    <xf numFmtId="0" fontId="7" fillId="3" borderId="0" xfId="0" applyFont="1" applyFill="1"/>
    <xf numFmtId="9" fontId="0" fillId="0" borderId="0" xfId="1" applyFont="1"/>
    <xf numFmtId="0" fontId="0" fillId="2" borderId="0" xfId="0" applyFill="1" applyBorder="1"/>
    <xf numFmtId="164" fontId="0" fillId="2" borderId="0" xfId="0" applyNumberFormat="1" applyFill="1" applyBorder="1"/>
    <xf numFmtId="0" fontId="1" fillId="5" borderId="0" xfId="0" applyFont="1" applyFill="1" applyBorder="1"/>
    <xf numFmtId="0" fontId="4" fillId="2" borderId="0" xfId="0" applyFont="1" applyFill="1" applyBorder="1"/>
    <xf numFmtId="167" fontId="0" fillId="5" borderId="1" xfId="1" applyNumberFormat="1" applyFont="1" applyFill="1" applyBorder="1"/>
    <xf numFmtId="167" fontId="0" fillId="5" borderId="0" xfId="1" applyNumberFormat="1" applyFont="1" applyFill="1"/>
    <xf numFmtId="167" fontId="6" fillId="5" borderId="0" xfId="1" applyNumberFormat="1" applyFont="1" applyFill="1"/>
    <xf numFmtId="167" fontId="0" fillId="2" borderId="1" xfId="1" applyNumberFormat="1" applyFont="1" applyFill="1" applyBorder="1"/>
    <xf numFmtId="167" fontId="0" fillId="2" borderId="0" xfId="1" applyNumberFormat="1" applyFont="1" applyFill="1"/>
    <xf numFmtId="167" fontId="6" fillId="2" borderId="0" xfId="1" applyNumberFormat="1" applyFont="1" applyFill="1"/>
    <xf numFmtId="167" fontId="0" fillId="2" borderId="0" xfId="1" applyNumberFormat="1" applyFont="1" applyFill="1" applyBorder="1"/>
    <xf numFmtId="0" fontId="3" fillId="3" borderId="3" xfId="0" applyFont="1" applyFill="1" applyBorder="1" applyAlignment="1"/>
    <xf numFmtId="165" fontId="10" fillId="3" borderId="3" xfId="0" applyNumberFormat="1" applyFont="1" applyFill="1" applyBorder="1" applyAlignment="1"/>
    <xf numFmtId="0" fontId="11" fillId="5" borderId="0" xfId="0" applyFont="1" applyFill="1" applyBorder="1"/>
    <xf numFmtId="164" fontId="11" fillId="5" borderId="0" xfId="0" applyNumberFormat="1" applyFont="1" applyFill="1" applyBorder="1"/>
    <xf numFmtId="167" fontId="11" fillId="5" borderId="0" xfId="1" applyNumberFormat="1" applyFont="1" applyFill="1" applyBorder="1"/>
    <xf numFmtId="164" fontId="0" fillId="3" borderId="0" xfId="0" applyNumberFormat="1" applyFill="1"/>
    <xf numFmtId="168" fontId="0" fillId="5" borderId="1" xfId="0" applyNumberFormat="1" applyFill="1" applyBorder="1"/>
    <xf numFmtId="168" fontId="0" fillId="5" borderId="0" xfId="0" applyNumberFormat="1" applyFill="1"/>
    <xf numFmtId="168" fontId="6" fillId="5" borderId="0" xfId="0" applyNumberFormat="1" applyFont="1" applyFill="1"/>
    <xf numFmtId="168" fontId="0" fillId="2" borderId="1" xfId="0" applyNumberFormat="1" applyFill="1" applyBorder="1"/>
    <xf numFmtId="168" fontId="6" fillId="2" borderId="0" xfId="0" applyNumberFormat="1" applyFont="1" applyFill="1"/>
    <xf numFmtId="168" fontId="0" fillId="2" borderId="0" xfId="0" applyNumberFormat="1" applyFill="1"/>
    <xf numFmtId="168" fontId="11" fillId="5" borderId="0" xfId="0" applyNumberFormat="1" applyFont="1" applyFill="1" applyBorder="1"/>
    <xf numFmtId="168" fontId="0" fillId="2" borderId="0" xfId="0" applyNumberFormat="1" applyFill="1" applyBorder="1"/>
    <xf numFmtId="168" fontId="5" fillId="4" borderId="1" xfId="0" applyNumberFormat="1" applyFont="1" applyFill="1" applyBorder="1"/>
    <xf numFmtId="2" fontId="0" fillId="5" borderId="1" xfId="0" applyNumberFormat="1" applyFill="1" applyBorder="1"/>
    <xf numFmtId="2" fontId="0" fillId="5" borderId="0" xfId="0" applyNumberFormat="1" applyFill="1"/>
    <xf numFmtId="2" fontId="6" fillId="5" borderId="0" xfId="0" applyNumberFormat="1" applyFont="1" applyFill="1"/>
    <xf numFmtId="2" fontId="0" fillId="2" borderId="1" xfId="0" applyNumberFormat="1" applyFill="1" applyBorder="1"/>
    <xf numFmtId="2" fontId="6" fillId="2" borderId="0" xfId="0" applyNumberFormat="1" applyFont="1" applyFill="1"/>
    <xf numFmtId="2" fontId="0" fillId="2" borderId="0" xfId="0" applyNumberFormat="1" applyFill="1"/>
    <xf numFmtId="2" fontId="11" fillId="5" borderId="0" xfId="0" applyNumberFormat="1" applyFont="1" applyFill="1" applyBorder="1"/>
    <xf numFmtId="2" fontId="0" fillId="2" borderId="0" xfId="0" applyNumberFormat="1" applyFill="1" applyBorder="1"/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22</xdr:col>
      <xdr:colOff>371475</xdr:colOff>
      <xdr:row>24</xdr:row>
      <xdr:rowOff>114300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0"/>
          <a:ext cx="7077075" cy="468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0204.041089699072" createdVersion="4" refreshedVersion="4" minRefreshableVersion="3" recordCount="800">
  <cacheSource type="worksheet">
    <worksheetSource ref="A2:J802" sheet="Sheet2"/>
  </cacheSource>
  <cacheFields count="10">
    <cacheField name="Sim#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Div" numFmtId="0">
      <sharedItems count="4">
        <s v="Barcelona"/>
        <s v="Cruise"/>
        <s v="Goodbye"/>
        <s v="Jumping"/>
      </sharedItems>
    </cacheField>
    <cacheField name="Team" numFmtId="0">
      <sharedItems count="20">
        <s v="Chinatrust Whales"/>
        <s v="Garmisch-Parten Shebazzle!"/>
        <s v="Century Atoms"/>
        <s v="Tarboro Goobers"/>
        <s v="Okoboji Cropdusters"/>
        <s v="McCullers Lancers"/>
        <s v="Rocky Mountain Oysters"/>
        <s v="Newport Never Nudes"/>
        <s v="Cincinnati Reds"/>
        <s v="Fallkirk Frightened Rabbit"/>
        <s v="Baraboo GoiterMen"/>
        <s v="Dún Laoghaire Messiahs"/>
        <s v="Evanston Endorphins"/>
        <s v="Newfoundland Perfectos"/>
        <s v="French Lick Linguists"/>
        <s v="Ferlin Huskies"/>
        <s v="Tewksbury Bobs"/>
        <s v="Barcelona Brewers"/>
        <s v="Ferdinand Magellans"/>
        <s v="Felldownhead Firsts"/>
      </sharedItems>
    </cacheField>
    <cacheField name="W" numFmtId="0">
      <sharedItems containsSemiMixedTypes="0" containsString="0" containsNumber="1" containsInteger="1" minValue="35" maxValue="126"/>
    </cacheField>
    <cacheField name="L" numFmtId="0">
      <sharedItems containsSemiMixedTypes="0" containsString="0" containsNumber="1" containsInteger="1" minValue="36" maxValue="127"/>
    </cacheField>
    <cacheField name="Pct" numFmtId="0">
      <sharedItems containsSemiMixedTypes="0" containsString="0" containsNumber="1" minValue="0.216" maxValue="0.77800000000000002"/>
    </cacheField>
    <cacheField name="GB" numFmtId="0">
      <sharedItems containsSemiMixedTypes="0" containsString="0" containsNumber="1" containsInteger="1" minValue="0" maxValue="87"/>
    </cacheField>
    <cacheField name="RF" numFmtId="0">
      <sharedItems containsSemiMixedTypes="0" containsString="0" containsNumber="1" containsInteger="1" minValue="572" maxValue="1206"/>
    </cacheField>
    <cacheField name="RA" numFmtId="0">
      <sharedItems containsSemiMixedTypes="0" containsString="0" containsNumber="1" containsInteger="1" minValue="609" maxValue="1226"/>
    </cacheField>
    <cacheField name="Mgn" numFmtId="0">
      <sharedItems containsSemiMixedTypes="0" containsString="0" containsNumber="1" containsInteger="1" minValue="-490" maxValue="4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">
  <r>
    <x v="0"/>
    <x v="0"/>
    <x v="0"/>
    <n v="107"/>
    <n v="55"/>
    <n v="0.66"/>
    <n v="0"/>
    <n v="1060"/>
    <n v="761"/>
    <n v="299"/>
  </r>
  <r>
    <x v="0"/>
    <x v="0"/>
    <x v="1"/>
    <n v="98"/>
    <n v="64"/>
    <n v="0.60499999999999998"/>
    <n v="9"/>
    <n v="1001"/>
    <n v="831"/>
    <n v="170"/>
  </r>
  <r>
    <x v="0"/>
    <x v="0"/>
    <x v="2"/>
    <n v="83"/>
    <n v="79"/>
    <n v="0.51200000000000001"/>
    <n v="24"/>
    <n v="915"/>
    <n v="941"/>
    <n v="-26"/>
  </r>
  <r>
    <x v="0"/>
    <x v="0"/>
    <x v="3"/>
    <n v="68"/>
    <n v="94"/>
    <n v="0.42"/>
    <n v="39"/>
    <n v="836"/>
    <n v="960"/>
    <n v="-124"/>
  </r>
  <r>
    <x v="0"/>
    <x v="0"/>
    <x v="4"/>
    <n v="57"/>
    <n v="105"/>
    <n v="0.35199999999999998"/>
    <n v="50"/>
    <n v="777"/>
    <n v="1107"/>
    <n v="-330"/>
  </r>
  <r>
    <x v="0"/>
    <x v="1"/>
    <x v="5"/>
    <n v="107"/>
    <n v="55"/>
    <n v="0.66"/>
    <n v="0"/>
    <n v="952"/>
    <n v="654"/>
    <n v="298"/>
  </r>
  <r>
    <x v="0"/>
    <x v="1"/>
    <x v="6"/>
    <n v="66"/>
    <n v="96"/>
    <n v="0.40699999999999997"/>
    <n v="41"/>
    <n v="775"/>
    <n v="872"/>
    <n v="-97"/>
  </r>
  <r>
    <x v="0"/>
    <x v="1"/>
    <x v="7"/>
    <n v="79"/>
    <n v="83"/>
    <n v="0.48799999999999999"/>
    <n v="28"/>
    <n v="981"/>
    <n v="1102"/>
    <n v="-121"/>
  </r>
  <r>
    <x v="0"/>
    <x v="1"/>
    <x v="8"/>
    <n v="61"/>
    <n v="101"/>
    <n v="0.377"/>
    <n v="46"/>
    <n v="772"/>
    <n v="984"/>
    <n v="-212"/>
  </r>
  <r>
    <x v="0"/>
    <x v="1"/>
    <x v="9"/>
    <n v="53"/>
    <n v="109"/>
    <n v="0.32700000000000001"/>
    <n v="54"/>
    <n v="629"/>
    <n v="1001"/>
    <n v="-372"/>
  </r>
  <r>
    <x v="0"/>
    <x v="2"/>
    <x v="10"/>
    <n v="102"/>
    <n v="60"/>
    <n v="0.63"/>
    <n v="0"/>
    <n v="996"/>
    <n v="704"/>
    <n v="292"/>
  </r>
  <r>
    <x v="0"/>
    <x v="2"/>
    <x v="11"/>
    <n v="85"/>
    <n v="77"/>
    <n v="0.52500000000000002"/>
    <n v="17"/>
    <n v="825"/>
    <n v="775"/>
    <n v="50"/>
  </r>
  <r>
    <x v="0"/>
    <x v="2"/>
    <x v="12"/>
    <n v="75"/>
    <n v="87"/>
    <n v="0.46300000000000002"/>
    <n v="27"/>
    <n v="778"/>
    <n v="852"/>
    <n v="-74"/>
  </r>
  <r>
    <x v="0"/>
    <x v="2"/>
    <x v="13"/>
    <n v="70"/>
    <n v="92"/>
    <n v="0.432"/>
    <n v="32"/>
    <n v="855"/>
    <n v="895"/>
    <n v="-40"/>
  </r>
  <r>
    <x v="0"/>
    <x v="2"/>
    <x v="14"/>
    <n v="70"/>
    <n v="92"/>
    <n v="0.432"/>
    <n v="32"/>
    <n v="766"/>
    <n v="861"/>
    <n v="-95"/>
  </r>
  <r>
    <x v="0"/>
    <x v="3"/>
    <x v="15"/>
    <n v="95"/>
    <n v="67"/>
    <n v="0.58599999999999997"/>
    <n v="0"/>
    <n v="866"/>
    <n v="739"/>
    <n v="127"/>
  </r>
  <r>
    <x v="0"/>
    <x v="3"/>
    <x v="16"/>
    <n v="91"/>
    <n v="71"/>
    <n v="0.56200000000000006"/>
    <n v="4"/>
    <n v="926"/>
    <n v="822"/>
    <n v="104"/>
  </r>
  <r>
    <x v="0"/>
    <x v="3"/>
    <x v="17"/>
    <n v="86"/>
    <n v="76"/>
    <n v="0.53100000000000003"/>
    <n v="9"/>
    <n v="810"/>
    <n v="715"/>
    <n v="95"/>
  </r>
  <r>
    <x v="0"/>
    <x v="3"/>
    <x v="18"/>
    <n v="86"/>
    <n v="76"/>
    <n v="0.53100000000000003"/>
    <n v="9"/>
    <n v="922"/>
    <n v="885"/>
    <n v="37"/>
  </r>
  <r>
    <x v="0"/>
    <x v="3"/>
    <x v="19"/>
    <n v="81"/>
    <n v="81"/>
    <n v="0.5"/>
    <n v="14"/>
    <n v="819"/>
    <n v="800"/>
    <n v="19"/>
  </r>
  <r>
    <x v="1"/>
    <x v="0"/>
    <x v="1"/>
    <n v="82"/>
    <n v="80"/>
    <n v="0.50600000000000001"/>
    <n v="26"/>
    <n v="954"/>
    <n v="876"/>
    <n v="78"/>
  </r>
  <r>
    <x v="1"/>
    <x v="1"/>
    <x v="8"/>
    <n v="74"/>
    <n v="88"/>
    <n v="0.45700000000000002"/>
    <n v="40"/>
    <n v="859"/>
    <n v="873"/>
    <n v="-14"/>
  </r>
  <r>
    <x v="1"/>
    <x v="0"/>
    <x v="4"/>
    <n v="60"/>
    <n v="102"/>
    <n v="0.37"/>
    <n v="48"/>
    <n v="802"/>
    <n v="1056"/>
    <n v="-254"/>
  </r>
  <r>
    <x v="1"/>
    <x v="1"/>
    <x v="9"/>
    <n v="49"/>
    <n v="113"/>
    <n v="0.30199999999999999"/>
    <n v="65"/>
    <n v="651"/>
    <n v="1000"/>
    <n v="-349"/>
  </r>
  <r>
    <x v="1"/>
    <x v="0"/>
    <x v="0"/>
    <n v="108"/>
    <n v="54"/>
    <n v="0.66700000000000004"/>
    <n v="0"/>
    <n v="1015"/>
    <n v="732"/>
    <n v="283"/>
  </r>
  <r>
    <x v="1"/>
    <x v="1"/>
    <x v="6"/>
    <n v="67"/>
    <n v="95"/>
    <n v="0.41399999999999998"/>
    <n v="47"/>
    <n v="711"/>
    <n v="903"/>
    <n v="-192"/>
  </r>
  <r>
    <x v="1"/>
    <x v="2"/>
    <x v="14"/>
    <n v="61"/>
    <n v="101"/>
    <n v="0.377"/>
    <n v="40"/>
    <n v="722"/>
    <n v="917"/>
    <n v="-195"/>
  </r>
  <r>
    <x v="1"/>
    <x v="2"/>
    <x v="10"/>
    <n v="101"/>
    <n v="61"/>
    <n v="0.623"/>
    <n v="0"/>
    <n v="818"/>
    <n v="673"/>
    <n v="145"/>
  </r>
  <r>
    <x v="1"/>
    <x v="3"/>
    <x v="19"/>
    <n v="80"/>
    <n v="82"/>
    <n v="0.49399999999999999"/>
    <n v="14"/>
    <n v="869"/>
    <n v="885"/>
    <n v="-16"/>
  </r>
  <r>
    <x v="1"/>
    <x v="0"/>
    <x v="3"/>
    <n v="65"/>
    <n v="97"/>
    <n v="0.40100000000000002"/>
    <n v="43"/>
    <n v="868"/>
    <n v="1032"/>
    <n v="-164"/>
  </r>
  <r>
    <x v="1"/>
    <x v="3"/>
    <x v="16"/>
    <n v="94"/>
    <n v="68"/>
    <n v="0.57999999999999996"/>
    <n v="0"/>
    <n v="983"/>
    <n v="821"/>
    <n v="162"/>
  </r>
  <r>
    <x v="1"/>
    <x v="3"/>
    <x v="18"/>
    <n v="92"/>
    <n v="70"/>
    <n v="0.56799999999999995"/>
    <n v="2"/>
    <n v="997"/>
    <n v="781"/>
    <n v="216"/>
  </r>
  <r>
    <x v="1"/>
    <x v="3"/>
    <x v="17"/>
    <n v="87"/>
    <n v="75"/>
    <n v="0.53700000000000003"/>
    <n v="7"/>
    <n v="820"/>
    <n v="687"/>
    <n v="133"/>
  </r>
  <r>
    <x v="1"/>
    <x v="3"/>
    <x v="15"/>
    <n v="87"/>
    <n v="75"/>
    <n v="0.53700000000000003"/>
    <n v="7"/>
    <n v="857"/>
    <n v="789"/>
    <n v="68"/>
  </r>
  <r>
    <x v="1"/>
    <x v="0"/>
    <x v="2"/>
    <n v="86"/>
    <n v="76"/>
    <n v="0.53100000000000003"/>
    <n v="22"/>
    <n v="1001"/>
    <n v="917"/>
    <n v="84"/>
  </r>
  <r>
    <x v="1"/>
    <x v="1"/>
    <x v="7"/>
    <n v="82"/>
    <n v="80"/>
    <n v="0.50600000000000001"/>
    <n v="32"/>
    <n v="1064"/>
    <n v="1109"/>
    <n v="-45"/>
  </r>
  <r>
    <x v="1"/>
    <x v="2"/>
    <x v="11"/>
    <n v="81"/>
    <n v="81"/>
    <n v="0.5"/>
    <n v="20"/>
    <n v="832"/>
    <n v="865"/>
    <n v="-33"/>
  </r>
  <r>
    <x v="1"/>
    <x v="2"/>
    <x v="12"/>
    <n v="80"/>
    <n v="82"/>
    <n v="0.49399999999999999"/>
    <n v="21"/>
    <n v="789"/>
    <n v="895"/>
    <n v="-106"/>
  </r>
  <r>
    <x v="1"/>
    <x v="2"/>
    <x v="13"/>
    <n v="70"/>
    <n v="92"/>
    <n v="0.432"/>
    <n v="31"/>
    <n v="730"/>
    <n v="845"/>
    <n v="-115"/>
  </r>
  <r>
    <x v="1"/>
    <x v="1"/>
    <x v="5"/>
    <n v="114"/>
    <n v="48"/>
    <n v="0.70399999999999996"/>
    <n v="0"/>
    <n v="1019"/>
    <n v="705"/>
    <n v="314"/>
  </r>
  <r>
    <x v="2"/>
    <x v="1"/>
    <x v="5"/>
    <n v="114"/>
    <n v="48"/>
    <n v="0.70399999999999996"/>
    <n v="0"/>
    <n v="1132"/>
    <n v="726"/>
    <n v="406"/>
  </r>
  <r>
    <x v="2"/>
    <x v="3"/>
    <x v="16"/>
    <n v="100"/>
    <n v="62"/>
    <n v="0.61699999999999999"/>
    <n v="0"/>
    <n v="993"/>
    <n v="836"/>
    <n v="157"/>
  </r>
  <r>
    <x v="2"/>
    <x v="0"/>
    <x v="1"/>
    <n v="100"/>
    <n v="62"/>
    <n v="0.61699999999999999"/>
    <n v="2"/>
    <n v="935"/>
    <n v="764"/>
    <n v="171"/>
  </r>
  <r>
    <x v="2"/>
    <x v="3"/>
    <x v="17"/>
    <n v="98"/>
    <n v="64"/>
    <n v="0.60499999999999998"/>
    <n v="2"/>
    <n v="907"/>
    <n v="725"/>
    <n v="182"/>
  </r>
  <r>
    <x v="2"/>
    <x v="3"/>
    <x v="18"/>
    <n v="93"/>
    <n v="69"/>
    <n v="0.57399999999999995"/>
    <n v="7"/>
    <n v="952"/>
    <n v="793"/>
    <n v="159"/>
  </r>
  <r>
    <x v="2"/>
    <x v="2"/>
    <x v="12"/>
    <n v="65"/>
    <n v="97"/>
    <n v="0.40100000000000002"/>
    <n v="35"/>
    <n v="730"/>
    <n v="904"/>
    <n v="-174"/>
  </r>
  <r>
    <x v="2"/>
    <x v="0"/>
    <x v="3"/>
    <n v="61"/>
    <n v="101"/>
    <n v="0.377"/>
    <n v="41"/>
    <n v="829"/>
    <n v="1042"/>
    <n v="-213"/>
  </r>
  <r>
    <x v="2"/>
    <x v="0"/>
    <x v="4"/>
    <n v="52"/>
    <n v="110"/>
    <n v="0.32100000000000001"/>
    <n v="50"/>
    <n v="781"/>
    <n v="1115"/>
    <n v="-334"/>
  </r>
  <r>
    <x v="2"/>
    <x v="0"/>
    <x v="0"/>
    <n v="102"/>
    <n v="60"/>
    <n v="0.63"/>
    <n v="0"/>
    <n v="1046"/>
    <n v="724"/>
    <n v="322"/>
  </r>
  <r>
    <x v="2"/>
    <x v="2"/>
    <x v="10"/>
    <n v="100"/>
    <n v="62"/>
    <n v="0.61699999999999999"/>
    <n v="0"/>
    <n v="869"/>
    <n v="735"/>
    <n v="134"/>
  </r>
  <r>
    <x v="2"/>
    <x v="1"/>
    <x v="7"/>
    <n v="74"/>
    <n v="88"/>
    <n v="0.45700000000000002"/>
    <n v="40"/>
    <n v="996"/>
    <n v="1105"/>
    <n v="-109"/>
  </r>
  <r>
    <x v="2"/>
    <x v="3"/>
    <x v="15"/>
    <n v="73"/>
    <n v="89"/>
    <n v="0.45100000000000001"/>
    <n v="27"/>
    <n v="805"/>
    <n v="788"/>
    <n v="17"/>
  </r>
  <r>
    <x v="2"/>
    <x v="2"/>
    <x v="14"/>
    <n v="72"/>
    <n v="90"/>
    <n v="0.44400000000000001"/>
    <n v="28"/>
    <n v="785"/>
    <n v="876"/>
    <n v="-91"/>
  </r>
  <r>
    <x v="2"/>
    <x v="1"/>
    <x v="8"/>
    <n v="71"/>
    <n v="91"/>
    <n v="0.438"/>
    <n v="43"/>
    <n v="854"/>
    <n v="964"/>
    <n v="-110"/>
  </r>
  <r>
    <x v="2"/>
    <x v="0"/>
    <x v="2"/>
    <n v="95"/>
    <n v="67"/>
    <n v="0.58599999999999997"/>
    <n v="7"/>
    <n v="982"/>
    <n v="871"/>
    <n v="111"/>
  </r>
  <r>
    <x v="2"/>
    <x v="2"/>
    <x v="11"/>
    <n v="83"/>
    <n v="79"/>
    <n v="0.51200000000000001"/>
    <n v="17"/>
    <n v="862"/>
    <n v="840"/>
    <n v="22"/>
  </r>
  <r>
    <x v="2"/>
    <x v="3"/>
    <x v="19"/>
    <n v="74"/>
    <n v="88"/>
    <n v="0.45700000000000002"/>
    <n v="26"/>
    <n v="782"/>
    <n v="871"/>
    <n v="-89"/>
  </r>
  <r>
    <x v="2"/>
    <x v="2"/>
    <x v="13"/>
    <n v="71"/>
    <n v="91"/>
    <n v="0.438"/>
    <n v="29"/>
    <n v="783"/>
    <n v="912"/>
    <n v="-129"/>
  </r>
  <r>
    <x v="2"/>
    <x v="1"/>
    <x v="9"/>
    <n v="51"/>
    <n v="111"/>
    <n v="0.315"/>
    <n v="63"/>
    <n v="672"/>
    <n v="1006"/>
    <n v="-334"/>
  </r>
  <r>
    <x v="2"/>
    <x v="1"/>
    <x v="6"/>
    <n v="71"/>
    <n v="91"/>
    <n v="0.438"/>
    <n v="43"/>
    <n v="764"/>
    <n v="862"/>
    <n v="-98"/>
  </r>
  <r>
    <x v="3"/>
    <x v="3"/>
    <x v="17"/>
    <n v="106"/>
    <n v="56"/>
    <n v="0.65400000000000003"/>
    <n v="0"/>
    <n v="840"/>
    <n v="610"/>
    <n v="230"/>
  </r>
  <r>
    <x v="3"/>
    <x v="0"/>
    <x v="1"/>
    <n v="95"/>
    <n v="67"/>
    <n v="0.58599999999999997"/>
    <n v="17"/>
    <n v="937"/>
    <n v="851"/>
    <n v="86"/>
  </r>
  <r>
    <x v="3"/>
    <x v="2"/>
    <x v="11"/>
    <n v="91"/>
    <n v="71"/>
    <n v="0.56200000000000006"/>
    <n v="0"/>
    <n v="879"/>
    <n v="777"/>
    <n v="102"/>
  </r>
  <r>
    <x v="3"/>
    <x v="2"/>
    <x v="10"/>
    <n v="91"/>
    <n v="71"/>
    <n v="0.56200000000000006"/>
    <n v="0"/>
    <n v="843"/>
    <n v="684"/>
    <n v="159"/>
  </r>
  <r>
    <x v="3"/>
    <x v="1"/>
    <x v="7"/>
    <n v="76"/>
    <n v="86"/>
    <n v="0.46899999999999997"/>
    <n v="25"/>
    <n v="1034"/>
    <n v="1193"/>
    <n v="-159"/>
  </r>
  <r>
    <x v="3"/>
    <x v="1"/>
    <x v="9"/>
    <n v="51"/>
    <n v="111"/>
    <n v="0.315"/>
    <n v="50"/>
    <n v="650"/>
    <n v="1008"/>
    <n v="-358"/>
  </r>
  <r>
    <x v="3"/>
    <x v="1"/>
    <x v="6"/>
    <n v="74"/>
    <n v="88"/>
    <n v="0.45700000000000002"/>
    <n v="27"/>
    <n v="713"/>
    <n v="821"/>
    <n v="-108"/>
  </r>
  <r>
    <x v="3"/>
    <x v="0"/>
    <x v="3"/>
    <n v="71"/>
    <n v="91"/>
    <n v="0.438"/>
    <n v="41"/>
    <n v="876"/>
    <n v="984"/>
    <n v="-108"/>
  </r>
  <r>
    <x v="3"/>
    <x v="2"/>
    <x v="12"/>
    <n v="65"/>
    <n v="97"/>
    <n v="0.40100000000000002"/>
    <n v="26"/>
    <n v="729"/>
    <n v="878"/>
    <n v="-149"/>
  </r>
  <r>
    <x v="3"/>
    <x v="0"/>
    <x v="4"/>
    <n v="51"/>
    <n v="111"/>
    <n v="0.315"/>
    <n v="61"/>
    <n v="778"/>
    <n v="1067"/>
    <n v="-289"/>
  </r>
  <r>
    <x v="3"/>
    <x v="1"/>
    <x v="5"/>
    <n v="101"/>
    <n v="61"/>
    <n v="0.623"/>
    <n v="0"/>
    <n v="1045"/>
    <n v="750"/>
    <n v="295"/>
  </r>
  <r>
    <x v="3"/>
    <x v="3"/>
    <x v="19"/>
    <n v="81"/>
    <n v="81"/>
    <n v="0.5"/>
    <n v="25"/>
    <n v="807"/>
    <n v="877"/>
    <n v="-70"/>
  </r>
  <r>
    <x v="3"/>
    <x v="1"/>
    <x v="8"/>
    <n v="70"/>
    <n v="92"/>
    <n v="0.432"/>
    <n v="31"/>
    <n v="887"/>
    <n v="973"/>
    <n v="-86"/>
  </r>
  <r>
    <x v="3"/>
    <x v="2"/>
    <x v="14"/>
    <n v="66"/>
    <n v="96"/>
    <n v="0.40699999999999997"/>
    <n v="25"/>
    <n v="774"/>
    <n v="993"/>
    <n v="-219"/>
  </r>
  <r>
    <x v="3"/>
    <x v="2"/>
    <x v="13"/>
    <n v="65"/>
    <n v="97"/>
    <n v="0.40100000000000002"/>
    <n v="26"/>
    <n v="775"/>
    <n v="849"/>
    <n v="-74"/>
  </r>
  <r>
    <x v="3"/>
    <x v="3"/>
    <x v="18"/>
    <n v="93"/>
    <n v="69"/>
    <n v="0.57399999999999995"/>
    <n v="13"/>
    <n v="897"/>
    <n v="802"/>
    <n v="95"/>
  </r>
  <r>
    <x v="3"/>
    <x v="3"/>
    <x v="16"/>
    <n v="90"/>
    <n v="72"/>
    <n v="0.55600000000000005"/>
    <n v="16"/>
    <n v="933"/>
    <n v="878"/>
    <n v="55"/>
  </r>
  <r>
    <x v="3"/>
    <x v="3"/>
    <x v="15"/>
    <n v="88"/>
    <n v="74"/>
    <n v="0.54300000000000004"/>
    <n v="18"/>
    <n v="895"/>
    <n v="785"/>
    <n v="110"/>
  </r>
  <r>
    <x v="3"/>
    <x v="0"/>
    <x v="2"/>
    <n v="83"/>
    <n v="79"/>
    <n v="0.51200000000000001"/>
    <n v="29"/>
    <n v="955"/>
    <n v="898"/>
    <n v="57"/>
  </r>
  <r>
    <x v="3"/>
    <x v="0"/>
    <x v="0"/>
    <n v="112"/>
    <n v="50"/>
    <n v="0.69099999999999995"/>
    <n v="0"/>
    <n v="1206"/>
    <n v="775"/>
    <n v="431"/>
  </r>
  <r>
    <x v="4"/>
    <x v="0"/>
    <x v="0"/>
    <n v="102"/>
    <n v="60"/>
    <n v="0.63"/>
    <n v="0"/>
    <n v="980"/>
    <n v="786"/>
    <n v="194"/>
  </r>
  <r>
    <x v="4"/>
    <x v="3"/>
    <x v="19"/>
    <n v="73"/>
    <n v="89"/>
    <n v="0.45100000000000001"/>
    <n v="24"/>
    <n v="852"/>
    <n v="822"/>
    <n v="30"/>
  </r>
  <r>
    <x v="4"/>
    <x v="2"/>
    <x v="14"/>
    <n v="64"/>
    <n v="98"/>
    <n v="0.39500000000000002"/>
    <n v="41"/>
    <n v="786"/>
    <n v="974"/>
    <n v="-188"/>
  </r>
  <r>
    <x v="4"/>
    <x v="0"/>
    <x v="3"/>
    <n v="61"/>
    <n v="101"/>
    <n v="0.377"/>
    <n v="41"/>
    <n v="873"/>
    <n v="1063"/>
    <n v="-190"/>
  </r>
  <r>
    <x v="4"/>
    <x v="1"/>
    <x v="5"/>
    <n v="113"/>
    <n v="49"/>
    <n v="0.69799999999999995"/>
    <n v="0"/>
    <n v="953"/>
    <n v="661"/>
    <n v="292"/>
  </r>
  <r>
    <x v="4"/>
    <x v="3"/>
    <x v="17"/>
    <n v="97"/>
    <n v="65"/>
    <n v="0.59899999999999998"/>
    <n v="0"/>
    <n v="858"/>
    <n v="686"/>
    <n v="172"/>
  </r>
  <r>
    <x v="4"/>
    <x v="1"/>
    <x v="7"/>
    <n v="70"/>
    <n v="92"/>
    <n v="0.432"/>
    <n v="43"/>
    <n v="935"/>
    <n v="1185"/>
    <n v="-250"/>
  </r>
  <r>
    <x v="4"/>
    <x v="2"/>
    <x v="13"/>
    <n v="69"/>
    <n v="93"/>
    <n v="0.42599999999999999"/>
    <n v="36"/>
    <n v="800"/>
    <n v="856"/>
    <n v="-56"/>
  </r>
  <r>
    <x v="4"/>
    <x v="1"/>
    <x v="8"/>
    <n v="67"/>
    <n v="95"/>
    <n v="0.41399999999999998"/>
    <n v="46"/>
    <n v="812"/>
    <n v="969"/>
    <n v="-157"/>
  </r>
  <r>
    <x v="4"/>
    <x v="2"/>
    <x v="10"/>
    <n v="105"/>
    <n v="57"/>
    <n v="0.64800000000000002"/>
    <n v="0"/>
    <n v="921"/>
    <n v="694"/>
    <n v="227"/>
  </r>
  <r>
    <x v="4"/>
    <x v="0"/>
    <x v="1"/>
    <n v="97"/>
    <n v="65"/>
    <n v="0.59899999999999998"/>
    <n v="5"/>
    <n v="995"/>
    <n v="815"/>
    <n v="180"/>
  </r>
  <r>
    <x v="4"/>
    <x v="0"/>
    <x v="4"/>
    <n v="57"/>
    <n v="105"/>
    <n v="0.35199999999999998"/>
    <n v="45"/>
    <n v="772"/>
    <n v="1039"/>
    <n v="-267"/>
  </r>
  <r>
    <x v="4"/>
    <x v="1"/>
    <x v="9"/>
    <n v="41"/>
    <n v="121"/>
    <n v="0.253"/>
    <n v="72"/>
    <n v="672"/>
    <n v="1057"/>
    <n v="-385"/>
  </r>
  <r>
    <x v="4"/>
    <x v="3"/>
    <x v="15"/>
    <n v="97"/>
    <n v="65"/>
    <n v="0.59899999999999998"/>
    <n v="0"/>
    <n v="889"/>
    <n v="768"/>
    <n v="121"/>
  </r>
  <r>
    <x v="4"/>
    <x v="0"/>
    <x v="2"/>
    <n v="93"/>
    <n v="69"/>
    <n v="0.57399999999999995"/>
    <n v="9"/>
    <n v="966"/>
    <n v="850"/>
    <n v="116"/>
  </r>
  <r>
    <x v="4"/>
    <x v="3"/>
    <x v="18"/>
    <n v="90"/>
    <n v="72"/>
    <n v="0.55600000000000005"/>
    <n v="7"/>
    <n v="957"/>
    <n v="857"/>
    <n v="100"/>
  </r>
  <r>
    <x v="4"/>
    <x v="3"/>
    <x v="16"/>
    <n v="88"/>
    <n v="74"/>
    <n v="0.54300000000000004"/>
    <n v="9"/>
    <n v="913"/>
    <n v="860"/>
    <n v="53"/>
  </r>
  <r>
    <x v="4"/>
    <x v="1"/>
    <x v="6"/>
    <n v="88"/>
    <n v="74"/>
    <n v="0.54300000000000004"/>
    <n v="25"/>
    <n v="832"/>
    <n v="793"/>
    <n v="39"/>
  </r>
  <r>
    <x v="4"/>
    <x v="2"/>
    <x v="11"/>
    <n v="84"/>
    <n v="78"/>
    <n v="0.51900000000000002"/>
    <n v="21"/>
    <n v="938"/>
    <n v="802"/>
    <n v="136"/>
  </r>
  <r>
    <x v="4"/>
    <x v="2"/>
    <x v="12"/>
    <n v="64"/>
    <n v="98"/>
    <n v="0.39500000000000002"/>
    <n v="41"/>
    <n v="729"/>
    <n v="896"/>
    <n v="-167"/>
  </r>
  <r>
    <x v="5"/>
    <x v="0"/>
    <x v="0"/>
    <n v="108"/>
    <n v="54"/>
    <n v="0.66700000000000004"/>
    <n v="0"/>
    <n v="1157"/>
    <n v="852"/>
    <n v="305"/>
  </r>
  <r>
    <x v="5"/>
    <x v="2"/>
    <x v="10"/>
    <n v="101"/>
    <n v="61"/>
    <n v="0.623"/>
    <n v="0"/>
    <n v="930"/>
    <n v="720"/>
    <n v="210"/>
  </r>
  <r>
    <x v="5"/>
    <x v="0"/>
    <x v="3"/>
    <n v="66"/>
    <n v="96"/>
    <n v="0.40699999999999997"/>
    <n v="42"/>
    <n v="849"/>
    <n v="1007"/>
    <n v="-158"/>
  </r>
  <r>
    <x v="5"/>
    <x v="3"/>
    <x v="18"/>
    <n v="103"/>
    <n v="59"/>
    <n v="0.63600000000000001"/>
    <n v="2"/>
    <n v="1043"/>
    <n v="825"/>
    <n v="218"/>
  </r>
  <r>
    <x v="5"/>
    <x v="3"/>
    <x v="19"/>
    <n v="75"/>
    <n v="87"/>
    <n v="0.46300000000000002"/>
    <n v="30"/>
    <n v="785"/>
    <n v="843"/>
    <n v="-58"/>
  </r>
  <r>
    <x v="5"/>
    <x v="1"/>
    <x v="6"/>
    <n v="73"/>
    <n v="89"/>
    <n v="0.45100000000000001"/>
    <n v="31"/>
    <n v="793"/>
    <n v="944"/>
    <n v="-151"/>
  </r>
  <r>
    <x v="5"/>
    <x v="0"/>
    <x v="4"/>
    <n v="49"/>
    <n v="113"/>
    <n v="0.30199999999999999"/>
    <n v="59"/>
    <n v="734"/>
    <n v="1095"/>
    <n v="-361"/>
  </r>
  <r>
    <x v="5"/>
    <x v="1"/>
    <x v="5"/>
    <n v="104"/>
    <n v="58"/>
    <n v="0.64200000000000002"/>
    <n v="0"/>
    <n v="1020"/>
    <n v="753"/>
    <n v="267"/>
  </r>
  <r>
    <x v="5"/>
    <x v="3"/>
    <x v="16"/>
    <n v="93"/>
    <n v="69"/>
    <n v="0.57399999999999995"/>
    <n v="12"/>
    <n v="921"/>
    <n v="817"/>
    <n v="104"/>
  </r>
  <r>
    <x v="5"/>
    <x v="2"/>
    <x v="12"/>
    <n v="73"/>
    <n v="89"/>
    <n v="0.45100000000000001"/>
    <n v="28"/>
    <n v="770"/>
    <n v="803"/>
    <n v="-33"/>
  </r>
  <r>
    <x v="5"/>
    <x v="2"/>
    <x v="13"/>
    <n v="62"/>
    <n v="100"/>
    <n v="0.38300000000000001"/>
    <n v="39"/>
    <n v="727"/>
    <n v="876"/>
    <n v="-149"/>
  </r>
  <r>
    <x v="5"/>
    <x v="2"/>
    <x v="14"/>
    <n v="61"/>
    <n v="101"/>
    <n v="0.377"/>
    <n v="40"/>
    <n v="820"/>
    <n v="913"/>
    <n v="-93"/>
  </r>
  <r>
    <x v="5"/>
    <x v="1"/>
    <x v="9"/>
    <n v="38"/>
    <n v="124"/>
    <n v="0.23499999999999999"/>
    <n v="66"/>
    <n v="646"/>
    <n v="1114"/>
    <n v="-468"/>
  </r>
  <r>
    <x v="5"/>
    <x v="3"/>
    <x v="17"/>
    <n v="105"/>
    <n v="57"/>
    <n v="0.64800000000000002"/>
    <n v="0"/>
    <n v="848"/>
    <n v="624"/>
    <n v="224"/>
  </r>
  <r>
    <x v="5"/>
    <x v="0"/>
    <x v="2"/>
    <n v="94"/>
    <n v="68"/>
    <n v="0.57999999999999996"/>
    <n v="14"/>
    <n v="990"/>
    <n v="837"/>
    <n v="153"/>
  </r>
  <r>
    <x v="5"/>
    <x v="0"/>
    <x v="1"/>
    <n v="91"/>
    <n v="71"/>
    <n v="0.56200000000000006"/>
    <n v="17"/>
    <n v="1010"/>
    <n v="889"/>
    <n v="121"/>
  </r>
  <r>
    <x v="5"/>
    <x v="3"/>
    <x v="15"/>
    <n v="89"/>
    <n v="73"/>
    <n v="0.54900000000000004"/>
    <n v="16"/>
    <n v="846"/>
    <n v="771"/>
    <n v="75"/>
  </r>
  <r>
    <x v="5"/>
    <x v="2"/>
    <x v="11"/>
    <n v="89"/>
    <n v="73"/>
    <n v="0.54900000000000004"/>
    <n v="12"/>
    <n v="850"/>
    <n v="834"/>
    <n v="16"/>
  </r>
  <r>
    <x v="5"/>
    <x v="1"/>
    <x v="8"/>
    <n v="78"/>
    <n v="84"/>
    <n v="0.48099999999999998"/>
    <n v="26"/>
    <n v="898"/>
    <n v="978"/>
    <n v="-80"/>
  </r>
  <r>
    <x v="5"/>
    <x v="1"/>
    <x v="7"/>
    <n v="68"/>
    <n v="94"/>
    <n v="0.42"/>
    <n v="36"/>
    <n v="996"/>
    <n v="1138"/>
    <n v="-142"/>
  </r>
  <r>
    <x v="6"/>
    <x v="2"/>
    <x v="10"/>
    <n v="102"/>
    <n v="60"/>
    <n v="0.63"/>
    <n v="0"/>
    <n v="959"/>
    <n v="736"/>
    <n v="223"/>
  </r>
  <r>
    <x v="6"/>
    <x v="3"/>
    <x v="17"/>
    <n v="96"/>
    <n v="66"/>
    <n v="0.59299999999999997"/>
    <n v="3"/>
    <n v="888"/>
    <n v="738"/>
    <n v="150"/>
  </r>
  <r>
    <x v="6"/>
    <x v="0"/>
    <x v="0"/>
    <n v="96"/>
    <n v="66"/>
    <n v="0.59299999999999997"/>
    <n v="0"/>
    <n v="982"/>
    <n v="800"/>
    <n v="182"/>
  </r>
  <r>
    <x v="6"/>
    <x v="0"/>
    <x v="1"/>
    <n v="84"/>
    <n v="78"/>
    <n v="0.51900000000000002"/>
    <n v="12"/>
    <n v="993"/>
    <n v="853"/>
    <n v="140"/>
  </r>
  <r>
    <x v="6"/>
    <x v="2"/>
    <x v="12"/>
    <n v="62"/>
    <n v="100"/>
    <n v="0.38300000000000001"/>
    <n v="40"/>
    <n v="705"/>
    <n v="903"/>
    <n v="-198"/>
  </r>
  <r>
    <x v="6"/>
    <x v="0"/>
    <x v="4"/>
    <n v="53"/>
    <n v="109"/>
    <n v="0.32700000000000001"/>
    <n v="43"/>
    <n v="783"/>
    <n v="1137"/>
    <n v="-354"/>
  </r>
  <r>
    <x v="6"/>
    <x v="0"/>
    <x v="3"/>
    <n v="64"/>
    <n v="98"/>
    <n v="0.39500000000000002"/>
    <n v="32"/>
    <n v="762"/>
    <n v="953"/>
    <n v="-191"/>
  </r>
  <r>
    <x v="6"/>
    <x v="1"/>
    <x v="9"/>
    <n v="45"/>
    <n v="117"/>
    <n v="0.27800000000000002"/>
    <n v="72"/>
    <n v="624"/>
    <n v="1028"/>
    <n v="-404"/>
  </r>
  <r>
    <x v="6"/>
    <x v="1"/>
    <x v="8"/>
    <n v="66"/>
    <n v="96"/>
    <n v="0.40699999999999997"/>
    <n v="51"/>
    <n v="801"/>
    <n v="937"/>
    <n v="-136"/>
  </r>
  <r>
    <x v="6"/>
    <x v="2"/>
    <x v="14"/>
    <n v="58"/>
    <n v="104"/>
    <n v="0.35799999999999998"/>
    <n v="44"/>
    <n v="829"/>
    <n v="979"/>
    <n v="-150"/>
  </r>
  <r>
    <x v="6"/>
    <x v="3"/>
    <x v="16"/>
    <n v="99"/>
    <n v="63"/>
    <n v="0.61099999999999999"/>
    <n v="0"/>
    <n v="1034"/>
    <n v="882"/>
    <n v="152"/>
  </r>
  <r>
    <x v="6"/>
    <x v="3"/>
    <x v="18"/>
    <n v="94"/>
    <n v="68"/>
    <n v="0.57999999999999996"/>
    <n v="5"/>
    <n v="995"/>
    <n v="865"/>
    <n v="130"/>
  </r>
  <r>
    <x v="6"/>
    <x v="0"/>
    <x v="2"/>
    <n v="94"/>
    <n v="68"/>
    <n v="0.57999999999999996"/>
    <n v="2"/>
    <n v="1045"/>
    <n v="883"/>
    <n v="162"/>
  </r>
  <r>
    <x v="6"/>
    <x v="3"/>
    <x v="19"/>
    <n v="91"/>
    <n v="71"/>
    <n v="0.56200000000000006"/>
    <n v="8"/>
    <n v="779"/>
    <n v="736"/>
    <n v="43"/>
  </r>
  <r>
    <x v="6"/>
    <x v="3"/>
    <x v="15"/>
    <n v="87"/>
    <n v="75"/>
    <n v="0.53700000000000003"/>
    <n v="12"/>
    <n v="865"/>
    <n v="774"/>
    <n v="91"/>
  </r>
  <r>
    <x v="6"/>
    <x v="1"/>
    <x v="6"/>
    <n v="82"/>
    <n v="80"/>
    <n v="0.50600000000000001"/>
    <n v="35"/>
    <n v="751"/>
    <n v="801"/>
    <n v="-50"/>
  </r>
  <r>
    <x v="6"/>
    <x v="2"/>
    <x v="11"/>
    <n v="81"/>
    <n v="81"/>
    <n v="0.5"/>
    <n v="21"/>
    <n v="849"/>
    <n v="836"/>
    <n v="13"/>
  </r>
  <r>
    <x v="6"/>
    <x v="1"/>
    <x v="7"/>
    <n v="77"/>
    <n v="85"/>
    <n v="0.47499999999999998"/>
    <n v="40"/>
    <n v="1042"/>
    <n v="1106"/>
    <n v="-64"/>
  </r>
  <r>
    <x v="6"/>
    <x v="2"/>
    <x v="13"/>
    <n v="72"/>
    <n v="90"/>
    <n v="0.44400000000000001"/>
    <n v="30"/>
    <n v="771"/>
    <n v="869"/>
    <n v="-98"/>
  </r>
  <r>
    <x v="6"/>
    <x v="1"/>
    <x v="5"/>
    <n v="117"/>
    <n v="45"/>
    <n v="0.72199999999999998"/>
    <n v="0"/>
    <n v="1017"/>
    <n v="658"/>
    <n v="359"/>
  </r>
  <r>
    <x v="7"/>
    <x v="0"/>
    <x v="0"/>
    <n v="104"/>
    <n v="58"/>
    <n v="0.64200000000000002"/>
    <n v="0"/>
    <n v="1040"/>
    <n v="781"/>
    <n v="259"/>
  </r>
  <r>
    <x v="7"/>
    <x v="3"/>
    <x v="18"/>
    <n v="91"/>
    <n v="71"/>
    <n v="0.56200000000000006"/>
    <n v="2"/>
    <n v="986"/>
    <n v="864"/>
    <n v="122"/>
  </r>
  <r>
    <x v="7"/>
    <x v="1"/>
    <x v="7"/>
    <n v="74"/>
    <n v="88"/>
    <n v="0.45700000000000002"/>
    <n v="32"/>
    <n v="1056"/>
    <n v="1165"/>
    <n v="-109"/>
  </r>
  <r>
    <x v="7"/>
    <x v="0"/>
    <x v="3"/>
    <n v="60"/>
    <n v="102"/>
    <n v="0.37"/>
    <n v="44"/>
    <n v="757"/>
    <n v="977"/>
    <n v="-220"/>
  </r>
  <r>
    <x v="7"/>
    <x v="2"/>
    <x v="10"/>
    <n v="113"/>
    <n v="49"/>
    <n v="0.69799999999999995"/>
    <n v="0"/>
    <n v="989"/>
    <n v="675"/>
    <n v="314"/>
  </r>
  <r>
    <x v="7"/>
    <x v="1"/>
    <x v="5"/>
    <n v="106"/>
    <n v="56"/>
    <n v="0.65400000000000003"/>
    <n v="0"/>
    <n v="951"/>
    <n v="709"/>
    <n v="242"/>
  </r>
  <r>
    <x v="7"/>
    <x v="2"/>
    <x v="14"/>
    <n v="78"/>
    <n v="84"/>
    <n v="0.48099999999999998"/>
    <n v="35"/>
    <n v="801"/>
    <n v="882"/>
    <n v="-81"/>
  </r>
  <r>
    <x v="7"/>
    <x v="3"/>
    <x v="19"/>
    <n v="75"/>
    <n v="87"/>
    <n v="0.46300000000000002"/>
    <n v="18"/>
    <n v="792"/>
    <n v="909"/>
    <n v="-117"/>
  </r>
  <r>
    <x v="7"/>
    <x v="1"/>
    <x v="6"/>
    <n v="71"/>
    <n v="91"/>
    <n v="0.438"/>
    <n v="35"/>
    <n v="697"/>
    <n v="847"/>
    <n v="-150"/>
  </r>
  <r>
    <x v="7"/>
    <x v="1"/>
    <x v="8"/>
    <n v="68"/>
    <n v="94"/>
    <n v="0.42"/>
    <n v="38"/>
    <n v="881"/>
    <n v="1016"/>
    <n v="-135"/>
  </r>
  <r>
    <x v="7"/>
    <x v="0"/>
    <x v="4"/>
    <n v="59"/>
    <n v="103"/>
    <n v="0.36399999999999999"/>
    <n v="45"/>
    <n v="876"/>
    <n v="1082"/>
    <n v="-206"/>
  </r>
  <r>
    <x v="7"/>
    <x v="3"/>
    <x v="17"/>
    <n v="93"/>
    <n v="69"/>
    <n v="0.57399999999999995"/>
    <n v="0"/>
    <n v="881"/>
    <n v="657"/>
    <n v="224"/>
  </r>
  <r>
    <x v="7"/>
    <x v="1"/>
    <x v="9"/>
    <n v="47"/>
    <n v="115"/>
    <n v="0.28999999999999998"/>
    <n v="59"/>
    <n v="640"/>
    <n v="986"/>
    <n v="-346"/>
  </r>
  <r>
    <x v="7"/>
    <x v="0"/>
    <x v="1"/>
    <n v="89"/>
    <n v="73"/>
    <n v="0.54900000000000004"/>
    <n v="15"/>
    <n v="942"/>
    <n v="863"/>
    <n v="79"/>
  </r>
  <r>
    <x v="7"/>
    <x v="3"/>
    <x v="15"/>
    <n v="88"/>
    <n v="74"/>
    <n v="0.54300000000000004"/>
    <n v="5"/>
    <n v="890"/>
    <n v="832"/>
    <n v="58"/>
  </r>
  <r>
    <x v="7"/>
    <x v="3"/>
    <x v="16"/>
    <n v="84"/>
    <n v="78"/>
    <n v="0.51900000000000002"/>
    <n v="9"/>
    <n v="933"/>
    <n v="856"/>
    <n v="77"/>
  </r>
  <r>
    <x v="7"/>
    <x v="0"/>
    <x v="2"/>
    <n v="83"/>
    <n v="79"/>
    <n v="0.51200000000000001"/>
    <n v="21"/>
    <n v="923"/>
    <n v="906"/>
    <n v="17"/>
  </r>
  <r>
    <x v="7"/>
    <x v="2"/>
    <x v="11"/>
    <n v="80"/>
    <n v="82"/>
    <n v="0.49399999999999999"/>
    <n v="33"/>
    <n v="823"/>
    <n v="811"/>
    <n v="12"/>
  </r>
  <r>
    <x v="7"/>
    <x v="2"/>
    <x v="13"/>
    <n v="79"/>
    <n v="83"/>
    <n v="0.48799999999999999"/>
    <n v="34"/>
    <n v="814"/>
    <n v="863"/>
    <n v="-49"/>
  </r>
  <r>
    <x v="7"/>
    <x v="2"/>
    <x v="12"/>
    <n v="78"/>
    <n v="84"/>
    <n v="0.48099999999999998"/>
    <n v="35"/>
    <n v="842"/>
    <n v="833"/>
    <n v="9"/>
  </r>
  <r>
    <x v="8"/>
    <x v="2"/>
    <x v="10"/>
    <n v="106"/>
    <n v="56"/>
    <n v="0.65400000000000003"/>
    <n v="0"/>
    <n v="1021"/>
    <n v="722"/>
    <n v="299"/>
  </r>
  <r>
    <x v="8"/>
    <x v="0"/>
    <x v="2"/>
    <n v="98"/>
    <n v="64"/>
    <n v="0.60499999999999998"/>
    <n v="7"/>
    <n v="1018"/>
    <n v="872"/>
    <n v="146"/>
  </r>
  <r>
    <x v="8"/>
    <x v="0"/>
    <x v="1"/>
    <n v="94"/>
    <n v="68"/>
    <n v="0.57999999999999996"/>
    <n v="11"/>
    <n v="950"/>
    <n v="797"/>
    <n v="153"/>
  </r>
  <r>
    <x v="8"/>
    <x v="3"/>
    <x v="18"/>
    <n v="85"/>
    <n v="77"/>
    <n v="0.52500000000000002"/>
    <n v="14"/>
    <n v="879"/>
    <n v="779"/>
    <n v="100"/>
  </r>
  <r>
    <x v="8"/>
    <x v="3"/>
    <x v="15"/>
    <n v="83"/>
    <n v="79"/>
    <n v="0.51200000000000001"/>
    <n v="16"/>
    <n v="927"/>
    <n v="811"/>
    <n v="116"/>
  </r>
  <r>
    <x v="8"/>
    <x v="1"/>
    <x v="7"/>
    <n v="75"/>
    <n v="87"/>
    <n v="0.46300000000000002"/>
    <n v="40"/>
    <n v="1058"/>
    <n v="1114"/>
    <n v="-56"/>
  </r>
  <r>
    <x v="8"/>
    <x v="2"/>
    <x v="12"/>
    <n v="74"/>
    <n v="88"/>
    <n v="0.45700000000000002"/>
    <n v="32"/>
    <n v="728"/>
    <n v="858"/>
    <n v="-130"/>
  </r>
  <r>
    <x v="8"/>
    <x v="3"/>
    <x v="19"/>
    <n v="73"/>
    <n v="89"/>
    <n v="0.45100000000000001"/>
    <n v="26"/>
    <n v="770"/>
    <n v="899"/>
    <n v="-129"/>
  </r>
  <r>
    <x v="8"/>
    <x v="2"/>
    <x v="14"/>
    <n v="64"/>
    <n v="98"/>
    <n v="0.39500000000000002"/>
    <n v="42"/>
    <n v="748"/>
    <n v="900"/>
    <n v="-152"/>
  </r>
  <r>
    <x v="8"/>
    <x v="0"/>
    <x v="3"/>
    <n v="62"/>
    <n v="100"/>
    <n v="0.38300000000000001"/>
    <n v="43"/>
    <n v="795"/>
    <n v="982"/>
    <n v="-187"/>
  </r>
  <r>
    <x v="8"/>
    <x v="1"/>
    <x v="8"/>
    <n v="59"/>
    <n v="103"/>
    <n v="0.36399999999999999"/>
    <n v="56"/>
    <n v="813"/>
    <n v="1010"/>
    <n v="-197"/>
  </r>
  <r>
    <x v="8"/>
    <x v="0"/>
    <x v="4"/>
    <n v="56"/>
    <n v="106"/>
    <n v="0.34599999999999997"/>
    <n v="49"/>
    <n v="755"/>
    <n v="1038"/>
    <n v="-283"/>
  </r>
  <r>
    <x v="8"/>
    <x v="1"/>
    <x v="9"/>
    <n v="49"/>
    <n v="113"/>
    <n v="0.30199999999999999"/>
    <n v="66"/>
    <n v="665"/>
    <n v="1054"/>
    <n v="-389"/>
  </r>
  <r>
    <x v="8"/>
    <x v="0"/>
    <x v="0"/>
    <n v="105"/>
    <n v="57"/>
    <n v="0.64800000000000002"/>
    <n v="0"/>
    <n v="1059"/>
    <n v="785"/>
    <n v="274"/>
  </r>
  <r>
    <x v="8"/>
    <x v="3"/>
    <x v="17"/>
    <n v="99"/>
    <n v="63"/>
    <n v="0.61099999999999999"/>
    <n v="0"/>
    <n v="916"/>
    <n v="682"/>
    <n v="234"/>
  </r>
  <r>
    <x v="8"/>
    <x v="3"/>
    <x v="16"/>
    <n v="74"/>
    <n v="88"/>
    <n v="0.45700000000000002"/>
    <n v="25"/>
    <n v="831"/>
    <n v="927"/>
    <n v="-96"/>
  </r>
  <r>
    <x v="8"/>
    <x v="1"/>
    <x v="6"/>
    <n v="74"/>
    <n v="88"/>
    <n v="0.45700000000000002"/>
    <n v="41"/>
    <n v="797"/>
    <n v="861"/>
    <n v="-64"/>
  </r>
  <r>
    <x v="8"/>
    <x v="2"/>
    <x v="11"/>
    <n v="88"/>
    <n v="74"/>
    <n v="0.54300000000000004"/>
    <n v="18"/>
    <n v="836"/>
    <n v="779"/>
    <n v="57"/>
  </r>
  <r>
    <x v="8"/>
    <x v="2"/>
    <x v="13"/>
    <n v="87"/>
    <n v="75"/>
    <n v="0.53700000000000003"/>
    <n v="19"/>
    <n v="783"/>
    <n v="805"/>
    <n v="-22"/>
  </r>
  <r>
    <x v="8"/>
    <x v="1"/>
    <x v="5"/>
    <n v="115"/>
    <n v="47"/>
    <n v="0.71"/>
    <n v="0"/>
    <n v="1002"/>
    <n v="676"/>
    <n v="326"/>
  </r>
  <r>
    <x v="9"/>
    <x v="0"/>
    <x v="1"/>
    <n v="100"/>
    <n v="62"/>
    <n v="0.61699999999999999"/>
    <n v="17"/>
    <n v="1059"/>
    <n v="783"/>
    <n v="276"/>
  </r>
  <r>
    <x v="9"/>
    <x v="3"/>
    <x v="18"/>
    <n v="87"/>
    <n v="75"/>
    <n v="0.53700000000000003"/>
    <n v="8"/>
    <n v="934"/>
    <n v="827"/>
    <n v="107"/>
  </r>
  <r>
    <x v="9"/>
    <x v="2"/>
    <x v="13"/>
    <n v="80"/>
    <n v="82"/>
    <n v="0.49399999999999999"/>
    <n v="24"/>
    <n v="811"/>
    <n v="840"/>
    <n v="-29"/>
  </r>
  <r>
    <x v="9"/>
    <x v="0"/>
    <x v="2"/>
    <n v="76"/>
    <n v="86"/>
    <n v="0.46899999999999997"/>
    <n v="41"/>
    <n v="912"/>
    <n v="982"/>
    <n v="-70"/>
  </r>
  <r>
    <x v="9"/>
    <x v="2"/>
    <x v="11"/>
    <n v="73"/>
    <n v="89"/>
    <n v="0.45100000000000001"/>
    <n v="31"/>
    <n v="788"/>
    <n v="844"/>
    <n v="-56"/>
  </r>
  <r>
    <x v="9"/>
    <x v="0"/>
    <x v="3"/>
    <n v="58"/>
    <n v="104"/>
    <n v="0.35799999999999998"/>
    <n v="59"/>
    <n v="766"/>
    <n v="1007"/>
    <n v="-241"/>
  </r>
  <r>
    <x v="9"/>
    <x v="2"/>
    <x v="10"/>
    <n v="104"/>
    <n v="58"/>
    <n v="0.64200000000000002"/>
    <n v="0"/>
    <n v="922"/>
    <n v="718"/>
    <n v="204"/>
  </r>
  <r>
    <x v="9"/>
    <x v="1"/>
    <x v="6"/>
    <n v="75"/>
    <n v="87"/>
    <n v="0.46300000000000002"/>
    <n v="41"/>
    <n v="836"/>
    <n v="858"/>
    <n v="-22"/>
  </r>
  <r>
    <x v="9"/>
    <x v="3"/>
    <x v="19"/>
    <n v="72"/>
    <n v="90"/>
    <n v="0.44400000000000001"/>
    <n v="23"/>
    <n v="809"/>
    <n v="911"/>
    <n v="-102"/>
  </r>
  <r>
    <x v="9"/>
    <x v="1"/>
    <x v="8"/>
    <n v="67"/>
    <n v="95"/>
    <n v="0.41399999999999998"/>
    <n v="49"/>
    <n v="800"/>
    <n v="993"/>
    <n v="-193"/>
  </r>
  <r>
    <x v="9"/>
    <x v="0"/>
    <x v="4"/>
    <n v="60"/>
    <n v="102"/>
    <n v="0.37"/>
    <n v="57"/>
    <n v="814"/>
    <n v="1052"/>
    <n v="-238"/>
  </r>
  <r>
    <x v="9"/>
    <x v="1"/>
    <x v="9"/>
    <n v="44"/>
    <n v="118"/>
    <n v="0.27200000000000002"/>
    <n v="72"/>
    <n v="572"/>
    <n v="987"/>
    <n v="-415"/>
  </r>
  <r>
    <x v="9"/>
    <x v="3"/>
    <x v="17"/>
    <n v="92"/>
    <n v="70"/>
    <n v="0.56799999999999995"/>
    <n v="3"/>
    <n v="805"/>
    <n v="695"/>
    <n v="110"/>
  </r>
  <r>
    <x v="9"/>
    <x v="2"/>
    <x v="14"/>
    <n v="77"/>
    <n v="85"/>
    <n v="0.47499999999999998"/>
    <n v="27"/>
    <n v="810"/>
    <n v="812"/>
    <n v="-2"/>
  </r>
  <r>
    <x v="9"/>
    <x v="1"/>
    <x v="7"/>
    <n v="64"/>
    <n v="98"/>
    <n v="0.39500000000000002"/>
    <n v="52"/>
    <n v="979"/>
    <n v="1191"/>
    <n v="-212"/>
  </r>
  <r>
    <x v="9"/>
    <x v="3"/>
    <x v="16"/>
    <n v="95"/>
    <n v="67"/>
    <n v="0.58599999999999997"/>
    <n v="0"/>
    <n v="998"/>
    <n v="841"/>
    <n v="157"/>
  </r>
  <r>
    <x v="9"/>
    <x v="3"/>
    <x v="15"/>
    <n v="91"/>
    <n v="71"/>
    <n v="0.56200000000000006"/>
    <n v="4"/>
    <n v="869"/>
    <n v="744"/>
    <n v="125"/>
  </r>
  <r>
    <x v="9"/>
    <x v="2"/>
    <x v="12"/>
    <n v="72"/>
    <n v="90"/>
    <n v="0.44400000000000001"/>
    <n v="32"/>
    <n v="782"/>
    <n v="878"/>
    <n v="-96"/>
  </r>
  <r>
    <x v="9"/>
    <x v="0"/>
    <x v="0"/>
    <n v="117"/>
    <n v="45"/>
    <n v="0.72199999999999998"/>
    <n v="0"/>
    <n v="1052"/>
    <n v="693"/>
    <n v="359"/>
  </r>
  <r>
    <x v="9"/>
    <x v="1"/>
    <x v="5"/>
    <n v="116"/>
    <n v="46"/>
    <n v="0.71599999999999997"/>
    <n v="0"/>
    <n v="1033"/>
    <n v="695"/>
    <n v="338"/>
  </r>
  <r>
    <x v="10"/>
    <x v="1"/>
    <x v="5"/>
    <n v="108"/>
    <n v="54"/>
    <n v="0.66700000000000004"/>
    <n v="0"/>
    <n v="1013"/>
    <n v="735"/>
    <n v="278"/>
  </r>
  <r>
    <x v="10"/>
    <x v="3"/>
    <x v="15"/>
    <n v="96"/>
    <n v="66"/>
    <n v="0.59299999999999997"/>
    <n v="0"/>
    <n v="917"/>
    <n v="788"/>
    <n v="129"/>
  </r>
  <r>
    <x v="10"/>
    <x v="1"/>
    <x v="7"/>
    <n v="77"/>
    <n v="85"/>
    <n v="0.47499999999999998"/>
    <n v="31"/>
    <n v="975"/>
    <n v="1093"/>
    <n v="-118"/>
  </r>
  <r>
    <x v="10"/>
    <x v="2"/>
    <x v="14"/>
    <n v="74"/>
    <n v="88"/>
    <n v="0.45700000000000002"/>
    <n v="24"/>
    <n v="799"/>
    <n v="838"/>
    <n v="-39"/>
  </r>
  <r>
    <x v="10"/>
    <x v="2"/>
    <x v="13"/>
    <n v="64"/>
    <n v="98"/>
    <n v="0.39500000000000002"/>
    <n v="34"/>
    <n v="758"/>
    <n v="926"/>
    <n v="-168"/>
  </r>
  <r>
    <x v="10"/>
    <x v="0"/>
    <x v="3"/>
    <n v="56"/>
    <n v="106"/>
    <n v="0.34599999999999997"/>
    <n v="45"/>
    <n v="790"/>
    <n v="1000"/>
    <n v="-210"/>
  </r>
  <r>
    <x v="10"/>
    <x v="0"/>
    <x v="4"/>
    <n v="54"/>
    <n v="108"/>
    <n v="0.33300000000000002"/>
    <n v="47"/>
    <n v="773"/>
    <n v="1061"/>
    <n v="-288"/>
  </r>
  <r>
    <x v="10"/>
    <x v="2"/>
    <x v="11"/>
    <n v="98"/>
    <n v="64"/>
    <n v="0.60499999999999998"/>
    <n v="0"/>
    <n v="902"/>
    <n v="772"/>
    <n v="130"/>
  </r>
  <r>
    <x v="10"/>
    <x v="3"/>
    <x v="18"/>
    <n v="96"/>
    <n v="66"/>
    <n v="0.59299999999999997"/>
    <n v="0"/>
    <n v="1037"/>
    <n v="861"/>
    <n v="176"/>
  </r>
  <r>
    <x v="10"/>
    <x v="1"/>
    <x v="8"/>
    <n v="72"/>
    <n v="90"/>
    <n v="0.44400000000000001"/>
    <n v="36"/>
    <n v="882"/>
    <n v="867"/>
    <n v="15"/>
  </r>
  <r>
    <x v="10"/>
    <x v="2"/>
    <x v="12"/>
    <n v="68"/>
    <n v="94"/>
    <n v="0.42"/>
    <n v="30"/>
    <n v="694"/>
    <n v="872"/>
    <n v="-178"/>
  </r>
  <r>
    <x v="10"/>
    <x v="3"/>
    <x v="19"/>
    <n v="92"/>
    <n v="70"/>
    <n v="0.56799999999999995"/>
    <n v="4"/>
    <n v="877"/>
    <n v="831"/>
    <n v="46"/>
  </r>
  <r>
    <x v="10"/>
    <x v="1"/>
    <x v="9"/>
    <n v="45"/>
    <n v="117"/>
    <n v="0.27800000000000002"/>
    <n v="63"/>
    <n v="632"/>
    <n v="1064"/>
    <n v="-432"/>
  </r>
  <r>
    <x v="10"/>
    <x v="0"/>
    <x v="1"/>
    <n v="101"/>
    <n v="61"/>
    <n v="0.623"/>
    <n v="0"/>
    <n v="955"/>
    <n v="794"/>
    <n v="161"/>
  </r>
  <r>
    <x v="10"/>
    <x v="0"/>
    <x v="0"/>
    <n v="99"/>
    <n v="63"/>
    <n v="0.61099999999999999"/>
    <n v="2"/>
    <n v="932"/>
    <n v="768"/>
    <n v="164"/>
  </r>
  <r>
    <x v="10"/>
    <x v="3"/>
    <x v="16"/>
    <n v="91"/>
    <n v="71"/>
    <n v="0.56200000000000006"/>
    <n v="5"/>
    <n v="984"/>
    <n v="815"/>
    <n v="169"/>
  </r>
  <r>
    <x v="10"/>
    <x v="2"/>
    <x v="10"/>
    <n v="89"/>
    <n v="73"/>
    <n v="0.54900000000000004"/>
    <n v="9"/>
    <n v="869"/>
    <n v="767"/>
    <n v="102"/>
  </r>
  <r>
    <x v="10"/>
    <x v="3"/>
    <x v="17"/>
    <n v="85"/>
    <n v="77"/>
    <n v="0.52500000000000002"/>
    <n v="11"/>
    <n v="833"/>
    <n v="726"/>
    <n v="107"/>
  </r>
  <r>
    <x v="10"/>
    <x v="0"/>
    <x v="2"/>
    <n v="84"/>
    <n v="78"/>
    <n v="0.51900000000000002"/>
    <n v="17"/>
    <n v="995"/>
    <n v="945"/>
    <n v="50"/>
  </r>
  <r>
    <x v="10"/>
    <x v="1"/>
    <x v="6"/>
    <n v="71"/>
    <n v="91"/>
    <n v="0.438"/>
    <n v="37"/>
    <n v="784"/>
    <n v="878"/>
    <n v="-94"/>
  </r>
  <r>
    <x v="11"/>
    <x v="3"/>
    <x v="17"/>
    <n v="94"/>
    <n v="68"/>
    <n v="0.57999999999999996"/>
    <n v="0"/>
    <n v="801"/>
    <n v="637"/>
    <n v="164"/>
  </r>
  <r>
    <x v="11"/>
    <x v="2"/>
    <x v="10"/>
    <n v="90"/>
    <n v="72"/>
    <n v="0.55600000000000005"/>
    <n v="0"/>
    <n v="896"/>
    <n v="834"/>
    <n v="62"/>
  </r>
  <r>
    <x v="11"/>
    <x v="1"/>
    <x v="8"/>
    <n v="59"/>
    <n v="103"/>
    <n v="0.36399999999999999"/>
    <n v="51"/>
    <n v="853"/>
    <n v="1008"/>
    <n v="-155"/>
  </r>
  <r>
    <x v="11"/>
    <x v="0"/>
    <x v="4"/>
    <n v="57"/>
    <n v="105"/>
    <n v="0.35199999999999998"/>
    <n v="59"/>
    <n v="793"/>
    <n v="1043"/>
    <n v="-250"/>
  </r>
  <r>
    <x v="11"/>
    <x v="1"/>
    <x v="7"/>
    <n v="71"/>
    <n v="91"/>
    <n v="0.438"/>
    <n v="39"/>
    <n v="1056"/>
    <n v="1213"/>
    <n v="-157"/>
  </r>
  <r>
    <x v="11"/>
    <x v="2"/>
    <x v="14"/>
    <n v="70"/>
    <n v="92"/>
    <n v="0.432"/>
    <n v="20"/>
    <n v="876"/>
    <n v="914"/>
    <n v="-38"/>
  </r>
  <r>
    <x v="11"/>
    <x v="0"/>
    <x v="1"/>
    <n v="99"/>
    <n v="63"/>
    <n v="0.61099999999999999"/>
    <n v="17"/>
    <n v="979"/>
    <n v="773"/>
    <n v="206"/>
  </r>
  <r>
    <x v="11"/>
    <x v="1"/>
    <x v="6"/>
    <n v="79"/>
    <n v="83"/>
    <n v="0.48799999999999999"/>
    <n v="31"/>
    <n v="780"/>
    <n v="829"/>
    <n v="-49"/>
  </r>
  <r>
    <x v="11"/>
    <x v="1"/>
    <x v="9"/>
    <n v="42"/>
    <n v="120"/>
    <n v="0.25900000000000001"/>
    <n v="68"/>
    <n v="667"/>
    <n v="1018"/>
    <n v="-351"/>
  </r>
  <r>
    <x v="11"/>
    <x v="3"/>
    <x v="16"/>
    <n v="93"/>
    <n v="69"/>
    <n v="0.57399999999999995"/>
    <n v="1"/>
    <n v="927"/>
    <n v="872"/>
    <n v="55"/>
  </r>
  <r>
    <x v="11"/>
    <x v="3"/>
    <x v="18"/>
    <n v="89"/>
    <n v="73"/>
    <n v="0.54900000000000004"/>
    <n v="5"/>
    <n v="1007"/>
    <n v="835"/>
    <n v="172"/>
  </r>
  <r>
    <x v="11"/>
    <x v="0"/>
    <x v="2"/>
    <n v="84"/>
    <n v="78"/>
    <n v="0.51900000000000002"/>
    <n v="32"/>
    <n v="973"/>
    <n v="943"/>
    <n v="30"/>
  </r>
  <r>
    <x v="11"/>
    <x v="3"/>
    <x v="15"/>
    <n v="83"/>
    <n v="79"/>
    <n v="0.51200000000000001"/>
    <n v="11"/>
    <n v="834"/>
    <n v="828"/>
    <n v="6"/>
  </r>
  <r>
    <x v="11"/>
    <x v="0"/>
    <x v="3"/>
    <n v="83"/>
    <n v="79"/>
    <n v="0.51200000000000001"/>
    <n v="33"/>
    <n v="831"/>
    <n v="901"/>
    <n v="-70"/>
  </r>
  <r>
    <x v="11"/>
    <x v="2"/>
    <x v="11"/>
    <n v="82"/>
    <n v="80"/>
    <n v="0.50600000000000001"/>
    <n v="8"/>
    <n v="834"/>
    <n v="839"/>
    <n v="-5"/>
  </r>
  <r>
    <x v="11"/>
    <x v="3"/>
    <x v="19"/>
    <n v="73"/>
    <n v="89"/>
    <n v="0.45100000000000001"/>
    <n v="21"/>
    <n v="751"/>
    <n v="808"/>
    <n v="-57"/>
  </r>
  <r>
    <x v="11"/>
    <x v="2"/>
    <x v="13"/>
    <n v="73"/>
    <n v="89"/>
    <n v="0.45100000000000001"/>
    <n v="17"/>
    <n v="843"/>
    <n v="952"/>
    <n v="-109"/>
  </r>
  <r>
    <x v="11"/>
    <x v="2"/>
    <x v="12"/>
    <n v="73"/>
    <n v="89"/>
    <n v="0.45100000000000001"/>
    <n v="17"/>
    <n v="794"/>
    <n v="850"/>
    <n v="-56"/>
  </r>
  <r>
    <x v="11"/>
    <x v="0"/>
    <x v="0"/>
    <n v="116"/>
    <n v="46"/>
    <n v="0.71599999999999997"/>
    <n v="0"/>
    <n v="1031"/>
    <n v="747"/>
    <n v="284"/>
  </r>
  <r>
    <x v="11"/>
    <x v="1"/>
    <x v="5"/>
    <n v="110"/>
    <n v="52"/>
    <n v="0.67900000000000005"/>
    <n v="0"/>
    <n v="1047"/>
    <n v="729"/>
    <n v="318"/>
  </r>
  <r>
    <x v="12"/>
    <x v="1"/>
    <x v="5"/>
    <n v="109"/>
    <n v="53"/>
    <n v="0.67300000000000004"/>
    <n v="0"/>
    <n v="1021"/>
    <n v="700"/>
    <n v="321"/>
  </r>
  <r>
    <x v="12"/>
    <x v="2"/>
    <x v="11"/>
    <n v="102"/>
    <n v="60"/>
    <n v="0.63"/>
    <n v="0"/>
    <n v="901"/>
    <n v="740"/>
    <n v="161"/>
  </r>
  <r>
    <x v="12"/>
    <x v="0"/>
    <x v="1"/>
    <n v="89"/>
    <n v="73"/>
    <n v="0.54900000000000004"/>
    <n v="18"/>
    <n v="923"/>
    <n v="865"/>
    <n v="58"/>
  </r>
  <r>
    <x v="12"/>
    <x v="1"/>
    <x v="7"/>
    <n v="69"/>
    <n v="93"/>
    <n v="0.42599999999999999"/>
    <n v="40"/>
    <n v="1007"/>
    <n v="1194"/>
    <n v="-187"/>
  </r>
  <r>
    <x v="12"/>
    <x v="1"/>
    <x v="8"/>
    <n v="58"/>
    <n v="104"/>
    <n v="0.35799999999999998"/>
    <n v="51"/>
    <n v="829"/>
    <n v="1018"/>
    <n v="-189"/>
  </r>
  <r>
    <x v="12"/>
    <x v="0"/>
    <x v="0"/>
    <n v="107"/>
    <n v="55"/>
    <n v="0.66"/>
    <n v="0"/>
    <n v="1051"/>
    <n v="775"/>
    <n v="276"/>
  </r>
  <r>
    <x v="12"/>
    <x v="3"/>
    <x v="18"/>
    <n v="102"/>
    <n v="60"/>
    <n v="0.63"/>
    <n v="0"/>
    <n v="931"/>
    <n v="791"/>
    <n v="140"/>
  </r>
  <r>
    <x v="12"/>
    <x v="2"/>
    <x v="10"/>
    <n v="102"/>
    <n v="60"/>
    <n v="0.63"/>
    <n v="0"/>
    <n v="896"/>
    <n v="713"/>
    <n v="183"/>
  </r>
  <r>
    <x v="12"/>
    <x v="0"/>
    <x v="3"/>
    <n v="72"/>
    <n v="90"/>
    <n v="0.44400000000000001"/>
    <n v="35"/>
    <n v="893"/>
    <n v="960"/>
    <n v="-67"/>
  </r>
  <r>
    <x v="12"/>
    <x v="2"/>
    <x v="12"/>
    <n v="72"/>
    <n v="90"/>
    <n v="0.44400000000000001"/>
    <n v="30"/>
    <n v="751"/>
    <n v="838"/>
    <n v="-87"/>
  </r>
  <r>
    <x v="12"/>
    <x v="1"/>
    <x v="6"/>
    <n v="66"/>
    <n v="96"/>
    <n v="0.40699999999999997"/>
    <n v="43"/>
    <n v="748"/>
    <n v="838"/>
    <n v="-90"/>
  </r>
  <r>
    <x v="12"/>
    <x v="1"/>
    <x v="9"/>
    <n v="43"/>
    <n v="119"/>
    <n v="0.26500000000000001"/>
    <n v="66"/>
    <n v="689"/>
    <n v="1078"/>
    <n v="-389"/>
  </r>
  <r>
    <x v="12"/>
    <x v="3"/>
    <x v="17"/>
    <n v="99"/>
    <n v="63"/>
    <n v="0.61099999999999999"/>
    <n v="3"/>
    <n v="823"/>
    <n v="633"/>
    <n v="190"/>
  </r>
  <r>
    <x v="12"/>
    <x v="2"/>
    <x v="13"/>
    <n v="75"/>
    <n v="87"/>
    <n v="0.46300000000000002"/>
    <n v="27"/>
    <n v="763"/>
    <n v="841"/>
    <n v="-78"/>
  </r>
  <r>
    <x v="12"/>
    <x v="2"/>
    <x v="14"/>
    <n v="63"/>
    <n v="99"/>
    <n v="0.38900000000000001"/>
    <n v="39"/>
    <n v="708"/>
    <n v="894"/>
    <n v="-186"/>
  </r>
  <r>
    <x v="12"/>
    <x v="0"/>
    <x v="4"/>
    <n v="57"/>
    <n v="105"/>
    <n v="0.35199999999999998"/>
    <n v="50"/>
    <n v="760"/>
    <n v="1034"/>
    <n v="-274"/>
  </r>
  <r>
    <x v="12"/>
    <x v="0"/>
    <x v="2"/>
    <n v="93"/>
    <n v="69"/>
    <n v="0.57399999999999995"/>
    <n v="14"/>
    <n v="995"/>
    <n v="926"/>
    <n v="69"/>
  </r>
  <r>
    <x v="12"/>
    <x v="3"/>
    <x v="16"/>
    <n v="86"/>
    <n v="76"/>
    <n v="0.53100000000000003"/>
    <n v="16"/>
    <n v="977"/>
    <n v="854"/>
    <n v="123"/>
  </r>
  <r>
    <x v="12"/>
    <x v="3"/>
    <x v="15"/>
    <n v="85"/>
    <n v="77"/>
    <n v="0.52500000000000002"/>
    <n v="17"/>
    <n v="807"/>
    <n v="710"/>
    <n v="97"/>
  </r>
  <r>
    <x v="12"/>
    <x v="3"/>
    <x v="19"/>
    <n v="71"/>
    <n v="91"/>
    <n v="0.438"/>
    <n v="31"/>
    <n v="753"/>
    <n v="824"/>
    <n v="-71"/>
  </r>
  <r>
    <x v="13"/>
    <x v="0"/>
    <x v="1"/>
    <n v="106"/>
    <n v="56"/>
    <n v="0.65400000000000003"/>
    <n v="5"/>
    <n v="1059"/>
    <n v="765"/>
    <n v="294"/>
  </r>
  <r>
    <x v="13"/>
    <x v="2"/>
    <x v="10"/>
    <n v="98"/>
    <n v="64"/>
    <n v="0.60499999999999998"/>
    <n v="0"/>
    <n v="907"/>
    <n v="755"/>
    <n v="152"/>
  </r>
  <r>
    <x v="13"/>
    <x v="2"/>
    <x v="13"/>
    <n v="75"/>
    <n v="87"/>
    <n v="0.46300000000000002"/>
    <n v="23"/>
    <n v="722"/>
    <n v="868"/>
    <n v="-146"/>
  </r>
  <r>
    <x v="13"/>
    <x v="0"/>
    <x v="3"/>
    <n v="62"/>
    <n v="100"/>
    <n v="0.38300000000000001"/>
    <n v="49"/>
    <n v="801"/>
    <n v="938"/>
    <n v="-137"/>
  </r>
  <r>
    <x v="13"/>
    <x v="1"/>
    <x v="9"/>
    <n v="49"/>
    <n v="113"/>
    <n v="0.30199999999999999"/>
    <n v="53"/>
    <n v="674"/>
    <n v="998"/>
    <n v="-324"/>
  </r>
  <r>
    <x v="13"/>
    <x v="2"/>
    <x v="12"/>
    <n v="57"/>
    <n v="105"/>
    <n v="0.35199999999999998"/>
    <n v="41"/>
    <n v="721"/>
    <n v="883"/>
    <n v="-162"/>
  </r>
  <r>
    <x v="13"/>
    <x v="3"/>
    <x v="17"/>
    <n v="105"/>
    <n v="57"/>
    <n v="0.64800000000000002"/>
    <n v="0"/>
    <n v="889"/>
    <n v="661"/>
    <n v="228"/>
  </r>
  <r>
    <x v="13"/>
    <x v="2"/>
    <x v="14"/>
    <n v="66"/>
    <n v="96"/>
    <n v="0.40699999999999997"/>
    <n v="32"/>
    <n v="763"/>
    <n v="933"/>
    <n v="-170"/>
  </r>
  <r>
    <x v="13"/>
    <x v="1"/>
    <x v="7"/>
    <n v="65"/>
    <n v="97"/>
    <n v="0.40100000000000002"/>
    <n v="37"/>
    <n v="1043"/>
    <n v="1154"/>
    <n v="-111"/>
  </r>
  <r>
    <x v="13"/>
    <x v="1"/>
    <x v="8"/>
    <n v="63"/>
    <n v="99"/>
    <n v="0.38900000000000001"/>
    <n v="39"/>
    <n v="869"/>
    <n v="1006"/>
    <n v="-137"/>
  </r>
  <r>
    <x v="13"/>
    <x v="0"/>
    <x v="4"/>
    <n v="61"/>
    <n v="101"/>
    <n v="0.377"/>
    <n v="50"/>
    <n v="732"/>
    <n v="969"/>
    <n v="-237"/>
  </r>
  <r>
    <x v="13"/>
    <x v="1"/>
    <x v="5"/>
    <n v="102"/>
    <n v="60"/>
    <n v="0.63"/>
    <n v="0"/>
    <n v="1008"/>
    <n v="760"/>
    <n v="248"/>
  </r>
  <r>
    <x v="13"/>
    <x v="3"/>
    <x v="18"/>
    <n v="95"/>
    <n v="67"/>
    <n v="0.58599999999999997"/>
    <n v="10"/>
    <n v="948"/>
    <n v="870"/>
    <n v="78"/>
  </r>
  <r>
    <x v="13"/>
    <x v="3"/>
    <x v="15"/>
    <n v="89"/>
    <n v="73"/>
    <n v="0.54900000000000004"/>
    <n v="16"/>
    <n v="918"/>
    <n v="819"/>
    <n v="99"/>
  </r>
  <r>
    <x v="13"/>
    <x v="3"/>
    <x v="16"/>
    <n v="88"/>
    <n v="74"/>
    <n v="0.54300000000000004"/>
    <n v="17"/>
    <n v="897"/>
    <n v="806"/>
    <n v="91"/>
  </r>
  <r>
    <x v="13"/>
    <x v="2"/>
    <x v="11"/>
    <n v="87"/>
    <n v="75"/>
    <n v="0.53700000000000003"/>
    <n v="11"/>
    <n v="822"/>
    <n v="765"/>
    <n v="57"/>
  </r>
  <r>
    <x v="13"/>
    <x v="0"/>
    <x v="2"/>
    <n v="84"/>
    <n v="78"/>
    <n v="0.51900000000000002"/>
    <n v="27"/>
    <n v="893"/>
    <n v="895"/>
    <n v="-2"/>
  </r>
  <r>
    <x v="13"/>
    <x v="3"/>
    <x v="19"/>
    <n v="83"/>
    <n v="79"/>
    <n v="0.51200000000000001"/>
    <n v="22"/>
    <n v="792"/>
    <n v="849"/>
    <n v="-57"/>
  </r>
  <r>
    <x v="13"/>
    <x v="1"/>
    <x v="6"/>
    <n v="74"/>
    <n v="88"/>
    <n v="0.45700000000000002"/>
    <n v="28"/>
    <n v="729"/>
    <n v="791"/>
    <n v="-62"/>
  </r>
  <r>
    <x v="13"/>
    <x v="0"/>
    <x v="0"/>
    <n v="111"/>
    <n v="51"/>
    <n v="0.68500000000000005"/>
    <n v="0"/>
    <n v="999"/>
    <n v="701"/>
    <n v="298"/>
  </r>
  <r>
    <x v="14"/>
    <x v="3"/>
    <x v="18"/>
    <n v="104"/>
    <n v="58"/>
    <n v="0.64200000000000002"/>
    <n v="0"/>
    <n v="1024"/>
    <n v="784"/>
    <n v="240"/>
  </r>
  <r>
    <x v="14"/>
    <x v="3"/>
    <x v="15"/>
    <n v="89"/>
    <n v="73"/>
    <n v="0.54900000000000004"/>
    <n v="15"/>
    <n v="845"/>
    <n v="818"/>
    <n v="27"/>
  </r>
  <r>
    <x v="14"/>
    <x v="3"/>
    <x v="16"/>
    <n v="82"/>
    <n v="80"/>
    <n v="0.50600000000000001"/>
    <n v="22"/>
    <n v="889"/>
    <n v="863"/>
    <n v="26"/>
  </r>
  <r>
    <x v="14"/>
    <x v="2"/>
    <x v="11"/>
    <n v="78"/>
    <n v="84"/>
    <n v="0.48099999999999998"/>
    <n v="28"/>
    <n v="799"/>
    <n v="790"/>
    <n v="9"/>
  </r>
  <r>
    <x v="14"/>
    <x v="0"/>
    <x v="4"/>
    <n v="57"/>
    <n v="105"/>
    <n v="0.35199999999999998"/>
    <n v="50"/>
    <n v="808"/>
    <n v="1065"/>
    <n v="-257"/>
  </r>
  <r>
    <x v="14"/>
    <x v="1"/>
    <x v="5"/>
    <n v="108"/>
    <n v="54"/>
    <n v="0.66700000000000004"/>
    <n v="0"/>
    <n v="1006"/>
    <n v="691"/>
    <n v="315"/>
  </r>
  <r>
    <x v="14"/>
    <x v="2"/>
    <x v="10"/>
    <n v="106"/>
    <n v="56"/>
    <n v="0.65400000000000003"/>
    <n v="0"/>
    <n v="973"/>
    <n v="701"/>
    <n v="272"/>
  </r>
  <r>
    <x v="14"/>
    <x v="0"/>
    <x v="1"/>
    <n v="96"/>
    <n v="66"/>
    <n v="0.59299999999999997"/>
    <n v="11"/>
    <n v="988"/>
    <n v="845"/>
    <n v="143"/>
  </r>
  <r>
    <x v="14"/>
    <x v="1"/>
    <x v="7"/>
    <n v="69"/>
    <n v="93"/>
    <n v="0.42599999999999999"/>
    <n v="39"/>
    <n v="991"/>
    <n v="1171"/>
    <n v="-180"/>
  </r>
  <r>
    <x v="14"/>
    <x v="0"/>
    <x v="3"/>
    <n v="69"/>
    <n v="93"/>
    <n v="0.42599999999999999"/>
    <n v="38"/>
    <n v="896"/>
    <n v="975"/>
    <n v="-79"/>
  </r>
  <r>
    <x v="14"/>
    <x v="2"/>
    <x v="14"/>
    <n v="61"/>
    <n v="101"/>
    <n v="0.377"/>
    <n v="45"/>
    <n v="720"/>
    <n v="932"/>
    <n v="-212"/>
  </r>
  <r>
    <x v="14"/>
    <x v="1"/>
    <x v="9"/>
    <n v="46"/>
    <n v="116"/>
    <n v="0.28399999999999997"/>
    <n v="62"/>
    <n v="698"/>
    <n v="1105"/>
    <n v="-407"/>
  </r>
  <r>
    <x v="14"/>
    <x v="3"/>
    <x v="19"/>
    <n v="84"/>
    <n v="78"/>
    <n v="0.51900000000000002"/>
    <n v="20"/>
    <n v="815"/>
    <n v="832"/>
    <n v="-17"/>
  </r>
  <r>
    <x v="14"/>
    <x v="1"/>
    <x v="6"/>
    <n v="77"/>
    <n v="85"/>
    <n v="0.47499999999999998"/>
    <n v="31"/>
    <n v="791"/>
    <n v="805"/>
    <n v="-14"/>
  </r>
  <r>
    <x v="14"/>
    <x v="1"/>
    <x v="8"/>
    <n v="50"/>
    <n v="112"/>
    <n v="0.309"/>
    <n v="58"/>
    <n v="777"/>
    <n v="1036"/>
    <n v="-259"/>
  </r>
  <r>
    <x v="14"/>
    <x v="3"/>
    <x v="17"/>
    <n v="92"/>
    <n v="70"/>
    <n v="0.56799999999999995"/>
    <n v="12"/>
    <n v="825"/>
    <n v="712"/>
    <n v="113"/>
  </r>
  <r>
    <x v="14"/>
    <x v="0"/>
    <x v="2"/>
    <n v="92"/>
    <n v="70"/>
    <n v="0.56799999999999995"/>
    <n v="15"/>
    <n v="981"/>
    <n v="843"/>
    <n v="138"/>
  </r>
  <r>
    <x v="14"/>
    <x v="2"/>
    <x v="13"/>
    <n v="83"/>
    <n v="79"/>
    <n v="0.51200000000000001"/>
    <n v="23"/>
    <n v="882"/>
    <n v="831"/>
    <n v="51"/>
  </r>
  <r>
    <x v="14"/>
    <x v="2"/>
    <x v="12"/>
    <n v="70"/>
    <n v="92"/>
    <n v="0.432"/>
    <n v="36"/>
    <n v="757"/>
    <n v="882"/>
    <n v="-125"/>
  </r>
  <r>
    <x v="14"/>
    <x v="0"/>
    <x v="0"/>
    <n v="107"/>
    <n v="55"/>
    <n v="0.66"/>
    <n v="0"/>
    <n v="1033"/>
    <n v="817"/>
    <n v="216"/>
  </r>
  <r>
    <x v="15"/>
    <x v="0"/>
    <x v="0"/>
    <n v="99"/>
    <n v="63"/>
    <n v="0.61099999999999999"/>
    <n v="0"/>
    <n v="982"/>
    <n v="779"/>
    <n v="203"/>
  </r>
  <r>
    <x v="15"/>
    <x v="2"/>
    <x v="13"/>
    <n v="79"/>
    <n v="83"/>
    <n v="0.48799999999999999"/>
    <n v="14"/>
    <n v="792"/>
    <n v="832"/>
    <n v="-40"/>
  </r>
  <r>
    <x v="15"/>
    <x v="0"/>
    <x v="3"/>
    <n v="78"/>
    <n v="84"/>
    <n v="0.48099999999999998"/>
    <n v="21"/>
    <n v="863"/>
    <n v="960"/>
    <n v="-97"/>
  </r>
  <r>
    <x v="15"/>
    <x v="3"/>
    <x v="19"/>
    <n v="75"/>
    <n v="87"/>
    <n v="0.46300000000000002"/>
    <n v="20"/>
    <n v="779"/>
    <n v="827"/>
    <n v="-48"/>
  </r>
  <r>
    <x v="15"/>
    <x v="2"/>
    <x v="12"/>
    <n v="73"/>
    <n v="89"/>
    <n v="0.45100000000000001"/>
    <n v="20"/>
    <n v="767"/>
    <n v="927"/>
    <n v="-160"/>
  </r>
  <r>
    <x v="15"/>
    <x v="1"/>
    <x v="9"/>
    <n v="44"/>
    <n v="118"/>
    <n v="0.27200000000000002"/>
    <n v="56"/>
    <n v="607"/>
    <n v="1034"/>
    <n v="-427"/>
  </r>
  <r>
    <x v="15"/>
    <x v="1"/>
    <x v="5"/>
    <n v="100"/>
    <n v="62"/>
    <n v="0.61699999999999999"/>
    <n v="0"/>
    <n v="1027"/>
    <n v="723"/>
    <n v="304"/>
  </r>
  <r>
    <x v="15"/>
    <x v="1"/>
    <x v="8"/>
    <n v="71"/>
    <n v="91"/>
    <n v="0.438"/>
    <n v="29"/>
    <n v="829"/>
    <n v="1021"/>
    <n v="-192"/>
  </r>
  <r>
    <x v="15"/>
    <x v="1"/>
    <x v="6"/>
    <n v="63"/>
    <n v="99"/>
    <n v="0.38900000000000001"/>
    <n v="37"/>
    <n v="754"/>
    <n v="865"/>
    <n v="-111"/>
  </r>
  <r>
    <x v="15"/>
    <x v="3"/>
    <x v="18"/>
    <n v="91"/>
    <n v="71"/>
    <n v="0.56200000000000006"/>
    <n v="4"/>
    <n v="1005"/>
    <n v="845"/>
    <n v="160"/>
  </r>
  <r>
    <x v="15"/>
    <x v="0"/>
    <x v="2"/>
    <n v="91"/>
    <n v="71"/>
    <n v="0.56200000000000006"/>
    <n v="8"/>
    <n v="986"/>
    <n v="897"/>
    <n v="89"/>
  </r>
  <r>
    <x v="15"/>
    <x v="1"/>
    <x v="7"/>
    <n v="83"/>
    <n v="79"/>
    <n v="0.51200000000000001"/>
    <n v="17"/>
    <n v="1075"/>
    <n v="1111"/>
    <n v="-36"/>
  </r>
  <r>
    <x v="15"/>
    <x v="0"/>
    <x v="4"/>
    <n v="66"/>
    <n v="96"/>
    <n v="0.40699999999999997"/>
    <n v="33"/>
    <n v="843"/>
    <n v="977"/>
    <n v="-134"/>
  </r>
  <r>
    <x v="15"/>
    <x v="2"/>
    <x v="14"/>
    <n v="65"/>
    <n v="97"/>
    <n v="0.40100000000000002"/>
    <n v="28"/>
    <n v="783"/>
    <n v="972"/>
    <n v="-189"/>
  </r>
  <r>
    <x v="15"/>
    <x v="3"/>
    <x v="16"/>
    <n v="95"/>
    <n v="67"/>
    <n v="0.58599999999999997"/>
    <n v="0"/>
    <n v="945"/>
    <n v="840"/>
    <n v="105"/>
  </r>
  <r>
    <x v="15"/>
    <x v="2"/>
    <x v="10"/>
    <n v="93"/>
    <n v="69"/>
    <n v="0.57399999999999995"/>
    <n v="0"/>
    <n v="930"/>
    <n v="715"/>
    <n v="215"/>
  </r>
  <r>
    <x v="15"/>
    <x v="0"/>
    <x v="1"/>
    <n v="91"/>
    <n v="71"/>
    <n v="0.56200000000000006"/>
    <n v="8"/>
    <n v="894"/>
    <n v="733"/>
    <n v="161"/>
  </r>
  <r>
    <x v="15"/>
    <x v="3"/>
    <x v="17"/>
    <n v="90"/>
    <n v="72"/>
    <n v="0.55600000000000005"/>
    <n v="5"/>
    <n v="851"/>
    <n v="738"/>
    <n v="113"/>
  </r>
  <r>
    <x v="15"/>
    <x v="2"/>
    <x v="11"/>
    <n v="89"/>
    <n v="73"/>
    <n v="0.54900000000000004"/>
    <n v="4"/>
    <n v="831"/>
    <n v="834"/>
    <n v="-3"/>
  </r>
  <r>
    <x v="15"/>
    <x v="3"/>
    <x v="15"/>
    <n v="84"/>
    <n v="78"/>
    <n v="0.51900000000000002"/>
    <n v="11"/>
    <n v="875"/>
    <n v="788"/>
    <n v="87"/>
  </r>
  <r>
    <x v="16"/>
    <x v="0"/>
    <x v="0"/>
    <n v="110"/>
    <n v="52"/>
    <n v="0.67900000000000005"/>
    <n v="0"/>
    <n v="1002"/>
    <n v="731"/>
    <n v="271"/>
  </r>
  <r>
    <x v="16"/>
    <x v="0"/>
    <x v="1"/>
    <n v="88"/>
    <n v="74"/>
    <n v="0.54300000000000004"/>
    <n v="22"/>
    <n v="925"/>
    <n v="923"/>
    <n v="2"/>
  </r>
  <r>
    <x v="16"/>
    <x v="0"/>
    <x v="4"/>
    <n v="58"/>
    <n v="104"/>
    <n v="0.35799999999999998"/>
    <n v="52"/>
    <n v="765"/>
    <n v="1115"/>
    <n v="-350"/>
  </r>
  <r>
    <x v="16"/>
    <x v="2"/>
    <x v="12"/>
    <n v="56"/>
    <n v="106"/>
    <n v="0.34599999999999997"/>
    <n v="47"/>
    <n v="678"/>
    <n v="897"/>
    <n v="-219"/>
  </r>
  <r>
    <x v="16"/>
    <x v="2"/>
    <x v="13"/>
    <n v="73"/>
    <n v="89"/>
    <n v="0.45100000000000001"/>
    <n v="30"/>
    <n v="830"/>
    <n v="936"/>
    <n v="-106"/>
  </r>
  <r>
    <x v="16"/>
    <x v="0"/>
    <x v="3"/>
    <n v="71"/>
    <n v="91"/>
    <n v="0.438"/>
    <n v="39"/>
    <n v="846"/>
    <n v="948"/>
    <n v="-102"/>
  </r>
  <r>
    <x v="16"/>
    <x v="1"/>
    <x v="8"/>
    <n v="61"/>
    <n v="101"/>
    <n v="0.377"/>
    <n v="53"/>
    <n v="864"/>
    <n v="1002"/>
    <n v="-138"/>
  </r>
  <r>
    <x v="16"/>
    <x v="1"/>
    <x v="9"/>
    <n v="49"/>
    <n v="113"/>
    <n v="0.30199999999999999"/>
    <n v="65"/>
    <n v="712"/>
    <n v="1087"/>
    <n v="-375"/>
  </r>
  <r>
    <x v="16"/>
    <x v="1"/>
    <x v="5"/>
    <n v="114"/>
    <n v="48"/>
    <n v="0.70399999999999996"/>
    <n v="0"/>
    <n v="1014"/>
    <n v="699"/>
    <n v="315"/>
  </r>
  <r>
    <x v="16"/>
    <x v="3"/>
    <x v="16"/>
    <n v="96"/>
    <n v="66"/>
    <n v="0.59299999999999997"/>
    <n v="0"/>
    <n v="941"/>
    <n v="793"/>
    <n v="148"/>
  </r>
  <r>
    <x v="16"/>
    <x v="1"/>
    <x v="6"/>
    <n v="81"/>
    <n v="81"/>
    <n v="0.5"/>
    <n v="33"/>
    <n v="811"/>
    <n v="803"/>
    <n v="8"/>
  </r>
  <r>
    <x v="16"/>
    <x v="2"/>
    <x v="14"/>
    <n v="79"/>
    <n v="83"/>
    <n v="0.48799999999999999"/>
    <n v="24"/>
    <n v="855"/>
    <n v="870"/>
    <n v="-15"/>
  </r>
  <r>
    <x v="16"/>
    <x v="1"/>
    <x v="7"/>
    <n v="66"/>
    <n v="96"/>
    <n v="0.40699999999999997"/>
    <n v="48"/>
    <n v="943"/>
    <n v="1119"/>
    <n v="-176"/>
  </r>
  <r>
    <x v="16"/>
    <x v="2"/>
    <x v="10"/>
    <n v="103"/>
    <n v="59"/>
    <n v="0.63600000000000001"/>
    <n v="0"/>
    <n v="967"/>
    <n v="699"/>
    <n v="268"/>
  </r>
  <r>
    <x v="16"/>
    <x v="3"/>
    <x v="18"/>
    <n v="92"/>
    <n v="70"/>
    <n v="0.56799999999999995"/>
    <n v="4"/>
    <n v="976"/>
    <n v="836"/>
    <n v="140"/>
  </r>
  <r>
    <x v="16"/>
    <x v="0"/>
    <x v="2"/>
    <n v="91"/>
    <n v="71"/>
    <n v="0.56200000000000006"/>
    <n v="19"/>
    <n v="927"/>
    <n v="872"/>
    <n v="55"/>
  </r>
  <r>
    <x v="16"/>
    <x v="3"/>
    <x v="15"/>
    <n v="89"/>
    <n v="73"/>
    <n v="0.54900000000000004"/>
    <n v="7"/>
    <n v="922"/>
    <n v="802"/>
    <n v="120"/>
  </r>
  <r>
    <x v="16"/>
    <x v="2"/>
    <x v="11"/>
    <n v="84"/>
    <n v="78"/>
    <n v="0.51900000000000002"/>
    <n v="19"/>
    <n v="862"/>
    <n v="809"/>
    <n v="53"/>
  </r>
  <r>
    <x v="16"/>
    <x v="3"/>
    <x v="17"/>
    <n v="83"/>
    <n v="79"/>
    <n v="0.51200000000000001"/>
    <n v="13"/>
    <n v="804"/>
    <n v="720"/>
    <n v="84"/>
  </r>
  <r>
    <x v="16"/>
    <x v="3"/>
    <x v="19"/>
    <n v="76"/>
    <n v="86"/>
    <n v="0.46899999999999997"/>
    <n v="20"/>
    <n v="838"/>
    <n v="821"/>
    <n v="17"/>
  </r>
  <r>
    <x v="17"/>
    <x v="2"/>
    <x v="10"/>
    <n v="103"/>
    <n v="59"/>
    <n v="0.63600000000000001"/>
    <n v="0"/>
    <n v="924"/>
    <n v="699"/>
    <n v="225"/>
  </r>
  <r>
    <x v="17"/>
    <x v="0"/>
    <x v="1"/>
    <n v="89"/>
    <n v="73"/>
    <n v="0.54900000000000004"/>
    <n v="22"/>
    <n v="905"/>
    <n v="804"/>
    <n v="101"/>
  </r>
  <r>
    <x v="17"/>
    <x v="1"/>
    <x v="8"/>
    <n v="72"/>
    <n v="90"/>
    <n v="0.44400000000000001"/>
    <n v="43"/>
    <n v="881"/>
    <n v="1037"/>
    <n v="-156"/>
  </r>
  <r>
    <x v="17"/>
    <x v="3"/>
    <x v="18"/>
    <n v="102"/>
    <n v="60"/>
    <n v="0.63"/>
    <n v="0"/>
    <n v="1063"/>
    <n v="861"/>
    <n v="202"/>
  </r>
  <r>
    <x v="17"/>
    <x v="1"/>
    <x v="6"/>
    <n v="77"/>
    <n v="85"/>
    <n v="0.47499999999999998"/>
    <n v="38"/>
    <n v="806"/>
    <n v="826"/>
    <n v="-20"/>
  </r>
  <r>
    <x v="17"/>
    <x v="3"/>
    <x v="19"/>
    <n v="71"/>
    <n v="91"/>
    <n v="0.438"/>
    <n v="31"/>
    <n v="821"/>
    <n v="916"/>
    <n v="-95"/>
  </r>
  <r>
    <x v="17"/>
    <x v="0"/>
    <x v="3"/>
    <n v="50"/>
    <n v="112"/>
    <n v="0.309"/>
    <n v="61"/>
    <n v="798"/>
    <n v="1080"/>
    <n v="-282"/>
  </r>
  <r>
    <x v="17"/>
    <x v="0"/>
    <x v="2"/>
    <n v="86"/>
    <n v="76"/>
    <n v="0.53100000000000003"/>
    <n v="25"/>
    <n v="991"/>
    <n v="909"/>
    <n v="82"/>
  </r>
  <r>
    <x v="17"/>
    <x v="2"/>
    <x v="12"/>
    <n v="82"/>
    <n v="80"/>
    <n v="0.50600000000000001"/>
    <n v="21"/>
    <n v="829"/>
    <n v="838"/>
    <n v="-9"/>
  </r>
  <r>
    <x v="17"/>
    <x v="2"/>
    <x v="14"/>
    <n v="80"/>
    <n v="82"/>
    <n v="0.49399999999999999"/>
    <n v="23"/>
    <n v="815"/>
    <n v="904"/>
    <n v="-89"/>
  </r>
  <r>
    <x v="17"/>
    <x v="2"/>
    <x v="13"/>
    <n v="65"/>
    <n v="97"/>
    <n v="0.40100000000000002"/>
    <n v="38"/>
    <n v="755"/>
    <n v="902"/>
    <n v="-147"/>
  </r>
  <r>
    <x v="17"/>
    <x v="0"/>
    <x v="4"/>
    <n v="49"/>
    <n v="113"/>
    <n v="0.30199999999999999"/>
    <n v="62"/>
    <n v="774"/>
    <n v="1096"/>
    <n v="-322"/>
  </r>
  <r>
    <x v="17"/>
    <x v="1"/>
    <x v="9"/>
    <n v="41"/>
    <n v="121"/>
    <n v="0.253"/>
    <n v="74"/>
    <n v="648"/>
    <n v="1015"/>
    <n v="-367"/>
  </r>
  <r>
    <x v="17"/>
    <x v="3"/>
    <x v="17"/>
    <n v="96"/>
    <n v="66"/>
    <n v="0.59299999999999997"/>
    <n v="6"/>
    <n v="887"/>
    <n v="704"/>
    <n v="183"/>
  </r>
  <r>
    <x v="17"/>
    <x v="3"/>
    <x v="15"/>
    <n v="89"/>
    <n v="73"/>
    <n v="0.54900000000000004"/>
    <n v="13"/>
    <n v="821"/>
    <n v="780"/>
    <n v="41"/>
  </r>
  <r>
    <x v="17"/>
    <x v="3"/>
    <x v="16"/>
    <n v="87"/>
    <n v="75"/>
    <n v="0.53700000000000003"/>
    <n v="15"/>
    <n v="977"/>
    <n v="891"/>
    <n v="86"/>
  </r>
  <r>
    <x v="17"/>
    <x v="2"/>
    <x v="11"/>
    <n v="81"/>
    <n v="81"/>
    <n v="0.5"/>
    <n v="22"/>
    <n v="865"/>
    <n v="846"/>
    <n v="19"/>
  </r>
  <r>
    <x v="17"/>
    <x v="1"/>
    <x v="7"/>
    <n v="74"/>
    <n v="88"/>
    <n v="0.45700000000000002"/>
    <n v="41"/>
    <n v="1004"/>
    <n v="1075"/>
    <n v="-71"/>
  </r>
  <r>
    <x v="17"/>
    <x v="1"/>
    <x v="5"/>
    <n v="115"/>
    <n v="47"/>
    <n v="0.71"/>
    <n v="0"/>
    <n v="1041"/>
    <n v="741"/>
    <n v="300"/>
  </r>
  <r>
    <x v="17"/>
    <x v="0"/>
    <x v="0"/>
    <n v="111"/>
    <n v="51"/>
    <n v="0.68500000000000005"/>
    <n v="0"/>
    <n v="1058"/>
    <n v="739"/>
    <n v="319"/>
  </r>
  <r>
    <x v="18"/>
    <x v="2"/>
    <x v="14"/>
    <n v="62"/>
    <n v="100"/>
    <n v="0.38300000000000001"/>
    <n v="54"/>
    <n v="779"/>
    <n v="945"/>
    <n v="-166"/>
  </r>
  <r>
    <x v="18"/>
    <x v="0"/>
    <x v="3"/>
    <n v="60"/>
    <n v="102"/>
    <n v="0.37"/>
    <n v="56"/>
    <n v="875"/>
    <n v="1072"/>
    <n v="-197"/>
  </r>
  <r>
    <x v="18"/>
    <x v="2"/>
    <x v="12"/>
    <n v="70"/>
    <n v="92"/>
    <n v="0.432"/>
    <n v="46"/>
    <n v="755"/>
    <n v="874"/>
    <n v="-119"/>
  </r>
  <r>
    <x v="18"/>
    <x v="1"/>
    <x v="7"/>
    <n v="67"/>
    <n v="95"/>
    <n v="0.41399999999999998"/>
    <n v="50"/>
    <n v="1031"/>
    <n v="1226"/>
    <n v="-195"/>
  </r>
  <r>
    <x v="18"/>
    <x v="3"/>
    <x v="18"/>
    <n v="97"/>
    <n v="65"/>
    <n v="0.59899999999999998"/>
    <n v="0"/>
    <n v="930"/>
    <n v="845"/>
    <n v="85"/>
  </r>
  <r>
    <x v="18"/>
    <x v="1"/>
    <x v="6"/>
    <n v="80"/>
    <n v="82"/>
    <n v="0.49399999999999999"/>
    <n v="37"/>
    <n v="822"/>
    <n v="873"/>
    <n v="-51"/>
  </r>
  <r>
    <x v="18"/>
    <x v="2"/>
    <x v="13"/>
    <n v="69"/>
    <n v="93"/>
    <n v="0.42599999999999999"/>
    <n v="47"/>
    <n v="800"/>
    <n v="866"/>
    <n v="-66"/>
  </r>
  <r>
    <x v="18"/>
    <x v="1"/>
    <x v="8"/>
    <n v="65"/>
    <n v="97"/>
    <n v="0.40100000000000002"/>
    <n v="52"/>
    <n v="820"/>
    <n v="1010"/>
    <n v="-190"/>
  </r>
  <r>
    <x v="18"/>
    <x v="0"/>
    <x v="4"/>
    <n v="50"/>
    <n v="112"/>
    <n v="0.309"/>
    <n v="66"/>
    <n v="760"/>
    <n v="1149"/>
    <n v="-389"/>
  </r>
  <r>
    <x v="18"/>
    <x v="1"/>
    <x v="9"/>
    <n v="46"/>
    <n v="116"/>
    <n v="0.28399999999999997"/>
    <n v="71"/>
    <n v="620"/>
    <n v="959"/>
    <n v="-339"/>
  </r>
  <r>
    <x v="18"/>
    <x v="0"/>
    <x v="1"/>
    <n v="91"/>
    <n v="71"/>
    <n v="0.56200000000000006"/>
    <n v="25"/>
    <n v="974"/>
    <n v="845"/>
    <n v="129"/>
  </r>
  <r>
    <x v="18"/>
    <x v="2"/>
    <x v="11"/>
    <n v="91"/>
    <n v="71"/>
    <n v="0.56200000000000006"/>
    <n v="25"/>
    <n v="867"/>
    <n v="815"/>
    <n v="52"/>
  </r>
  <r>
    <x v="18"/>
    <x v="3"/>
    <x v="15"/>
    <n v="88"/>
    <n v="74"/>
    <n v="0.54300000000000004"/>
    <n v="9"/>
    <n v="957"/>
    <n v="824"/>
    <n v="133"/>
  </r>
  <r>
    <x v="18"/>
    <x v="3"/>
    <x v="17"/>
    <n v="87"/>
    <n v="75"/>
    <n v="0.53700000000000003"/>
    <n v="10"/>
    <n v="840"/>
    <n v="682"/>
    <n v="158"/>
  </r>
  <r>
    <x v="18"/>
    <x v="3"/>
    <x v="16"/>
    <n v="86"/>
    <n v="76"/>
    <n v="0.53100000000000003"/>
    <n v="11"/>
    <n v="856"/>
    <n v="795"/>
    <n v="61"/>
  </r>
  <r>
    <x v="18"/>
    <x v="0"/>
    <x v="2"/>
    <n v="82"/>
    <n v="80"/>
    <n v="0.50600000000000001"/>
    <n v="34"/>
    <n v="964"/>
    <n v="865"/>
    <n v="99"/>
  </r>
  <r>
    <x v="18"/>
    <x v="3"/>
    <x v="19"/>
    <n v="80"/>
    <n v="82"/>
    <n v="0.49399999999999999"/>
    <n v="17"/>
    <n v="821"/>
    <n v="858"/>
    <n v="-37"/>
  </r>
  <r>
    <x v="18"/>
    <x v="1"/>
    <x v="5"/>
    <n v="117"/>
    <n v="45"/>
    <n v="0.72199999999999998"/>
    <n v="0"/>
    <n v="983"/>
    <n v="637"/>
    <n v="346"/>
  </r>
  <r>
    <x v="18"/>
    <x v="0"/>
    <x v="0"/>
    <n v="116"/>
    <n v="46"/>
    <n v="0.71599999999999997"/>
    <n v="0"/>
    <n v="1141"/>
    <n v="762"/>
    <n v="379"/>
  </r>
  <r>
    <x v="18"/>
    <x v="2"/>
    <x v="10"/>
    <n v="116"/>
    <n v="46"/>
    <n v="0.71599999999999997"/>
    <n v="0"/>
    <n v="1015"/>
    <n v="708"/>
    <n v="307"/>
  </r>
  <r>
    <x v="19"/>
    <x v="3"/>
    <x v="15"/>
    <n v="88"/>
    <n v="74"/>
    <n v="0.54300000000000004"/>
    <n v="10"/>
    <n v="865"/>
    <n v="821"/>
    <n v="44"/>
  </r>
  <r>
    <x v="19"/>
    <x v="2"/>
    <x v="13"/>
    <n v="64"/>
    <n v="98"/>
    <n v="0.39500000000000002"/>
    <n v="47"/>
    <n v="783"/>
    <n v="893"/>
    <n v="-110"/>
  </r>
  <r>
    <x v="19"/>
    <x v="1"/>
    <x v="8"/>
    <n v="63"/>
    <n v="99"/>
    <n v="0.38900000000000001"/>
    <n v="39"/>
    <n v="776"/>
    <n v="944"/>
    <n v="-168"/>
  </r>
  <r>
    <x v="19"/>
    <x v="0"/>
    <x v="4"/>
    <n v="56"/>
    <n v="106"/>
    <n v="0.34599999999999997"/>
    <n v="52"/>
    <n v="818"/>
    <n v="1068"/>
    <n v="-250"/>
  </r>
  <r>
    <x v="19"/>
    <x v="3"/>
    <x v="16"/>
    <n v="98"/>
    <n v="64"/>
    <n v="0.60499999999999998"/>
    <n v="0"/>
    <n v="930"/>
    <n v="764"/>
    <n v="166"/>
  </r>
  <r>
    <x v="19"/>
    <x v="2"/>
    <x v="14"/>
    <n v="76"/>
    <n v="86"/>
    <n v="0.46899999999999997"/>
    <n v="35"/>
    <n v="830"/>
    <n v="899"/>
    <n v="-69"/>
  </r>
  <r>
    <x v="19"/>
    <x v="1"/>
    <x v="6"/>
    <n v="72"/>
    <n v="90"/>
    <n v="0.44400000000000001"/>
    <n v="30"/>
    <n v="773"/>
    <n v="893"/>
    <n v="-120"/>
  </r>
  <r>
    <x v="19"/>
    <x v="0"/>
    <x v="2"/>
    <n v="72"/>
    <n v="90"/>
    <n v="0.44400000000000001"/>
    <n v="36"/>
    <n v="872"/>
    <n v="957"/>
    <n v="-85"/>
  </r>
  <r>
    <x v="19"/>
    <x v="1"/>
    <x v="9"/>
    <n v="47"/>
    <n v="115"/>
    <n v="0.28999999999999998"/>
    <n v="55"/>
    <n v="670"/>
    <n v="1090"/>
    <n v="-420"/>
  </r>
  <r>
    <x v="19"/>
    <x v="1"/>
    <x v="5"/>
    <n v="102"/>
    <n v="60"/>
    <n v="0.63"/>
    <n v="0"/>
    <n v="864"/>
    <n v="609"/>
    <n v="255"/>
  </r>
  <r>
    <x v="19"/>
    <x v="3"/>
    <x v="17"/>
    <n v="96"/>
    <n v="66"/>
    <n v="0.59299999999999997"/>
    <n v="2"/>
    <n v="829"/>
    <n v="675"/>
    <n v="154"/>
  </r>
  <r>
    <x v="19"/>
    <x v="0"/>
    <x v="1"/>
    <n v="95"/>
    <n v="67"/>
    <n v="0.58599999999999997"/>
    <n v="13"/>
    <n v="946"/>
    <n v="822"/>
    <n v="124"/>
  </r>
  <r>
    <x v="19"/>
    <x v="3"/>
    <x v="18"/>
    <n v="91"/>
    <n v="71"/>
    <n v="0.56200000000000006"/>
    <n v="7"/>
    <n v="935"/>
    <n v="766"/>
    <n v="169"/>
  </r>
  <r>
    <x v="19"/>
    <x v="2"/>
    <x v="11"/>
    <n v="86"/>
    <n v="76"/>
    <n v="0.53100000000000003"/>
    <n v="25"/>
    <n v="830"/>
    <n v="783"/>
    <n v="47"/>
  </r>
  <r>
    <x v="19"/>
    <x v="0"/>
    <x v="3"/>
    <n v="78"/>
    <n v="84"/>
    <n v="0.48099999999999998"/>
    <n v="30"/>
    <n v="816"/>
    <n v="886"/>
    <n v="-70"/>
  </r>
  <r>
    <x v="19"/>
    <x v="3"/>
    <x v="19"/>
    <n v="76"/>
    <n v="86"/>
    <n v="0.46899999999999997"/>
    <n v="22"/>
    <n v="786"/>
    <n v="772"/>
    <n v="14"/>
  </r>
  <r>
    <x v="19"/>
    <x v="1"/>
    <x v="7"/>
    <n v="74"/>
    <n v="88"/>
    <n v="0.45700000000000002"/>
    <n v="28"/>
    <n v="1040"/>
    <n v="1103"/>
    <n v="-63"/>
  </r>
  <r>
    <x v="19"/>
    <x v="2"/>
    <x v="12"/>
    <n v="67"/>
    <n v="95"/>
    <n v="0.41399999999999998"/>
    <n v="44"/>
    <n v="686"/>
    <n v="865"/>
    <n v="-179"/>
  </r>
  <r>
    <x v="19"/>
    <x v="2"/>
    <x v="10"/>
    <n v="111"/>
    <n v="51"/>
    <n v="0.68500000000000005"/>
    <n v="0"/>
    <n v="973"/>
    <n v="662"/>
    <n v="311"/>
  </r>
  <r>
    <x v="19"/>
    <x v="0"/>
    <x v="0"/>
    <n v="108"/>
    <n v="54"/>
    <n v="0.66700000000000004"/>
    <n v="0"/>
    <n v="1047"/>
    <n v="797"/>
    <n v="250"/>
  </r>
  <r>
    <x v="20"/>
    <x v="0"/>
    <x v="1"/>
    <n v="95"/>
    <n v="67"/>
    <n v="0.58599999999999997"/>
    <n v="8"/>
    <n v="924"/>
    <n v="804"/>
    <n v="120"/>
  </r>
  <r>
    <x v="20"/>
    <x v="3"/>
    <x v="16"/>
    <n v="94"/>
    <n v="68"/>
    <n v="0.57999999999999996"/>
    <n v="4"/>
    <n v="1008"/>
    <n v="839"/>
    <n v="169"/>
  </r>
  <r>
    <x v="20"/>
    <x v="2"/>
    <x v="12"/>
    <n v="82"/>
    <n v="80"/>
    <n v="0.50600000000000001"/>
    <n v="6"/>
    <n v="772"/>
    <n v="879"/>
    <n v="-107"/>
  </r>
  <r>
    <x v="20"/>
    <x v="1"/>
    <x v="6"/>
    <n v="71"/>
    <n v="91"/>
    <n v="0.438"/>
    <n v="35"/>
    <n v="752"/>
    <n v="855"/>
    <n v="-103"/>
  </r>
  <r>
    <x v="20"/>
    <x v="1"/>
    <x v="8"/>
    <n v="53"/>
    <n v="109"/>
    <n v="0.32700000000000001"/>
    <n v="53"/>
    <n v="764"/>
    <n v="989"/>
    <n v="-225"/>
  </r>
  <r>
    <x v="20"/>
    <x v="0"/>
    <x v="4"/>
    <n v="60"/>
    <n v="102"/>
    <n v="0.37"/>
    <n v="43"/>
    <n v="877"/>
    <n v="1083"/>
    <n v="-206"/>
  </r>
  <r>
    <x v="20"/>
    <x v="0"/>
    <x v="0"/>
    <n v="103"/>
    <n v="59"/>
    <n v="0.63600000000000001"/>
    <n v="0"/>
    <n v="1032"/>
    <n v="805"/>
    <n v="227"/>
  </r>
  <r>
    <x v="20"/>
    <x v="3"/>
    <x v="18"/>
    <n v="98"/>
    <n v="64"/>
    <n v="0.60499999999999998"/>
    <n v="0"/>
    <n v="981"/>
    <n v="806"/>
    <n v="175"/>
  </r>
  <r>
    <x v="20"/>
    <x v="3"/>
    <x v="19"/>
    <n v="89"/>
    <n v="73"/>
    <n v="0.54900000000000004"/>
    <n v="9"/>
    <n v="889"/>
    <n v="847"/>
    <n v="42"/>
  </r>
  <r>
    <x v="20"/>
    <x v="0"/>
    <x v="3"/>
    <n v="68"/>
    <n v="94"/>
    <n v="0.42"/>
    <n v="35"/>
    <n v="809"/>
    <n v="991"/>
    <n v="-182"/>
  </r>
  <r>
    <x v="20"/>
    <x v="2"/>
    <x v="13"/>
    <n v="68"/>
    <n v="94"/>
    <n v="0.42"/>
    <n v="20"/>
    <n v="793"/>
    <n v="873"/>
    <n v="-80"/>
  </r>
  <r>
    <x v="20"/>
    <x v="1"/>
    <x v="9"/>
    <n v="43"/>
    <n v="119"/>
    <n v="0.26500000000000001"/>
    <n v="63"/>
    <n v="636"/>
    <n v="1087"/>
    <n v="-451"/>
  </r>
  <r>
    <x v="20"/>
    <x v="3"/>
    <x v="17"/>
    <n v="92"/>
    <n v="70"/>
    <n v="0.56799999999999995"/>
    <n v="6"/>
    <n v="869"/>
    <n v="714"/>
    <n v="155"/>
  </r>
  <r>
    <x v="20"/>
    <x v="0"/>
    <x v="2"/>
    <n v="90"/>
    <n v="72"/>
    <n v="0.55600000000000005"/>
    <n v="13"/>
    <n v="979"/>
    <n v="859"/>
    <n v="120"/>
  </r>
  <r>
    <x v="20"/>
    <x v="2"/>
    <x v="10"/>
    <n v="88"/>
    <n v="74"/>
    <n v="0.54300000000000004"/>
    <n v="0"/>
    <n v="927"/>
    <n v="782"/>
    <n v="145"/>
  </r>
  <r>
    <x v="20"/>
    <x v="3"/>
    <x v="15"/>
    <n v="84"/>
    <n v="78"/>
    <n v="0.51900000000000002"/>
    <n v="14"/>
    <n v="857"/>
    <n v="801"/>
    <n v="56"/>
  </r>
  <r>
    <x v="20"/>
    <x v="2"/>
    <x v="11"/>
    <n v="82"/>
    <n v="80"/>
    <n v="0.50600000000000001"/>
    <n v="6"/>
    <n v="822"/>
    <n v="806"/>
    <n v="16"/>
  </r>
  <r>
    <x v="20"/>
    <x v="1"/>
    <x v="7"/>
    <n v="81"/>
    <n v="81"/>
    <n v="0.5"/>
    <n v="25"/>
    <n v="1007"/>
    <n v="1090"/>
    <n v="-83"/>
  </r>
  <r>
    <x v="20"/>
    <x v="2"/>
    <x v="14"/>
    <n v="73"/>
    <n v="89"/>
    <n v="0.45100000000000001"/>
    <n v="15"/>
    <n v="786"/>
    <n v="846"/>
    <n v="-60"/>
  </r>
  <r>
    <x v="20"/>
    <x v="1"/>
    <x v="5"/>
    <n v="106"/>
    <n v="56"/>
    <n v="0.65400000000000003"/>
    <n v="0"/>
    <n v="913"/>
    <n v="641"/>
    <n v="272"/>
  </r>
  <r>
    <x v="21"/>
    <x v="0"/>
    <x v="0"/>
    <n v="117"/>
    <n v="45"/>
    <n v="0.72199999999999998"/>
    <n v="0"/>
    <n v="1117"/>
    <n v="736"/>
    <n v="381"/>
  </r>
  <r>
    <x v="21"/>
    <x v="0"/>
    <x v="1"/>
    <n v="95"/>
    <n v="67"/>
    <n v="0.58599999999999997"/>
    <n v="22"/>
    <n v="981"/>
    <n v="824"/>
    <n v="157"/>
  </r>
  <r>
    <x v="21"/>
    <x v="0"/>
    <x v="2"/>
    <n v="94"/>
    <n v="68"/>
    <n v="0.57999999999999996"/>
    <n v="23"/>
    <n v="955"/>
    <n v="850"/>
    <n v="105"/>
  </r>
  <r>
    <x v="21"/>
    <x v="0"/>
    <x v="3"/>
    <n v="64"/>
    <n v="98"/>
    <n v="0.39500000000000002"/>
    <n v="53"/>
    <n v="797"/>
    <n v="929"/>
    <n v="-132"/>
  </r>
  <r>
    <x v="21"/>
    <x v="0"/>
    <x v="4"/>
    <n v="54"/>
    <n v="108"/>
    <n v="0.33300000000000002"/>
    <n v="63"/>
    <n v="753"/>
    <n v="1035"/>
    <n v="-282"/>
  </r>
  <r>
    <x v="21"/>
    <x v="1"/>
    <x v="5"/>
    <n v="115"/>
    <n v="47"/>
    <n v="0.71"/>
    <n v="0"/>
    <n v="1000"/>
    <n v="641"/>
    <n v="359"/>
  </r>
  <r>
    <x v="21"/>
    <x v="1"/>
    <x v="7"/>
    <n v="79"/>
    <n v="83"/>
    <n v="0.48799999999999999"/>
    <n v="36"/>
    <n v="1073"/>
    <n v="1121"/>
    <n v="-48"/>
  </r>
  <r>
    <x v="21"/>
    <x v="1"/>
    <x v="6"/>
    <n v="71"/>
    <n v="91"/>
    <n v="0.438"/>
    <n v="44"/>
    <n v="788"/>
    <n v="834"/>
    <n v="-46"/>
  </r>
  <r>
    <x v="21"/>
    <x v="1"/>
    <x v="8"/>
    <n v="62"/>
    <n v="100"/>
    <n v="0.38300000000000001"/>
    <n v="53"/>
    <n v="820"/>
    <n v="1075"/>
    <n v="-255"/>
  </r>
  <r>
    <x v="21"/>
    <x v="1"/>
    <x v="9"/>
    <n v="44"/>
    <n v="118"/>
    <n v="0.27200000000000002"/>
    <n v="71"/>
    <n v="625"/>
    <n v="1115"/>
    <n v="-490"/>
  </r>
  <r>
    <x v="21"/>
    <x v="2"/>
    <x v="10"/>
    <n v="107"/>
    <n v="55"/>
    <n v="0.66"/>
    <n v="0"/>
    <n v="991"/>
    <n v="697"/>
    <n v="294"/>
  </r>
  <r>
    <x v="21"/>
    <x v="2"/>
    <x v="11"/>
    <n v="85"/>
    <n v="77"/>
    <n v="0.52500000000000002"/>
    <n v="22"/>
    <n v="808"/>
    <n v="773"/>
    <n v="35"/>
  </r>
  <r>
    <x v="21"/>
    <x v="2"/>
    <x v="13"/>
    <n v="72"/>
    <n v="90"/>
    <n v="0.44400000000000001"/>
    <n v="35"/>
    <n v="794"/>
    <n v="936"/>
    <n v="-142"/>
  </r>
  <r>
    <x v="21"/>
    <x v="2"/>
    <x v="12"/>
    <n v="68"/>
    <n v="94"/>
    <n v="0.42"/>
    <n v="39"/>
    <n v="773"/>
    <n v="906"/>
    <n v="-133"/>
  </r>
  <r>
    <x v="21"/>
    <x v="2"/>
    <x v="14"/>
    <n v="54"/>
    <n v="108"/>
    <n v="0.33300000000000002"/>
    <n v="53"/>
    <n v="734"/>
    <n v="967"/>
    <n v="-233"/>
  </r>
  <r>
    <x v="21"/>
    <x v="3"/>
    <x v="17"/>
    <n v="98"/>
    <n v="64"/>
    <n v="0.60499999999999998"/>
    <n v="0"/>
    <n v="876"/>
    <n v="669"/>
    <n v="207"/>
  </r>
  <r>
    <x v="21"/>
    <x v="3"/>
    <x v="18"/>
    <n v="96"/>
    <n v="66"/>
    <n v="0.59299999999999997"/>
    <n v="2"/>
    <n v="968"/>
    <n v="861"/>
    <n v="107"/>
  </r>
  <r>
    <x v="21"/>
    <x v="3"/>
    <x v="16"/>
    <n v="93"/>
    <n v="69"/>
    <n v="0.57399999999999995"/>
    <n v="5"/>
    <n v="1002"/>
    <n v="850"/>
    <n v="152"/>
  </r>
  <r>
    <x v="21"/>
    <x v="3"/>
    <x v="15"/>
    <n v="77"/>
    <n v="85"/>
    <n v="0.47499999999999998"/>
    <n v="21"/>
    <n v="826"/>
    <n v="811"/>
    <n v="15"/>
  </r>
  <r>
    <x v="21"/>
    <x v="3"/>
    <x v="19"/>
    <n v="75"/>
    <n v="87"/>
    <n v="0.46300000000000002"/>
    <n v="23"/>
    <n v="786"/>
    <n v="837"/>
    <n v="-51"/>
  </r>
  <r>
    <x v="22"/>
    <x v="0"/>
    <x v="0"/>
    <n v="124"/>
    <n v="38"/>
    <n v="0.76500000000000001"/>
    <n v="0"/>
    <n v="1055"/>
    <n v="683"/>
    <n v="372"/>
  </r>
  <r>
    <x v="22"/>
    <x v="0"/>
    <x v="1"/>
    <n v="95"/>
    <n v="67"/>
    <n v="0.58599999999999997"/>
    <n v="29"/>
    <n v="982"/>
    <n v="804"/>
    <n v="178"/>
  </r>
  <r>
    <x v="22"/>
    <x v="0"/>
    <x v="2"/>
    <n v="84"/>
    <n v="78"/>
    <n v="0.51900000000000002"/>
    <n v="40"/>
    <n v="994"/>
    <n v="901"/>
    <n v="93"/>
  </r>
  <r>
    <x v="22"/>
    <x v="0"/>
    <x v="3"/>
    <n v="74"/>
    <n v="88"/>
    <n v="0.45700000000000002"/>
    <n v="50"/>
    <n v="837"/>
    <n v="984"/>
    <n v="-147"/>
  </r>
  <r>
    <x v="22"/>
    <x v="0"/>
    <x v="4"/>
    <n v="63"/>
    <n v="99"/>
    <n v="0.38900000000000001"/>
    <n v="61"/>
    <n v="781"/>
    <n v="1061"/>
    <n v="-280"/>
  </r>
  <r>
    <x v="22"/>
    <x v="1"/>
    <x v="5"/>
    <n v="109"/>
    <n v="53"/>
    <n v="0.67300000000000004"/>
    <n v="0"/>
    <n v="961"/>
    <n v="718"/>
    <n v="243"/>
  </r>
  <r>
    <x v="22"/>
    <x v="1"/>
    <x v="7"/>
    <n v="72"/>
    <n v="90"/>
    <n v="0.44400000000000001"/>
    <n v="37"/>
    <n v="1069"/>
    <n v="1193"/>
    <n v="-124"/>
  </r>
  <r>
    <x v="22"/>
    <x v="1"/>
    <x v="6"/>
    <n v="71"/>
    <n v="91"/>
    <n v="0.438"/>
    <n v="38"/>
    <n v="753"/>
    <n v="917"/>
    <n v="-164"/>
  </r>
  <r>
    <x v="22"/>
    <x v="1"/>
    <x v="8"/>
    <n v="59"/>
    <n v="103"/>
    <n v="0.36399999999999999"/>
    <n v="50"/>
    <n v="866"/>
    <n v="1001"/>
    <n v="-135"/>
  </r>
  <r>
    <x v="22"/>
    <x v="1"/>
    <x v="9"/>
    <n v="40"/>
    <n v="122"/>
    <n v="0.247"/>
    <n v="69"/>
    <n v="599"/>
    <n v="1014"/>
    <n v="-415"/>
  </r>
  <r>
    <x v="22"/>
    <x v="2"/>
    <x v="10"/>
    <n v="100"/>
    <n v="62"/>
    <n v="0.61699999999999999"/>
    <n v="0"/>
    <n v="902"/>
    <n v="700"/>
    <n v="202"/>
  </r>
  <r>
    <x v="22"/>
    <x v="2"/>
    <x v="11"/>
    <n v="94"/>
    <n v="68"/>
    <n v="0.57999999999999996"/>
    <n v="6"/>
    <n v="801"/>
    <n v="743"/>
    <n v="58"/>
  </r>
  <r>
    <x v="22"/>
    <x v="2"/>
    <x v="13"/>
    <n v="72"/>
    <n v="90"/>
    <n v="0.44400000000000001"/>
    <n v="28"/>
    <n v="814"/>
    <n v="870"/>
    <n v="-56"/>
  </r>
  <r>
    <x v="22"/>
    <x v="2"/>
    <x v="12"/>
    <n v="69"/>
    <n v="93"/>
    <n v="0.42599999999999999"/>
    <n v="31"/>
    <n v="731"/>
    <n v="801"/>
    <n v="-70"/>
  </r>
  <r>
    <x v="22"/>
    <x v="2"/>
    <x v="14"/>
    <n v="63"/>
    <n v="99"/>
    <n v="0.38900000000000001"/>
    <n v="37"/>
    <n v="708"/>
    <n v="857"/>
    <n v="-149"/>
  </r>
  <r>
    <x v="22"/>
    <x v="3"/>
    <x v="18"/>
    <n v="95"/>
    <n v="67"/>
    <n v="0.58599999999999997"/>
    <n v="0"/>
    <n v="984"/>
    <n v="814"/>
    <n v="170"/>
  </r>
  <r>
    <x v="22"/>
    <x v="3"/>
    <x v="17"/>
    <n v="93"/>
    <n v="69"/>
    <n v="0.57399999999999995"/>
    <n v="2"/>
    <n v="807"/>
    <n v="672"/>
    <n v="135"/>
  </r>
  <r>
    <x v="22"/>
    <x v="3"/>
    <x v="15"/>
    <n v="93"/>
    <n v="69"/>
    <n v="0.57399999999999995"/>
    <n v="2"/>
    <n v="934"/>
    <n v="792"/>
    <n v="142"/>
  </r>
  <r>
    <x v="22"/>
    <x v="3"/>
    <x v="16"/>
    <n v="75"/>
    <n v="87"/>
    <n v="0.46300000000000002"/>
    <n v="20"/>
    <n v="925"/>
    <n v="941"/>
    <n v="-16"/>
  </r>
  <r>
    <x v="22"/>
    <x v="3"/>
    <x v="19"/>
    <n v="75"/>
    <n v="87"/>
    <n v="0.46300000000000002"/>
    <n v="20"/>
    <n v="836"/>
    <n v="873"/>
    <n v="-37"/>
  </r>
  <r>
    <x v="23"/>
    <x v="0"/>
    <x v="0"/>
    <n v="97"/>
    <n v="65"/>
    <n v="0.59899999999999998"/>
    <n v="0"/>
    <n v="983"/>
    <n v="741"/>
    <n v="242"/>
  </r>
  <r>
    <x v="23"/>
    <x v="0"/>
    <x v="1"/>
    <n v="96"/>
    <n v="66"/>
    <n v="0.59299999999999997"/>
    <n v="1"/>
    <n v="1003"/>
    <n v="777"/>
    <n v="226"/>
  </r>
  <r>
    <x v="23"/>
    <x v="0"/>
    <x v="2"/>
    <n v="87"/>
    <n v="75"/>
    <n v="0.53700000000000003"/>
    <n v="10"/>
    <n v="945"/>
    <n v="905"/>
    <n v="40"/>
  </r>
  <r>
    <x v="23"/>
    <x v="0"/>
    <x v="3"/>
    <n v="68"/>
    <n v="94"/>
    <n v="0.42"/>
    <n v="29"/>
    <n v="864"/>
    <n v="1084"/>
    <n v="-220"/>
  </r>
  <r>
    <x v="23"/>
    <x v="0"/>
    <x v="4"/>
    <n v="59"/>
    <n v="103"/>
    <n v="0.36399999999999999"/>
    <n v="38"/>
    <n v="748"/>
    <n v="1008"/>
    <n v="-260"/>
  </r>
  <r>
    <x v="23"/>
    <x v="1"/>
    <x v="5"/>
    <n v="126"/>
    <n v="36"/>
    <n v="0.77800000000000002"/>
    <n v="0"/>
    <n v="991"/>
    <n v="632"/>
    <n v="359"/>
  </r>
  <r>
    <x v="23"/>
    <x v="1"/>
    <x v="6"/>
    <n v="72"/>
    <n v="90"/>
    <n v="0.44400000000000001"/>
    <n v="54"/>
    <n v="822"/>
    <n v="839"/>
    <n v="-17"/>
  </r>
  <r>
    <x v="23"/>
    <x v="1"/>
    <x v="7"/>
    <n v="65"/>
    <n v="97"/>
    <n v="0.40100000000000002"/>
    <n v="61"/>
    <n v="926"/>
    <n v="1129"/>
    <n v="-203"/>
  </r>
  <r>
    <x v="23"/>
    <x v="1"/>
    <x v="8"/>
    <n v="61"/>
    <n v="101"/>
    <n v="0.377"/>
    <n v="65"/>
    <n v="800"/>
    <n v="1028"/>
    <n v="-228"/>
  </r>
  <r>
    <x v="23"/>
    <x v="1"/>
    <x v="9"/>
    <n v="39"/>
    <n v="123"/>
    <n v="0.24099999999999999"/>
    <n v="87"/>
    <n v="659"/>
    <n v="1132"/>
    <n v="-473"/>
  </r>
  <r>
    <x v="23"/>
    <x v="2"/>
    <x v="10"/>
    <n v="109"/>
    <n v="53"/>
    <n v="0.67300000000000004"/>
    <n v="0"/>
    <n v="980"/>
    <n v="694"/>
    <n v="286"/>
  </r>
  <r>
    <x v="23"/>
    <x v="2"/>
    <x v="11"/>
    <n v="82"/>
    <n v="80"/>
    <n v="0.50600000000000001"/>
    <n v="27"/>
    <n v="929"/>
    <n v="857"/>
    <n v="72"/>
  </r>
  <r>
    <x v="23"/>
    <x v="2"/>
    <x v="14"/>
    <n v="77"/>
    <n v="85"/>
    <n v="0.47499999999999998"/>
    <n v="32"/>
    <n v="779"/>
    <n v="835"/>
    <n v="-56"/>
  </r>
  <r>
    <x v="23"/>
    <x v="2"/>
    <x v="13"/>
    <n v="75"/>
    <n v="87"/>
    <n v="0.46300000000000002"/>
    <n v="34"/>
    <n v="862"/>
    <n v="891"/>
    <n v="-29"/>
  </r>
  <r>
    <x v="23"/>
    <x v="2"/>
    <x v="12"/>
    <n v="63"/>
    <n v="99"/>
    <n v="0.38900000000000001"/>
    <n v="46"/>
    <n v="672"/>
    <n v="859"/>
    <n v="-187"/>
  </r>
  <r>
    <x v="23"/>
    <x v="3"/>
    <x v="18"/>
    <n v="101"/>
    <n v="61"/>
    <n v="0.623"/>
    <n v="0"/>
    <n v="1054"/>
    <n v="843"/>
    <n v="211"/>
  </r>
  <r>
    <x v="23"/>
    <x v="3"/>
    <x v="17"/>
    <n v="95"/>
    <n v="67"/>
    <n v="0.58599999999999997"/>
    <n v="6"/>
    <n v="835"/>
    <n v="717"/>
    <n v="118"/>
  </r>
  <r>
    <x v="23"/>
    <x v="3"/>
    <x v="15"/>
    <n v="88"/>
    <n v="74"/>
    <n v="0.54300000000000004"/>
    <n v="13"/>
    <n v="868"/>
    <n v="785"/>
    <n v="83"/>
  </r>
  <r>
    <x v="23"/>
    <x v="3"/>
    <x v="16"/>
    <n v="83"/>
    <n v="79"/>
    <n v="0.51200000000000001"/>
    <n v="18"/>
    <n v="969"/>
    <n v="882"/>
    <n v="87"/>
  </r>
  <r>
    <x v="23"/>
    <x v="3"/>
    <x v="19"/>
    <n v="77"/>
    <n v="85"/>
    <n v="0.47499999999999998"/>
    <n v="24"/>
    <n v="832"/>
    <n v="883"/>
    <n v="-51"/>
  </r>
  <r>
    <x v="24"/>
    <x v="0"/>
    <x v="1"/>
    <n v="106"/>
    <n v="56"/>
    <n v="0.65400000000000003"/>
    <n v="0"/>
    <n v="983"/>
    <n v="740"/>
    <n v="243"/>
  </r>
  <r>
    <x v="24"/>
    <x v="0"/>
    <x v="0"/>
    <n v="104"/>
    <n v="58"/>
    <n v="0.64200000000000002"/>
    <n v="2"/>
    <n v="1031"/>
    <n v="804"/>
    <n v="227"/>
  </r>
  <r>
    <x v="24"/>
    <x v="0"/>
    <x v="2"/>
    <n v="90"/>
    <n v="72"/>
    <n v="0.55600000000000005"/>
    <n v="16"/>
    <n v="1009"/>
    <n v="923"/>
    <n v="86"/>
  </r>
  <r>
    <x v="24"/>
    <x v="0"/>
    <x v="3"/>
    <n v="76"/>
    <n v="86"/>
    <n v="0.46899999999999997"/>
    <n v="30"/>
    <n v="875"/>
    <n v="994"/>
    <n v="-119"/>
  </r>
  <r>
    <x v="24"/>
    <x v="0"/>
    <x v="4"/>
    <n v="64"/>
    <n v="98"/>
    <n v="0.39500000000000002"/>
    <n v="42"/>
    <n v="857"/>
    <n v="1084"/>
    <n v="-227"/>
  </r>
  <r>
    <x v="24"/>
    <x v="1"/>
    <x v="5"/>
    <n v="104"/>
    <n v="58"/>
    <n v="0.64200000000000002"/>
    <n v="0"/>
    <n v="926"/>
    <n v="672"/>
    <n v="254"/>
  </r>
  <r>
    <x v="24"/>
    <x v="1"/>
    <x v="6"/>
    <n v="77"/>
    <n v="85"/>
    <n v="0.47499999999999998"/>
    <n v="27"/>
    <n v="818"/>
    <n v="879"/>
    <n v="-61"/>
  </r>
  <r>
    <x v="24"/>
    <x v="1"/>
    <x v="7"/>
    <n v="69"/>
    <n v="93"/>
    <n v="0.42599999999999999"/>
    <n v="35"/>
    <n v="1009"/>
    <n v="1155"/>
    <n v="-146"/>
  </r>
  <r>
    <x v="24"/>
    <x v="1"/>
    <x v="8"/>
    <n v="63"/>
    <n v="99"/>
    <n v="0.38900000000000001"/>
    <n v="41"/>
    <n v="797"/>
    <n v="987"/>
    <n v="-190"/>
  </r>
  <r>
    <x v="24"/>
    <x v="1"/>
    <x v="9"/>
    <n v="39"/>
    <n v="123"/>
    <n v="0.24099999999999999"/>
    <n v="65"/>
    <n v="624"/>
    <n v="1039"/>
    <n v="-415"/>
  </r>
  <r>
    <x v="24"/>
    <x v="2"/>
    <x v="10"/>
    <n v="112"/>
    <n v="50"/>
    <n v="0.69099999999999995"/>
    <n v="0"/>
    <n v="1001"/>
    <n v="681"/>
    <n v="320"/>
  </r>
  <r>
    <x v="24"/>
    <x v="2"/>
    <x v="11"/>
    <n v="94"/>
    <n v="68"/>
    <n v="0.57999999999999996"/>
    <n v="18"/>
    <n v="885"/>
    <n v="788"/>
    <n v="97"/>
  </r>
  <r>
    <x v="24"/>
    <x v="2"/>
    <x v="12"/>
    <n v="71"/>
    <n v="91"/>
    <n v="0.438"/>
    <n v="41"/>
    <n v="796"/>
    <n v="902"/>
    <n v="-106"/>
  </r>
  <r>
    <x v="24"/>
    <x v="2"/>
    <x v="13"/>
    <n v="66"/>
    <n v="96"/>
    <n v="0.40699999999999997"/>
    <n v="46"/>
    <n v="754"/>
    <n v="866"/>
    <n v="-112"/>
  </r>
  <r>
    <x v="24"/>
    <x v="2"/>
    <x v="14"/>
    <n v="58"/>
    <n v="104"/>
    <n v="0.35799999999999998"/>
    <n v="54"/>
    <n v="738"/>
    <n v="907"/>
    <n v="-169"/>
  </r>
  <r>
    <x v="24"/>
    <x v="3"/>
    <x v="18"/>
    <n v="98"/>
    <n v="64"/>
    <n v="0.60499999999999998"/>
    <n v="0"/>
    <n v="1001"/>
    <n v="880"/>
    <n v="121"/>
  </r>
  <r>
    <x v="24"/>
    <x v="3"/>
    <x v="17"/>
    <n v="92"/>
    <n v="70"/>
    <n v="0.56799999999999995"/>
    <n v="6"/>
    <n v="823"/>
    <n v="704"/>
    <n v="119"/>
  </r>
  <r>
    <x v="24"/>
    <x v="3"/>
    <x v="16"/>
    <n v="82"/>
    <n v="80"/>
    <n v="0.50600000000000001"/>
    <n v="16"/>
    <n v="954"/>
    <n v="876"/>
    <n v="78"/>
  </r>
  <r>
    <x v="24"/>
    <x v="3"/>
    <x v="19"/>
    <n v="79"/>
    <n v="83"/>
    <n v="0.48799999999999999"/>
    <n v="19"/>
    <n v="842"/>
    <n v="843"/>
    <n v="-1"/>
  </r>
  <r>
    <x v="24"/>
    <x v="3"/>
    <x v="15"/>
    <n v="76"/>
    <n v="86"/>
    <n v="0.46899999999999997"/>
    <n v="22"/>
    <n v="822"/>
    <n v="821"/>
    <n v="1"/>
  </r>
  <r>
    <x v="25"/>
    <x v="0"/>
    <x v="0"/>
    <n v="104"/>
    <n v="58"/>
    <n v="0.64200000000000002"/>
    <n v="0"/>
    <n v="941"/>
    <n v="746"/>
    <n v="195"/>
  </r>
  <r>
    <x v="25"/>
    <x v="0"/>
    <x v="1"/>
    <n v="95"/>
    <n v="67"/>
    <n v="0.58599999999999997"/>
    <n v="9"/>
    <n v="891"/>
    <n v="797"/>
    <n v="94"/>
  </r>
  <r>
    <x v="25"/>
    <x v="0"/>
    <x v="2"/>
    <n v="91"/>
    <n v="71"/>
    <n v="0.56200000000000006"/>
    <n v="13"/>
    <n v="973"/>
    <n v="885"/>
    <n v="88"/>
  </r>
  <r>
    <x v="25"/>
    <x v="0"/>
    <x v="3"/>
    <n v="65"/>
    <n v="97"/>
    <n v="0.40100000000000002"/>
    <n v="39"/>
    <n v="781"/>
    <n v="980"/>
    <n v="-199"/>
  </r>
  <r>
    <x v="25"/>
    <x v="0"/>
    <x v="4"/>
    <n v="56"/>
    <n v="106"/>
    <n v="0.34599999999999997"/>
    <n v="48"/>
    <n v="764"/>
    <n v="1052"/>
    <n v="-288"/>
  </r>
  <r>
    <x v="25"/>
    <x v="1"/>
    <x v="5"/>
    <n v="109"/>
    <n v="53"/>
    <n v="0.67300000000000004"/>
    <n v="0"/>
    <n v="993"/>
    <n v="681"/>
    <n v="312"/>
  </r>
  <r>
    <x v="25"/>
    <x v="1"/>
    <x v="7"/>
    <n v="74"/>
    <n v="88"/>
    <n v="0.45700000000000002"/>
    <n v="35"/>
    <n v="990"/>
    <n v="1090"/>
    <n v="-100"/>
  </r>
  <r>
    <x v="25"/>
    <x v="1"/>
    <x v="8"/>
    <n v="66"/>
    <n v="96"/>
    <n v="0.40699999999999997"/>
    <n v="43"/>
    <n v="816"/>
    <n v="950"/>
    <n v="-134"/>
  </r>
  <r>
    <x v="25"/>
    <x v="1"/>
    <x v="6"/>
    <n v="66"/>
    <n v="96"/>
    <n v="0.40699999999999997"/>
    <n v="43"/>
    <n v="751"/>
    <n v="898"/>
    <n v="-147"/>
  </r>
  <r>
    <x v="25"/>
    <x v="1"/>
    <x v="9"/>
    <n v="53"/>
    <n v="109"/>
    <n v="0.32700000000000001"/>
    <n v="56"/>
    <n v="666"/>
    <n v="993"/>
    <n v="-327"/>
  </r>
  <r>
    <x v="25"/>
    <x v="2"/>
    <x v="10"/>
    <n v="103"/>
    <n v="59"/>
    <n v="0.63600000000000001"/>
    <n v="0"/>
    <n v="955"/>
    <n v="720"/>
    <n v="235"/>
  </r>
  <r>
    <x v="25"/>
    <x v="2"/>
    <x v="11"/>
    <n v="84"/>
    <n v="78"/>
    <n v="0.51900000000000002"/>
    <n v="19"/>
    <n v="792"/>
    <n v="766"/>
    <n v="26"/>
  </r>
  <r>
    <x v="25"/>
    <x v="2"/>
    <x v="12"/>
    <n v="79"/>
    <n v="83"/>
    <n v="0.48799999999999999"/>
    <n v="24"/>
    <n v="755"/>
    <n v="817"/>
    <n v="-62"/>
  </r>
  <r>
    <x v="25"/>
    <x v="2"/>
    <x v="13"/>
    <n v="64"/>
    <n v="98"/>
    <n v="0.39500000000000002"/>
    <n v="39"/>
    <n v="746"/>
    <n v="850"/>
    <n v="-104"/>
  </r>
  <r>
    <x v="25"/>
    <x v="2"/>
    <x v="14"/>
    <n v="60"/>
    <n v="102"/>
    <n v="0.37"/>
    <n v="43"/>
    <n v="755"/>
    <n v="894"/>
    <n v="-139"/>
  </r>
  <r>
    <x v="25"/>
    <x v="3"/>
    <x v="17"/>
    <n v="107"/>
    <n v="55"/>
    <n v="0.66"/>
    <n v="0"/>
    <n v="862"/>
    <n v="612"/>
    <n v="250"/>
  </r>
  <r>
    <x v="25"/>
    <x v="3"/>
    <x v="16"/>
    <n v="94"/>
    <n v="68"/>
    <n v="0.57999999999999996"/>
    <n v="13"/>
    <n v="955"/>
    <n v="830"/>
    <n v="125"/>
  </r>
  <r>
    <x v="25"/>
    <x v="3"/>
    <x v="15"/>
    <n v="89"/>
    <n v="73"/>
    <n v="0.54900000000000004"/>
    <n v="18"/>
    <n v="836"/>
    <n v="736"/>
    <n v="100"/>
  </r>
  <r>
    <x v="25"/>
    <x v="3"/>
    <x v="18"/>
    <n v="87"/>
    <n v="75"/>
    <n v="0.53700000000000003"/>
    <n v="20"/>
    <n v="970"/>
    <n v="816"/>
    <n v="154"/>
  </r>
  <r>
    <x v="25"/>
    <x v="3"/>
    <x v="19"/>
    <n v="74"/>
    <n v="88"/>
    <n v="0.45700000000000002"/>
    <n v="33"/>
    <n v="827"/>
    <n v="906"/>
    <n v="-79"/>
  </r>
  <r>
    <x v="26"/>
    <x v="0"/>
    <x v="0"/>
    <n v="105"/>
    <n v="57"/>
    <n v="0.64800000000000002"/>
    <n v="0"/>
    <n v="1126"/>
    <n v="818"/>
    <n v="308"/>
  </r>
  <r>
    <x v="26"/>
    <x v="0"/>
    <x v="1"/>
    <n v="98"/>
    <n v="64"/>
    <n v="0.60499999999999998"/>
    <n v="7"/>
    <n v="960"/>
    <n v="791"/>
    <n v="169"/>
  </r>
  <r>
    <x v="26"/>
    <x v="0"/>
    <x v="2"/>
    <n v="93"/>
    <n v="69"/>
    <n v="0.57399999999999995"/>
    <n v="12"/>
    <n v="981"/>
    <n v="928"/>
    <n v="53"/>
  </r>
  <r>
    <x v="26"/>
    <x v="0"/>
    <x v="3"/>
    <n v="66"/>
    <n v="96"/>
    <n v="0.40699999999999997"/>
    <n v="39"/>
    <n v="879"/>
    <n v="1042"/>
    <n v="-163"/>
  </r>
  <r>
    <x v="26"/>
    <x v="0"/>
    <x v="4"/>
    <n v="56"/>
    <n v="106"/>
    <n v="0.34599999999999997"/>
    <n v="49"/>
    <n v="828"/>
    <n v="1102"/>
    <n v="-274"/>
  </r>
  <r>
    <x v="26"/>
    <x v="1"/>
    <x v="5"/>
    <n v="107"/>
    <n v="55"/>
    <n v="0.66"/>
    <n v="0"/>
    <n v="996"/>
    <n v="728"/>
    <n v="268"/>
  </r>
  <r>
    <x v="26"/>
    <x v="1"/>
    <x v="7"/>
    <n v="67"/>
    <n v="95"/>
    <n v="0.41399999999999998"/>
    <n v="40"/>
    <n v="1021"/>
    <n v="1197"/>
    <n v="-176"/>
  </r>
  <r>
    <x v="26"/>
    <x v="1"/>
    <x v="6"/>
    <n v="66"/>
    <n v="96"/>
    <n v="0.40699999999999997"/>
    <n v="41"/>
    <n v="722"/>
    <n v="832"/>
    <n v="-110"/>
  </r>
  <r>
    <x v="26"/>
    <x v="1"/>
    <x v="8"/>
    <n v="58"/>
    <n v="104"/>
    <n v="0.35799999999999998"/>
    <n v="49"/>
    <n v="787"/>
    <n v="935"/>
    <n v="-148"/>
  </r>
  <r>
    <x v="26"/>
    <x v="1"/>
    <x v="9"/>
    <n v="49"/>
    <n v="113"/>
    <n v="0.30199999999999999"/>
    <n v="58"/>
    <n v="699"/>
    <n v="1082"/>
    <n v="-383"/>
  </r>
  <r>
    <x v="26"/>
    <x v="2"/>
    <x v="10"/>
    <n v="107"/>
    <n v="55"/>
    <n v="0.66"/>
    <n v="0"/>
    <n v="977"/>
    <n v="714"/>
    <n v="263"/>
  </r>
  <r>
    <x v="26"/>
    <x v="2"/>
    <x v="13"/>
    <n v="82"/>
    <n v="80"/>
    <n v="0.50600000000000001"/>
    <n v="25"/>
    <n v="823"/>
    <n v="862"/>
    <n v="-39"/>
  </r>
  <r>
    <x v="26"/>
    <x v="2"/>
    <x v="11"/>
    <n v="82"/>
    <n v="80"/>
    <n v="0.50600000000000001"/>
    <n v="25"/>
    <n v="848"/>
    <n v="813"/>
    <n v="35"/>
  </r>
  <r>
    <x v="26"/>
    <x v="2"/>
    <x v="14"/>
    <n v="76"/>
    <n v="86"/>
    <n v="0.46899999999999997"/>
    <n v="31"/>
    <n v="798"/>
    <n v="902"/>
    <n v="-104"/>
  </r>
  <r>
    <x v="26"/>
    <x v="2"/>
    <x v="12"/>
    <n v="68"/>
    <n v="94"/>
    <n v="0.42"/>
    <n v="39"/>
    <n v="750"/>
    <n v="849"/>
    <n v="-99"/>
  </r>
  <r>
    <x v="26"/>
    <x v="3"/>
    <x v="16"/>
    <n v="100"/>
    <n v="62"/>
    <n v="0.61699999999999999"/>
    <n v="0"/>
    <n v="986"/>
    <n v="823"/>
    <n v="163"/>
  </r>
  <r>
    <x v="26"/>
    <x v="3"/>
    <x v="18"/>
    <n v="93"/>
    <n v="69"/>
    <n v="0.57399999999999995"/>
    <n v="7"/>
    <n v="968"/>
    <n v="858"/>
    <n v="110"/>
  </r>
  <r>
    <x v="26"/>
    <x v="3"/>
    <x v="17"/>
    <n v="85"/>
    <n v="77"/>
    <n v="0.52500000000000002"/>
    <n v="15"/>
    <n v="811"/>
    <n v="719"/>
    <n v="92"/>
  </r>
  <r>
    <x v="26"/>
    <x v="3"/>
    <x v="15"/>
    <n v="81"/>
    <n v="81"/>
    <n v="0.5"/>
    <n v="19"/>
    <n v="852"/>
    <n v="793"/>
    <n v="59"/>
  </r>
  <r>
    <x v="26"/>
    <x v="3"/>
    <x v="19"/>
    <n v="81"/>
    <n v="81"/>
    <n v="0.5"/>
    <n v="19"/>
    <n v="813"/>
    <n v="837"/>
    <n v="-24"/>
  </r>
  <r>
    <x v="27"/>
    <x v="0"/>
    <x v="0"/>
    <n v="113"/>
    <n v="49"/>
    <n v="0.69799999999999995"/>
    <n v="0"/>
    <n v="1065"/>
    <n v="726"/>
    <n v="339"/>
  </r>
  <r>
    <x v="27"/>
    <x v="0"/>
    <x v="1"/>
    <n v="103"/>
    <n v="59"/>
    <n v="0.63600000000000001"/>
    <n v="10"/>
    <n v="1034"/>
    <n v="817"/>
    <n v="217"/>
  </r>
  <r>
    <x v="27"/>
    <x v="0"/>
    <x v="2"/>
    <n v="80"/>
    <n v="82"/>
    <n v="0.49399999999999999"/>
    <n v="33"/>
    <n v="908"/>
    <n v="876"/>
    <n v="32"/>
  </r>
  <r>
    <x v="27"/>
    <x v="0"/>
    <x v="3"/>
    <n v="67"/>
    <n v="95"/>
    <n v="0.41399999999999998"/>
    <n v="46"/>
    <n v="812"/>
    <n v="1025"/>
    <n v="-213"/>
  </r>
  <r>
    <x v="27"/>
    <x v="0"/>
    <x v="4"/>
    <n v="50"/>
    <n v="112"/>
    <n v="0.309"/>
    <n v="63"/>
    <n v="814"/>
    <n v="1060"/>
    <n v="-246"/>
  </r>
  <r>
    <x v="27"/>
    <x v="1"/>
    <x v="5"/>
    <n v="114"/>
    <n v="48"/>
    <n v="0.70399999999999996"/>
    <n v="0"/>
    <n v="1015"/>
    <n v="638"/>
    <n v="377"/>
  </r>
  <r>
    <x v="27"/>
    <x v="1"/>
    <x v="7"/>
    <n v="77"/>
    <n v="85"/>
    <n v="0.47499999999999998"/>
    <n v="37"/>
    <n v="1040"/>
    <n v="1108"/>
    <n v="-68"/>
  </r>
  <r>
    <x v="27"/>
    <x v="1"/>
    <x v="8"/>
    <n v="69"/>
    <n v="93"/>
    <n v="0.42599999999999999"/>
    <n v="45"/>
    <n v="809"/>
    <n v="968"/>
    <n v="-159"/>
  </r>
  <r>
    <x v="27"/>
    <x v="1"/>
    <x v="6"/>
    <n v="68"/>
    <n v="94"/>
    <n v="0.42"/>
    <n v="46"/>
    <n v="777"/>
    <n v="834"/>
    <n v="-57"/>
  </r>
  <r>
    <x v="27"/>
    <x v="1"/>
    <x v="9"/>
    <n v="47"/>
    <n v="115"/>
    <n v="0.28999999999999998"/>
    <n v="67"/>
    <n v="648"/>
    <n v="1050"/>
    <n v="-402"/>
  </r>
  <r>
    <x v="27"/>
    <x v="2"/>
    <x v="10"/>
    <n v="108"/>
    <n v="54"/>
    <n v="0.66700000000000004"/>
    <n v="0"/>
    <n v="968"/>
    <n v="723"/>
    <n v="245"/>
  </r>
  <r>
    <x v="27"/>
    <x v="2"/>
    <x v="11"/>
    <n v="83"/>
    <n v="79"/>
    <n v="0.51200000000000001"/>
    <n v="25"/>
    <n v="858"/>
    <n v="852"/>
    <n v="6"/>
  </r>
  <r>
    <x v="27"/>
    <x v="2"/>
    <x v="13"/>
    <n v="81"/>
    <n v="81"/>
    <n v="0.5"/>
    <n v="27"/>
    <n v="775"/>
    <n v="833"/>
    <n v="-58"/>
  </r>
  <r>
    <x v="27"/>
    <x v="2"/>
    <x v="12"/>
    <n v="72"/>
    <n v="90"/>
    <n v="0.44400000000000001"/>
    <n v="36"/>
    <n v="799"/>
    <n v="935"/>
    <n v="-136"/>
  </r>
  <r>
    <x v="27"/>
    <x v="2"/>
    <x v="14"/>
    <n v="49"/>
    <n v="113"/>
    <n v="0.30199999999999999"/>
    <n v="59"/>
    <n v="761"/>
    <n v="1107"/>
    <n v="-346"/>
  </r>
  <r>
    <x v="27"/>
    <x v="3"/>
    <x v="17"/>
    <n v="107"/>
    <n v="55"/>
    <n v="0.66"/>
    <n v="0"/>
    <n v="950"/>
    <n v="702"/>
    <n v="248"/>
  </r>
  <r>
    <x v="27"/>
    <x v="3"/>
    <x v="16"/>
    <n v="91"/>
    <n v="71"/>
    <n v="0.56200000000000006"/>
    <n v="16"/>
    <n v="1002"/>
    <n v="915"/>
    <n v="87"/>
  </r>
  <r>
    <x v="27"/>
    <x v="3"/>
    <x v="15"/>
    <n v="86"/>
    <n v="76"/>
    <n v="0.53100000000000003"/>
    <n v="21"/>
    <n v="886"/>
    <n v="768"/>
    <n v="118"/>
  </r>
  <r>
    <x v="27"/>
    <x v="3"/>
    <x v="18"/>
    <n v="84"/>
    <n v="78"/>
    <n v="0.51900000000000002"/>
    <n v="23"/>
    <n v="935"/>
    <n v="851"/>
    <n v="84"/>
  </r>
  <r>
    <x v="27"/>
    <x v="3"/>
    <x v="19"/>
    <n v="71"/>
    <n v="91"/>
    <n v="0.438"/>
    <n v="36"/>
    <n v="842"/>
    <n v="910"/>
    <n v="-68"/>
  </r>
  <r>
    <x v="28"/>
    <x v="0"/>
    <x v="0"/>
    <n v="114"/>
    <n v="48"/>
    <n v="0.70399999999999996"/>
    <n v="0"/>
    <n v="1100"/>
    <n v="727"/>
    <n v="373"/>
  </r>
  <r>
    <x v="28"/>
    <x v="0"/>
    <x v="1"/>
    <n v="95"/>
    <n v="67"/>
    <n v="0.58599999999999997"/>
    <n v="19"/>
    <n v="959"/>
    <n v="820"/>
    <n v="139"/>
  </r>
  <r>
    <x v="28"/>
    <x v="0"/>
    <x v="2"/>
    <n v="91"/>
    <n v="71"/>
    <n v="0.56200000000000006"/>
    <n v="23"/>
    <n v="949"/>
    <n v="896"/>
    <n v="53"/>
  </r>
  <r>
    <x v="28"/>
    <x v="0"/>
    <x v="3"/>
    <n v="59"/>
    <n v="103"/>
    <n v="0.36399999999999999"/>
    <n v="55"/>
    <n v="805"/>
    <n v="1028"/>
    <n v="-223"/>
  </r>
  <r>
    <x v="28"/>
    <x v="0"/>
    <x v="4"/>
    <n v="57"/>
    <n v="105"/>
    <n v="0.35199999999999998"/>
    <n v="57"/>
    <n v="802"/>
    <n v="1114"/>
    <n v="-312"/>
  </r>
  <r>
    <x v="28"/>
    <x v="1"/>
    <x v="5"/>
    <n v="119"/>
    <n v="43"/>
    <n v="0.73499999999999999"/>
    <n v="0"/>
    <n v="1030"/>
    <n v="642"/>
    <n v="388"/>
  </r>
  <r>
    <x v="28"/>
    <x v="1"/>
    <x v="7"/>
    <n v="79"/>
    <n v="83"/>
    <n v="0.48799999999999999"/>
    <n v="40"/>
    <n v="1065"/>
    <n v="1094"/>
    <n v="-29"/>
  </r>
  <r>
    <x v="28"/>
    <x v="1"/>
    <x v="8"/>
    <n v="71"/>
    <n v="91"/>
    <n v="0.438"/>
    <n v="48"/>
    <n v="872"/>
    <n v="934"/>
    <n v="-62"/>
  </r>
  <r>
    <x v="28"/>
    <x v="1"/>
    <x v="6"/>
    <n v="69"/>
    <n v="93"/>
    <n v="0.42599999999999999"/>
    <n v="50"/>
    <n v="815"/>
    <n v="968"/>
    <n v="-153"/>
  </r>
  <r>
    <x v="28"/>
    <x v="1"/>
    <x v="9"/>
    <n v="47"/>
    <n v="115"/>
    <n v="0.28999999999999998"/>
    <n v="72"/>
    <n v="693"/>
    <n v="972"/>
    <n v="-279"/>
  </r>
  <r>
    <x v="28"/>
    <x v="2"/>
    <x v="10"/>
    <n v="99"/>
    <n v="63"/>
    <n v="0.61099999999999999"/>
    <n v="0"/>
    <n v="960"/>
    <n v="748"/>
    <n v="212"/>
  </r>
  <r>
    <x v="28"/>
    <x v="2"/>
    <x v="11"/>
    <n v="85"/>
    <n v="77"/>
    <n v="0.52500000000000002"/>
    <n v="14"/>
    <n v="860"/>
    <n v="840"/>
    <n v="20"/>
  </r>
  <r>
    <x v="28"/>
    <x v="2"/>
    <x v="13"/>
    <n v="75"/>
    <n v="87"/>
    <n v="0.46300000000000002"/>
    <n v="24"/>
    <n v="821"/>
    <n v="868"/>
    <n v="-47"/>
  </r>
  <r>
    <x v="28"/>
    <x v="2"/>
    <x v="12"/>
    <n v="68"/>
    <n v="94"/>
    <n v="0.42"/>
    <n v="31"/>
    <n v="762"/>
    <n v="886"/>
    <n v="-124"/>
  </r>
  <r>
    <x v="28"/>
    <x v="2"/>
    <x v="14"/>
    <n v="61"/>
    <n v="101"/>
    <n v="0.377"/>
    <n v="38"/>
    <n v="793"/>
    <n v="1032"/>
    <n v="-239"/>
  </r>
  <r>
    <x v="28"/>
    <x v="3"/>
    <x v="16"/>
    <n v="95"/>
    <n v="67"/>
    <n v="0.58599999999999997"/>
    <n v="0"/>
    <n v="978"/>
    <n v="878"/>
    <n v="100"/>
  </r>
  <r>
    <x v="28"/>
    <x v="3"/>
    <x v="17"/>
    <n v="89"/>
    <n v="73"/>
    <n v="0.54900000000000004"/>
    <n v="6"/>
    <n v="875"/>
    <n v="765"/>
    <n v="110"/>
  </r>
  <r>
    <x v="28"/>
    <x v="3"/>
    <x v="15"/>
    <n v="84"/>
    <n v="78"/>
    <n v="0.51900000000000002"/>
    <n v="11"/>
    <n v="837"/>
    <n v="827"/>
    <n v="10"/>
  </r>
  <r>
    <x v="28"/>
    <x v="3"/>
    <x v="18"/>
    <n v="83"/>
    <n v="79"/>
    <n v="0.51200000000000001"/>
    <n v="12"/>
    <n v="1008"/>
    <n v="946"/>
    <n v="62"/>
  </r>
  <r>
    <x v="28"/>
    <x v="3"/>
    <x v="19"/>
    <n v="80"/>
    <n v="82"/>
    <n v="0.49399999999999999"/>
    <n v="15"/>
    <n v="902"/>
    <n v="901"/>
    <n v="1"/>
  </r>
  <r>
    <x v="29"/>
    <x v="0"/>
    <x v="1"/>
    <n v="107"/>
    <n v="55"/>
    <n v="0.66"/>
    <n v="0"/>
    <n v="1036"/>
    <n v="800"/>
    <n v="236"/>
  </r>
  <r>
    <x v="29"/>
    <x v="0"/>
    <x v="0"/>
    <n v="106"/>
    <n v="56"/>
    <n v="0.65400000000000003"/>
    <n v="1"/>
    <n v="1139"/>
    <n v="806"/>
    <n v="333"/>
  </r>
  <r>
    <x v="29"/>
    <x v="0"/>
    <x v="2"/>
    <n v="77"/>
    <n v="85"/>
    <n v="0.47499999999999998"/>
    <n v="30"/>
    <n v="956"/>
    <n v="914"/>
    <n v="42"/>
  </r>
  <r>
    <x v="29"/>
    <x v="0"/>
    <x v="3"/>
    <n v="66"/>
    <n v="96"/>
    <n v="0.40699999999999997"/>
    <n v="41"/>
    <n v="834"/>
    <n v="976"/>
    <n v="-142"/>
  </r>
  <r>
    <x v="29"/>
    <x v="0"/>
    <x v="4"/>
    <n v="47"/>
    <n v="115"/>
    <n v="0.28999999999999998"/>
    <n v="60"/>
    <n v="786"/>
    <n v="1195"/>
    <n v="-409"/>
  </r>
  <r>
    <x v="29"/>
    <x v="1"/>
    <x v="5"/>
    <n v="106"/>
    <n v="56"/>
    <n v="0.65400000000000003"/>
    <n v="0"/>
    <n v="1043"/>
    <n v="741"/>
    <n v="302"/>
  </r>
  <r>
    <x v="29"/>
    <x v="1"/>
    <x v="6"/>
    <n v="77"/>
    <n v="85"/>
    <n v="0.47499999999999998"/>
    <n v="29"/>
    <n v="764"/>
    <n v="873"/>
    <n v="-109"/>
  </r>
  <r>
    <x v="29"/>
    <x v="1"/>
    <x v="7"/>
    <n v="69"/>
    <n v="93"/>
    <n v="0.42599999999999999"/>
    <n v="37"/>
    <n v="1024"/>
    <n v="1196"/>
    <n v="-172"/>
  </r>
  <r>
    <x v="29"/>
    <x v="1"/>
    <x v="9"/>
    <n v="61"/>
    <n v="101"/>
    <n v="0.377"/>
    <n v="45"/>
    <n v="688"/>
    <n v="962"/>
    <n v="-274"/>
  </r>
  <r>
    <x v="29"/>
    <x v="1"/>
    <x v="8"/>
    <n v="54"/>
    <n v="108"/>
    <n v="0.33300000000000002"/>
    <n v="52"/>
    <n v="818"/>
    <n v="1081"/>
    <n v="-263"/>
  </r>
  <r>
    <x v="29"/>
    <x v="2"/>
    <x v="10"/>
    <n v="115"/>
    <n v="47"/>
    <n v="0.71"/>
    <n v="0"/>
    <n v="1009"/>
    <n v="642"/>
    <n v="367"/>
  </r>
  <r>
    <x v="29"/>
    <x v="2"/>
    <x v="11"/>
    <n v="96"/>
    <n v="66"/>
    <n v="0.59299999999999997"/>
    <n v="19"/>
    <n v="886"/>
    <n v="856"/>
    <n v="30"/>
  </r>
  <r>
    <x v="29"/>
    <x v="2"/>
    <x v="13"/>
    <n v="77"/>
    <n v="85"/>
    <n v="0.47499999999999998"/>
    <n v="38"/>
    <n v="820"/>
    <n v="839"/>
    <n v="-19"/>
  </r>
  <r>
    <x v="29"/>
    <x v="2"/>
    <x v="12"/>
    <n v="61"/>
    <n v="101"/>
    <n v="0.377"/>
    <n v="54"/>
    <n v="734"/>
    <n v="857"/>
    <n v="-123"/>
  </r>
  <r>
    <x v="29"/>
    <x v="2"/>
    <x v="14"/>
    <n v="53"/>
    <n v="109"/>
    <n v="0.32700000000000001"/>
    <n v="62"/>
    <n v="724"/>
    <n v="988"/>
    <n v="-264"/>
  </r>
  <r>
    <x v="29"/>
    <x v="3"/>
    <x v="17"/>
    <n v="95"/>
    <n v="67"/>
    <n v="0.58599999999999997"/>
    <n v="0"/>
    <n v="884"/>
    <n v="722"/>
    <n v="162"/>
  </r>
  <r>
    <x v="29"/>
    <x v="3"/>
    <x v="18"/>
    <n v="93"/>
    <n v="69"/>
    <n v="0.57399999999999995"/>
    <n v="2"/>
    <n v="1011"/>
    <n v="849"/>
    <n v="162"/>
  </r>
  <r>
    <x v="29"/>
    <x v="3"/>
    <x v="16"/>
    <n v="91"/>
    <n v="71"/>
    <n v="0.56200000000000006"/>
    <n v="4"/>
    <n v="961"/>
    <n v="864"/>
    <n v="97"/>
  </r>
  <r>
    <x v="29"/>
    <x v="3"/>
    <x v="15"/>
    <n v="91"/>
    <n v="71"/>
    <n v="0.56200000000000006"/>
    <n v="4"/>
    <n v="862"/>
    <n v="774"/>
    <n v="88"/>
  </r>
  <r>
    <x v="29"/>
    <x v="3"/>
    <x v="19"/>
    <n v="78"/>
    <n v="84"/>
    <n v="0.48099999999999998"/>
    <n v="17"/>
    <n v="815"/>
    <n v="859"/>
    <n v="-44"/>
  </r>
  <r>
    <x v="30"/>
    <x v="0"/>
    <x v="0"/>
    <n v="120"/>
    <n v="42"/>
    <n v="0.74099999999999999"/>
    <n v="0"/>
    <n v="1053"/>
    <n v="704"/>
    <n v="349"/>
  </r>
  <r>
    <x v="30"/>
    <x v="0"/>
    <x v="1"/>
    <n v="103"/>
    <n v="59"/>
    <n v="0.63600000000000001"/>
    <n v="17"/>
    <n v="995"/>
    <n v="802"/>
    <n v="193"/>
  </r>
  <r>
    <x v="30"/>
    <x v="0"/>
    <x v="2"/>
    <n v="81"/>
    <n v="81"/>
    <n v="0.5"/>
    <n v="39"/>
    <n v="873"/>
    <n v="915"/>
    <n v="-42"/>
  </r>
  <r>
    <x v="30"/>
    <x v="0"/>
    <x v="3"/>
    <n v="75"/>
    <n v="87"/>
    <n v="0.46300000000000002"/>
    <n v="45"/>
    <n v="891"/>
    <n v="942"/>
    <n v="-51"/>
  </r>
  <r>
    <x v="30"/>
    <x v="0"/>
    <x v="4"/>
    <n v="51"/>
    <n v="111"/>
    <n v="0.315"/>
    <n v="69"/>
    <n v="809"/>
    <n v="1044"/>
    <n v="-235"/>
  </r>
  <r>
    <x v="30"/>
    <x v="1"/>
    <x v="5"/>
    <n v="104"/>
    <n v="58"/>
    <n v="0.64200000000000002"/>
    <n v="0"/>
    <n v="954"/>
    <n v="698"/>
    <n v="256"/>
  </r>
  <r>
    <x v="30"/>
    <x v="1"/>
    <x v="7"/>
    <n v="71"/>
    <n v="91"/>
    <n v="0.438"/>
    <n v="33"/>
    <n v="1077"/>
    <n v="1226"/>
    <n v="-149"/>
  </r>
  <r>
    <x v="30"/>
    <x v="1"/>
    <x v="6"/>
    <n v="70"/>
    <n v="92"/>
    <n v="0.432"/>
    <n v="34"/>
    <n v="808"/>
    <n v="908"/>
    <n v="-100"/>
  </r>
  <r>
    <x v="30"/>
    <x v="1"/>
    <x v="8"/>
    <n v="67"/>
    <n v="95"/>
    <n v="0.41399999999999998"/>
    <n v="37"/>
    <n v="783"/>
    <n v="932"/>
    <n v="-149"/>
  </r>
  <r>
    <x v="30"/>
    <x v="1"/>
    <x v="9"/>
    <n v="39"/>
    <n v="123"/>
    <n v="0.24099999999999999"/>
    <n v="65"/>
    <n v="594"/>
    <n v="1068"/>
    <n v="-474"/>
  </r>
  <r>
    <x v="30"/>
    <x v="2"/>
    <x v="10"/>
    <n v="103"/>
    <n v="59"/>
    <n v="0.63600000000000001"/>
    <n v="0"/>
    <n v="967"/>
    <n v="726"/>
    <n v="241"/>
  </r>
  <r>
    <x v="30"/>
    <x v="2"/>
    <x v="11"/>
    <n v="88"/>
    <n v="74"/>
    <n v="0.54300000000000004"/>
    <n v="15"/>
    <n v="914"/>
    <n v="862"/>
    <n v="52"/>
  </r>
  <r>
    <x v="30"/>
    <x v="2"/>
    <x v="12"/>
    <n v="75"/>
    <n v="87"/>
    <n v="0.46300000000000002"/>
    <n v="28"/>
    <n v="808"/>
    <n v="865"/>
    <n v="-57"/>
  </r>
  <r>
    <x v="30"/>
    <x v="2"/>
    <x v="13"/>
    <n v="74"/>
    <n v="88"/>
    <n v="0.45700000000000002"/>
    <n v="29"/>
    <n v="807"/>
    <n v="848"/>
    <n v="-41"/>
  </r>
  <r>
    <x v="30"/>
    <x v="2"/>
    <x v="14"/>
    <n v="49"/>
    <n v="113"/>
    <n v="0.30199999999999999"/>
    <n v="54"/>
    <n v="771"/>
    <n v="1115"/>
    <n v="-344"/>
  </r>
  <r>
    <x v="30"/>
    <x v="3"/>
    <x v="17"/>
    <n v="102"/>
    <n v="60"/>
    <n v="0.63"/>
    <n v="0"/>
    <n v="868"/>
    <n v="641"/>
    <n v="227"/>
  </r>
  <r>
    <x v="30"/>
    <x v="3"/>
    <x v="16"/>
    <n v="92"/>
    <n v="70"/>
    <n v="0.56799999999999995"/>
    <n v="10"/>
    <n v="912"/>
    <n v="827"/>
    <n v="85"/>
  </r>
  <r>
    <x v="30"/>
    <x v="3"/>
    <x v="15"/>
    <n v="91"/>
    <n v="71"/>
    <n v="0.56200000000000006"/>
    <n v="11"/>
    <n v="928"/>
    <n v="798"/>
    <n v="130"/>
  </r>
  <r>
    <x v="30"/>
    <x v="3"/>
    <x v="18"/>
    <n v="89"/>
    <n v="73"/>
    <n v="0.54900000000000004"/>
    <n v="13"/>
    <n v="1008"/>
    <n v="844"/>
    <n v="164"/>
  </r>
  <r>
    <x v="30"/>
    <x v="3"/>
    <x v="19"/>
    <n v="76"/>
    <n v="86"/>
    <n v="0.46899999999999997"/>
    <n v="26"/>
    <n v="792"/>
    <n v="847"/>
    <n v="-55"/>
  </r>
  <r>
    <x v="31"/>
    <x v="0"/>
    <x v="0"/>
    <n v="105"/>
    <n v="57"/>
    <n v="0.64800000000000002"/>
    <n v="0"/>
    <n v="1024"/>
    <n v="779"/>
    <n v="245"/>
  </r>
  <r>
    <x v="31"/>
    <x v="0"/>
    <x v="1"/>
    <n v="95"/>
    <n v="67"/>
    <n v="0.58599999999999997"/>
    <n v="10"/>
    <n v="981"/>
    <n v="811"/>
    <n v="170"/>
  </r>
  <r>
    <x v="31"/>
    <x v="0"/>
    <x v="2"/>
    <n v="91"/>
    <n v="71"/>
    <n v="0.56200000000000006"/>
    <n v="14"/>
    <n v="984"/>
    <n v="946"/>
    <n v="38"/>
  </r>
  <r>
    <x v="31"/>
    <x v="0"/>
    <x v="3"/>
    <n v="66"/>
    <n v="96"/>
    <n v="0.40699999999999997"/>
    <n v="39"/>
    <n v="818"/>
    <n v="949"/>
    <n v="-131"/>
  </r>
  <r>
    <x v="31"/>
    <x v="0"/>
    <x v="4"/>
    <n v="57"/>
    <n v="105"/>
    <n v="0.35199999999999998"/>
    <n v="48"/>
    <n v="765"/>
    <n v="1036"/>
    <n v="-271"/>
  </r>
  <r>
    <x v="31"/>
    <x v="1"/>
    <x v="5"/>
    <n v="112"/>
    <n v="50"/>
    <n v="0.69099999999999995"/>
    <n v="0"/>
    <n v="1059"/>
    <n v="669"/>
    <n v="390"/>
  </r>
  <r>
    <x v="31"/>
    <x v="1"/>
    <x v="7"/>
    <n v="78"/>
    <n v="84"/>
    <n v="0.48099999999999998"/>
    <n v="34"/>
    <n v="1038"/>
    <n v="1119"/>
    <n v="-81"/>
  </r>
  <r>
    <x v="31"/>
    <x v="1"/>
    <x v="6"/>
    <n v="74"/>
    <n v="88"/>
    <n v="0.45700000000000002"/>
    <n v="38"/>
    <n v="794"/>
    <n v="886"/>
    <n v="-92"/>
  </r>
  <r>
    <x v="31"/>
    <x v="1"/>
    <x v="8"/>
    <n v="63"/>
    <n v="99"/>
    <n v="0.38900000000000001"/>
    <n v="49"/>
    <n v="790"/>
    <n v="980"/>
    <n v="-190"/>
  </r>
  <r>
    <x v="31"/>
    <x v="1"/>
    <x v="9"/>
    <n v="51"/>
    <n v="111"/>
    <n v="0.315"/>
    <n v="61"/>
    <n v="699"/>
    <n v="992"/>
    <n v="-293"/>
  </r>
  <r>
    <x v="31"/>
    <x v="2"/>
    <x v="10"/>
    <n v="105"/>
    <n v="57"/>
    <n v="0.64800000000000002"/>
    <n v="0"/>
    <n v="1029"/>
    <n v="801"/>
    <n v="228"/>
  </r>
  <r>
    <x v="31"/>
    <x v="2"/>
    <x v="11"/>
    <n v="95"/>
    <n v="67"/>
    <n v="0.58599999999999997"/>
    <n v="10"/>
    <n v="810"/>
    <n v="766"/>
    <n v="44"/>
  </r>
  <r>
    <x v="31"/>
    <x v="2"/>
    <x v="12"/>
    <n v="74"/>
    <n v="88"/>
    <n v="0.45700000000000002"/>
    <n v="31"/>
    <n v="751"/>
    <n v="838"/>
    <n v="-87"/>
  </r>
  <r>
    <x v="31"/>
    <x v="2"/>
    <x v="13"/>
    <n v="67"/>
    <n v="95"/>
    <n v="0.41399999999999998"/>
    <n v="38"/>
    <n v="808"/>
    <n v="895"/>
    <n v="-87"/>
  </r>
  <r>
    <x v="31"/>
    <x v="2"/>
    <x v="14"/>
    <n v="52"/>
    <n v="110"/>
    <n v="0.32100000000000001"/>
    <n v="53"/>
    <n v="718"/>
    <n v="1040"/>
    <n v="-322"/>
  </r>
  <r>
    <x v="31"/>
    <x v="3"/>
    <x v="18"/>
    <n v="96"/>
    <n v="66"/>
    <n v="0.59299999999999997"/>
    <n v="0"/>
    <n v="997"/>
    <n v="836"/>
    <n v="161"/>
  </r>
  <r>
    <x v="31"/>
    <x v="3"/>
    <x v="17"/>
    <n v="95"/>
    <n v="67"/>
    <n v="0.58599999999999997"/>
    <n v="1"/>
    <n v="877"/>
    <n v="676"/>
    <n v="201"/>
  </r>
  <r>
    <x v="31"/>
    <x v="3"/>
    <x v="16"/>
    <n v="92"/>
    <n v="70"/>
    <n v="0.56799999999999995"/>
    <n v="4"/>
    <n v="986"/>
    <n v="921"/>
    <n v="65"/>
  </r>
  <r>
    <x v="31"/>
    <x v="3"/>
    <x v="15"/>
    <n v="86"/>
    <n v="76"/>
    <n v="0.53100000000000003"/>
    <n v="10"/>
    <n v="895"/>
    <n v="792"/>
    <n v="103"/>
  </r>
  <r>
    <x v="31"/>
    <x v="3"/>
    <x v="19"/>
    <n v="66"/>
    <n v="96"/>
    <n v="0.40699999999999997"/>
    <n v="30"/>
    <n v="774"/>
    <n v="865"/>
    <n v="-91"/>
  </r>
  <r>
    <x v="32"/>
    <x v="0"/>
    <x v="0"/>
    <n v="109"/>
    <n v="53"/>
    <n v="0.67300000000000004"/>
    <n v="0"/>
    <n v="1066"/>
    <n v="729"/>
    <n v="337"/>
  </r>
  <r>
    <x v="32"/>
    <x v="0"/>
    <x v="1"/>
    <n v="89"/>
    <n v="73"/>
    <n v="0.54900000000000004"/>
    <n v="20"/>
    <n v="926"/>
    <n v="845"/>
    <n v="81"/>
  </r>
  <r>
    <x v="32"/>
    <x v="0"/>
    <x v="2"/>
    <n v="87"/>
    <n v="75"/>
    <n v="0.53700000000000003"/>
    <n v="22"/>
    <n v="947"/>
    <n v="909"/>
    <n v="38"/>
  </r>
  <r>
    <x v="32"/>
    <x v="0"/>
    <x v="3"/>
    <n v="62"/>
    <n v="100"/>
    <n v="0.38300000000000001"/>
    <n v="47"/>
    <n v="801"/>
    <n v="999"/>
    <n v="-198"/>
  </r>
  <r>
    <x v="32"/>
    <x v="0"/>
    <x v="4"/>
    <n v="59"/>
    <n v="103"/>
    <n v="0.36399999999999999"/>
    <n v="50"/>
    <n v="856"/>
    <n v="1087"/>
    <n v="-231"/>
  </r>
  <r>
    <x v="32"/>
    <x v="1"/>
    <x v="5"/>
    <n v="109"/>
    <n v="53"/>
    <n v="0.67300000000000004"/>
    <n v="0"/>
    <n v="972"/>
    <n v="679"/>
    <n v="293"/>
  </r>
  <r>
    <x v="32"/>
    <x v="1"/>
    <x v="6"/>
    <n v="75"/>
    <n v="87"/>
    <n v="0.46300000000000002"/>
    <n v="34"/>
    <n v="831"/>
    <n v="930"/>
    <n v="-99"/>
  </r>
  <r>
    <x v="32"/>
    <x v="1"/>
    <x v="7"/>
    <n v="71"/>
    <n v="91"/>
    <n v="0.438"/>
    <n v="38"/>
    <n v="972"/>
    <n v="1101"/>
    <n v="-129"/>
  </r>
  <r>
    <x v="32"/>
    <x v="1"/>
    <x v="8"/>
    <n v="62"/>
    <n v="100"/>
    <n v="0.38300000000000001"/>
    <n v="47"/>
    <n v="775"/>
    <n v="952"/>
    <n v="-177"/>
  </r>
  <r>
    <x v="32"/>
    <x v="1"/>
    <x v="9"/>
    <n v="44"/>
    <n v="118"/>
    <n v="0.27200000000000002"/>
    <n v="65"/>
    <n v="650"/>
    <n v="1058"/>
    <n v="-408"/>
  </r>
  <r>
    <x v="32"/>
    <x v="2"/>
    <x v="10"/>
    <n v="107"/>
    <n v="55"/>
    <n v="0.66"/>
    <n v="0"/>
    <n v="893"/>
    <n v="668"/>
    <n v="225"/>
  </r>
  <r>
    <x v="32"/>
    <x v="2"/>
    <x v="11"/>
    <n v="94"/>
    <n v="68"/>
    <n v="0.57999999999999996"/>
    <n v="13"/>
    <n v="808"/>
    <n v="751"/>
    <n v="57"/>
  </r>
  <r>
    <x v="32"/>
    <x v="2"/>
    <x v="13"/>
    <n v="70"/>
    <n v="92"/>
    <n v="0.432"/>
    <n v="37"/>
    <n v="765"/>
    <n v="858"/>
    <n v="-93"/>
  </r>
  <r>
    <x v="32"/>
    <x v="2"/>
    <x v="12"/>
    <n v="67"/>
    <n v="95"/>
    <n v="0.41399999999999998"/>
    <n v="40"/>
    <n v="787"/>
    <n v="891"/>
    <n v="-104"/>
  </r>
  <r>
    <x v="32"/>
    <x v="2"/>
    <x v="14"/>
    <n v="54"/>
    <n v="108"/>
    <n v="0.33300000000000002"/>
    <n v="53"/>
    <n v="820"/>
    <n v="1063"/>
    <n v="-243"/>
  </r>
  <r>
    <x v="32"/>
    <x v="3"/>
    <x v="18"/>
    <n v="106"/>
    <n v="56"/>
    <n v="0.65400000000000003"/>
    <n v="0"/>
    <n v="1017"/>
    <n v="799"/>
    <n v="218"/>
  </r>
  <r>
    <x v="32"/>
    <x v="3"/>
    <x v="17"/>
    <n v="99"/>
    <n v="63"/>
    <n v="0.61099999999999999"/>
    <n v="7"/>
    <n v="874"/>
    <n v="683"/>
    <n v="191"/>
  </r>
  <r>
    <x v="32"/>
    <x v="3"/>
    <x v="15"/>
    <n v="93"/>
    <n v="69"/>
    <n v="0.57399999999999995"/>
    <n v="13"/>
    <n v="960"/>
    <n v="788"/>
    <n v="172"/>
  </r>
  <r>
    <x v="32"/>
    <x v="3"/>
    <x v="16"/>
    <n v="89"/>
    <n v="73"/>
    <n v="0.54900000000000004"/>
    <n v="17"/>
    <n v="1014"/>
    <n v="883"/>
    <n v="131"/>
  </r>
  <r>
    <x v="32"/>
    <x v="3"/>
    <x v="19"/>
    <n v="74"/>
    <n v="88"/>
    <n v="0.45700000000000002"/>
    <n v="32"/>
    <n v="794"/>
    <n v="855"/>
    <n v="-61"/>
  </r>
  <r>
    <x v="33"/>
    <x v="0"/>
    <x v="0"/>
    <n v="112"/>
    <n v="50"/>
    <n v="0.69099999999999995"/>
    <n v="0"/>
    <n v="1117"/>
    <n v="766"/>
    <n v="351"/>
  </r>
  <r>
    <x v="33"/>
    <x v="0"/>
    <x v="2"/>
    <n v="93"/>
    <n v="69"/>
    <n v="0.57399999999999995"/>
    <n v="19"/>
    <n v="959"/>
    <n v="825"/>
    <n v="134"/>
  </r>
  <r>
    <x v="33"/>
    <x v="0"/>
    <x v="1"/>
    <n v="93"/>
    <n v="69"/>
    <n v="0.57399999999999995"/>
    <n v="19"/>
    <n v="950"/>
    <n v="812"/>
    <n v="138"/>
  </r>
  <r>
    <x v="33"/>
    <x v="0"/>
    <x v="3"/>
    <n v="64"/>
    <n v="98"/>
    <n v="0.39500000000000002"/>
    <n v="48"/>
    <n v="772"/>
    <n v="988"/>
    <n v="-216"/>
  </r>
  <r>
    <x v="33"/>
    <x v="0"/>
    <x v="4"/>
    <n v="53"/>
    <n v="109"/>
    <n v="0.32700000000000001"/>
    <n v="59"/>
    <n v="788"/>
    <n v="1107"/>
    <n v="-319"/>
  </r>
  <r>
    <x v="33"/>
    <x v="1"/>
    <x v="5"/>
    <n v="120"/>
    <n v="42"/>
    <n v="0.74099999999999999"/>
    <n v="0"/>
    <n v="1021"/>
    <n v="647"/>
    <n v="374"/>
  </r>
  <r>
    <x v="33"/>
    <x v="1"/>
    <x v="6"/>
    <n v="74"/>
    <n v="88"/>
    <n v="0.45700000000000002"/>
    <n v="46"/>
    <n v="777"/>
    <n v="870"/>
    <n v="-93"/>
  </r>
  <r>
    <x v="33"/>
    <x v="1"/>
    <x v="8"/>
    <n v="65"/>
    <n v="97"/>
    <n v="0.40100000000000002"/>
    <n v="55"/>
    <n v="865"/>
    <n v="988"/>
    <n v="-123"/>
  </r>
  <r>
    <x v="33"/>
    <x v="1"/>
    <x v="7"/>
    <n v="63"/>
    <n v="99"/>
    <n v="0.38900000000000001"/>
    <n v="57"/>
    <n v="1026"/>
    <n v="1141"/>
    <n v="-115"/>
  </r>
  <r>
    <x v="33"/>
    <x v="1"/>
    <x v="9"/>
    <n v="42"/>
    <n v="120"/>
    <n v="0.25900000000000001"/>
    <n v="78"/>
    <n v="645"/>
    <n v="1093"/>
    <n v="-448"/>
  </r>
  <r>
    <x v="33"/>
    <x v="2"/>
    <x v="10"/>
    <n v="103"/>
    <n v="59"/>
    <n v="0.63600000000000001"/>
    <n v="0"/>
    <n v="986"/>
    <n v="733"/>
    <n v="253"/>
  </r>
  <r>
    <x v="33"/>
    <x v="2"/>
    <x v="11"/>
    <n v="92"/>
    <n v="70"/>
    <n v="0.56799999999999995"/>
    <n v="11"/>
    <n v="903"/>
    <n v="781"/>
    <n v="122"/>
  </r>
  <r>
    <x v="33"/>
    <x v="2"/>
    <x v="12"/>
    <n v="79"/>
    <n v="83"/>
    <n v="0.48799999999999999"/>
    <n v="24"/>
    <n v="846"/>
    <n v="860"/>
    <n v="-14"/>
  </r>
  <r>
    <x v="33"/>
    <x v="2"/>
    <x v="13"/>
    <n v="76"/>
    <n v="86"/>
    <n v="0.46899999999999997"/>
    <n v="27"/>
    <n v="866"/>
    <n v="920"/>
    <n v="-54"/>
  </r>
  <r>
    <x v="33"/>
    <x v="2"/>
    <x v="14"/>
    <n v="45"/>
    <n v="117"/>
    <n v="0.27800000000000002"/>
    <n v="58"/>
    <n v="706"/>
    <n v="1104"/>
    <n v="-398"/>
  </r>
  <r>
    <x v="33"/>
    <x v="3"/>
    <x v="18"/>
    <n v="100"/>
    <n v="62"/>
    <n v="0.61699999999999999"/>
    <n v="0"/>
    <n v="948"/>
    <n v="787"/>
    <n v="161"/>
  </r>
  <r>
    <x v="33"/>
    <x v="3"/>
    <x v="15"/>
    <n v="97"/>
    <n v="65"/>
    <n v="0.59899999999999998"/>
    <n v="3"/>
    <n v="966"/>
    <n v="790"/>
    <n v="176"/>
  </r>
  <r>
    <x v="33"/>
    <x v="3"/>
    <x v="17"/>
    <n v="95"/>
    <n v="67"/>
    <n v="0.58599999999999997"/>
    <n v="5"/>
    <n v="869"/>
    <n v="736"/>
    <n v="133"/>
  </r>
  <r>
    <x v="33"/>
    <x v="3"/>
    <x v="16"/>
    <n v="80"/>
    <n v="82"/>
    <n v="0.49399999999999999"/>
    <n v="20"/>
    <n v="920"/>
    <n v="904"/>
    <n v="16"/>
  </r>
  <r>
    <x v="33"/>
    <x v="3"/>
    <x v="19"/>
    <n v="74"/>
    <n v="88"/>
    <n v="0.45700000000000002"/>
    <n v="26"/>
    <n v="810"/>
    <n v="888"/>
    <n v="-78"/>
  </r>
  <r>
    <x v="34"/>
    <x v="0"/>
    <x v="0"/>
    <n v="102"/>
    <n v="60"/>
    <n v="0.63"/>
    <n v="0"/>
    <n v="998"/>
    <n v="811"/>
    <n v="187"/>
  </r>
  <r>
    <x v="34"/>
    <x v="0"/>
    <x v="2"/>
    <n v="99"/>
    <n v="63"/>
    <n v="0.61099999999999999"/>
    <n v="3"/>
    <n v="973"/>
    <n v="835"/>
    <n v="138"/>
  </r>
  <r>
    <x v="34"/>
    <x v="0"/>
    <x v="1"/>
    <n v="93"/>
    <n v="69"/>
    <n v="0.57399999999999995"/>
    <n v="9"/>
    <n v="906"/>
    <n v="802"/>
    <n v="104"/>
  </r>
  <r>
    <x v="34"/>
    <x v="0"/>
    <x v="3"/>
    <n v="65"/>
    <n v="97"/>
    <n v="0.40100000000000002"/>
    <n v="37"/>
    <n v="845"/>
    <n v="1007"/>
    <n v="-162"/>
  </r>
  <r>
    <x v="34"/>
    <x v="0"/>
    <x v="4"/>
    <n v="59"/>
    <n v="103"/>
    <n v="0.36399999999999999"/>
    <n v="43"/>
    <n v="829"/>
    <n v="1080"/>
    <n v="-251"/>
  </r>
  <r>
    <x v="34"/>
    <x v="1"/>
    <x v="5"/>
    <n v="102"/>
    <n v="60"/>
    <n v="0.63"/>
    <n v="0"/>
    <n v="1012"/>
    <n v="716"/>
    <n v="296"/>
  </r>
  <r>
    <x v="34"/>
    <x v="1"/>
    <x v="6"/>
    <n v="74"/>
    <n v="88"/>
    <n v="0.45700000000000002"/>
    <n v="28"/>
    <n v="819"/>
    <n v="901"/>
    <n v="-82"/>
  </r>
  <r>
    <x v="34"/>
    <x v="1"/>
    <x v="7"/>
    <n v="72"/>
    <n v="90"/>
    <n v="0.44400000000000001"/>
    <n v="30"/>
    <n v="1034"/>
    <n v="1126"/>
    <n v="-92"/>
  </r>
  <r>
    <x v="34"/>
    <x v="1"/>
    <x v="8"/>
    <n v="66"/>
    <n v="96"/>
    <n v="0.40699999999999997"/>
    <n v="36"/>
    <n v="804"/>
    <n v="982"/>
    <n v="-178"/>
  </r>
  <r>
    <x v="34"/>
    <x v="1"/>
    <x v="9"/>
    <n v="41"/>
    <n v="121"/>
    <n v="0.253"/>
    <n v="61"/>
    <n v="639"/>
    <n v="973"/>
    <n v="-334"/>
  </r>
  <r>
    <x v="34"/>
    <x v="2"/>
    <x v="10"/>
    <n v="114"/>
    <n v="48"/>
    <n v="0.70399999999999996"/>
    <n v="0"/>
    <n v="975"/>
    <n v="673"/>
    <n v="302"/>
  </r>
  <r>
    <x v="34"/>
    <x v="2"/>
    <x v="11"/>
    <n v="83"/>
    <n v="79"/>
    <n v="0.51200000000000001"/>
    <n v="31"/>
    <n v="878"/>
    <n v="831"/>
    <n v="47"/>
  </r>
  <r>
    <x v="34"/>
    <x v="2"/>
    <x v="12"/>
    <n v="73"/>
    <n v="89"/>
    <n v="0.45100000000000001"/>
    <n v="41"/>
    <n v="781"/>
    <n v="882"/>
    <n v="-101"/>
  </r>
  <r>
    <x v="34"/>
    <x v="2"/>
    <x v="13"/>
    <n v="65"/>
    <n v="97"/>
    <n v="0.40100000000000002"/>
    <n v="49"/>
    <n v="717"/>
    <n v="881"/>
    <n v="-164"/>
  </r>
  <r>
    <x v="34"/>
    <x v="2"/>
    <x v="14"/>
    <n v="56"/>
    <n v="106"/>
    <n v="0.34599999999999997"/>
    <n v="58"/>
    <n v="817"/>
    <n v="1058"/>
    <n v="-241"/>
  </r>
  <r>
    <x v="34"/>
    <x v="3"/>
    <x v="15"/>
    <n v="102"/>
    <n v="60"/>
    <n v="0.63"/>
    <n v="0"/>
    <n v="959"/>
    <n v="774"/>
    <n v="185"/>
  </r>
  <r>
    <x v="34"/>
    <x v="3"/>
    <x v="17"/>
    <n v="90"/>
    <n v="72"/>
    <n v="0.55600000000000005"/>
    <n v="12"/>
    <n v="872"/>
    <n v="732"/>
    <n v="140"/>
  </r>
  <r>
    <x v="34"/>
    <x v="3"/>
    <x v="16"/>
    <n v="89"/>
    <n v="73"/>
    <n v="0.54900000000000004"/>
    <n v="13"/>
    <n v="936"/>
    <n v="866"/>
    <n v="70"/>
  </r>
  <r>
    <x v="34"/>
    <x v="3"/>
    <x v="18"/>
    <n v="88"/>
    <n v="74"/>
    <n v="0.54300000000000004"/>
    <n v="14"/>
    <n v="1008"/>
    <n v="890"/>
    <n v="118"/>
  </r>
  <r>
    <x v="34"/>
    <x v="3"/>
    <x v="19"/>
    <n v="87"/>
    <n v="75"/>
    <n v="0.53700000000000003"/>
    <n v="15"/>
    <n v="791"/>
    <n v="773"/>
    <n v="18"/>
  </r>
  <r>
    <x v="35"/>
    <x v="0"/>
    <x v="0"/>
    <n v="112"/>
    <n v="50"/>
    <n v="0.69099999999999995"/>
    <n v="0"/>
    <n v="1077"/>
    <n v="712"/>
    <n v="365"/>
  </r>
  <r>
    <x v="35"/>
    <x v="0"/>
    <x v="1"/>
    <n v="103"/>
    <n v="59"/>
    <n v="0.63600000000000001"/>
    <n v="9"/>
    <n v="981"/>
    <n v="766"/>
    <n v="215"/>
  </r>
  <r>
    <x v="35"/>
    <x v="0"/>
    <x v="2"/>
    <n v="84"/>
    <n v="78"/>
    <n v="0.51900000000000002"/>
    <n v="28"/>
    <n v="950"/>
    <n v="940"/>
    <n v="10"/>
  </r>
  <r>
    <x v="35"/>
    <x v="0"/>
    <x v="3"/>
    <n v="66"/>
    <n v="96"/>
    <n v="0.40699999999999997"/>
    <n v="46"/>
    <n v="811"/>
    <n v="969"/>
    <n v="-158"/>
  </r>
  <r>
    <x v="35"/>
    <x v="0"/>
    <x v="4"/>
    <n v="56"/>
    <n v="106"/>
    <n v="0.34599999999999997"/>
    <n v="56"/>
    <n v="776"/>
    <n v="1085"/>
    <n v="-309"/>
  </r>
  <r>
    <x v="35"/>
    <x v="1"/>
    <x v="5"/>
    <n v="110"/>
    <n v="52"/>
    <n v="0.67900000000000005"/>
    <n v="0"/>
    <n v="1020"/>
    <n v="715"/>
    <n v="305"/>
  </r>
  <r>
    <x v="35"/>
    <x v="1"/>
    <x v="6"/>
    <n v="80"/>
    <n v="82"/>
    <n v="0.49399999999999999"/>
    <n v="30"/>
    <n v="891"/>
    <n v="879"/>
    <n v="12"/>
  </r>
  <r>
    <x v="35"/>
    <x v="1"/>
    <x v="7"/>
    <n v="79"/>
    <n v="83"/>
    <n v="0.48799999999999999"/>
    <n v="31"/>
    <n v="1005"/>
    <n v="1051"/>
    <n v="-46"/>
  </r>
  <r>
    <x v="35"/>
    <x v="1"/>
    <x v="8"/>
    <n v="63"/>
    <n v="99"/>
    <n v="0.38900000000000001"/>
    <n v="47"/>
    <n v="875"/>
    <n v="1048"/>
    <n v="-173"/>
  </r>
  <r>
    <x v="35"/>
    <x v="1"/>
    <x v="9"/>
    <n v="45"/>
    <n v="117"/>
    <n v="0.27800000000000002"/>
    <n v="65"/>
    <n v="664"/>
    <n v="1057"/>
    <n v="-393"/>
  </r>
  <r>
    <x v="35"/>
    <x v="2"/>
    <x v="10"/>
    <n v="107"/>
    <n v="55"/>
    <n v="0.66"/>
    <n v="0"/>
    <n v="939"/>
    <n v="667"/>
    <n v="272"/>
  </r>
  <r>
    <x v="35"/>
    <x v="2"/>
    <x v="12"/>
    <n v="76"/>
    <n v="86"/>
    <n v="0.46899999999999997"/>
    <n v="31"/>
    <n v="770"/>
    <n v="867"/>
    <n v="-97"/>
  </r>
  <r>
    <x v="35"/>
    <x v="2"/>
    <x v="13"/>
    <n v="68"/>
    <n v="94"/>
    <n v="0.42"/>
    <n v="39"/>
    <n v="775"/>
    <n v="888"/>
    <n v="-113"/>
  </r>
  <r>
    <x v="35"/>
    <x v="2"/>
    <x v="11"/>
    <n v="67"/>
    <n v="95"/>
    <n v="0.41399999999999998"/>
    <n v="40"/>
    <n v="758"/>
    <n v="858"/>
    <n v="-100"/>
  </r>
  <r>
    <x v="35"/>
    <x v="2"/>
    <x v="14"/>
    <n v="66"/>
    <n v="96"/>
    <n v="0.40699999999999997"/>
    <n v="41"/>
    <n v="797"/>
    <n v="1038"/>
    <n v="-241"/>
  </r>
  <r>
    <x v="35"/>
    <x v="3"/>
    <x v="17"/>
    <n v="95"/>
    <n v="67"/>
    <n v="0.58599999999999997"/>
    <n v="0"/>
    <n v="817"/>
    <n v="709"/>
    <n v="108"/>
  </r>
  <r>
    <x v="35"/>
    <x v="3"/>
    <x v="16"/>
    <n v="93"/>
    <n v="69"/>
    <n v="0.57399999999999995"/>
    <n v="2"/>
    <n v="931"/>
    <n v="765"/>
    <n v="166"/>
  </r>
  <r>
    <x v="35"/>
    <x v="3"/>
    <x v="15"/>
    <n v="85"/>
    <n v="77"/>
    <n v="0.52500000000000002"/>
    <n v="10"/>
    <n v="875"/>
    <n v="818"/>
    <n v="57"/>
  </r>
  <r>
    <x v="35"/>
    <x v="3"/>
    <x v="19"/>
    <n v="83"/>
    <n v="79"/>
    <n v="0.51200000000000001"/>
    <n v="12"/>
    <n v="836"/>
    <n v="819"/>
    <n v="17"/>
  </r>
  <r>
    <x v="35"/>
    <x v="3"/>
    <x v="18"/>
    <n v="82"/>
    <n v="80"/>
    <n v="0.50600000000000001"/>
    <n v="13"/>
    <n v="958"/>
    <n v="855"/>
    <n v="103"/>
  </r>
  <r>
    <x v="36"/>
    <x v="0"/>
    <x v="0"/>
    <n v="101"/>
    <n v="61"/>
    <n v="0.623"/>
    <n v="0"/>
    <n v="1021"/>
    <n v="739"/>
    <n v="282"/>
  </r>
  <r>
    <x v="36"/>
    <x v="0"/>
    <x v="1"/>
    <n v="98"/>
    <n v="64"/>
    <n v="0.60499999999999998"/>
    <n v="3"/>
    <n v="988"/>
    <n v="859"/>
    <n v="129"/>
  </r>
  <r>
    <x v="36"/>
    <x v="0"/>
    <x v="2"/>
    <n v="80"/>
    <n v="82"/>
    <n v="0.49399999999999999"/>
    <n v="21"/>
    <n v="881"/>
    <n v="890"/>
    <n v="-9"/>
  </r>
  <r>
    <x v="36"/>
    <x v="0"/>
    <x v="3"/>
    <n v="80"/>
    <n v="82"/>
    <n v="0.49399999999999999"/>
    <n v="21"/>
    <n v="897"/>
    <n v="990"/>
    <n v="-93"/>
  </r>
  <r>
    <x v="36"/>
    <x v="0"/>
    <x v="4"/>
    <n v="61"/>
    <n v="101"/>
    <n v="0.377"/>
    <n v="40"/>
    <n v="821"/>
    <n v="1040"/>
    <n v="-219"/>
  </r>
  <r>
    <x v="36"/>
    <x v="1"/>
    <x v="5"/>
    <n v="100"/>
    <n v="62"/>
    <n v="0.61699999999999999"/>
    <n v="0"/>
    <n v="969"/>
    <n v="679"/>
    <n v="290"/>
  </r>
  <r>
    <x v="36"/>
    <x v="1"/>
    <x v="7"/>
    <n v="69"/>
    <n v="93"/>
    <n v="0.42599999999999999"/>
    <n v="31"/>
    <n v="1001"/>
    <n v="1113"/>
    <n v="-112"/>
  </r>
  <r>
    <x v="36"/>
    <x v="1"/>
    <x v="6"/>
    <n v="67"/>
    <n v="95"/>
    <n v="0.41399999999999998"/>
    <n v="33"/>
    <n v="718"/>
    <n v="876"/>
    <n v="-158"/>
  </r>
  <r>
    <x v="36"/>
    <x v="1"/>
    <x v="8"/>
    <n v="55"/>
    <n v="107"/>
    <n v="0.34"/>
    <n v="45"/>
    <n v="823"/>
    <n v="1017"/>
    <n v="-194"/>
  </r>
  <r>
    <x v="36"/>
    <x v="1"/>
    <x v="9"/>
    <n v="35"/>
    <n v="127"/>
    <n v="0.216"/>
    <n v="65"/>
    <n v="654"/>
    <n v="1073"/>
    <n v="-419"/>
  </r>
  <r>
    <x v="36"/>
    <x v="2"/>
    <x v="10"/>
    <n v="107"/>
    <n v="55"/>
    <n v="0.66"/>
    <n v="0"/>
    <n v="942"/>
    <n v="709"/>
    <n v="233"/>
  </r>
  <r>
    <x v="36"/>
    <x v="2"/>
    <x v="11"/>
    <n v="95"/>
    <n v="67"/>
    <n v="0.58599999999999997"/>
    <n v="12"/>
    <n v="851"/>
    <n v="785"/>
    <n v="66"/>
  </r>
  <r>
    <x v="36"/>
    <x v="2"/>
    <x v="12"/>
    <n v="75"/>
    <n v="87"/>
    <n v="0.46300000000000002"/>
    <n v="32"/>
    <n v="784"/>
    <n v="806"/>
    <n v="-22"/>
  </r>
  <r>
    <x v="36"/>
    <x v="2"/>
    <x v="13"/>
    <n v="70"/>
    <n v="92"/>
    <n v="0.432"/>
    <n v="37"/>
    <n v="797"/>
    <n v="884"/>
    <n v="-87"/>
  </r>
  <r>
    <x v="36"/>
    <x v="2"/>
    <x v="14"/>
    <n v="54"/>
    <n v="108"/>
    <n v="0.33300000000000002"/>
    <n v="53"/>
    <n v="759"/>
    <n v="1025"/>
    <n v="-266"/>
  </r>
  <r>
    <x v="36"/>
    <x v="3"/>
    <x v="17"/>
    <n v="111"/>
    <n v="51"/>
    <n v="0.68500000000000005"/>
    <n v="0"/>
    <n v="882"/>
    <n v="683"/>
    <n v="199"/>
  </r>
  <r>
    <x v="36"/>
    <x v="3"/>
    <x v="18"/>
    <n v="103"/>
    <n v="59"/>
    <n v="0.63600000000000001"/>
    <n v="8"/>
    <n v="1040"/>
    <n v="850"/>
    <n v="190"/>
  </r>
  <r>
    <x v="36"/>
    <x v="3"/>
    <x v="16"/>
    <n v="97"/>
    <n v="65"/>
    <n v="0.59899999999999998"/>
    <n v="14"/>
    <n v="1008"/>
    <n v="828"/>
    <n v="180"/>
  </r>
  <r>
    <x v="36"/>
    <x v="3"/>
    <x v="15"/>
    <n v="93"/>
    <n v="69"/>
    <n v="0.57399999999999995"/>
    <n v="18"/>
    <n v="883"/>
    <n v="776"/>
    <n v="107"/>
  </r>
  <r>
    <x v="36"/>
    <x v="3"/>
    <x v="19"/>
    <n v="69"/>
    <n v="93"/>
    <n v="0.42599999999999999"/>
    <n v="42"/>
    <n v="806"/>
    <n v="903"/>
    <n v="-97"/>
  </r>
  <r>
    <x v="37"/>
    <x v="0"/>
    <x v="0"/>
    <n v="109"/>
    <n v="53"/>
    <n v="0.67300000000000004"/>
    <n v="0"/>
    <n v="1020"/>
    <n v="704"/>
    <n v="316"/>
  </r>
  <r>
    <x v="37"/>
    <x v="0"/>
    <x v="1"/>
    <n v="94"/>
    <n v="68"/>
    <n v="0.57999999999999996"/>
    <n v="15"/>
    <n v="940"/>
    <n v="817"/>
    <n v="123"/>
  </r>
  <r>
    <x v="37"/>
    <x v="0"/>
    <x v="2"/>
    <n v="93"/>
    <n v="69"/>
    <n v="0.57399999999999995"/>
    <n v="16"/>
    <n v="976"/>
    <n v="867"/>
    <n v="109"/>
  </r>
  <r>
    <x v="37"/>
    <x v="0"/>
    <x v="3"/>
    <n v="66"/>
    <n v="96"/>
    <n v="0.40699999999999997"/>
    <n v="43"/>
    <n v="834"/>
    <n v="966"/>
    <n v="-132"/>
  </r>
  <r>
    <x v="37"/>
    <x v="0"/>
    <x v="4"/>
    <n v="66"/>
    <n v="96"/>
    <n v="0.40699999999999997"/>
    <n v="43"/>
    <n v="842"/>
    <n v="1013"/>
    <n v="-171"/>
  </r>
  <r>
    <x v="37"/>
    <x v="1"/>
    <x v="5"/>
    <n v="112"/>
    <n v="50"/>
    <n v="0.69099999999999995"/>
    <n v="0"/>
    <n v="969"/>
    <n v="697"/>
    <n v="272"/>
  </r>
  <r>
    <x v="37"/>
    <x v="1"/>
    <x v="7"/>
    <n v="80"/>
    <n v="82"/>
    <n v="0.49399999999999999"/>
    <n v="32"/>
    <n v="1032"/>
    <n v="1097"/>
    <n v="-65"/>
  </r>
  <r>
    <x v="37"/>
    <x v="1"/>
    <x v="6"/>
    <n v="69"/>
    <n v="93"/>
    <n v="0.42599999999999999"/>
    <n v="43"/>
    <n v="735"/>
    <n v="848"/>
    <n v="-113"/>
  </r>
  <r>
    <x v="37"/>
    <x v="1"/>
    <x v="8"/>
    <n v="59"/>
    <n v="103"/>
    <n v="0.36399999999999999"/>
    <n v="53"/>
    <n v="768"/>
    <n v="988"/>
    <n v="-220"/>
  </r>
  <r>
    <x v="37"/>
    <x v="1"/>
    <x v="9"/>
    <n v="48"/>
    <n v="114"/>
    <n v="0.29599999999999999"/>
    <n v="64"/>
    <n v="697"/>
    <n v="1003"/>
    <n v="-306"/>
  </r>
  <r>
    <x v="37"/>
    <x v="2"/>
    <x v="10"/>
    <n v="96"/>
    <n v="66"/>
    <n v="0.59299999999999997"/>
    <n v="0"/>
    <n v="932"/>
    <n v="772"/>
    <n v="160"/>
  </r>
  <r>
    <x v="37"/>
    <x v="2"/>
    <x v="11"/>
    <n v="91"/>
    <n v="71"/>
    <n v="0.56200000000000006"/>
    <n v="5"/>
    <n v="858"/>
    <n v="808"/>
    <n v="50"/>
  </r>
  <r>
    <x v="37"/>
    <x v="2"/>
    <x v="12"/>
    <n v="75"/>
    <n v="87"/>
    <n v="0.46300000000000002"/>
    <n v="21"/>
    <n v="753"/>
    <n v="844"/>
    <n v="-91"/>
  </r>
  <r>
    <x v="37"/>
    <x v="2"/>
    <x v="13"/>
    <n v="59"/>
    <n v="103"/>
    <n v="0.36399999999999999"/>
    <n v="37"/>
    <n v="745"/>
    <n v="944"/>
    <n v="-199"/>
  </r>
  <r>
    <x v="37"/>
    <x v="2"/>
    <x v="14"/>
    <n v="52"/>
    <n v="110"/>
    <n v="0.32100000000000001"/>
    <n v="44"/>
    <n v="749"/>
    <n v="1026"/>
    <n v="-277"/>
  </r>
  <r>
    <x v="37"/>
    <x v="3"/>
    <x v="18"/>
    <n v="102"/>
    <n v="60"/>
    <n v="0.63"/>
    <n v="0"/>
    <n v="1017"/>
    <n v="867"/>
    <n v="150"/>
  </r>
  <r>
    <x v="37"/>
    <x v="3"/>
    <x v="17"/>
    <n v="93"/>
    <n v="69"/>
    <n v="0.57399999999999995"/>
    <n v="9"/>
    <n v="872"/>
    <n v="718"/>
    <n v="154"/>
  </r>
  <r>
    <x v="37"/>
    <x v="3"/>
    <x v="16"/>
    <n v="92"/>
    <n v="70"/>
    <n v="0.56799999999999995"/>
    <n v="10"/>
    <n v="1018"/>
    <n v="861"/>
    <n v="157"/>
  </r>
  <r>
    <x v="37"/>
    <x v="3"/>
    <x v="15"/>
    <n v="84"/>
    <n v="78"/>
    <n v="0.51900000000000002"/>
    <n v="18"/>
    <n v="818"/>
    <n v="748"/>
    <n v="70"/>
  </r>
  <r>
    <x v="37"/>
    <x v="3"/>
    <x v="19"/>
    <n v="80"/>
    <n v="82"/>
    <n v="0.49399999999999999"/>
    <n v="22"/>
    <n v="822"/>
    <n v="809"/>
    <n v="13"/>
  </r>
  <r>
    <x v="38"/>
    <x v="0"/>
    <x v="0"/>
    <n v="110"/>
    <n v="52"/>
    <n v="0.67900000000000005"/>
    <n v="0"/>
    <n v="1023"/>
    <n v="740"/>
    <n v="283"/>
  </r>
  <r>
    <x v="38"/>
    <x v="0"/>
    <x v="1"/>
    <n v="87"/>
    <n v="75"/>
    <n v="0.53700000000000003"/>
    <n v="23"/>
    <n v="887"/>
    <n v="892"/>
    <n v="-5"/>
  </r>
  <r>
    <x v="38"/>
    <x v="0"/>
    <x v="2"/>
    <n v="86"/>
    <n v="76"/>
    <n v="0.53100000000000003"/>
    <n v="24"/>
    <n v="925"/>
    <n v="861"/>
    <n v="64"/>
  </r>
  <r>
    <x v="38"/>
    <x v="0"/>
    <x v="3"/>
    <n v="64"/>
    <n v="98"/>
    <n v="0.39500000000000002"/>
    <n v="46"/>
    <n v="803"/>
    <n v="982"/>
    <n v="-179"/>
  </r>
  <r>
    <x v="38"/>
    <x v="0"/>
    <x v="4"/>
    <n v="60"/>
    <n v="102"/>
    <n v="0.37"/>
    <n v="50"/>
    <n v="795"/>
    <n v="1056"/>
    <n v="-261"/>
  </r>
  <r>
    <x v="38"/>
    <x v="1"/>
    <x v="5"/>
    <n v="111"/>
    <n v="51"/>
    <n v="0.68500000000000005"/>
    <n v="0"/>
    <n v="1033"/>
    <n v="679"/>
    <n v="354"/>
  </r>
  <r>
    <x v="38"/>
    <x v="1"/>
    <x v="6"/>
    <n v="80"/>
    <n v="82"/>
    <n v="0.49399999999999999"/>
    <n v="31"/>
    <n v="819"/>
    <n v="890"/>
    <n v="-71"/>
  </r>
  <r>
    <x v="38"/>
    <x v="1"/>
    <x v="7"/>
    <n v="73"/>
    <n v="89"/>
    <n v="0.45100000000000001"/>
    <n v="38"/>
    <n v="1077"/>
    <n v="1180"/>
    <n v="-103"/>
  </r>
  <r>
    <x v="38"/>
    <x v="1"/>
    <x v="8"/>
    <n v="64"/>
    <n v="98"/>
    <n v="0.39500000000000002"/>
    <n v="47"/>
    <n v="816"/>
    <n v="979"/>
    <n v="-163"/>
  </r>
  <r>
    <x v="38"/>
    <x v="1"/>
    <x v="9"/>
    <n v="41"/>
    <n v="121"/>
    <n v="0.253"/>
    <n v="70"/>
    <n v="699"/>
    <n v="1064"/>
    <n v="-365"/>
  </r>
  <r>
    <x v="38"/>
    <x v="2"/>
    <x v="10"/>
    <n v="95"/>
    <n v="67"/>
    <n v="0.58599999999999997"/>
    <n v="0"/>
    <n v="964"/>
    <n v="749"/>
    <n v="215"/>
  </r>
  <r>
    <x v="38"/>
    <x v="2"/>
    <x v="11"/>
    <n v="94"/>
    <n v="68"/>
    <n v="0.57999999999999996"/>
    <n v="1"/>
    <n v="834"/>
    <n v="797"/>
    <n v="37"/>
  </r>
  <r>
    <x v="38"/>
    <x v="2"/>
    <x v="13"/>
    <n v="79"/>
    <n v="83"/>
    <n v="0.48799999999999999"/>
    <n v="16"/>
    <n v="863"/>
    <n v="895"/>
    <n v="-32"/>
  </r>
  <r>
    <x v="38"/>
    <x v="2"/>
    <x v="12"/>
    <n v="68"/>
    <n v="94"/>
    <n v="0.42"/>
    <n v="27"/>
    <n v="682"/>
    <n v="817"/>
    <n v="-135"/>
  </r>
  <r>
    <x v="38"/>
    <x v="2"/>
    <x v="14"/>
    <n v="52"/>
    <n v="110"/>
    <n v="0.32100000000000001"/>
    <n v="43"/>
    <n v="706"/>
    <n v="1056"/>
    <n v="-350"/>
  </r>
  <r>
    <x v="38"/>
    <x v="3"/>
    <x v="17"/>
    <n v="98"/>
    <n v="64"/>
    <n v="0.60499999999999998"/>
    <n v="0"/>
    <n v="873"/>
    <n v="627"/>
    <n v="246"/>
  </r>
  <r>
    <x v="38"/>
    <x v="3"/>
    <x v="16"/>
    <n v="97"/>
    <n v="65"/>
    <n v="0.59899999999999998"/>
    <n v="1"/>
    <n v="1000"/>
    <n v="829"/>
    <n v="171"/>
  </r>
  <r>
    <x v="38"/>
    <x v="3"/>
    <x v="18"/>
    <n v="97"/>
    <n v="65"/>
    <n v="0.59899999999999998"/>
    <n v="1"/>
    <n v="976"/>
    <n v="748"/>
    <n v="228"/>
  </r>
  <r>
    <x v="38"/>
    <x v="3"/>
    <x v="15"/>
    <n v="88"/>
    <n v="74"/>
    <n v="0.54300000000000004"/>
    <n v="10"/>
    <n v="866"/>
    <n v="794"/>
    <n v="72"/>
  </r>
  <r>
    <x v="38"/>
    <x v="3"/>
    <x v="19"/>
    <n v="76"/>
    <n v="86"/>
    <n v="0.46899999999999997"/>
    <n v="22"/>
    <n v="831"/>
    <n v="837"/>
    <n v="-6"/>
  </r>
  <r>
    <x v="39"/>
    <x v="0"/>
    <x v="0"/>
    <n v="106"/>
    <n v="56"/>
    <n v="0.65400000000000003"/>
    <n v="0"/>
    <n v="1070"/>
    <n v="775"/>
    <n v="295"/>
  </r>
  <r>
    <x v="39"/>
    <x v="0"/>
    <x v="1"/>
    <n v="105"/>
    <n v="57"/>
    <n v="0.64800000000000002"/>
    <n v="1"/>
    <n v="1036"/>
    <n v="804"/>
    <n v="232"/>
  </r>
  <r>
    <x v="39"/>
    <x v="0"/>
    <x v="2"/>
    <n v="77"/>
    <n v="85"/>
    <n v="0.47499999999999998"/>
    <n v="29"/>
    <n v="1000"/>
    <n v="995"/>
    <n v="5"/>
  </r>
  <r>
    <x v="39"/>
    <x v="0"/>
    <x v="3"/>
    <n v="76"/>
    <n v="86"/>
    <n v="0.46899999999999997"/>
    <n v="30"/>
    <n v="855"/>
    <n v="976"/>
    <n v="-121"/>
  </r>
  <r>
    <x v="39"/>
    <x v="0"/>
    <x v="4"/>
    <n v="54"/>
    <n v="108"/>
    <n v="0.33300000000000002"/>
    <n v="52"/>
    <n v="763"/>
    <n v="1006"/>
    <n v="-243"/>
  </r>
  <r>
    <x v="39"/>
    <x v="1"/>
    <x v="5"/>
    <n v="101"/>
    <n v="61"/>
    <n v="0.623"/>
    <n v="0"/>
    <n v="959"/>
    <n v="740"/>
    <n v="219"/>
  </r>
  <r>
    <x v="39"/>
    <x v="1"/>
    <x v="7"/>
    <n v="74"/>
    <n v="88"/>
    <n v="0.45700000000000002"/>
    <n v="27"/>
    <n v="1031"/>
    <n v="1128"/>
    <n v="-97"/>
  </r>
  <r>
    <x v="39"/>
    <x v="1"/>
    <x v="6"/>
    <n v="62"/>
    <n v="100"/>
    <n v="0.38300000000000001"/>
    <n v="39"/>
    <n v="750"/>
    <n v="903"/>
    <n v="-153"/>
  </r>
  <r>
    <x v="39"/>
    <x v="1"/>
    <x v="8"/>
    <n v="62"/>
    <n v="100"/>
    <n v="0.38300000000000001"/>
    <n v="39"/>
    <n v="825"/>
    <n v="997"/>
    <n v="-172"/>
  </r>
  <r>
    <x v="39"/>
    <x v="1"/>
    <x v="9"/>
    <n v="44"/>
    <n v="118"/>
    <n v="0.27200000000000002"/>
    <n v="57"/>
    <n v="680"/>
    <n v="1075"/>
    <n v="-395"/>
  </r>
  <r>
    <x v="39"/>
    <x v="2"/>
    <x v="10"/>
    <n v="100"/>
    <n v="62"/>
    <n v="0.61699999999999999"/>
    <n v="0"/>
    <n v="967"/>
    <n v="745"/>
    <n v="222"/>
  </r>
  <r>
    <x v="39"/>
    <x v="2"/>
    <x v="11"/>
    <n v="92"/>
    <n v="70"/>
    <n v="0.56799999999999995"/>
    <n v="8"/>
    <n v="847"/>
    <n v="775"/>
    <n v="72"/>
  </r>
  <r>
    <x v="39"/>
    <x v="2"/>
    <x v="12"/>
    <n v="75"/>
    <n v="87"/>
    <n v="0.46300000000000002"/>
    <n v="25"/>
    <n v="779"/>
    <n v="909"/>
    <n v="-130"/>
  </r>
  <r>
    <x v="39"/>
    <x v="2"/>
    <x v="13"/>
    <n v="69"/>
    <n v="93"/>
    <n v="0.42599999999999999"/>
    <n v="31"/>
    <n v="742"/>
    <n v="894"/>
    <n v="-152"/>
  </r>
  <r>
    <x v="39"/>
    <x v="2"/>
    <x v="14"/>
    <n v="60"/>
    <n v="102"/>
    <n v="0.37"/>
    <n v="40"/>
    <n v="726"/>
    <n v="911"/>
    <n v="-185"/>
  </r>
  <r>
    <x v="39"/>
    <x v="3"/>
    <x v="17"/>
    <n v="104"/>
    <n v="58"/>
    <n v="0.64200000000000002"/>
    <n v="0"/>
    <n v="909"/>
    <n v="662"/>
    <n v="247"/>
  </r>
  <r>
    <x v="39"/>
    <x v="3"/>
    <x v="18"/>
    <n v="103"/>
    <n v="59"/>
    <n v="0.63600000000000001"/>
    <n v="1"/>
    <n v="1030"/>
    <n v="793"/>
    <n v="237"/>
  </r>
  <r>
    <x v="39"/>
    <x v="3"/>
    <x v="15"/>
    <n v="94"/>
    <n v="68"/>
    <n v="0.57999999999999996"/>
    <n v="10"/>
    <n v="861"/>
    <n v="772"/>
    <n v="89"/>
  </r>
  <r>
    <x v="39"/>
    <x v="3"/>
    <x v="16"/>
    <n v="84"/>
    <n v="78"/>
    <n v="0.51900000000000002"/>
    <n v="20"/>
    <n v="976"/>
    <n v="932"/>
    <n v="44"/>
  </r>
  <r>
    <x v="39"/>
    <x v="3"/>
    <x v="19"/>
    <n v="78"/>
    <n v="84"/>
    <n v="0.48099999999999998"/>
    <n v="26"/>
    <n v="869"/>
    <n v="883"/>
    <n v="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:AO28" firstHeaderRow="1" firstDataRow="2" firstDataCol="1"/>
  <pivotFields count="10">
    <pivotField axis="axisCol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 defaultSubtotal="0">
      <items count="4">
        <item x="0"/>
        <item x="1"/>
        <item x="2"/>
        <item x="3"/>
      </items>
    </pivotField>
    <pivotField axis="axisRow" showAll="0">
      <items count="21">
        <item x="10"/>
        <item x="17"/>
        <item x="2"/>
        <item x="0"/>
        <item x="8"/>
        <item x="11"/>
        <item x="12"/>
        <item x="9"/>
        <item x="19"/>
        <item x="18"/>
        <item x="15"/>
        <item x="14"/>
        <item x="1"/>
        <item x="5"/>
        <item x="13"/>
        <item x="7"/>
        <item x="4"/>
        <item x="6"/>
        <item x="3"/>
        <item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24">
    <i>
      <x/>
    </i>
    <i r="1">
      <x v="2"/>
    </i>
    <i r="1">
      <x v="3"/>
    </i>
    <i r="1">
      <x v="12"/>
    </i>
    <i r="1">
      <x v="16"/>
    </i>
    <i r="1">
      <x v="18"/>
    </i>
    <i>
      <x v="1"/>
    </i>
    <i r="1">
      <x v="4"/>
    </i>
    <i r="1">
      <x v="7"/>
    </i>
    <i r="1">
      <x v="13"/>
    </i>
    <i r="1">
      <x v="15"/>
    </i>
    <i r="1">
      <x v="17"/>
    </i>
    <i>
      <x v="2"/>
    </i>
    <i r="1">
      <x/>
    </i>
    <i r="1">
      <x v="5"/>
    </i>
    <i r="1">
      <x v="6"/>
    </i>
    <i r="1">
      <x v="11"/>
    </i>
    <i r="1">
      <x v="14"/>
    </i>
    <i>
      <x v="3"/>
    </i>
    <i r="1">
      <x v="1"/>
    </i>
    <i r="1">
      <x v="8"/>
    </i>
    <i r="1">
      <x v="9"/>
    </i>
    <i r="1">
      <x v="10"/>
    </i>
    <i r="1">
      <x v="19"/>
    </i>
  </rowItems>
  <colFields count="1">
    <field x="0"/>
  </colFields>
  <col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colItems>
  <dataFields count="1">
    <dataField name="Sum of 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Seven More Minutes">
      <a:dk1>
        <a:srgbClr xmlns:mc="http://schemas.openxmlformats.org/markup-compatibility/2006" xmlns:a14="http://schemas.microsoft.com/office/drawing/2010/main" val="012110" mc:Ignorable=""/>
      </a:dk1>
      <a:lt1>
        <a:srgbClr xmlns:mc="http://schemas.openxmlformats.org/markup-compatibility/2006" xmlns:a14="http://schemas.microsoft.com/office/drawing/2010/main" val="E1FFDD" mc:Ignorable=""/>
      </a:lt1>
      <a:dk2>
        <a:srgbClr xmlns:mc="http://schemas.openxmlformats.org/markup-compatibility/2006" xmlns:a14="http://schemas.microsoft.com/office/drawing/2010/main" val="0E1A13" mc:Ignorable=""/>
      </a:dk2>
      <a:lt2>
        <a:srgbClr xmlns:mc="http://schemas.openxmlformats.org/markup-compatibility/2006" xmlns:a14="http://schemas.microsoft.com/office/drawing/2010/main" val="C7DBC6" mc:Ignorable=""/>
      </a:lt2>
      <a:accent1>
        <a:srgbClr xmlns:mc="http://schemas.openxmlformats.org/markup-compatibility/2006" xmlns:a14="http://schemas.microsoft.com/office/drawing/2010/main" val="247935" mc:Ignorable=""/>
      </a:accent1>
      <a:accent2>
        <a:srgbClr xmlns:mc="http://schemas.openxmlformats.org/markup-compatibility/2006" xmlns:a14="http://schemas.microsoft.com/office/drawing/2010/main" val="55B43A" mc:Ignorable=""/>
      </a:accent2>
      <a:accent3>
        <a:srgbClr xmlns:mc="http://schemas.openxmlformats.org/markup-compatibility/2006" xmlns:a14="http://schemas.microsoft.com/office/drawing/2010/main" val="95CD43" mc:Ignorable=""/>
      </a:accent3>
      <a:accent4>
        <a:srgbClr xmlns:mc="http://schemas.openxmlformats.org/markup-compatibility/2006" xmlns:a14="http://schemas.microsoft.com/office/drawing/2010/main" val="3F6045" mc:Ignorable=""/>
      </a:accent4>
      <a:accent5>
        <a:srgbClr xmlns:mc="http://schemas.openxmlformats.org/markup-compatibility/2006" xmlns:a14="http://schemas.microsoft.com/office/drawing/2010/main" val="6A905F" mc:Ignorable=""/>
      </a:accent5>
      <a:accent6>
        <a:srgbClr xmlns:mc="http://schemas.openxmlformats.org/markup-compatibility/2006" xmlns:a14="http://schemas.microsoft.com/office/drawing/2010/main" val="8EA46D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2"/>
  <sheetViews>
    <sheetView topLeftCell="B1" workbookViewId="0">
      <pane ySplit="2" topLeftCell="A3" activePane="bottomLeft" state="frozen"/>
      <selection pane="bottomLeft" activeCell="O1" sqref="O1:AC1"/>
    </sheetView>
  </sheetViews>
  <sheetFormatPr defaultColWidth="7.7109375" defaultRowHeight="15" x14ac:dyDescent="0.25"/>
  <cols>
    <col min="1" max="1" width="7.5703125" bestFit="1" customWidth="1"/>
    <col min="2" max="2" width="10.28515625" bestFit="1" customWidth="1"/>
    <col min="3" max="3" width="26.28515625" bestFit="1" customWidth="1"/>
    <col min="4" max="4" width="5.140625" bestFit="1" customWidth="1"/>
    <col min="5" max="5" width="4.140625" bestFit="1" customWidth="1"/>
    <col min="6" max="6" width="6" bestFit="1" customWidth="1"/>
    <col min="7" max="7" width="5.7109375" bestFit="1" customWidth="1"/>
    <col min="8" max="8" width="5.42578125" bestFit="1" customWidth="1"/>
    <col min="9" max="9" width="5.7109375" bestFit="1" customWidth="1"/>
    <col min="10" max="10" width="7.140625" bestFit="1" customWidth="1"/>
    <col min="11" max="11" width="4.28515625" bestFit="1" customWidth="1"/>
    <col min="12" max="13" width="4" bestFit="1" customWidth="1"/>
    <col min="14" max="14" width="4" customWidth="1"/>
    <col min="15" max="15" width="9.7109375" bestFit="1" customWidth="1"/>
    <col min="16" max="16" width="26.28515625" bestFit="1" customWidth="1"/>
    <col min="17" max="18" width="5.7109375" bestFit="1" customWidth="1"/>
    <col min="19" max="19" width="6.140625" bestFit="1" customWidth="1"/>
    <col min="20" max="20" width="5.140625" bestFit="1" customWidth="1"/>
    <col min="21" max="22" width="7.140625" bestFit="1" customWidth="1"/>
    <col min="23" max="23" width="6.85546875" bestFit="1" customWidth="1"/>
    <col min="24" max="26" width="5.42578125" bestFit="1" customWidth="1"/>
    <col min="27" max="27" width="6.140625" bestFit="1" customWidth="1"/>
    <col min="28" max="28" width="5.7109375" bestFit="1" customWidth="1"/>
    <col min="29" max="29" width="5.5703125" bestFit="1" customWidth="1"/>
  </cols>
  <sheetData>
    <row r="1" spans="1:31" ht="19.5" thickBot="1" x14ac:dyDescent="0.35">
      <c r="O1" s="73" t="s">
        <v>41</v>
      </c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</row>
    <row r="2" spans="1:31" ht="15.75" thickBot="1" x14ac:dyDescent="0.3">
      <c r="A2" t="s">
        <v>33</v>
      </c>
      <c r="B2" t="s">
        <v>28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38</v>
      </c>
      <c r="L2" t="s">
        <v>34</v>
      </c>
      <c r="M2" t="s">
        <v>39</v>
      </c>
      <c r="O2" s="22" t="s">
        <v>40</v>
      </c>
      <c r="P2" s="22" t="s">
        <v>0</v>
      </c>
      <c r="Q2" s="23" t="s">
        <v>1</v>
      </c>
      <c r="R2" s="23" t="s">
        <v>2</v>
      </c>
      <c r="S2" s="23" t="s">
        <v>3</v>
      </c>
      <c r="T2" s="23" t="s">
        <v>4</v>
      </c>
      <c r="U2" s="23" t="s">
        <v>5</v>
      </c>
      <c r="V2" s="23" t="s">
        <v>6</v>
      </c>
      <c r="W2" s="23" t="s">
        <v>7</v>
      </c>
      <c r="X2" s="23" t="s">
        <v>38</v>
      </c>
      <c r="Y2" s="23" t="s">
        <v>34</v>
      </c>
      <c r="Z2" s="23" t="s">
        <v>39</v>
      </c>
      <c r="AA2" s="24">
        <v>2.0605345624726366</v>
      </c>
      <c r="AB2" s="23" t="s">
        <v>35</v>
      </c>
      <c r="AC2" s="23" t="s">
        <v>36</v>
      </c>
    </row>
    <row r="3" spans="1:31" x14ac:dyDescent="0.25">
      <c r="A3">
        <v>1</v>
      </c>
      <c r="B3" t="s">
        <v>31</v>
      </c>
      <c r="C3" t="s">
        <v>18</v>
      </c>
      <c r="D3">
        <v>116</v>
      </c>
      <c r="E3">
        <v>46</v>
      </c>
      <c r="F3">
        <v>0.71599999999999997</v>
      </c>
      <c r="G3">
        <v>0</v>
      </c>
      <c r="H3">
        <v>1031</v>
      </c>
      <c r="I3">
        <v>747</v>
      </c>
      <c r="J3">
        <v>284</v>
      </c>
      <c r="K3">
        <v>1</v>
      </c>
      <c r="O3" s="18" t="s">
        <v>31</v>
      </c>
      <c r="P3" s="10" t="s">
        <v>18</v>
      </c>
      <c r="Q3" s="11">
        <f t="shared" ref="Q3:Q22" si="0">AVERAGEIF($C$3:$C$322,$P3,D$3:D$322)</f>
        <v>108.6875</v>
      </c>
      <c r="R3" s="11">
        <f t="shared" ref="R3:R22" si="1">AVERAGEIF($C$3:$C$322,$P3,E$3:E$322)</f>
        <v>53.3125</v>
      </c>
      <c r="S3" s="12">
        <f t="shared" ref="S3:S22" si="2">Q3/(Q3+R3)</f>
        <v>0.6709104938271605</v>
      </c>
      <c r="T3" s="11">
        <f t="shared" ref="T3:T22" si="3">AVERAGEIF($C$3:$C$322,$P3,G$3:G$322)</f>
        <v>0.125</v>
      </c>
      <c r="U3" s="11">
        <f t="shared" ref="U3:U22" si="4">AVERAGEIF($C$3:$C$322,$P3,H$3:H$322)</f>
        <v>1039.3125</v>
      </c>
      <c r="V3" s="11">
        <f t="shared" ref="V3:V22" si="5">AVERAGEIF($C$3:$C$322,$P3,I$3:I$322)</f>
        <v>761.3125</v>
      </c>
      <c r="W3" s="11">
        <f t="shared" ref="W3:W22" si="6">U3-V3</f>
        <v>278</v>
      </c>
      <c r="X3" s="13">
        <f t="shared" ref="X3:X22" si="7">SUMIF($C$3:$C$322,$P3,K$3:K$322)</f>
        <v>11.5</v>
      </c>
      <c r="Y3" s="13">
        <f t="shared" ref="Y3:Y22" si="8">SUMIF($C$3:$C$322,$P3,L$3:L$322)</f>
        <v>3.5</v>
      </c>
      <c r="Z3" s="13">
        <f t="shared" ref="Z3:Z22" si="9">SUMIF($C$3:$C$322,$P3,M$3:M$322)</f>
        <v>1</v>
      </c>
      <c r="AA3" s="12">
        <f t="shared" ref="AA3:AA22" si="10">U3^AA$2/(U3^AA$2+V3^AA$2)</f>
        <v>0.65506630251501252</v>
      </c>
      <c r="AB3" s="11">
        <f t="shared" ref="AB3:AB22" si="11">AA3*(Q3+R3)</f>
        <v>106.12074100743203</v>
      </c>
      <c r="AC3" s="11">
        <f t="shared" ref="AC3:AC22" si="12">(Q3-AB3)^2</f>
        <v>6.5882517259285365</v>
      </c>
      <c r="AE3" s="38"/>
    </row>
    <row r="4" spans="1:31" x14ac:dyDescent="0.25">
      <c r="A4">
        <v>1</v>
      </c>
      <c r="B4" t="s">
        <v>31</v>
      </c>
      <c r="C4" t="s">
        <v>19</v>
      </c>
      <c r="D4">
        <v>99</v>
      </c>
      <c r="E4">
        <v>63</v>
      </c>
      <c r="F4">
        <v>0.61099999999999999</v>
      </c>
      <c r="G4">
        <v>17</v>
      </c>
      <c r="H4">
        <v>979</v>
      </c>
      <c r="I4">
        <v>773</v>
      </c>
      <c r="J4">
        <v>206</v>
      </c>
      <c r="M4">
        <v>1</v>
      </c>
      <c r="O4" s="19" t="s">
        <v>31</v>
      </c>
      <c r="P4" s="14" t="s">
        <v>19</v>
      </c>
      <c r="Q4" s="15">
        <f t="shared" si="0"/>
        <v>95.25</v>
      </c>
      <c r="R4" s="15">
        <f t="shared" si="1"/>
        <v>66.75</v>
      </c>
      <c r="S4" s="16">
        <f t="shared" si="2"/>
        <v>0.58796296296296291</v>
      </c>
      <c r="T4" s="15">
        <f t="shared" si="3"/>
        <v>13.5625</v>
      </c>
      <c r="U4" s="15">
        <f t="shared" si="4"/>
        <v>957.3125</v>
      </c>
      <c r="V4" s="15">
        <f t="shared" si="5"/>
        <v>807</v>
      </c>
      <c r="W4" s="15">
        <f t="shared" si="6"/>
        <v>150.3125</v>
      </c>
      <c r="X4" s="17">
        <f t="shared" si="7"/>
        <v>1</v>
      </c>
      <c r="Y4" s="17">
        <f t="shared" si="8"/>
        <v>0</v>
      </c>
      <c r="Z4" s="17">
        <f t="shared" si="9"/>
        <v>12.166666666666666</v>
      </c>
      <c r="AA4" s="16">
        <f t="shared" si="10"/>
        <v>0.58709087828401219</v>
      </c>
      <c r="AB4" s="15">
        <f t="shared" si="11"/>
        <v>95.108722282009978</v>
      </c>
      <c r="AC4" s="15">
        <f t="shared" si="12"/>
        <v>1.9959393600468119E-2</v>
      </c>
      <c r="AE4" s="38"/>
    </row>
    <row r="5" spans="1:31" x14ac:dyDescent="0.25">
      <c r="A5">
        <v>1</v>
      </c>
      <c r="B5" t="s">
        <v>31</v>
      </c>
      <c r="C5" t="s">
        <v>20</v>
      </c>
      <c r="D5">
        <v>84</v>
      </c>
      <c r="E5">
        <v>78</v>
      </c>
      <c r="F5">
        <v>0.51900000000000002</v>
      </c>
      <c r="G5">
        <v>32</v>
      </c>
      <c r="H5">
        <v>973</v>
      </c>
      <c r="I5">
        <v>943</v>
      </c>
      <c r="J5">
        <v>30</v>
      </c>
      <c r="O5" s="19" t="s">
        <v>31</v>
      </c>
      <c r="P5" s="14" t="s">
        <v>20</v>
      </c>
      <c r="Q5" s="15">
        <f t="shared" si="0"/>
        <v>87.75</v>
      </c>
      <c r="R5" s="15">
        <f t="shared" si="1"/>
        <v>74.25</v>
      </c>
      <c r="S5" s="16">
        <f t="shared" si="2"/>
        <v>0.54166666666666663</v>
      </c>
      <c r="T5" s="15">
        <f t="shared" si="3"/>
        <v>21.0625</v>
      </c>
      <c r="U5" s="15">
        <f t="shared" si="4"/>
        <v>963.625</v>
      </c>
      <c r="V5" s="15">
        <f t="shared" si="5"/>
        <v>897.375</v>
      </c>
      <c r="W5" s="15">
        <f t="shared" si="6"/>
        <v>66.25</v>
      </c>
      <c r="X5" s="17">
        <f t="shared" si="7"/>
        <v>0</v>
      </c>
      <c r="Y5" s="17">
        <f t="shared" si="8"/>
        <v>0</v>
      </c>
      <c r="Z5" s="17">
        <f t="shared" si="9"/>
        <v>2.6666666666666665</v>
      </c>
      <c r="AA5" s="16">
        <f t="shared" si="10"/>
        <v>0.53662641076521467</v>
      </c>
      <c r="AB5" s="15">
        <f t="shared" si="11"/>
        <v>86.933478543964782</v>
      </c>
      <c r="AC5" s="15">
        <f t="shared" si="12"/>
        <v>0.66670728816587299</v>
      </c>
      <c r="AE5" s="38"/>
    </row>
    <row r="6" spans="1:31" x14ac:dyDescent="0.25">
      <c r="A6">
        <v>1</v>
      </c>
      <c r="B6" t="s">
        <v>31</v>
      </c>
      <c r="C6" t="s">
        <v>21</v>
      </c>
      <c r="D6">
        <v>83</v>
      </c>
      <c r="E6">
        <v>79</v>
      </c>
      <c r="F6">
        <v>0.51200000000000001</v>
      </c>
      <c r="G6">
        <v>33</v>
      </c>
      <c r="H6">
        <v>831</v>
      </c>
      <c r="I6">
        <v>901</v>
      </c>
      <c r="J6">
        <v>-70</v>
      </c>
      <c r="O6" s="19" t="s">
        <v>31</v>
      </c>
      <c r="P6" s="33" t="s">
        <v>21</v>
      </c>
      <c r="Q6" s="34">
        <f t="shared" si="0"/>
        <v>69</v>
      </c>
      <c r="R6" s="34">
        <f t="shared" si="1"/>
        <v>93</v>
      </c>
      <c r="S6" s="35">
        <f t="shared" si="2"/>
        <v>0.42592592592592593</v>
      </c>
      <c r="T6" s="34">
        <f t="shared" si="3"/>
        <v>39.8125</v>
      </c>
      <c r="U6" s="34">
        <f t="shared" si="4"/>
        <v>841.3125</v>
      </c>
      <c r="V6" s="34">
        <f t="shared" si="5"/>
        <v>982.75</v>
      </c>
      <c r="W6" s="34">
        <f t="shared" si="6"/>
        <v>-141.4375</v>
      </c>
      <c r="X6" s="36">
        <f t="shared" si="7"/>
        <v>0</v>
      </c>
      <c r="Y6" s="36">
        <f t="shared" si="8"/>
        <v>0</v>
      </c>
      <c r="Z6" s="36">
        <f t="shared" si="9"/>
        <v>0</v>
      </c>
      <c r="AA6" s="35">
        <f t="shared" si="10"/>
        <v>0.42062950603636068</v>
      </c>
      <c r="AB6" s="34">
        <f t="shared" si="11"/>
        <v>68.141979977890429</v>
      </c>
      <c r="AC6" s="34">
        <f t="shared" si="12"/>
        <v>0.73619835834090841</v>
      </c>
      <c r="AE6" s="38"/>
    </row>
    <row r="7" spans="1:31" ht="15.75" thickBot="1" x14ac:dyDescent="0.3">
      <c r="A7">
        <v>1</v>
      </c>
      <c r="B7" t="s">
        <v>31</v>
      </c>
      <c r="C7" t="s">
        <v>22</v>
      </c>
      <c r="D7">
        <v>57</v>
      </c>
      <c r="E7">
        <v>105</v>
      </c>
      <c r="F7">
        <v>0.35199999999999998</v>
      </c>
      <c r="G7">
        <v>59</v>
      </c>
      <c r="H7">
        <v>793</v>
      </c>
      <c r="I7">
        <v>1043</v>
      </c>
      <c r="J7">
        <v>-250</v>
      </c>
      <c r="O7" s="19" t="s">
        <v>31</v>
      </c>
      <c r="P7" s="14" t="s">
        <v>22</v>
      </c>
      <c r="Q7" s="15">
        <f t="shared" si="0"/>
        <v>57.6875</v>
      </c>
      <c r="R7" s="15">
        <f t="shared" si="1"/>
        <v>104.3125</v>
      </c>
      <c r="S7" s="16">
        <f t="shared" si="2"/>
        <v>0.35609567901234568</v>
      </c>
      <c r="T7" s="15">
        <f t="shared" si="3"/>
        <v>51.125</v>
      </c>
      <c r="U7" s="15">
        <f t="shared" si="4"/>
        <v>791.3125</v>
      </c>
      <c r="V7" s="15">
        <f t="shared" si="5"/>
        <v>1058.8125</v>
      </c>
      <c r="W7" s="15">
        <f t="shared" si="6"/>
        <v>-267.5</v>
      </c>
      <c r="X7" s="17">
        <f t="shared" si="7"/>
        <v>0</v>
      </c>
      <c r="Y7" s="17">
        <f t="shared" si="8"/>
        <v>0</v>
      </c>
      <c r="Z7" s="17">
        <f t="shared" si="9"/>
        <v>0</v>
      </c>
      <c r="AA7" s="16">
        <f t="shared" si="10"/>
        <v>0.35433250109801578</v>
      </c>
      <c r="AB7" s="15">
        <f t="shared" si="11"/>
        <v>57.401865177878555</v>
      </c>
      <c r="AC7" s="15">
        <f t="shared" si="12"/>
        <v>8.1587251608349315E-2</v>
      </c>
      <c r="AE7" s="38"/>
    </row>
    <row r="8" spans="1:31" x14ac:dyDescent="0.25">
      <c r="A8">
        <v>1</v>
      </c>
      <c r="B8" t="s">
        <v>30</v>
      </c>
      <c r="C8" t="s">
        <v>13</v>
      </c>
      <c r="D8">
        <v>110</v>
      </c>
      <c r="E8">
        <v>52</v>
      </c>
      <c r="F8">
        <v>0.67900000000000005</v>
      </c>
      <c r="G8">
        <v>0</v>
      </c>
      <c r="H8">
        <v>1047</v>
      </c>
      <c r="I8">
        <v>729</v>
      </c>
      <c r="J8">
        <v>318</v>
      </c>
      <c r="K8">
        <v>1</v>
      </c>
      <c r="O8" s="20" t="s">
        <v>30</v>
      </c>
      <c r="P8" s="2" t="s">
        <v>13</v>
      </c>
      <c r="Q8" s="3">
        <f t="shared" si="0"/>
        <v>109.5625</v>
      </c>
      <c r="R8" s="3">
        <f t="shared" si="1"/>
        <v>52.4375</v>
      </c>
      <c r="S8" s="4">
        <f t="shared" si="2"/>
        <v>0.67631172839506171</v>
      </c>
      <c r="T8" s="3">
        <f t="shared" si="3"/>
        <v>0</v>
      </c>
      <c r="U8" s="3">
        <f t="shared" si="4"/>
        <v>986.9375</v>
      </c>
      <c r="V8" s="3">
        <f t="shared" si="5"/>
        <v>687.625</v>
      </c>
      <c r="W8" s="3">
        <f t="shared" si="6"/>
        <v>299.3125</v>
      </c>
      <c r="X8" s="5">
        <f t="shared" si="7"/>
        <v>13</v>
      </c>
      <c r="Y8" s="5">
        <f t="shared" si="8"/>
        <v>3</v>
      </c>
      <c r="Z8" s="5">
        <f t="shared" si="9"/>
        <v>0</v>
      </c>
      <c r="AA8" s="4">
        <f t="shared" si="10"/>
        <v>0.67800117449344732</v>
      </c>
      <c r="AB8" s="3">
        <f t="shared" si="11"/>
        <v>109.83619026793846</v>
      </c>
      <c r="AC8" s="3">
        <f t="shared" si="12"/>
        <v>7.4906362764227519E-2</v>
      </c>
      <c r="AE8" s="38"/>
    </row>
    <row r="9" spans="1:31" x14ac:dyDescent="0.25">
      <c r="A9">
        <v>1</v>
      </c>
      <c r="B9" t="s">
        <v>30</v>
      </c>
      <c r="C9" t="s">
        <v>14</v>
      </c>
      <c r="D9">
        <v>79</v>
      </c>
      <c r="E9">
        <v>83</v>
      </c>
      <c r="F9">
        <v>0.48799999999999999</v>
      </c>
      <c r="G9">
        <v>31</v>
      </c>
      <c r="H9">
        <v>780</v>
      </c>
      <c r="I9">
        <v>829</v>
      </c>
      <c r="J9">
        <v>-49</v>
      </c>
      <c r="O9" s="21" t="s">
        <v>30</v>
      </c>
      <c r="P9" s="1" t="s">
        <v>14</v>
      </c>
      <c r="Q9" s="6">
        <f t="shared" si="0"/>
        <v>72.6875</v>
      </c>
      <c r="R9" s="6">
        <f t="shared" si="1"/>
        <v>89.3125</v>
      </c>
      <c r="S9" s="7">
        <f t="shared" si="2"/>
        <v>0.44868827160493829</v>
      </c>
      <c r="T9" s="6">
        <f t="shared" si="3"/>
        <v>36.875</v>
      </c>
      <c r="U9" s="6">
        <f t="shared" si="4"/>
        <v>776.25</v>
      </c>
      <c r="V9" s="6">
        <f t="shared" si="5"/>
        <v>848.5625</v>
      </c>
      <c r="W9" s="6">
        <f t="shared" si="6"/>
        <v>-72.3125</v>
      </c>
      <c r="X9" s="8">
        <f t="shared" si="7"/>
        <v>0</v>
      </c>
      <c r="Y9" s="8">
        <f t="shared" si="8"/>
        <v>0</v>
      </c>
      <c r="Z9" s="8">
        <f t="shared" si="9"/>
        <v>0</v>
      </c>
      <c r="AA9" s="7">
        <f t="shared" si="10"/>
        <v>0.45424586304094522</v>
      </c>
      <c r="AB9" s="6">
        <f t="shared" si="11"/>
        <v>73.587829812633132</v>
      </c>
      <c r="AC9" s="6">
        <f t="shared" si="12"/>
        <v>0.81059377151600986</v>
      </c>
      <c r="AE9" s="38"/>
    </row>
    <row r="10" spans="1:31" x14ac:dyDescent="0.25">
      <c r="A10">
        <v>1</v>
      </c>
      <c r="B10" t="s">
        <v>30</v>
      </c>
      <c r="C10" t="s">
        <v>15</v>
      </c>
      <c r="D10">
        <v>71</v>
      </c>
      <c r="E10">
        <v>91</v>
      </c>
      <c r="F10">
        <v>0.438</v>
      </c>
      <c r="G10">
        <v>39</v>
      </c>
      <c r="H10">
        <v>1056</v>
      </c>
      <c r="I10">
        <v>1213</v>
      </c>
      <c r="J10">
        <v>-157</v>
      </c>
      <c r="O10" s="21" t="s">
        <v>30</v>
      </c>
      <c r="P10" s="29" t="s">
        <v>15</v>
      </c>
      <c r="Q10" s="30">
        <f t="shared" si="0"/>
        <v>71.5625</v>
      </c>
      <c r="R10" s="30">
        <f t="shared" si="1"/>
        <v>90.4375</v>
      </c>
      <c r="S10" s="31">
        <f t="shared" si="2"/>
        <v>0.44174382716049382</v>
      </c>
      <c r="T10" s="30">
        <f t="shared" si="3"/>
        <v>38</v>
      </c>
      <c r="U10" s="30">
        <f t="shared" si="4"/>
        <v>1017.8125</v>
      </c>
      <c r="V10" s="30">
        <f t="shared" si="5"/>
        <v>1146.3125</v>
      </c>
      <c r="W10" s="30">
        <f t="shared" si="6"/>
        <v>-128.5</v>
      </c>
      <c r="X10" s="32">
        <f t="shared" si="7"/>
        <v>0</v>
      </c>
      <c r="Y10" s="32">
        <f t="shared" si="8"/>
        <v>0</v>
      </c>
      <c r="Z10" s="32">
        <f t="shared" si="9"/>
        <v>0</v>
      </c>
      <c r="AA10" s="31">
        <f t="shared" si="10"/>
        <v>0.4390579153730661</v>
      </c>
      <c r="AB10" s="30">
        <f t="shared" si="11"/>
        <v>71.127382290436714</v>
      </c>
      <c r="AC10" s="30">
        <f t="shared" si="12"/>
        <v>0.18932742117560039</v>
      </c>
      <c r="AE10" s="38"/>
    </row>
    <row r="11" spans="1:31" x14ac:dyDescent="0.25">
      <c r="A11">
        <v>1</v>
      </c>
      <c r="B11" t="s">
        <v>30</v>
      </c>
      <c r="C11" t="s">
        <v>16</v>
      </c>
      <c r="D11">
        <v>59</v>
      </c>
      <c r="E11">
        <v>103</v>
      </c>
      <c r="F11">
        <v>0.36399999999999999</v>
      </c>
      <c r="G11">
        <v>51</v>
      </c>
      <c r="H11">
        <v>853</v>
      </c>
      <c r="I11">
        <v>1008</v>
      </c>
      <c r="J11">
        <v>-155</v>
      </c>
      <c r="O11" s="21" t="s">
        <v>30</v>
      </c>
      <c r="P11" s="1" t="s">
        <v>16</v>
      </c>
      <c r="Q11" s="6">
        <f t="shared" si="0"/>
        <v>61.5</v>
      </c>
      <c r="R11" s="6">
        <f t="shared" si="1"/>
        <v>100.5</v>
      </c>
      <c r="S11" s="7">
        <f t="shared" si="2"/>
        <v>0.37962962962962965</v>
      </c>
      <c r="T11" s="6">
        <f t="shared" si="3"/>
        <v>48.0625</v>
      </c>
      <c r="U11" s="6">
        <f t="shared" si="4"/>
        <v>821.75</v>
      </c>
      <c r="V11" s="6">
        <f t="shared" si="5"/>
        <v>1002.9375</v>
      </c>
      <c r="W11" s="6">
        <f t="shared" si="6"/>
        <v>-181.1875</v>
      </c>
      <c r="X11" s="8">
        <f t="shared" si="7"/>
        <v>0</v>
      </c>
      <c r="Y11" s="8">
        <f t="shared" si="8"/>
        <v>0</v>
      </c>
      <c r="Z11" s="8">
        <f t="shared" si="9"/>
        <v>0</v>
      </c>
      <c r="AA11" s="7">
        <f t="shared" si="10"/>
        <v>0.39877637216257389</v>
      </c>
      <c r="AB11" s="6">
        <f t="shared" si="11"/>
        <v>64.601772290336967</v>
      </c>
      <c r="AC11" s="6">
        <f t="shared" si="12"/>
        <v>9.6209913411022363</v>
      </c>
      <c r="AE11" s="38"/>
    </row>
    <row r="12" spans="1:31" ht="15.75" thickBot="1" x14ac:dyDescent="0.3">
      <c r="A12">
        <v>1</v>
      </c>
      <c r="B12" t="s">
        <v>30</v>
      </c>
      <c r="C12" t="s">
        <v>17</v>
      </c>
      <c r="D12">
        <v>42</v>
      </c>
      <c r="E12">
        <v>120</v>
      </c>
      <c r="F12">
        <v>0.25900000000000001</v>
      </c>
      <c r="G12">
        <v>68</v>
      </c>
      <c r="H12">
        <v>667</v>
      </c>
      <c r="I12">
        <v>1018</v>
      </c>
      <c r="J12">
        <v>-351</v>
      </c>
      <c r="O12" s="21" t="s">
        <v>30</v>
      </c>
      <c r="P12" s="1" t="s">
        <v>17</v>
      </c>
      <c r="Q12" s="6">
        <f t="shared" si="0"/>
        <v>44.625</v>
      </c>
      <c r="R12" s="6">
        <f t="shared" si="1"/>
        <v>117.375</v>
      </c>
      <c r="S12" s="7">
        <f t="shared" si="2"/>
        <v>0.27546296296296297</v>
      </c>
      <c r="T12" s="6">
        <f t="shared" si="3"/>
        <v>64.9375</v>
      </c>
      <c r="U12" s="6">
        <f t="shared" si="4"/>
        <v>655.8125</v>
      </c>
      <c r="V12" s="6">
        <f t="shared" si="5"/>
        <v>1052.875</v>
      </c>
      <c r="W12" s="6">
        <f t="shared" si="6"/>
        <v>-397.0625</v>
      </c>
      <c r="X12" s="8">
        <f t="shared" si="7"/>
        <v>0</v>
      </c>
      <c r="Y12" s="8">
        <f t="shared" si="8"/>
        <v>0</v>
      </c>
      <c r="Z12" s="8">
        <f t="shared" si="9"/>
        <v>0</v>
      </c>
      <c r="AA12" s="7">
        <f t="shared" si="10"/>
        <v>0.27379213538969321</v>
      </c>
      <c r="AB12" s="6">
        <f t="shared" si="11"/>
        <v>44.354325933130298</v>
      </c>
      <c r="AC12" s="6">
        <f t="shared" si="12"/>
        <v>7.3264450475784074E-2</v>
      </c>
      <c r="AE12" s="38"/>
    </row>
    <row r="13" spans="1:31" x14ac:dyDescent="0.25">
      <c r="A13">
        <v>1</v>
      </c>
      <c r="B13" t="s">
        <v>32</v>
      </c>
      <c r="C13" t="s">
        <v>23</v>
      </c>
      <c r="D13">
        <v>90</v>
      </c>
      <c r="E13">
        <v>72</v>
      </c>
      <c r="F13">
        <v>0.55600000000000005</v>
      </c>
      <c r="G13">
        <v>0</v>
      </c>
      <c r="H13">
        <v>896</v>
      </c>
      <c r="I13">
        <v>834</v>
      </c>
      <c r="J13">
        <v>62</v>
      </c>
      <c r="L13">
        <v>1</v>
      </c>
      <c r="O13" s="18" t="s">
        <v>32</v>
      </c>
      <c r="P13" s="10" t="s">
        <v>23</v>
      </c>
      <c r="Q13" s="11">
        <f t="shared" si="0"/>
        <v>103</v>
      </c>
      <c r="R13" s="11">
        <f t="shared" si="1"/>
        <v>59</v>
      </c>
      <c r="S13" s="12">
        <f t="shared" si="2"/>
        <v>0.63580246913580252</v>
      </c>
      <c r="T13" s="11">
        <f t="shared" si="3"/>
        <v>0</v>
      </c>
      <c r="U13" s="11">
        <f t="shared" si="4"/>
        <v>950.875</v>
      </c>
      <c r="V13" s="11">
        <f t="shared" si="5"/>
        <v>717.125</v>
      </c>
      <c r="W13" s="11">
        <f t="shared" si="6"/>
        <v>233.75</v>
      </c>
      <c r="X13" s="13">
        <f t="shared" si="7"/>
        <v>4.5</v>
      </c>
      <c r="Y13" s="13">
        <f t="shared" si="8"/>
        <v>11</v>
      </c>
      <c r="Z13" s="13">
        <f t="shared" si="9"/>
        <v>0.5</v>
      </c>
      <c r="AA13" s="12">
        <f t="shared" si="10"/>
        <v>0.64137652504857345</v>
      </c>
      <c r="AB13" s="11">
        <f t="shared" si="11"/>
        <v>103.9029970578689</v>
      </c>
      <c r="AC13" s="11">
        <f t="shared" si="12"/>
        <v>0.81540368651989259</v>
      </c>
      <c r="AE13" s="38"/>
    </row>
    <row r="14" spans="1:31" x14ac:dyDescent="0.25">
      <c r="A14">
        <v>1</v>
      </c>
      <c r="B14" t="s">
        <v>32</v>
      </c>
      <c r="C14" t="s">
        <v>24</v>
      </c>
      <c r="D14">
        <v>82</v>
      </c>
      <c r="E14">
        <v>80</v>
      </c>
      <c r="F14">
        <v>0.50600000000000001</v>
      </c>
      <c r="G14">
        <v>8</v>
      </c>
      <c r="H14">
        <v>834</v>
      </c>
      <c r="I14">
        <v>839</v>
      </c>
      <c r="J14">
        <v>-5</v>
      </c>
      <c r="O14" s="19" t="s">
        <v>32</v>
      </c>
      <c r="P14" s="14" t="s">
        <v>24</v>
      </c>
      <c r="Q14" s="15">
        <f t="shared" si="0"/>
        <v>86.4375</v>
      </c>
      <c r="R14" s="15">
        <f t="shared" si="1"/>
        <v>75.5625</v>
      </c>
      <c r="S14" s="16">
        <f t="shared" si="2"/>
        <v>0.53356481481481477</v>
      </c>
      <c r="T14" s="15">
        <f t="shared" si="3"/>
        <v>16.5625</v>
      </c>
      <c r="U14" s="15">
        <f t="shared" si="4"/>
        <v>843.5</v>
      </c>
      <c r="V14" s="15">
        <f t="shared" si="5"/>
        <v>797.9375</v>
      </c>
      <c r="W14" s="15">
        <f t="shared" si="6"/>
        <v>45.5625</v>
      </c>
      <c r="X14" s="17">
        <f t="shared" si="7"/>
        <v>0</v>
      </c>
      <c r="Y14" s="17">
        <f t="shared" si="8"/>
        <v>0.5</v>
      </c>
      <c r="Z14" s="17">
        <f t="shared" si="9"/>
        <v>3.5</v>
      </c>
      <c r="AA14" s="16">
        <f t="shared" si="10"/>
        <v>0.52857401195572407</v>
      </c>
      <c r="AB14" s="15">
        <f t="shared" si="11"/>
        <v>85.628989936827296</v>
      </c>
      <c r="AC14" s="15">
        <f t="shared" si="12"/>
        <v>0.65368852225153051</v>
      </c>
      <c r="AE14" s="38"/>
    </row>
    <row r="15" spans="1:31" x14ac:dyDescent="0.25">
      <c r="A15">
        <v>1</v>
      </c>
      <c r="B15" t="s">
        <v>32</v>
      </c>
      <c r="C15" t="s">
        <v>26</v>
      </c>
      <c r="D15">
        <v>73</v>
      </c>
      <c r="E15">
        <v>89</v>
      </c>
      <c r="F15">
        <v>0.45100000000000001</v>
      </c>
      <c r="G15">
        <v>17</v>
      </c>
      <c r="H15">
        <v>794</v>
      </c>
      <c r="I15">
        <v>850</v>
      </c>
      <c r="J15">
        <v>-56</v>
      </c>
      <c r="O15" s="19" t="s">
        <v>32</v>
      </c>
      <c r="P15" s="14" t="s">
        <v>25</v>
      </c>
      <c r="Q15" s="15">
        <f t="shared" si="0"/>
        <v>72.1875</v>
      </c>
      <c r="R15" s="15">
        <f t="shared" si="1"/>
        <v>89.8125</v>
      </c>
      <c r="S15" s="16">
        <f t="shared" si="2"/>
        <v>0.44560185185185186</v>
      </c>
      <c r="T15" s="15">
        <f t="shared" si="3"/>
        <v>30.8125</v>
      </c>
      <c r="U15" s="15">
        <f t="shared" si="4"/>
        <v>797.25</v>
      </c>
      <c r="V15" s="15">
        <f t="shared" si="5"/>
        <v>879.3125</v>
      </c>
      <c r="W15" s="15">
        <f t="shared" si="6"/>
        <v>-82.0625</v>
      </c>
      <c r="X15" s="17">
        <f t="shared" si="7"/>
        <v>0</v>
      </c>
      <c r="Y15" s="17">
        <f t="shared" si="8"/>
        <v>0</v>
      </c>
      <c r="Z15" s="17">
        <f t="shared" si="9"/>
        <v>0</v>
      </c>
      <c r="AA15" s="16">
        <f t="shared" si="10"/>
        <v>0.44970200521000031</v>
      </c>
      <c r="AB15" s="15">
        <f t="shared" si="11"/>
        <v>72.851724844020055</v>
      </c>
      <c r="AC15" s="15">
        <f t="shared" si="12"/>
        <v>0.44119464341346593</v>
      </c>
      <c r="AE15" s="38"/>
    </row>
    <row r="16" spans="1:31" x14ac:dyDescent="0.25">
      <c r="A16">
        <v>1</v>
      </c>
      <c r="B16" t="s">
        <v>32</v>
      </c>
      <c r="C16" t="s">
        <v>27</v>
      </c>
      <c r="D16">
        <v>70</v>
      </c>
      <c r="E16">
        <v>92</v>
      </c>
      <c r="F16">
        <v>0.432</v>
      </c>
      <c r="G16">
        <v>20</v>
      </c>
      <c r="H16">
        <v>876</v>
      </c>
      <c r="I16">
        <v>914</v>
      </c>
      <c r="J16">
        <v>-38</v>
      </c>
      <c r="O16" s="19" t="s">
        <v>32</v>
      </c>
      <c r="P16" s="33" t="s">
        <v>26</v>
      </c>
      <c r="Q16" s="34">
        <f t="shared" si="0"/>
        <v>70</v>
      </c>
      <c r="R16" s="34">
        <f t="shared" si="1"/>
        <v>92</v>
      </c>
      <c r="S16" s="35">
        <f>Q16/(Q16+R16)</f>
        <v>0.43209876543209874</v>
      </c>
      <c r="T16" s="34">
        <f t="shared" si="3"/>
        <v>33</v>
      </c>
      <c r="U16" s="34">
        <f t="shared" si="4"/>
        <v>749.1875</v>
      </c>
      <c r="V16" s="34">
        <f t="shared" si="5"/>
        <v>866.6875</v>
      </c>
      <c r="W16" s="34">
        <f>U16-V16</f>
        <v>-117.5</v>
      </c>
      <c r="X16" s="36">
        <f t="shared" si="7"/>
        <v>0</v>
      </c>
      <c r="Y16" s="36">
        <f t="shared" si="8"/>
        <v>0</v>
      </c>
      <c r="Z16" s="36">
        <f t="shared" si="9"/>
        <v>0</v>
      </c>
      <c r="AA16" s="35">
        <f>U16^AA$2/(U16^AA$2+V16^AA$2)</f>
        <v>0.42550917739205074</v>
      </c>
      <c r="AB16" s="34">
        <f>AA16*(Q16+R16)</f>
        <v>68.932486737512221</v>
      </c>
      <c r="AC16" s="34">
        <f>(Q16-AB16)^2</f>
        <v>1.1395845655873018</v>
      </c>
      <c r="AE16" s="38"/>
    </row>
    <row r="17" spans="1:31" ht="15.75" thickBot="1" x14ac:dyDescent="0.3">
      <c r="A17">
        <v>1</v>
      </c>
      <c r="B17" t="s">
        <v>32</v>
      </c>
      <c r="C17" t="s">
        <v>25</v>
      </c>
      <c r="D17">
        <v>73</v>
      </c>
      <c r="E17">
        <v>89</v>
      </c>
      <c r="F17">
        <v>0.45100000000000001</v>
      </c>
      <c r="G17">
        <v>17</v>
      </c>
      <c r="H17">
        <v>843</v>
      </c>
      <c r="I17">
        <v>952</v>
      </c>
      <c r="J17">
        <v>-109</v>
      </c>
      <c r="O17" s="19" t="s">
        <v>32</v>
      </c>
      <c r="P17" s="33" t="s">
        <v>27</v>
      </c>
      <c r="Q17" s="34">
        <f t="shared" si="0"/>
        <v>67.6875</v>
      </c>
      <c r="R17" s="34">
        <f t="shared" si="1"/>
        <v>94.3125</v>
      </c>
      <c r="S17" s="35">
        <f t="shared" si="2"/>
        <v>0.41782407407407407</v>
      </c>
      <c r="T17" s="34">
        <f t="shared" si="3"/>
        <v>35.3125</v>
      </c>
      <c r="U17" s="34">
        <f t="shared" si="4"/>
        <v>776.6875</v>
      </c>
      <c r="V17" s="34">
        <f t="shared" si="5"/>
        <v>904.4375</v>
      </c>
      <c r="W17" s="34">
        <f t="shared" si="6"/>
        <v>-127.75</v>
      </c>
      <c r="X17" s="36">
        <f t="shared" si="7"/>
        <v>0</v>
      </c>
      <c r="Y17" s="36">
        <f t="shared" si="8"/>
        <v>0</v>
      </c>
      <c r="Z17" s="36">
        <f t="shared" si="9"/>
        <v>0</v>
      </c>
      <c r="AA17" s="35">
        <f t="shared" si="10"/>
        <v>0.42219524325039054</v>
      </c>
      <c r="AB17" s="34">
        <f t="shared" si="11"/>
        <v>68.395629406563273</v>
      </c>
      <c r="AC17" s="34">
        <f t="shared" si="12"/>
        <v>0.5014472564396536</v>
      </c>
      <c r="AE17" s="38"/>
    </row>
    <row r="18" spans="1:31" x14ac:dyDescent="0.25">
      <c r="A18">
        <v>1</v>
      </c>
      <c r="B18" t="s">
        <v>29</v>
      </c>
      <c r="C18" t="s">
        <v>8</v>
      </c>
      <c r="D18">
        <v>94</v>
      </c>
      <c r="E18">
        <v>68</v>
      </c>
      <c r="F18">
        <v>0.57999999999999996</v>
      </c>
      <c r="G18">
        <v>0</v>
      </c>
      <c r="H18">
        <v>801</v>
      </c>
      <c r="I18">
        <v>637</v>
      </c>
      <c r="J18">
        <v>164</v>
      </c>
      <c r="L18">
        <v>1</v>
      </c>
      <c r="O18" s="20" t="s">
        <v>29</v>
      </c>
      <c r="P18" s="2" t="s">
        <v>8</v>
      </c>
      <c r="Q18" s="3">
        <f t="shared" si="0"/>
        <v>94</v>
      </c>
      <c r="R18" s="3">
        <f t="shared" si="1"/>
        <v>68</v>
      </c>
      <c r="S18" s="4">
        <f t="shared" si="2"/>
        <v>0.58024691358024694</v>
      </c>
      <c r="T18" s="3">
        <f t="shared" si="3"/>
        <v>5.375</v>
      </c>
      <c r="U18" s="3">
        <f t="shared" si="4"/>
        <v>839.5</v>
      </c>
      <c r="V18" s="3">
        <f t="shared" si="5"/>
        <v>685.5625</v>
      </c>
      <c r="W18" s="3">
        <f t="shared" si="6"/>
        <v>153.9375</v>
      </c>
      <c r="X18" s="5">
        <f t="shared" si="7"/>
        <v>2</v>
      </c>
      <c r="Y18" s="5">
        <f t="shared" si="8"/>
        <v>2</v>
      </c>
      <c r="Z18" s="5">
        <f t="shared" si="9"/>
        <v>4.5</v>
      </c>
      <c r="AA18" s="4">
        <f t="shared" si="10"/>
        <v>0.60285994584446501</v>
      </c>
      <c r="AB18" s="3">
        <f t="shared" si="11"/>
        <v>97.66331122680333</v>
      </c>
      <c r="AC18" s="3">
        <f t="shared" si="12"/>
        <v>13.419849144423319</v>
      </c>
      <c r="AE18" s="38"/>
    </row>
    <row r="19" spans="1:31" x14ac:dyDescent="0.25">
      <c r="A19">
        <v>1</v>
      </c>
      <c r="B19" t="s">
        <v>29</v>
      </c>
      <c r="C19" t="s">
        <v>9</v>
      </c>
      <c r="D19">
        <v>93</v>
      </c>
      <c r="E19">
        <v>69</v>
      </c>
      <c r="F19">
        <v>0.57399999999999995</v>
      </c>
      <c r="G19">
        <v>1</v>
      </c>
      <c r="H19">
        <v>927</v>
      </c>
      <c r="I19">
        <v>872</v>
      </c>
      <c r="J19">
        <v>55</v>
      </c>
      <c r="M19">
        <v>1</v>
      </c>
      <c r="O19" s="21" t="s">
        <v>29</v>
      </c>
      <c r="P19" s="1" t="s">
        <v>10</v>
      </c>
      <c r="Q19" s="6">
        <f t="shared" si="0"/>
        <v>95.6875</v>
      </c>
      <c r="R19" s="6">
        <f t="shared" si="1"/>
        <v>66.3125</v>
      </c>
      <c r="S19" s="7">
        <f t="shared" si="2"/>
        <v>0.59066358024691357</v>
      </c>
      <c r="T19" s="6">
        <f t="shared" si="3"/>
        <v>3.6875</v>
      </c>
      <c r="U19" s="6">
        <f t="shared" si="4"/>
        <v>984.0625</v>
      </c>
      <c r="V19" s="6">
        <f t="shared" si="5"/>
        <v>831.9375</v>
      </c>
      <c r="W19" s="6">
        <f t="shared" si="6"/>
        <v>152.125</v>
      </c>
      <c r="X19" s="8">
        <f t="shared" si="7"/>
        <v>0</v>
      </c>
      <c r="Y19" s="8">
        <f t="shared" si="8"/>
        <v>8</v>
      </c>
      <c r="Z19" s="8">
        <f t="shared" si="9"/>
        <v>4.1666666666666661</v>
      </c>
      <c r="AA19" s="7">
        <f t="shared" si="10"/>
        <v>0.58565450591526713</v>
      </c>
      <c r="AB19" s="6">
        <f t="shared" si="11"/>
        <v>94.876029958273278</v>
      </c>
      <c r="AC19" s="6">
        <f t="shared" si="12"/>
        <v>0.65848362861996723</v>
      </c>
      <c r="AE19" s="38"/>
    </row>
    <row r="20" spans="1:31" x14ac:dyDescent="0.25">
      <c r="A20">
        <v>1</v>
      </c>
      <c r="B20" t="s">
        <v>29</v>
      </c>
      <c r="C20" t="s">
        <v>10</v>
      </c>
      <c r="D20">
        <v>89</v>
      </c>
      <c r="E20">
        <v>73</v>
      </c>
      <c r="F20">
        <v>0.54900000000000004</v>
      </c>
      <c r="G20">
        <v>5</v>
      </c>
      <c r="H20">
        <v>1007</v>
      </c>
      <c r="I20">
        <v>835</v>
      </c>
      <c r="J20">
        <v>172</v>
      </c>
      <c r="O20" s="21" t="s">
        <v>29</v>
      </c>
      <c r="P20" s="1" t="s">
        <v>9</v>
      </c>
      <c r="Q20" s="6">
        <f t="shared" si="0"/>
        <v>89.5</v>
      </c>
      <c r="R20" s="6">
        <f t="shared" si="1"/>
        <v>72.5</v>
      </c>
      <c r="S20" s="7">
        <f t="shared" si="2"/>
        <v>0.55246913580246915</v>
      </c>
      <c r="T20" s="6">
        <f t="shared" si="3"/>
        <v>9.875</v>
      </c>
      <c r="U20" s="6">
        <f t="shared" si="4"/>
        <v>946.125</v>
      </c>
      <c r="V20" s="6">
        <f t="shared" si="5"/>
        <v>844.9375</v>
      </c>
      <c r="W20" s="6">
        <f t="shared" si="6"/>
        <v>101.1875</v>
      </c>
      <c r="X20" s="8">
        <f t="shared" si="7"/>
        <v>0</v>
      </c>
      <c r="Y20" s="8">
        <f t="shared" si="8"/>
        <v>4</v>
      </c>
      <c r="Z20" s="8">
        <f t="shared" si="9"/>
        <v>3</v>
      </c>
      <c r="AA20" s="7">
        <f t="shared" si="10"/>
        <v>0.55800546995657796</v>
      </c>
      <c r="AB20" s="6">
        <f t="shared" si="11"/>
        <v>90.396886132965633</v>
      </c>
      <c r="AC20" s="6">
        <f t="shared" si="12"/>
        <v>0.80440473550604796</v>
      </c>
      <c r="AE20" s="38"/>
    </row>
    <row r="21" spans="1:31" x14ac:dyDescent="0.25">
      <c r="A21">
        <v>1</v>
      </c>
      <c r="B21" t="s">
        <v>29</v>
      </c>
      <c r="C21" t="s">
        <v>11</v>
      </c>
      <c r="D21">
        <v>83</v>
      </c>
      <c r="E21">
        <v>79</v>
      </c>
      <c r="F21">
        <v>0.51200000000000001</v>
      </c>
      <c r="G21">
        <v>11</v>
      </c>
      <c r="H21">
        <v>834</v>
      </c>
      <c r="I21">
        <v>828</v>
      </c>
      <c r="J21">
        <v>6</v>
      </c>
      <c r="O21" s="21" t="s">
        <v>29</v>
      </c>
      <c r="P21" s="1" t="s">
        <v>11</v>
      </c>
      <c r="Q21" s="6">
        <f t="shared" si="0"/>
        <v>85.75</v>
      </c>
      <c r="R21" s="6">
        <f t="shared" si="1"/>
        <v>76.25</v>
      </c>
      <c r="S21" s="7">
        <f t="shared" si="2"/>
        <v>0.52932098765432101</v>
      </c>
      <c r="T21" s="6">
        <f t="shared" si="3"/>
        <v>13.625</v>
      </c>
      <c r="U21" s="6">
        <f t="shared" si="4"/>
        <v>864.9375</v>
      </c>
      <c r="V21" s="6">
        <f t="shared" si="5"/>
        <v>795.5625</v>
      </c>
      <c r="W21" s="6">
        <f t="shared" si="6"/>
        <v>69.375</v>
      </c>
      <c r="X21" s="8">
        <f t="shared" si="7"/>
        <v>0</v>
      </c>
      <c r="Y21" s="8">
        <f t="shared" si="8"/>
        <v>0</v>
      </c>
      <c r="Z21" s="8">
        <f t="shared" si="9"/>
        <v>0.5</v>
      </c>
      <c r="AA21" s="7">
        <f t="shared" si="10"/>
        <v>0.54296300332371694</v>
      </c>
      <c r="AB21" s="6">
        <f t="shared" si="11"/>
        <v>87.960006538442144</v>
      </c>
      <c r="AC21" s="6">
        <f t="shared" si="12"/>
        <v>4.8841288999570285</v>
      </c>
      <c r="AE21" s="38"/>
    </row>
    <row r="22" spans="1:31" x14ac:dyDescent="0.25">
      <c r="A22">
        <v>1</v>
      </c>
      <c r="B22" t="s">
        <v>29</v>
      </c>
      <c r="C22" t="s">
        <v>12</v>
      </c>
      <c r="D22">
        <v>73</v>
      </c>
      <c r="E22">
        <v>89</v>
      </c>
      <c r="F22">
        <v>0.45100000000000001</v>
      </c>
      <c r="G22">
        <v>21</v>
      </c>
      <c r="H22">
        <v>751</v>
      </c>
      <c r="I22">
        <v>808</v>
      </c>
      <c r="J22">
        <v>-57</v>
      </c>
      <c r="O22" s="21" t="s">
        <v>29</v>
      </c>
      <c r="P22" s="1" t="s">
        <v>12</v>
      </c>
      <c r="Q22" s="6">
        <f t="shared" si="0"/>
        <v>77.4375</v>
      </c>
      <c r="R22" s="6">
        <f t="shared" si="1"/>
        <v>84.5625</v>
      </c>
      <c r="S22" s="7">
        <f t="shared" si="2"/>
        <v>0.47800925925925924</v>
      </c>
      <c r="T22" s="6">
        <f t="shared" si="3"/>
        <v>21.9375</v>
      </c>
      <c r="U22" s="6">
        <f t="shared" si="4"/>
        <v>811.3125</v>
      </c>
      <c r="V22" s="6">
        <f t="shared" si="5"/>
        <v>845.8125</v>
      </c>
      <c r="W22" s="6">
        <f t="shared" si="6"/>
        <v>-34.5</v>
      </c>
      <c r="X22" s="8">
        <f t="shared" si="7"/>
        <v>0</v>
      </c>
      <c r="Y22" s="8">
        <f t="shared" si="8"/>
        <v>0</v>
      </c>
      <c r="Z22" s="8">
        <f t="shared" si="9"/>
        <v>0</v>
      </c>
      <c r="AA22" s="7">
        <f t="shared" si="10"/>
        <v>0.47856072378618481</v>
      </c>
      <c r="AB22" s="6">
        <f t="shared" si="11"/>
        <v>77.526837253361933</v>
      </c>
      <c r="AC22" s="6">
        <f t="shared" si="12"/>
        <v>7.9811448382541682E-3</v>
      </c>
      <c r="AE22" s="38"/>
    </row>
    <row r="23" spans="1:31" ht="15.75" thickBot="1" x14ac:dyDescent="0.3">
      <c r="A23">
        <v>2</v>
      </c>
      <c r="B23" t="s">
        <v>31</v>
      </c>
      <c r="C23" t="s">
        <v>18</v>
      </c>
      <c r="D23">
        <v>107</v>
      </c>
      <c r="E23">
        <v>55</v>
      </c>
      <c r="F23">
        <v>0.66</v>
      </c>
      <c r="G23">
        <v>0</v>
      </c>
      <c r="H23">
        <v>1051</v>
      </c>
      <c r="I23">
        <v>775</v>
      </c>
      <c r="J23">
        <v>276</v>
      </c>
      <c r="K23">
        <v>1</v>
      </c>
      <c r="O23" s="28"/>
      <c r="P23" s="37" t="s">
        <v>42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31" x14ac:dyDescent="0.25">
      <c r="A24">
        <v>2</v>
      </c>
      <c r="B24" t="s">
        <v>31</v>
      </c>
      <c r="C24" t="s">
        <v>20</v>
      </c>
      <c r="D24">
        <v>93</v>
      </c>
      <c r="E24">
        <v>69</v>
      </c>
      <c r="F24">
        <v>0.57399999999999995</v>
      </c>
      <c r="G24">
        <v>14</v>
      </c>
      <c r="H24">
        <v>995</v>
      </c>
      <c r="I24">
        <v>926</v>
      </c>
      <c r="J24">
        <v>69</v>
      </c>
      <c r="O24" s="25"/>
      <c r="P24" s="25" t="s">
        <v>37</v>
      </c>
      <c r="Q24" s="26">
        <f t="shared" ref="Q24:W24" si="13">AVERAGE(Q3:Q22)</f>
        <v>81</v>
      </c>
      <c r="R24" s="26">
        <f t="shared" si="13"/>
        <v>81</v>
      </c>
      <c r="S24" s="26">
        <f t="shared" si="13"/>
        <v>0.50000000000000011</v>
      </c>
      <c r="T24" s="26">
        <f t="shared" si="13"/>
        <v>24.1875</v>
      </c>
      <c r="U24" s="26">
        <f t="shared" si="13"/>
        <v>870.74374999999998</v>
      </c>
      <c r="V24" s="26">
        <f t="shared" si="13"/>
        <v>870.74374999999998</v>
      </c>
      <c r="W24" s="26">
        <f t="shared" si="13"/>
        <v>0</v>
      </c>
      <c r="X24" s="26">
        <f>SUM(X3:X22)/16</f>
        <v>2</v>
      </c>
      <c r="Y24" s="26">
        <f>SUM(Y3:Y22)/16</f>
        <v>2</v>
      </c>
      <c r="Z24" s="26">
        <f>SUM(Z3:Z22)/16</f>
        <v>2</v>
      </c>
      <c r="AA24" s="27">
        <f>AVERAGE(AA3:AA22)</f>
        <v>0.50165098354206461</v>
      </c>
      <c r="AB24" s="26">
        <f>AVERAGE(AB3:AB22)</f>
        <v>81.267459333814458</v>
      </c>
      <c r="AC24" s="26">
        <f>AVERAGE(AC3:AC22)</f>
        <v>2.1093976796117229</v>
      </c>
    </row>
    <row r="25" spans="1:31" x14ac:dyDescent="0.25">
      <c r="A25">
        <v>2</v>
      </c>
      <c r="B25" t="s">
        <v>31</v>
      </c>
      <c r="C25" t="s">
        <v>19</v>
      </c>
      <c r="D25">
        <v>89</v>
      </c>
      <c r="E25">
        <v>73</v>
      </c>
      <c r="F25">
        <v>0.54900000000000004</v>
      </c>
      <c r="G25">
        <v>18</v>
      </c>
      <c r="H25">
        <v>923</v>
      </c>
      <c r="I25">
        <v>865</v>
      </c>
      <c r="J25">
        <v>58</v>
      </c>
    </row>
    <row r="26" spans="1:31" x14ac:dyDescent="0.25">
      <c r="A26">
        <v>2</v>
      </c>
      <c r="B26" t="s">
        <v>31</v>
      </c>
      <c r="C26" t="s">
        <v>21</v>
      </c>
      <c r="D26">
        <v>72</v>
      </c>
      <c r="E26">
        <v>90</v>
      </c>
      <c r="F26">
        <v>0.44400000000000001</v>
      </c>
      <c r="G26">
        <v>35</v>
      </c>
      <c r="H26">
        <v>893</v>
      </c>
      <c r="I26">
        <v>960</v>
      </c>
      <c r="J26">
        <v>-67</v>
      </c>
    </row>
    <row r="27" spans="1:31" x14ac:dyDescent="0.25">
      <c r="A27">
        <v>2</v>
      </c>
      <c r="B27" t="s">
        <v>31</v>
      </c>
      <c r="C27" t="s">
        <v>22</v>
      </c>
      <c r="D27">
        <v>57</v>
      </c>
      <c r="E27">
        <v>105</v>
      </c>
      <c r="F27">
        <v>0.35199999999999998</v>
      </c>
      <c r="G27">
        <v>50</v>
      </c>
      <c r="H27">
        <v>760</v>
      </c>
      <c r="I27">
        <v>1034</v>
      </c>
      <c r="J27">
        <v>-274</v>
      </c>
    </row>
    <row r="28" spans="1:31" x14ac:dyDescent="0.25">
      <c r="A28">
        <v>2</v>
      </c>
      <c r="B28" t="s">
        <v>30</v>
      </c>
      <c r="C28" t="s">
        <v>13</v>
      </c>
      <c r="D28">
        <v>109</v>
      </c>
      <c r="E28">
        <v>53</v>
      </c>
      <c r="F28">
        <v>0.67300000000000004</v>
      </c>
      <c r="G28">
        <v>0</v>
      </c>
      <c r="H28">
        <v>1021</v>
      </c>
      <c r="I28">
        <v>700</v>
      </c>
      <c r="J28">
        <v>321</v>
      </c>
      <c r="K28">
        <v>1</v>
      </c>
    </row>
    <row r="29" spans="1:31" x14ac:dyDescent="0.25">
      <c r="A29">
        <v>2</v>
      </c>
      <c r="B29" t="s">
        <v>30</v>
      </c>
      <c r="C29" t="s">
        <v>15</v>
      </c>
      <c r="D29">
        <v>69</v>
      </c>
      <c r="E29">
        <v>93</v>
      </c>
      <c r="F29">
        <v>0.42599999999999999</v>
      </c>
      <c r="G29">
        <v>40</v>
      </c>
      <c r="H29">
        <v>1007</v>
      </c>
      <c r="I29">
        <v>1194</v>
      </c>
      <c r="J29">
        <v>-187</v>
      </c>
    </row>
    <row r="30" spans="1:31" x14ac:dyDescent="0.25">
      <c r="A30">
        <v>2</v>
      </c>
      <c r="B30" t="s">
        <v>30</v>
      </c>
      <c r="C30" t="s">
        <v>14</v>
      </c>
      <c r="D30">
        <v>66</v>
      </c>
      <c r="E30">
        <v>96</v>
      </c>
      <c r="F30">
        <v>0.40699999999999997</v>
      </c>
      <c r="G30">
        <v>43</v>
      </c>
      <c r="H30">
        <v>748</v>
      </c>
      <c r="I30">
        <v>838</v>
      </c>
      <c r="J30">
        <v>-90</v>
      </c>
    </row>
    <row r="31" spans="1:31" x14ac:dyDescent="0.25">
      <c r="A31">
        <v>2</v>
      </c>
      <c r="B31" t="s">
        <v>30</v>
      </c>
      <c r="C31" t="s">
        <v>16</v>
      </c>
      <c r="D31">
        <v>58</v>
      </c>
      <c r="E31">
        <v>104</v>
      </c>
      <c r="F31">
        <v>0.35799999999999998</v>
      </c>
      <c r="G31">
        <v>51</v>
      </c>
      <c r="H31">
        <v>829</v>
      </c>
      <c r="I31">
        <v>1018</v>
      </c>
      <c r="J31">
        <v>-189</v>
      </c>
    </row>
    <row r="32" spans="1:31" x14ac:dyDescent="0.25">
      <c r="A32">
        <v>2</v>
      </c>
      <c r="B32" t="s">
        <v>30</v>
      </c>
      <c r="C32" t="s">
        <v>17</v>
      </c>
      <c r="D32">
        <v>43</v>
      </c>
      <c r="E32">
        <v>119</v>
      </c>
      <c r="F32">
        <v>0.26500000000000001</v>
      </c>
      <c r="G32">
        <v>66</v>
      </c>
      <c r="H32">
        <v>689</v>
      </c>
      <c r="I32">
        <v>1078</v>
      </c>
      <c r="J32">
        <v>-389</v>
      </c>
    </row>
    <row r="33" spans="1:13" x14ac:dyDescent="0.25">
      <c r="A33">
        <v>2</v>
      </c>
      <c r="B33" t="s">
        <v>32</v>
      </c>
      <c r="C33" t="s">
        <v>23</v>
      </c>
      <c r="D33">
        <v>102</v>
      </c>
      <c r="E33">
        <v>60</v>
      </c>
      <c r="F33">
        <v>0.63</v>
      </c>
      <c r="G33">
        <v>0</v>
      </c>
      <c r="H33">
        <v>896</v>
      </c>
      <c r="I33">
        <v>713</v>
      </c>
      <c r="J33">
        <v>183</v>
      </c>
      <c r="L33">
        <v>0.5</v>
      </c>
      <c r="M33">
        <v>0.5</v>
      </c>
    </row>
    <row r="34" spans="1:13" x14ac:dyDescent="0.25">
      <c r="A34">
        <v>2</v>
      </c>
      <c r="B34" t="s">
        <v>32</v>
      </c>
      <c r="C34" t="s">
        <v>24</v>
      </c>
      <c r="D34">
        <v>102</v>
      </c>
      <c r="E34">
        <v>60</v>
      </c>
      <c r="F34">
        <v>0.63</v>
      </c>
      <c r="G34">
        <v>0</v>
      </c>
      <c r="H34">
        <v>901</v>
      </c>
      <c r="I34">
        <v>740</v>
      </c>
      <c r="J34">
        <v>161</v>
      </c>
      <c r="L34">
        <v>0.5</v>
      </c>
      <c r="M34">
        <v>0.5</v>
      </c>
    </row>
    <row r="35" spans="1:13" x14ac:dyDescent="0.25">
      <c r="A35">
        <v>2</v>
      </c>
      <c r="B35" t="s">
        <v>32</v>
      </c>
      <c r="C35" t="s">
        <v>25</v>
      </c>
      <c r="D35">
        <v>75</v>
      </c>
      <c r="E35">
        <v>87</v>
      </c>
      <c r="F35">
        <v>0.46300000000000002</v>
      </c>
      <c r="G35">
        <v>27</v>
      </c>
      <c r="H35">
        <v>763</v>
      </c>
      <c r="I35">
        <v>841</v>
      </c>
      <c r="J35">
        <v>-78</v>
      </c>
    </row>
    <row r="36" spans="1:13" x14ac:dyDescent="0.25">
      <c r="A36">
        <v>2</v>
      </c>
      <c r="B36" t="s">
        <v>32</v>
      </c>
      <c r="C36" t="s">
        <v>26</v>
      </c>
      <c r="D36">
        <v>72</v>
      </c>
      <c r="E36">
        <v>90</v>
      </c>
      <c r="F36">
        <v>0.44400000000000001</v>
      </c>
      <c r="G36">
        <v>30</v>
      </c>
      <c r="H36">
        <v>751</v>
      </c>
      <c r="I36">
        <v>838</v>
      </c>
      <c r="J36">
        <v>-87</v>
      </c>
    </row>
    <row r="37" spans="1:13" x14ac:dyDescent="0.25">
      <c r="A37">
        <v>2</v>
      </c>
      <c r="B37" t="s">
        <v>32</v>
      </c>
      <c r="C37" t="s">
        <v>27</v>
      </c>
      <c r="D37">
        <v>63</v>
      </c>
      <c r="E37">
        <v>99</v>
      </c>
      <c r="F37">
        <v>0.38900000000000001</v>
      </c>
      <c r="G37">
        <v>39</v>
      </c>
      <c r="H37">
        <v>708</v>
      </c>
      <c r="I37">
        <v>894</v>
      </c>
      <c r="J37">
        <v>-186</v>
      </c>
    </row>
    <row r="38" spans="1:13" x14ac:dyDescent="0.25">
      <c r="A38">
        <v>2</v>
      </c>
      <c r="B38" t="s">
        <v>29</v>
      </c>
      <c r="C38" t="s">
        <v>10</v>
      </c>
      <c r="D38">
        <v>102</v>
      </c>
      <c r="E38">
        <v>60</v>
      </c>
      <c r="F38">
        <v>0.63</v>
      </c>
      <c r="G38">
        <v>0</v>
      </c>
      <c r="H38">
        <v>931</v>
      </c>
      <c r="I38">
        <v>791</v>
      </c>
      <c r="J38">
        <v>140</v>
      </c>
      <c r="L38">
        <v>1</v>
      </c>
    </row>
    <row r="39" spans="1:13" x14ac:dyDescent="0.25">
      <c r="A39">
        <v>2</v>
      </c>
      <c r="B39" t="s">
        <v>29</v>
      </c>
      <c r="C39" t="s">
        <v>8</v>
      </c>
      <c r="D39">
        <v>99</v>
      </c>
      <c r="E39">
        <v>63</v>
      </c>
      <c r="F39">
        <v>0.61099999999999999</v>
      </c>
      <c r="G39">
        <v>3</v>
      </c>
      <c r="H39">
        <v>823</v>
      </c>
      <c r="I39">
        <v>633</v>
      </c>
      <c r="J39">
        <v>190</v>
      </c>
      <c r="M39">
        <v>1</v>
      </c>
    </row>
    <row r="40" spans="1:13" x14ac:dyDescent="0.25">
      <c r="A40">
        <v>2</v>
      </c>
      <c r="B40" t="s">
        <v>29</v>
      </c>
      <c r="C40" t="s">
        <v>9</v>
      </c>
      <c r="D40">
        <v>86</v>
      </c>
      <c r="E40">
        <v>76</v>
      </c>
      <c r="F40">
        <v>0.53100000000000003</v>
      </c>
      <c r="G40">
        <v>16</v>
      </c>
      <c r="H40">
        <v>977</v>
      </c>
      <c r="I40">
        <v>854</v>
      </c>
      <c r="J40">
        <v>123</v>
      </c>
    </row>
    <row r="41" spans="1:13" x14ac:dyDescent="0.25">
      <c r="A41">
        <v>2</v>
      </c>
      <c r="B41" t="s">
        <v>29</v>
      </c>
      <c r="C41" t="s">
        <v>11</v>
      </c>
      <c r="D41">
        <v>85</v>
      </c>
      <c r="E41">
        <v>77</v>
      </c>
      <c r="F41">
        <v>0.52500000000000002</v>
      </c>
      <c r="G41">
        <v>17</v>
      </c>
      <c r="H41">
        <v>807</v>
      </c>
      <c r="I41">
        <v>710</v>
      </c>
      <c r="J41">
        <v>97</v>
      </c>
    </row>
    <row r="42" spans="1:13" x14ac:dyDescent="0.25">
      <c r="A42">
        <v>2</v>
      </c>
      <c r="B42" t="s">
        <v>29</v>
      </c>
      <c r="C42" t="s">
        <v>12</v>
      </c>
      <c r="D42">
        <v>71</v>
      </c>
      <c r="E42">
        <v>91</v>
      </c>
      <c r="F42">
        <v>0.438</v>
      </c>
      <c r="G42">
        <v>31</v>
      </c>
      <c r="H42">
        <v>753</v>
      </c>
      <c r="I42">
        <v>824</v>
      </c>
      <c r="J42">
        <v>-71</v>
      </c>
    </row>
    <row r="43" spans="1:13" x14ac:dyDescent="0.25">
      <c r="A43">
        <v>3</v>
      </c>
      <c r="B43" t="s">
        <v>31</v>
      </c>
      <c r="C43" t="s">
        <v>18</v>
      </c>
      <c r="D43">
        <v>111</v>
      </c>
      <c r="E43">
        <v>51</v>
      </c>
      <c r="F43">
        <v>0.68500000000000005</v>
      </c>
      <c r="G43">
        <v>0</v>
      </c>
      <c r="H43">
        <v>999</v>
      </c>
      <c r="I43">
        <v>701</v>
      </c>
      <c r="J43">
        <v>298</v>
      </c>
      <c r="K43">
        <v>1</v>
      </c>
    </row>
    <row r="44" spans="1:13" x14ac:dyDescent="0.25">
      <c r="A44">
        <v>3</v>
      </c>
      <c r="B44" t="s">
        <v>31</v>
      </c>
      <c r="C44" t="s">
        <v>19</v>
      </c>
      <c r="D44">
        <v>106</v>
      </c>
      <c r="E44">
        <v>56</v>
      </c>
      <c r="F44">
        <v>0.65400000000000003</v>
      </c>
      <c r="G44">
        <v>5</v>
      </c>
      <c r="H44">
        <v>1059</v>
      </c>
      <c r="I44">
        <v>765</v>
      </c>
      <c r="J44">
        <v>294</v>
      </c>
      <c r="M44">
        <v>1</v>
      </c>
    </row>
    <row r="45" spans="1:13" x14ac:dyDescent="0.25">
      <c r="A45">
        <v>3</v>
      </c>
      <c r="B45" t="s">
        <v>31</v>
      </c>
      <c r="C45" t="s">
        <v>20</v>
      </c>
      <c r="D45">
        <v>84</v>
      </c>
      <c r="E45">
        <v>78</v>
      </c>
      <c r="F45">
        <v>0.51900000000000002</v>
      </c>
      <c r="G45">
        <v>27</v>
      </c>
      <c r="H45">
        <v>893</v>
      </c>
      <c r="I45">
        <v>895</v>
      </c>
      <c r="J45">
        <v>-2</v>
      </c>
    </row>
    <row r="46" spans="1:13" x14ac:dyDescent="0.25">
      <c r="A46">
        <v>3</v>
      </c>
      <c r="B46" t="s">
        <v>31</v>
      </c>
      <c r="C46" t="s">
        <v>21</v>
      </c>
      <c r="D46">
        <v>62</v>
      </c>
      <c r="E46">
        <v>100</v>
      </c>
      <c r="F46">
        <v>0.38300000000000001</v>
      </c>
      <c r="G46">
        <v>49</v>
      </c>
      <c r="H46">
        <v>801</v>
      </c>
      <c r="I46">
        <v>938</v>
      </c>
      <c r="J46">
        <v>-137</v>
      </c>
    </row>
    <row r="47" spans="1:13" x14ac:dyDescent="0.25">
      <c r="A47">
        <v>3</v>
      </c>
      <c r="B47" t="s">
        <v>31</v>
      </c>
      <c r="C47" t="s">
        <v>22</v>
      </c>
      <c r="D47">
        <v>61</v>
      </c>
      <c r="E47">
        <v>101</v>
      </c>
      <c r="F47">
        <v>0.377</v>
      </c>
      <c r="G47">
        <v>50</v>
      </c>
      <c r="H47">
        <v>732</v>
      </c>
      <c r="I47">
        <v>969</v>
      </c>
      <c r="J47">
        <v>-237</v>
      </c>
    </row>
    <row r="48" spans="1:13" x14ac:dyDescent="0.25">
      <c r="A48">
        <v>3</v>
      </c>
      <c r="B48" t="s">
        <v>30</v>
      </c>
      <c r="C48" t="s">
        <v>13</v>
      </c>
      <c r="D48">
        <v>102</v>
      </c>
      <c r="E48">
        <v>60</v>
      </c>
      <c r="F48">
        <v>0.63</v>
      </c>
      <c r="G48">
        <v>0</v>
      </c>
      <c r="H48">
        <v>1008</v>
      </c>
      <c r="I48">
        <v>760</v>
      </c>
      <c r="J48">
        <v>248</v>
      </c>
      <c r="L48">
        <v>1</v>
      </c>
    </row>
    <row r="49" spans="1:13" x14ac:dyDescent="0.25">
      <c r="A49">
        <v>3</v>
      </c>
      <c r="B49" t="s">
        <v>30</v>
      </c>
      <c r="C49" t="s">
        <v>14</v>
      </c>
      <c r="D49">
        <v>74</v>
      </c>
      <c r="E49">
        <v>88</v>
      </c>
      <c r="F49">
        <v>0.45700000000000002</v>
      </c>
      <c r="G49">
        <v>28</v>
      </c>
      <c r="H49">
        <v>729</v>
      </c>
      <c r="I49">
        <v>791</v>
      </c>
      <c r="J49">
        <v>-62</v>
      </c>
    </row>
    <row r="50" spans="1:13" x14ac:dyDescent="0.25">
      <c r="A50">
        <v>3</v>
      </c>
      <c r="B50" t="s">
        <v>30</v>
      </c>
      <c r="C50" t="s">
        <v>15</v>
      </c>
      <c r="D50">
        <v>65</v>
      </c>
      <c r="E50">
        <v>97</v>
      </c>
      <c r="F50">
        <v>0.40100000000000002</v>
      </c>
      <c r="G50">
        <v>37</v>
      </c>
      <c r="H50">
        <v>1043</v>
      </c>
      <c r="I50">
        <v>1154</v>
      </c>
      <c r="J50">
        <v>-111</v>
      </c>
    </row>
    <row r="51" spans="1:13" x14ac:dyDescent="0.25">
      <c r="A51">
        <v>3</v>
      </c>
      <c r="B51" t="s">
        <v>30</v>
      </c>
      <c r="C51" t="s">
        <v>16</v>
      </c>
      <c r="D51">
        <v>63</v>
      </c>
      <c r="E51">
        <v>99</v>
      </c>
      <c r="F51">
        <v>0.38900000000000001</v>
      </c>
      <c r="G51">
        <v>39</v>
      </c>
      <c r="H51">
        <v>869</v>
      </c>
      <c r="I51">
        <v>1006</v>
      </c>
      <c r="J51">
        <v>-137</v>
      </c>
    </row>
    <row r="52" spans="1:13" x14ac:dyDescent="0.25">
      <c r="A52">
        <v>3</v>
      </c>
      <c r="B52" t="s">
        <v>30</v>
      </c>
      <c r="C52" t="s">
        <v>17</v>
      </c>
      <c r="D52">
        <v>49</v>
      </c>
      <c r="E52">
        <v>113</v>
      </c>
      <c r="F52">
        <v>0.30199999999999999</v>
      </c>
      <c r="G52">
        <v>53</v>
      </c>
      <c r="H52">
        <v>674</v>
      </c>
      <c r="I52">
        <v>998</v>
      </c>
      <c r="J52">
        <v>-324</v>
      </c>
    </row>
    <row r="53" spans="1:13" x14ac:dyDescent="0.25">
      <c r="A53">
        <v>3</v>
      </c>
      <c r="B53" t="s">
        <v>32</v>
      </c>
      <c r="C53" t="s">
        <v>23</v>
      </c>
      <c r="D53">
        <v>98</v>
      </c>
      <c r="E53">
        <v>64</v>
      </c>
      <c r="F53">
        <v>0.60499999999999998</v>
      </c>
      <c r="G53">
        <v>0</v>
      </c>
      <c r="H53">
        <v>907</v>
      </c>
      <c r="I53">
        <v>755</v>
      </c>
      <c r="J53">
        <v>152</v>
      </c>
      <c r="L53">
        <v>1</v>
      </c>
    </row>
    <row r="54" spans="1:13" x14ac:dyDescent="0.25">
      <c r="A54">
        <v>3</v>
      </c>
      <c r="B54" t="s">
        <v>32</v>
      </c>
      <c r="C54" t="s">
        <v>24</v>
      </c>
      <c r="D54">
        <v>87</v>
      </c>
      <c r="E54">
        <v>75</v>
      </c>
      <c r="F54">
        <v>0.53700000000000003</v>
      </c>
      <c r="G54">
        <v>11</v>
      </c>
      <c r="H54">
        <v>822</v>
      </c>
      <c r="I54">
        <v>765</v>
      </c>
      <c r="J54">
        <v>57</v>
      </c>
    </row>
    <row r="55" spans="1:13" x14ac:dyDescent="0.25">
      <c r="A55">
        <v>3</v>
      </c>
      <c r="B55" t="s">
        <v>32</v>
      </c>
      <c r="C55" t="s">
        <v>25</v>
      </c>
      <c r="D55">
        <v>75</v>
      </c>
      <c r="E55">
        <v>87</v>
      </c>
      <c r="F55">
        <v>0.46300000000000002</v>
      </c>
      <c r="G55">
        <v>23</v>
      </c>
      <c r="H55">
        <v>722</v>
      </c>
      <c r="I55">
        <v>868</v>
      </c>
      <c r="J55">
        <v>-146</v>
      </c>
    </row>
    <row r="56" spans="1:13" x14ac:dyDescent="0.25">
      <c r="A56">
        <v>3</v>
      </c>
      <c r="B56" t="s">
        <v>32</v>
      </c>
      <c r="C56" t="s">
        <v>27</v>
      </c>
      <c r="D56">
        <v>66</v>
      </c>
      <c r="E56">
        <v>96</v>
      </c>
      <c r="F56">
        <v>0.40699999999999997</v>
      </c>
      <c r="G56">
        <v>32</v>
      </c>
      <c r="H56">
        <v>763</v>
      </c>
      <c r="I56">
        <v>933</v>
      </c>
      <c r="J56">
        <v>-170</v>
      </c>
    </row>
    <row r="57" spans="1:13" x14ac:dyDescent="0.25">
      <c r="A57">
        <v>3</v>
      </c>
      <c r="B57" t="s">
        <v>32</v>
      </c>
      <c r="C57" t="s">
        <v>26</v>
      </c>
      <c r="D57">
        <v>57</v>
      </c>
      <c r="E57">
        <v>105</v>
      </c>
      <c r="F57">
        <v>0.35199999999999998</v>
      </c>
      <c r="G57">
        <v>41</v>
      </c>
      <c r="H57">
        <v>721</v>
      </c>
      <c r="I57">
        <v>883</v>
      </c>
      <c r="J57">
        <v>-162</v>
      </c>
    </row>
    <row r="58" spans="1:13" x14ac:dyDescent="0.25">
      <c r="A58">
        <v>3</v>
      </c>
      <c r="B58" t="s">
        <v>29</v>
      </c>
      <c r="C58" t="s">
        <v>8</v>
      </c>
      <c r="D58">
        <v>105</v>
      </c>
      <c r="E58">
        <v>57</v>
      </c>
      <c r="F58">
        <v>0.64800000000000002</v>
      </c>
      <c r="G58">
        <v>0</v>
      </c>
      <c r="H58">
        <v>889</v>
      </c>
      <c r="I58">
        <v>661</v>
      </c>
      <c r="J58">
        <v>228</v>
      </c>
      <c r="K58">
        <v>1</v>
      </c>
    </row>
    <row r="59" spans="1:13" x14ac:dyDescent="0.25">
      <c r="A59">
        <v>3</v>
      </c>
      <c r="B59" t="s">
        <v>29</v>
      </c>
      <c r="C59" t="s">
        <v>10</v>
      </c>
      <c r="D59">
        <v>95</v>
      </c>
      <c r="E59">
        <v>67</v>
      </c>
      <c r="F59">
        <v>0.58599999999999997</v>
      </c>
      <c r="G59">
        <v>10</v>
      </c>
      <c r="H59">
        <v>948</v>
      </c>
      <c r="I59">
        <v>870</v>
      </c>
      <c r="J59">
        <v>78</v>
      </c>
      <c r="M59">
        <v>1</v>
      </c>
    </row>
    <row r="60" spans="1:13" x14ac:dyDescent="0.25">
      <c r="A60">
        <v>3</v>
      </c>
      <c r="B60" t="s">
        <v>29</v>
      </c>
      <c r="C60" t="s">
        <v>11</v>
      </c>
      <c r="D60">
        <v>89</v>
      </c>
      <c r="E60">
        <v>73</v>
      </c>
      <c r="F60">
        <v>0.54900000000000004</v>
      </c>
      <c r="G60">
        <v>16</v>
      </c>
      <c r="H60">
        <v>918</v>
      </c>
      <c r="I60">
        <v>819</v>
      </c>
      <c r="J60">
        <v>99</v>
      </c>
    </row>
    <row r="61" spans="1:13" x14ac:dyDescent="0.25">
      <c r="A61">
        <v>3</v>
      </c>
      <c r="B61" t="s">
        <v>29</v>
      </c>
      <c r="C61" t="s">
        <v>9</v>
      </c>
      <c r="D61">
        <v>88</v>
      </c>
      <c r="E61">
        <v>74</v>
      </c>
      <c r="F61">
        <v>0.54300000000000004</v>
      </c>
      <c r="G61">
        <v>17</v>
      </c>
      <c r="H61">
        <v>897</v>
      </c>
      <c r="I61">
        <v>806</v>
      </c>
      <c r="J61">
        <v>91</v>
      </c>
    </row>
    <row r="62" spans="1:13" x14ac:dyDescent="0.25">
      <c r="A62">
        <v>3</v>
      </c>
      <c r="B62" t="s">
        <v>29</v>
      </c>
      <c r="C62" t="s">
        <v>12</v>
      </c>
      <c r="D62">
        <v>83</v>
      </c>
      <c r="E62">
        <v>79</v>
      </c>
      <c r="F62">
        <v>0.51200000000000001</v>
      </c>
      <c r="G62">
        <v>22</v>
      </c>
      <c r="H62">
        <v>792</v>
      </c>
      <c r="I62">
        <v>849</v>
      </c>
      <c r="J62">
        <v>-57</v>
      </c>
    </row>
    <row r="63" spans="1:13" x14ac:dyDescent="0.25">
      <c r="A63">
        <v>4</v>
      </c>
      <c r="B63" t="s">
        <v>31</v>
      </c>
      <c r="C63" t="s">
        <v>18</v>
      </c>
      <c r="D63">
        <v>107</v>
      </c>
      <c r="E63">
        <v>55</v>
      </c>
      <c r="F63">
        <v>0.66</v>
      </c>
      <c r="G63">
        <v>0</v>
      </c>
      <c r="H63">
        <v>1033</v>
      </c>
      <c r="I63">
        <v>817</v>
      </c>
      <c r="J63">
        <v>216</v>
      </c>
      <c r="K63">
        <v>1</v>
      </c>
    </row>
    <row r="64" spans="1:13" x14ac:dyDescent="0.25">
      <c r="A64">
        <v>4</v>
      </c>
      <c r="B64" t="s">
        <v>31</v>
      </c>
      <c r="C64" t="s">
        <v>19</v>
      </c>
      <c r="D64">
        <v>96</v>
      </c>
      <c r="E64">
        <v>66</v>
      </c>
      <c r="F64">
        <v>0.59299999999999997</v>
      </c>
      <c r="G64">
        <v>11</v>
      </c>
      <c r="H64">
        <v>988</v>
      </c>
      <c r="I64">
        <v>845</v>
      </c>
      <c r="J64">
        <v>143</v>
      </c>
      <c r="M64">
        <v>1</v>
      </c>
    </row>
    <row r="65" spans="1:13" x14ac:dyDescent="0.25">
      <c r="A65">
        <v>4</v>
      </c>
      <c r="B65" t="s">
        <v>31</v>
      </c>
      <c r="C65" t="s">
        <v>20</v>
      </c>
      <c r="D65">
        <v>92</v>
      </c>
      <c r="E65">
        <v>70</v>
      </c>
      <c r="F65">
        <v>0.56799999999999995</v>
      </c>
      <c r="G65">
        <v>15</v>
      </c>
      <c r="H65">
        <v>981</v>
      </c>
      <c r="I65">
        <v>843</v>
      </c>
      <c r="J65">
        <v>138</v>
      </c>
      <c r="M65">
        <v>0.5</v>
      </c>
    </row>
    <row r="66" spans="1:13" x14ac:dyDescent="0.25">
      <c r="A66">
        <v>4</v>
      </c>
      <c r="B66" t="s">
        <v>31</v>
      </c>
      <c r="C66" t="s">
        <v>21</v>
      </c>
      <c r="D66">
        <v>69</v>
      </c>
      <c r="E66">
        <v>93</v>
      </c>
      <c r="F66">
        <v>0.42599999999999999</v>
      </c>
      <c r="G66">
        <v>38</v>
      </c>
      <c r="H66">
        <v>896</v>
      </c>
      <c r="I66">
        <v>975</v>
      </c>
      <c r="J66">
        <v>-79</v>
      </c>
    </row>
    <row r="67" spans="1:13" x14ac:dyDescent="0.25">
      <c r="A67">
        <v>4</v>
      </c>
      <c r="B67" t="s">
        <v>31</v>
      </c>
      <c r="C67" t="s">
        <v>22</v>
      </c>
      <c r="D67">
        <v>57</v>
      </c>
      <c r="E67">
        <v>105</v>
      </c>
      <c r="F67">
        <v>0.35199999999999998</v>
      </c>
      <c r="G67">
        <v>50</v>
      </c>
      <c r="H67">
        <v>808</v>
      </c>
      <c r="I67">
        <v>1065</v>
      </c>
      <c r="J67">
        <v>-257</v>
      </c>
    </row>
    <row r="68" spans="1:13" x14ac:dyDescent="0.25">
      <c r="A68">
        <v>4</v>
      </c>
      <c r="B68" t="s">
        <v>30</v>
      </c>
      <c r="C68" t="s">
        <v>13</v>
      </c>
      <c r="D68">
        <v>108</v>
      </c>
      <c r="E68">
        <v>54</v>
      </c>
      <c r="F68">
        <v>0.66700000000000004</v>
      </c>
      <c r="G68">
        <v>0</v>
      </c>
      <c r="H68">
        <v>1006</v>
      </c>
      <c r="I68">
        <v>691</v>
      </c>
      <c r="J68">
        <v>315</v>
      </c>
      <c r="K68">
        <v>1</v>
      </c>
    </row>
    <row r="69" spans="1:13" x14ac:dyDescent="0.25">
      <c r="A69">
        <v>4</v>
      </c>
      <c r="B69" t="s">
        <v>30</v>
      </c>
      <c r="C69" t="s">
        <v>14</v>
      </c>
      <c r="D69">
        <v>77</v>
      </c>
      <c r="E69">
        <v>85</v>
      </c>
      <c r="F69">
        <v>0.47499999999999998</v>
      </c>
      <c r="G69">
        <v>31</v>
      </c>
      <c r="H69">
        <v>791</v>
      </c>
      <c r="I69">
        <v>805</v>
      </c>
      <c r="J69">
        <v>-14</v>
      </c>
    </row>
    <row r="70" spans="1:13" x14ac:dyDescent="0.25">
      <c r="A70">
        <v>4</v>
      </c>
      <c r="B70" t="s">
        <v>30</v>
      </c>
      <c r="C70" t="s">
        <v>15</v>
      </c>
      <c r="D70">
        <v>69</v>
      </c>
      <c r="E70">
        <v>93</v>
      </c>
      <c r="F70">
        <v>0.42599999999999999</v>
      </c>
      <c r="G70">
        <v>39</v>
      </c>
      <c r="H70">
        <v>991</v>
      </c>
      <c r="I70">
        <v>1171</v>
      </c>
      <c r="J70">
        <v>-180</v>
      </c>
    </row>
    <row r="71" spans="1:13" x14ac:dyDescent="0.25">
      <c r="A71">
        <v>4</v>
      </c>
      <c r="B71" t="s">
        <v>30</v>
      </c>
      <c r="C71" t="s">
        <v>16</v>
      </c>
      <c r="D71">
        <v>50</v>
      </c>
      <c r="E71">
        <v>112</v>
      </c>
      <c r="F71">
        <v>0.309</v>
      </c>
      <c r="G71">
        <v>58</v>
      </c>
      <c r="H71">
        <v>777</v>
      </c>
      <c r="I71">
        <v>1036</v>
      </c>
      <c r="J71">
        <v>-259</v>
      </c>
    </row>
    <row r="72" spans="1:13" x14ac:dyDescent="0.25">
      <c r="A72">
        <v>4</v>
      </c>
      <c r="B72" t="s">
        <v>30</v>
      </c>
      <c r="C72" t="s">
        <v>17</v>
      </c>
      <c r="D72">
        <v>46</v>
      </c>
      <c r="E72">
        <v>116</v>
      </c>
      <c r="F72">
        <v>0.28399999999999997</v>
      </c>
      <c r="G72">
        <v>62</v>
      </c>
      <c r="H72">
        <v>698</v>
      </c>
      <c r="I72">
        <v>1105</v>
      </c>
      <c r="J72">
        <v>-407</v>
      </c>
    </row>
    <row r="73" spans="1:13" x14ac:dyDescent="0.25">
      <c r="A73">
        <v>4</v>
      </c>
      <c r="B73" t="s">
        <v>32</v>
      </c>
      <c r="C73" t="s">
        <v>23</v>
      </c>
      <c r="D73">
        <v>106</v>
      </c>
      <c r="E73">
        <v>56</v>
      </c>
      <c r="F73">
        <v>0.65400000000000003</v>
      </c>
      <c r="G73">
        <v>0</v>
      </c>
      <c r="H73">
        <v>973</v>
      </c>
      <c r="I73">
        <v>701</v>
      </c>
      <c r="J73">
        <v>272</v>
      </c>
      <c r="L73">
        <v>1</v>
      </c>
    </row>
    <row r="74" spans="1:13" x14ac:dyDescent="0.25">
      <c r="A74">
        <v>4</v>
      </c>
      <c r="B74" t="s">
        <v>32</v>
      </c>
      <c r="C74" t="s">
        <v>25</v>
      </c>
      <c r="D74">
        <v>83</v>
      </c>
      <c r="E74">
        <v>79</v>
      </c>
      <c r="F74">
        <v>0.51200000000000001</v>
      </c>
      <c r="G74">
        <v>23</v>
      </c>
      <c r="H74">
        <v>882</v>
      </c>
      <c r="I74">
        <v>831</v>
      </c>
      <c r="J74">
        <v>51</v>
      </c>
    </row>
    <row r="75" spans="1:13" x14ac:dyDescent="0.25">
      <c r="A75">
        <v>4</v>
      </c>
      <c r="B75" t="s">
        <v>32</v>
      </c>
      <c r="C75" t="s">
        <v>24</v>
      </c>
      <c r="D75">
        <v>78</v>
      </c>
      <c r="E75">
        <v>84</v>
      </c>
      <c r="F75">
        <v>0.48099999999999998</v>
      </c>
      <c r="G75">
        <v>28</v>
      </c>
      <c r="H75">
        <v>799</v>
      </c>
      <c r="I75">
        <v>790</v>
      </c>
      <c r="J75">
        <v>9</v>
      </c>
    </row>
    <row r="76" spans="1:13" x14ac:dyDescent="0.25">
      <c r="A76">
        <v>4</v>
      </c>
      <c r="B76" t="s">
        <v>32</v>
      </c>
      <c r="C76" t="s">
        <v>26</v>
      </c>
      <c r="D76">
        <v>70</v>
      </c>
      <c r="E76">
        <v>92</v>
      </c>
      <c r="F76">
        <v>0.432</v>
      </c>
      <c r="G76">
        <v>36</v>
      </c>
      <c r="H76">
        <v>757</v>
      </c>
      <c r="I76">
        <v>882</v>
      </c>
      <c r="J76">
        <v>-125</v>
      </c>
    </row>
    <row r="77" spans="1:13" x14ac:dyDescent="0.25">
      <c r="A77">
        <v>4</v>
      </c>
      <c r="B77" t="s">
        <v>32</v>
      </c>
      <c r="C77" t="s">
        <v>27</v>
      </c>
      <c r="D77">
        <v>61</v>
      </c>
      <c r="E77">
        <v>101</v>
      </c>
      <c r="F77">
        <v>0.377</v>
      </c>
      <c r="G77">
        <v>45</v>
      </c>
      <c r="H77">
        <v>720</v>
      </c>
      <c r="I77">
        <v>932</v>
      </c>
      <c r="J77">
        <v>-212</v>
      </c>
    </row>
    <row r="78" spans="1:13" x14ac:dyDescent="0.25">
      <c r="A78">
        <v>4</v>
      </c>
      <c r="B78" t="s">
        <v>29</v>
      </c>
      <c r="C78" t="s">
        <v>10</v>
      </c>
      <c r="D78">
        <v>104</v>
      </c>
      <c r="E78">
        <v>58</v>
      </c>
      <c r="F78">
        <v>0.64200000000000002</v>
      </c>
      <c r="G78">
        <v>0</v>
      </c>
      <c r="H78">
        <v>1024</v>
      </c>
      <c r="I78">
        <v>784</v>
      </c>
      <c r="J78">
        <v>240</v>
      </c>
      <c r="L78">
        <v>1</v>
      </c>
    </row>
    <row r="79" spans="1:13" x14ac:dyDescent="0.25">
      <c r="A79">
        <v>4</v>
      </c>
      <c r="B79" t="s">
        <v>29</v>
      </c>
      <c r="C79" t="s">
        <v>8</v>
      </c>
      <c r="D79">
        <v>92</v>
      </c>
      <c r="E79">
        <v>70</v>
      </c>
      <c r="F79">
        <v>0.56799999999999995</v>
      </c>
      <c r="G79">
        <v>12</v>
      </c>
      <c r="H79">
        <v>825</v>
      </c>
      <c r="I79">
        <v>712</v>
      </c>
      <c r="J79">
        <v>113</v>
      </c>
      <c r="M79">
        <v>0.5</v>
      </c>
    </row>
    <row r="80" spans="1:13" x14ac:dyDescent="0.25">
      <c r="A80">
        <v>4</v>
      </c>
      <c r="B80" t="s">
        <v>29</v>
      </c>
      <c r="C80" t="s">
        <v>11</v>
      </c>
      <c r="D80">
        <v>89</v>
      </c>
      <c r="E80">
        <v>73</v>
      </c>
      <c r="F80">
        <v>0.54900000000000004</v>
      </c>
      <c r="G80">
        <v>15</v>
      </c>
      <c r="H80">
        <v>845</v>
      </c>
      <c r="I80">
        <v>818</v>
      </c>
      <c r="J80">
        <v>27</v>
      </c>
    </row>
    <row r="81" spans="1:13" x14ac:dyDescent="0.25">
      <c r="A81">
        <v>4</v>
      </c>
      <c r="B81" t="s">
        <v>29</v>
      </c>
      <c r="C81" t="s">
        <v>12</v>
      </c>
      <c r="D81">
        <v>84</v>
      </c>
      <c r="E81">
        <v>78</v>
      </c>
      <c r="F81">
        <v>0.51900000000000002</v>
      </c>
      <c r="G81">
        <v>20</v>
      </c>
      <c r="H81">
        <v>815</v>
      </c>
      <c r="I81">
        <v>832</v>
      </c>
      <c r="J81">
        <v>-17</v>
      </c>
    </row>
    <row r="82" spans="1:13" x14ac:dyDescent="0.25">
      <c r="A82">
        <v>4</v>
      </c>
      <c r="B82" t="s">
        <v>29</v>
      </c>
      <c r="C82" t="s">
        <v>9</v>
      </c>
      <c r="D82">
        <v>82</v>
      </c>
      <c r="E82">
        <v>80</v>
      </c>
      <c r="F82">
        <v>0.50600000000000001</v>
      </c>
      <c r="G82">
        <v>22</v>
      </c>
      <c r="H82">
        <v>889</v>
      </c>
      <c r="I82">
        <v>863</v>
      </c>
      <c r="J82">
        <v>26</v>
      </c>
    </row>
    <row r="83" spans="1:13" x14ac:dyDescent="0.25">
      <c r="A83">
        <v>5</v>
      </c>
      <c r="B83" t="s">
        <v>31</v>
      </c>
      <c r="C83" t="s">
        <v>18</v>
      </c>
      <c r="D83">
        <v>99</v>
      </c>
      <c r="E83">
        <v>63</v>
      </c>
      <c r="F83">
        <v>0.61099999999999999</v>
      </c>
      <c r="G83">
        <v>0</v>
      </c>
      <c r="H83">
        <v>982</v>
      </c>
      <c r="I83">
        <v>779</v>
      </c>
      <c r="J83">
        <v>203</v>
      </c>
      <c r="K83">
        <v>1</v>
      </c>
    </row>
    <row r="84" spans="1:13" x14ac:dyDescent="0.25">
      <c r="A84">
        <v>5</v>
      </c>
      <c r="B84" t="s">
        <v>31</v>
      </c>
      <c r="C84" t="s">
        <v>20</v>
      </c>
      <c r="D84">
        <v>91</v>
      </c>
      <c r="E84">
        <v>71</v>
      </c>
      <c r="F84">
        <v>0.56200000000000006</v>
      </c>
      <c r="G84">
        <v>8</v>
      </c>
      <c r="H84">
        <v>986</v>
      </c>
      <c r="I84">
        <v>897</v>
      </c>
      <c r="J84">
        <v>89</v>
      </c>
      <c r="M84">
        <f>2/3</f>
        <v>0.66666666666666663</v>
      </c>
    </row>
    <row r="85" spans="1:13" x14ac:dyDescent="0.25">
      <c r="A85">
        <v>5</v>
      </c>
      <c r="B85" t="s">
        <v>31</v>
      </c>
      <c r="C85" t="s">
        <v>19</v>
      </c>
      <c r="D85">
        <v>91</v>
      </c>
      <c r="E85">
        <v>71</v>
      </c>
      <c r="F85">
        <v>0.56200000000000006</v>
      </c>
      <c r="G85">
        <v>8</v>
      </c>
      <c r="H85">
        <v>894</v>
      </c>
      <c r="I85">
        <v>733</v>
      </c>
      <c r="J85">
        <v>161</v>
      </c>
      <c r="M85">
        <f>2/3</f>
        <v>0.66666666666666663</v>
      </c>
    </row>
    <row r="86" spans="1:13" x14ac:dyDescent="0.25">
      <c r="A86">
        <v>5</v>
      </c>
      <c r="B86" t="s">
        <v>31</v>
      </c>
      <c r="C86" t="s">
        <v>21</v>
      </c>
      <c r="D86">
        <v>78</v>
      </c>
      <c r="E86">
        <v>84</v>
      </c>
      <c r="F86">
        <v>0.48099999999999998</v>
      </c>
      <c r="G86">
        <v>21</v>
      </c>
      <c r="H86">
        <v>863</v>
      </c>
      <c r="I86">
        <v>960</v>
      </c>
      <c r="J86">
        <v>-97</v>
      </c>
    </row>
    <row r="87" spans="1:13" x14ac:dyDescent="0.25">
      <c r="A87">
        <v>5</v>
      </c>
      <c r="B87" t="s">
        <v>31</v>
      </c>
      <c r="C87" t="s">
        <v>22</v>
      </c>
      <c r="D87">
        <v>66</v>
      </c>
      <c r="E87">
        <v>96</v>
      </c>
      <c r="F87">
        <v>0.40699999999999997</v>
      </c>
      <c r="G87">
        <v>33</v>
      </c>
      <c r="H87">
        <v>843</v>
      </c>
      <c r="I87">
        <v>977</v>
      </c>
      <c r="J87">
        <v>-134</v>
      </c>
    </row>
    <row r="88" spans="1:13" x14ac:dyDescent="0.25">
      <c r="A88">
        <v>5</v>
      </c>
      <c r="B88" t="s">
        <v>30</v>
      </c>
      <c r="C88" t="s">
        <v>13</v>
      </c>
      <c r="D88">
        <v>100</v>
      </c>
      <c r="E88">
        <v>62</v>
      </c>
      <c r="F88">
        <v>0.61699999999999999</v>
      </c>
      <c r="G88">
        <v>0</v>
      </c>
      <c r="H88">
        <v>1027</v>
      </c>
      <c r="I88">
        <v>723</v>
      </c>
      <c r="J88">
        <v>304</v>
      </c>
      <c r="K88">
        <v>1</v>
      </c>
    </row>
    <row r="89" spans="1:13" x14ac:dyDescent="0.25">
      <c r="A89">
        <v>5</v>
      </c>
      <c r="B89" t="s">
        <v>30</v>
      </c>
      <c r="C89" t="s">
        <v>15</v>
      </c>
      <c r="D89">
        <v>83</v>
      </c>
      <c r="E89">
        <v>79</v>
      </c>
      <c r="F89">
        <v>0.51200000000000001</v>
      </c>
      <c r="G89">
        <v>17</v>
      </c>
      <c r="H89">
        <v>1075</v>
      </c>
      <c r="I89">
        <v>1111</v>
      </c>
      <c r="J89">
        <v>-36</v>
      </c>
    </row>
    <row r="90" spans="1:13" x14ac:dyDescent="0.25">
      <c r="A90">
        <v>5</v>
      </c>
      <c r="B90" t="s">
        <v>30</v>
      </c>
      <c r="C90" t="s">
        <v>16</v>
      </c>
      <c r="D90">
        <v>71</v>
      </c>
      <c r="E90">
        <v>91</v>
      </c>
      <c r="F90">
        <v>0.438</v>
      </c>
      <c r="G90">
        <v>29</v>
      </c>
      <c r="H90">
        <v>829</v>
      </c>
      <c r="I90">
        <v>1021</v>
      </c>
      <c r="J90">
        <v>-192</v>
      </c>
    </row>
    <row r="91" spans="1:13" x14ac:dyDescent="0.25">
      <c r="A91">
        <v>5</v>
      </c>
      <c r="B91" t="s">
        <v>30</v>
      </c>
      <c r="C91" t="s">
        <v>14</v>
      </c>
      <c r="D91">
        <v>63</v>
      </c>
      <c r="E91">
        <v>99</v>
      </c>
      <c r="F91">
        <v>0.38900000000000001</v>
      </c>
      <c r="G91">
        <v>37</v>
      </c>
      <c r="H91">
        <v>754</v>
      </c>
      <c r="I91">
        <v>865</v>
      </c>
      <c r="J91">
        <v>-111</v>
      </c>
    </row>
    <row r="92" spans="1:13" x14ac:dyDescent="0.25">
      <c r="A92">
        <v>5</v>
      </c>
      <c r="B92" t="s">
        <v>30</v>
      </c>
      <c r="C92" t="s">
        <v>17</v>
      </c>
      <c r="D92">
        <v>44</v>
      </c>
      <c r="E92">
        <v>118</v>
      </c>
      <c r="F92">
        <v>0.27200000000000002</v>
      </c>
      <c r="G92">
        <v>56</v>
      </c>
      <c r="H92">
        <v>607</v>
      </c>
      <c r="I92">
        <v>1034</v>
      </c>
      <c r="J92">
        <v>-427</v>
      </c>
    </row>
    <row r="93" spans="1:13" x14ac:dyDescent="0.25">
      <c r="A93">
        <v>5</v>
      </c>
      <c r="B93" t="s">
        <v>32</v>
      </c>
      <c r="C93" t="s">
        <v>23</v>
      </c>
      <c r="D93">
        <v>93</v>
      </c>
      <c r="E93">
        <v>69</v>
      </c>
      <c r="F93">
        <v>0.57399999999999995</v>
      </c>
      <c r="G93">
        <v>0</v>
      </c>
      <c r="H93">
        <v>930</v>
      </c>
      <c r="I93">
        <v>715</v>
      </c>
      <c r="J93">
        <v>215</v>
      </c>
      <c r="L93">
        <v>1</v>
      </c>
    </row>
    <row r="94" spans="1:13" x14ac:dyDescent="0.25">
      <c r="A94">
        <v>5</v>
      </c>
      <c r="B94" t="s">
        <v>32</v>
      </c>
      <c r="C94" t="s">
        <v>24</v>
      </c>
      <c r="D94">
        <v>89</v>
      </c>
      <c r="E94">
        <v>73</v>
      </c>
      <c r="F94">
        <v>0.54900000000000004</v>
      </c>
      <c r="G94">
        <v>4</v>
      </c>
      <c r="H94">
        <v>831</v>
      </c>
      <c r="I94">
        <v>834</v>
      </c>
      <c r="J94">
        <v>-3</v>
      </c>
    </row>
    <row r="95" spans="1:13" x14ac:dyDescent="0.25">
      <c r="A95">
        <v>5</v>
      </c>
      <c r="B95" t="s">
        <v>32</v>
      </c>
      <c r="C95" t="s">
        <v>25</v>
      </c>
      <c r="D95">
        <v>79</v>
      </c>
      <c r="E95">
        <v>83</v>
      </c>
      <c r="F95">
        <v>0.48799999999999999</v>
      </c>
      <c r="G95">
        <v>14</v>
      </c>
      <c r="H95">
        <v>792</v>
      </c>
      <c r="I95">
        <v>832</v>
      </c>
      <c r="J95">
        <v>-40</v>
      </c>
    </row>
    <row r="96" spans="1:13" x14ac:dyDescent="0.25">
      <c r="A96">
        <v>5</v>
      </c>
      <c r="B96" t="s">
        <v>32</v>
      </c>
      <c r="C96" t="s">
        <v>26</v>
      </c>
      <c r="D96">
        <v>73</v>
      </c>
      <c r="E96">
        <v>89</v>
      </c>
      <c r="F96">
        <v>0.45100000000000001</v>
      </c>
      <c r="G96">
        <v>20</v>
      </c>
      <c r="H96">
        <v>767</v>
      </c>
      <c r="I96">
        <v>927</v>
      </c>
      <c r="J96">
        <v>-160</v>
      </c>
    </row>
    <row r="97" spans="1:13" x14ac:dyDescent="0.25">
      <c r="A97">
        <v>5</v>
      </c>
      <c r="B97" t="s">
        <v>32</v>
      </c>
      <c r="C97" t="s">
        <v>27</v>
      </c>
      <c r="D97">
        <v>65</v>
      </c>
      <c r="E97">
        <v>97</v>
      </c>
      <c r="F97">
        <v>0.40100000000000002</v>
      </c>
      <c r="G97">
        <v>28</v>
      </c>
      <c r="H97">
        <v>783</v>
      </c>
      <c r="I97">
        <v>972</v>
      </c>
      <c r="J97">
        <v>-189</v>
      </c>
    </row>
    <row r="98" spans="1:13" x14ac:dyDescent="0.25">
      <c r="A98">
        <v>5</v>
      </c>
      <c r="B98" t="s">
        <v>29</v>
      </c>
      <c r="C98" t="s">
        <v>9</v>
      </c>
      <c r="D98">
        <v>95</v>
      </c>
      <c r="E98">
        <v>67</v>
      </c>
      <c r="F98">
        <v>0.58599999999999997</v>
      </c>
      <c r="G98">
        <v>0</v>
      </c>
      <c r="H98">
        <v>945</v>
      </c>
      <c r="I98">
        <v>840</v>
      </c>
      <c r="J98">
        <v>105</v>
      </c>
      <c r="L98">
        <v>1</v>
      </c>
    </row>
    <row r="99" spans="1:13" x14ac:dyDescent="0.25">
      <c r="A99">
        <v>5</v>
      </c>
      <c r="B99" t="s">
        <v>29</v>
      </c>
      <c r="C99" t="s">
        <v>10</v>
      </c>
      <c r="D99">
        <v>91</v>
      </c>
      <c r="E99">
        <v>71</v>
      </c>
      <c r="F99">
        <v>0.56200000000000006</v>
      </c>
      <c r="G99">
        <v>4</v>
      </c>
      <c r="H99">
        <v>1005</v>
      </c>
      <c r="I99">
        <v>845</v>
      </c>
      <c r="J99">
        <v>160</v>
      </c>
      <c r="M99">
        <f>2/3</f>
        <v>0.66666666666666663</v>
      </c>
    </row>
    <row r="100" spans="1:13" x14ac:dyDescent="0.25">
      <c r="A100">
        <v>5</v>
      </c>
      <c r="B100" t="s">
        <v>29</v>
      </c>
      <c r="C100" t="s">
        <v>8</v>
      </c>
      <c r="D100">
        <v>90</v>
      </c>
      <c r="E100">
        <v>72</v>
      </c>
      <c r="F100">
        <v>0.55600000000000005</v>
      </c>
      <c r="G100">
        <v>5</v>
      </c>
      <c r="H100">
        <v>851</v>
      </c>
      <c r="I100">
        <v>738</v>
      </c>
      <c r="J100">
        <v>113</v>
      </c>
    </row>
    <row r="101" spans="1:13" x14ac:dyDescent="0.25">
      <c r="A101">
        <v>5</v>
      </c>
      <c r="B101" t="s">
        <v>29</v>
      </c>
      <c r="C101" t="s">
        <v>11</v>
      </c>
      <c r="D101">
        <v>84</v>
      </c>
      <c r="E101">
        <v>78</v>
      </c>
      <c r="F101">
        <v>0.51900000000000002</v>
      </c>
      <c r="G101">
        <v>11</v>
      </c>
      <c r="H101">
        <v>875</v>
      </c>
      <c r="I101">
        <v>788</v>
      </c>
      <c r="J101">
        <v>87</v>
      </c>
    </row>
    <row r="102" spans="1:13" x14ac:dyDescent="0.25">
      <c r="A102">
        <v>5</v>
      </c>
      <c r="B102" t="s">
        <v>29</v>
      </c>
      <c r="C102" t="s">
        <v>12</v>
      </c>
      <c r="D102">
        <v>75</v>
      </c>
      <c r="E102">
        <v>87</v>
      </c>
      <c r="F102">
        <v>0.46300000000000002</v>
      </c>
      <c r="G102">
        <v>20</v>
      </c>
      <c r="H102">
        <v>779</v>
      </c>
      <c r="I102">
        <v>827</v>
      </c>
      <c r="J102">
        <v>-48</v>
      </c>
    </row>
    <row r="103" spans="1:13" x14ac:dyDescent="0.25">
      <c r="A103">
        <v>6</v>
      </c>
      <c r="B103" t="s">
        <v>31</v>
      </c>
      <c r="C103" t="s">
        <v>18</v>
      </c>
      <c r="D103">
        <v>110</v>
      </c>
      <c r="E103">
        <v>52</v>
      </c>
      <c r="F103">
        <v>0.67900000000000005</v>
      </c>
      <c r="G103">
        <v>0</v>
      </c>
      <c r="H103">
        <v>1002</v>
      </c>
      <c r="I103">
        <v>731</v>
      </c>
      <c r="J103">
        <v>271</v>
      </c>
      <c r="K103">
        <v>1</v>
      </c>
    </row>
    <row r="104" spans="1:13" x14ac:dyDescent="0.25">
      <c r="A104">
        <v>6</v>
      </c>
      <c r="B104" t="s">
        <v>31</v>
      </c>
      <c r="C104" t="s">
        <v>20</v>
      </c>
      <c r="D104">
        <v>91</v>
      </c>
      <c r="E104">
        <v>71</v>
      </c>
      <c r="F104">
        <v>0.56200000000000006</v>
      </c>
      <c r="G104">
        <v>19</v>
      </c>
      <c r="H104">
        <v>927</v>
      </c>
      <c r="I104">
        <v>872</v>
      </c>
      <c r="J104">
        <v>55</v>
      </c>
      <c r="M104">
        <v>1</v>
      </c>
    </row>
    <row r="105" spans="1:13" x14ac:dyDescent="0.25">
      <c r="A105">
        <v>6</v>
      </c>
      <c r="B105" t="s">
        <v>31</v>
      </c>
      <c r="C105" t="s">
        <v>19</v>
      </c>
      <c r="D105">
        <v>88</v>
      </c>
      <c r="E105">
        <v>74</v>
      </c>
      <c r="F105">
        <v>0.54300000000000004</v>
      </c>
      <c r="G105">
        <v>22</v>
      </c>
      <c r="H105">
        <v>925</v>
      </c>
      <c r="I105">
        <v>923</v>
      </c>
      <c r="J105">
        <v>2</v>
      </c>
    </row>
    <row r="106" spans="1:13" x14ac:dyDescent="0.25">
      <c r="A106">
        <v>6</v>
      </c>
      <c r="B106" t="s">
        <v>31</v>
      </c>
      <c r="C106" t="s">
        <v>21</v>
      </c>
      <c r="D106">
        <v>71</v>
      </c>
      <c r="E106">
        <v>91</v>
      </c>
      <c r="F106">
        <v>0.438</v>
      </c>
      <c r="G106">
        <v>39</v>
      </c>
      <c r="H106">
        <v>846</v>
      </c>
      <c r="I106">
        <v>948</v>
      </c>
      <c r="J106">
        <v>-102</v>
      </c>
    </row>
    <row r="107" spans="1:13" x14ac:dyDescent="0.25">
      <c r="A107">
        <v>6</v>
      </c>
      <c r="B107" t="s">
        <v>31</v>
      </c>
      <c r="C107" t="s">
        <v>22</v>
      </c>
      <c r="D107">
        <v>58</v>
      </c>
      <c r="E107">
        <v>104</v>
      </c>
      <c r="F107">
        <v>0.35799999999999998</v>
      </c>
      <c r="G107">
        <v>52</v>
      </c>
      <c r="H107">
        <v>765</v>
      </c>
      <c r="I107">
        <v>1115</v>
      </c>
      <c r="J107">
        <v>-350</v>
      </c>
    </row>
    <row r="108" spans="1:13" x14ac:dyDescent="0.25">
      <c r="A108">
        <v>6</v>
      </c>
      <c r="B108" t="s">
        <v>30</v>
      </c>
      <c r="C108" t="s">
        <v>13</v>
      </c>
      <c r="D108">
        <v>114</v>
      </c>
      <c r="E108">
        <v>48</v>
      </c>
      <c r="F108">
        <v>0.70399999999999996</v>
      </c>
      <c r="G108">
        <v>0</v>
      </c>
      <c r="H108">
        <v>1014</v>
      </c>
      <c r="I108">
        <v>699</v>
      </c>
      <c r="J108">
        <v>315</v>
      </c>
      <c r="K108">
        <v>1</v>
      </c>
    </row>
    <row r="109" spans="1:13" x14ac:dyDescent="0.25">
      <c r="A109">
        <v>6</v>
      </c>
      <c r="B109" t="s">
        <v>30</v>
      </c>
      <c r="C109" t="s">
        <v>14</v>
      </c>
      <c r="D109">
        <v>81</v>
      </c>
      <c r="E109">
        <v>81</v>
      </c>
      <c r="F109">
        <v>0.5</v>
      </c>
      <c r="G109">
        <v>33</v>
      </c>
      <c r="H109">
        <v>811</v>
      </c>
      <c r="I109">
        <v>803</v>
      </c>
      <c r="J109">
        <v>8</v>
      </c>
    </row>
    <row r="110" spans="1:13" x14ac:dyDescent="0.25">
      <c r="A110">
        <v>6</v>
      </c>
      <c r="B110" t="s">
        <v>30</v>
      </c>
      <c r="C110" t="s">
        <v>15</v>
      </c>
      <c r="D110">
        <v>66</v>
      </c>
      <c r="E110">
        <v>96</v>
      </c>
      <c r="F110">
        <v>0.40699999999999997</v>
      </c>
      <c r="G110">
        <v>48</v>
      </c>
      <c r="H110">
        <v>943</v>
      </c>
      <c r="I110">
        <v>1119</v>
      </c>
      <c r="J110">
        <v>-176</v>
      </c>
    </row>
    <row r="111" spans="1:13" x14ac:dyDescent="0.25">
      <c r="A111">
        <v>6</v>
      </c>
      <c r="B111" t="s">
        <v>30</v>
      </c>
      <c r="C111" t="s">
        <v>16</v>
      </c>
      <c r="D111">
        <v>61</v>
      </c>
      <c r="E111">
        <v>101</v>
      </c>
      <c r="F111">
        <v>0.377</v>
      </c>
      <c r="G111">
        <v>53</v>
      </c>
      <c r="H111">
        <v>864</v>
      </c>
      <c r="I111">
        <v>1002</v>
      </c>
      <c r="J111">
        <v>-138</v>
      </c>
    </row>
    <row r="112" spans="1:13" x14ac:dyDescent="0.25">
      <c r="A112">
        <v>6</v>
      </c>
      <c r="B112" t="s">
        <v>30</v>
      </c>
      <c r="C112" t="s">
        <v>17</v>
      </c>
      <c r="D112">
        <v>49</v>
      </c>
      <c r="E112">
        <v>113</v>
      </c>
      <c r="F112">
        <v>0.30199999999999999</v>
      </c>
      <c r="G112">
        <v>65</v>
      </c>
      <c r="H112">
        <v>712</v>
      </c>
      <c r="I112">
        <v>1087</v>
      </c>
      <c r="J112">
        <v>-375</v>
      </c>
    </row>
    <row r="113" spans="1:13" x14ac:dyDescent="0.25">
      <c r="A113">
        <v>6</v>
      </c>
      <c r="B113" t="s">
        <v>32</v>
      </c>
      <c r="C113" t="s">
        <v>23</v>
      </c>
      <c r="D113">
        <v>103</v>
      </c>
      <c r="E113">
        <v>59</v>
      </c>
      <c r="F113">
        <v>0.63600000000000001</v>
      </c>
      <c r="G113">
        <v>0</v>
      </c>
      <c r="H113">
        <v>967</v>
      </c>
      <c r="I113">
        <v>699</v>
      </c>
      <c r="J113">
        <v>268</v>
      </c>
      <c r="L113">
        <v>1</v>
      </c>
    </row>
    <row r="114" spans="1:13" x14ac:dyDescent="0.25">
      <c r="A114">
        <v>6</v>
      </c>
      <c r="B114" t="s">
        <v>32</v>
      </c>
      <c r="C114" t="s">
        <v>24</v>
      </c>
      <c r="D114">
        <v>84</v>
      </c>
      <c r="E114">
        <v>78</v>
      </c>
      <c r="F114">
        <v>0.51900000000000002</v>
      </c>
      <c r="G114">
        <v>19</v>
      </c>
      <c r="H114">
        <v>862</v>
      </c>
      <c r="I114">
        <v>809</v>
      </c>
      <c r="J114">
        <v>53</v>
      </c>
    </row>
    <row r="115" spans="1:13" x14ac:dyDescent="0.25">
      <c r="A115">
        <v>6</v>
      </c>
      <c r="B115" t="s">
        <v>32</v>
      </c>
      <c r="C115" t="s">
        <v>27</v>
      </c>
      <c r="D115">
        <v>79</v>
      </c>
      <c r="E115">
        <v>83</v>
      </c>
      <c r="F115">
        <v>0.48799999999999999</v>
      </c>
      <c r="G115">
        <v>24</v>
      </c>
      <c r="H115">
        <v>855</v>
      </c>
      <c r="I115">
        <v>870</v>
      </c>
      <c r="J115">
        <v>-15</v>
      </c>
    </row>
    <row r="116" spans="1:13" x14ac:dyDescent="0.25">
      <c r="A116">
        <v>6</v>
      </c>
      <c r="B116" t="s">
        <v>32</v>
      </c>
      <c r="C116" t="s">
        <v>25</v>
      </c>
      <c r="D116">
        <v>73</v>
      </c>
      <c r="E116">
        <v>89</v>
      </c>
      <c r="F116">
        <v>0.45100000000000001</v>
      </c>
      <c r="G116">
        <v>30</v>
      </c>
      <c r="H116">
        <v>830</v>
      </c>
      <c r="I116">
        <v>936</v>
      </c>
      <c r="J116">
        <v>-106</v>
      </c>
    </row>
    <row r="117" spans="1:13" x14ac:dyDescent="0.25">
      <c r="A117">
        <v>6</v>
      </c>
      <c r="B117" t="s">
        <v>32</v>
      </c>
      <c r="C117" t="s">
        <v>26</v>
      </c>
      <c r="D117">
        <v>56</v>
      </c>
      <c r="E117">
        <v>106</v>
      </c>
      <c r="F117">
        <v>0.34599999999999997</v>
      </c>
      <c r="G117">
        <v>47</v>
      </c>
      <c r="H117">
        <v>678</v>
      </c>
      <c r="I117">
        <v>897</v>
      </c>
      <c r="J117">
        <v>-219</v>
      </c>
    </row>
    <row r="118" spans="1:13" x14ac:dyDescent="0.25">
      <c r="A118">
        <v>6</v>
      </c>
      <c r="B118" t="s">
        <v>29</v>
      </c>
      <c r="C118" t="s">
        <v>9</v>
      </c>
      <c r="D118">
        <v>96</v>
      </c>
      <c r="E118">
        <v>66</v>
      </c>
      <c r="F118">
        <v>0.59299999999999997</v>
      </c>
      <c r="G118">
        <v>0</v>
      </c>
      <c r="H118">
        <v>941</v>
      </c>
      <c r="I118">
        <v>793</v>
      </c>
      <c r="J118">
        <v>148</v>
      </c>
      <c r="L118">
        <v>1</v>
      </c>
    </row>
    <row r="119" spans="1:13" x14ac:dyDescent="0.25">
      <c r="A119">
        <v>6</v>
      </c>
      <c r="B119" t="s">
        <v>29</v>
      </c>
      <c r="C119" t="s">
        <v>10</v>
      </c>
      <c r="D119">
        <v>92</v>
      </c>
      <c r="E119">
        <v>70</v>
      </c>
      <c r="F119">
        <v>0.56799999999999995</v>
      </c>
      <c r="G119">
        <v>4</v>
      </c>
      <c r="H119">
        <v>976</v>
      </c>
      <c r="I119">
        <v>836</v>
      </c>
      <c r="J119">
        <v>140</v>
      </c>
      <c r="M119">
        <v>1</v>
      </c>
    </row>
    <row r="120" spans="1:13" x14ac:dyDescent="0.25">
      <c r="A120">
        <v>6</v>
      </c>
      <c r="B120" t="s">
        <v>29</v>
      </c>
      <c r="C120" t="s">
        <v>11</v>
      </c>
      <c r="D120">
        <v>89</v>
      </c>
      <c r="E120">
        <v>73</v>
      </c>
      <c r="F120">
        <v>0.54900000000000004</v>
      </c>
      <c r="G120">
        <v>7</v>
      </c>
      <c r="H120">
        <v>922</v>
      </c>
      <c r="I120">
        <v>802</v>
      </c>
      <c r="J120">
        <v>120</v>
      </c>
    </row>
    <row r="121" spans="1:13" x14ac:dyDescent="0.25">
      <c r="A121">
        <v>6</v>
      </c>
      <c r="B121" t="s">
        <v>29</v>
      </c>
      <c r="C121" t="s">
        <v>8</v>
      </c>
      <c r="D121">
        <v>83</v>
      </c>
      <c r="E121">
        <v>79</v>
      </c>
      <c r="F121">
        <v>0.51200000000000001</v>
      </c>
      <c r="G121">
        <v>13</v>
      </c>
      <c r="H121">
        <v>804</v>
      </c>
      <c r="I121">
        <v>720</v>
      </c>
      <c r="J121">
        <v>84</v>
      </c>
    </row>
    <row r="122" spans="1:13" x14ac:dyDescent="0.25">
      <c r="A122">
        <v>6</v>
      </c>
      <c r="B122" t="s">
        <v>29</v>
      </c>
      <c r="C122" t="s">
        <v>12</v>
      </c>
      <c r="D122">
        <v>76</v>
      </c>
      <c r="E122">
        <v>86</v>
      </c>
      <c r="F122">
        <v>0.46899999999999997</v>
      </c>
      <c r="G122">
        <v>20</v>
      </c>
      <c r="H122">
        <v>838</v>
      </c>
      <c r="I122">
        <v>821</v>
      </c>
      <c r="J122">
        <v>17</v>
      </c>
    </row>
    <row r="123" spans="1:13" x14ac:dyDescent="0.25">
      <c r="A123">
        <v>7</v>
      </c>
      <c r="B123" t="s">
        <v>31</v>
      </c>
      <c r="C123" t="s">
        <v>18</v>
      </c>
      <c r="D123">
        <v>111</v>
      </c>
      <c r="E123">
        <v>51</v>
      </c>
      <c r="F123">
        <v>0.68500000000000005</v>
      </c>
      <c r="G123">
        <v>0</v>
      </c>
      <c r="H123">
        <v>1058</v>
      </c>
      <c r="I123">
        <v>739</v>
      </c>
      <c r="J123">
        <v>319</v>
      </c>
      <c r="K123">
        <v>1</v>
      </c>
    </row>
    <row r="124" spans="1:13" x14ac:dyDescent="0.25">
      <c r="A124">
        <v>7</v>
      </c>
      <c r="B124" t="s">
        <v>31</v>
      </c>
      <c r="C124" t="s">
        <v>19</v>
      </c>
      <c r="D124">
        <v>89</v>
      </c>
      <c r="E124">
        <v>73</v>
      </c>
      <c r="F124">
        <v>0.54900000000000004</v>
      </c>
      <c r="G124">
        <v>22</v>
      </c>
      <c r="H124">
        <v>905</v>
      </c>
      <c r="I124">
        <v>804</v>
      </c>
      <c r="J124">
        <v>101</v>
      </c>
      <c r="M124">
        <v>0.5</v>
      </c>
    </row>
    <row r="125" spans="1:13" x14ac:dyDescent="0.25">
      <c r="A125">
        <v>7</v>
      </c>
      <c r="B125" t="s">
        <v>31</v>
      </c>
      <c r="C125" t="s">
        <v>20</v>
      </c>
      <c r="D125">
        <v>86</v>
      </c>
      <c r="E125">
        <v>76</v>
      </c>
      <c r="F125">
        <v>0.53100000000000003</v>
      </c>
      <c r="G125">
        <v>25</v>
      </c>
      <c r="H125">
        <v>991</v>
      </c>
      <c r="I125">
        <v>909</v>
      </c>
      <c r="J125">
        <v>82</v>
      </c>
    </row>
    <row r="126" spans="1:13" x14ac:dyDescent="0.25">
      <c r="A126">
        <v>7</v>
      </c>
      <c r="B126" t="s">
        <v>31</v>
      </c>
      <c r="C126" t="s">
        <v>21</v>
      </c>
      <c r="D126">
        <v>50</v>
      </c>
      <c r="E126">
        <v>112</v>
      </c>
      <c r="F126">
        <v>0.309</v>
      </c>
      <c r="G126">
        <v>61</v>
      </c>
      <c r="H126">
        <v>798</v>
      </c>
      <c r="I126">
        <v>1080</v>
      </c>
      <c r="J126">
        <v>-282</v>
      </c>
    </row>
    <row r="127" spans="1:13" x14ac:dyDescent="0.25">
      <c r="A127">
        <v>7</v>
      </c>
      <c r="B127" t="s">
        <v>31</v>
      </c>
      <c r="C127" t="s">
        <v>22</v>
      </c>
      <c r="D127">
        <v>49</v>
      </c>
      <c r="E127">
        <v>113</v>
      </c>
      <c r="F127">
        <v>0.30199999999999999</v>
      </c>
      <c r="G127">
        <v>62</v>
      </c>
      <c r="H127">
        <v>774</v>
      </c>
      <c r="I127">
        <v>1096</v>
      </c>
      <c r="J127">
        <v>-322</v>
      </c>
    </row>
    <row r="128" spans="1:13" x14ac:dyDescent="0.25">
      <c r="A128">
        <v>7</v>
      </c>
      <c r="B128" t="s">
        <v>30</v>
      </c>
      <c r="C128" t="s">
        <v>13</v>
      </c>
      <c r="D128">
        <v>115</v>
      </c>
      <c r="E128">
        <v>47</v>
      </c>
      <c r="F128">
        <v>0.71</v>
      </c>
      <c r="G128">
        <v>0</v>
      </c>
      <c r="H128">
        <v>1041</v>
      </c>
      <c r="I128">
        <v>741</v>
      </c>
      <c r="J128">
        <v>300</v>
      </c>
      <c r="K128">
        <v>1</v>
      </c>
    </row>
    <row r="129" spans="1:13" x14ac:dyDescent="0.25">
      <c r="A129">
        <v>7</v>
      </c>
      <c r="B129" t="s">
        <v>30</v>
      </c>
      <c r="C129" t="s">
        <v>14</v>
      </c>
      <c r="D129">
        <v>77</v>
      </c>
      <c r="E129">
        <v>85</v>
      </c>
      <c r="F129">
        <v>0.47499999999999998</v>
      </c>
      <c r="G129">
        <v>38</v>
      </c>
      <c r="H129">
        <v>806</v>
      </c>
      <c r="I129">
        <v>826</v>
      </c>
      <c r="J129">
        <v>-20</v>
      </c>
    </row>
    <row r="130" spans="1:13" x14ac:dyDescent="0.25">
      <c r="A130">
        <v>7</v>
      </c>
      <c r="B130" t="s">
        <v>30</v>
      </c>
      <c r="C130" t="s">
        <v>15</v>
      </c>
      <c r="D130">
        <v>74</v>
      </c>
      <c r="E130">
        <v>88</v>
      </c>
      <c r="F130">
        <v>0.45700000000000002</v>
      </c>
      <c r="G130">
        <v>41</v>
      </c>
      <c r="H130">
        <v>1004</v>
      </c>
      <c r="I130">
        <v>1075</v>
      </c>
      <c r="J130">
        <v>-71</v>
      </c>
    </row>
    <row r="131" spans="1:13" x14ac:dyDescent="0.25">
      <c r="A131">
        <v>7</v>
      </c>
      <c r="B131" t="s">
        <v>30</v>
      </c>
      <c r="C131" t="s">
        <v>16</v>
      </c>
      <c r="D131">
        <v>72</v>
      </c>
      <c r="E131">
        <v>90</v>
      </c>
      <c r="F131">
        <v>0.44400000000000001</v>
      </c>
      <c r="G131">
        <v>43</v>
      </c>
      <c r="H131">
        <v>881</v>
      </c>
      <c r="I131">
        <v>1037</v>
      </c>
      <c r="J131">
        <v>-156</v>
      </c>
    </row>
    <row r="132" spans="1:13" x14ac:dyDescent="0.25">
      <c r="A132">
        <v>7</v>
      </c>
      <c r="B132" t="s">
        <v>30</v>
      </c>
      <c r="C132" t="s">
        <v>17</v>
      </c>
      <c r="D132">
        <v>41</v>
      </c>
      <c r="E132">
        <v>121</v>
      </c>
      <c r="F132">
        <v>0.253</v>
      </c>
      <c r="G132">
        <v>74</v>
      </c>
      <c r="H132">
        <v>648</v>
      </c>
      <c r="I132">
        <v>1015</v>
      </c>
      <c r="J132">
        <v>-367</v>
      </c>
    </row>
    <row r="133" spans="1:13" x14ac:dyDescent="0.25">
      <c r="A133">
        <v>7</v>
      </c>
      <c r="B133" t="s">
        <v>32</v>
      </c>
      <c r="C133" t="s">
        <v>23</v>
      </c>
      <c r="D133">
        <v>103</v>
      </c>
      <c r="E133">
        <v>59</v>
      </c>
      <c r="F133">
        <v>0.63600000000000001</v>
      </c>
      <c r="G133">
        <v>0</v>
      </c>
      <c r="H133">
        <v>924</v>
      </c>
      <c r="I133">
        <v>699</v>
      </c>
      <c r="J133">
        <v>225</v>
      </c>
      <c r="L133">
        <v>1</v>
      </c>
    </row>
    <row r="134" spans="1:13" x14ac:dyDescent="0.25">
      <c r="A134">
        <v>7</v>
      </c>
      <c r="B134" t="s">
        <v>32</v>
      </c>
      <c r="C134" t="s">
        <v>26</v>
      </c>
      <c r="D134">
        <v>82</v>
      </c>
      <c r="E134">
        <v>80</v>
      </c>
      <c r="F134">
        <v>0.50600000000000001</v>
      </c>
      <c r="G134">
        <v>21</v>
      </c>
      <c r="H134">
        <v>829</v>
      </c>
      <c r="I134">
        <v>838</v>
      </c>
      <c r="J134">
        <v>-9</v>
      </c>
    </row>
    <row r="135" spans="1:13" x14ac:dyDescent="0.25">
      <c r="A135">
        <v>7</v>
      </c>
      <c r="B135" t="s">
        <v>32</v>
      </c>
      <c r="C135" t="s">
        <v>24</v>
      </c>
      <c r="D135">
        <v>81</v>
      </c>
      <c r="E135">
        <v>81</v>
      </c>
      <c r="F135">
        <v>0.5</v>
      </c>
      <c r="G135">
        <v>22</v>
      </c>
      <c r="H135">
        <v>865</v>
      </c>
      <c r="I135">
        <v>846</v>
      </c>
      <c r="J135">
        <v>19</v>
      </c>
    </row>
    <row r="136" spans="1:13" x14ac:dyDescent="0.25">
      <c r="A136">
        <v>7</v>
      </c>
      <c r="B136" t="s">
        <v>32</v>
      </c>
      <c r="C136" t="s">
        <v>27</v>
      </c>
      <c r="D136">
        <v>80</v>
      </c>
      <c r="E136">
        <v>82</v>
      </c>
      <c r="F136">
        <v>0.49399999999999999</v>
      </c>
      <c r="G136">
        <v>23</v>
      </c>
      <c r="H136">
        <v>815</v>
      </c>
      <c r="I136">
        <v>904</v>
      </c>
      <c r="J136">
        <v>-89</v>
      </c>
    </row>
    <row r="137" spans="1:13" x14ac:dyDescent="0.25">
      <c r="A137">
        <v>7</v>
      </c>
      <c r="B137" t="s">
        <v>32</v>
      </c>
      <c r="C137" t="s">
        <v>25</v>
      </c>
      <c r="D137">
        <v>65</v>
      </c>
      <c r="E137">
        <v>97</v>
      </c>
      <c r="F137">
        <v>0.40100000000000002</v>
      </c>
      <c r="G137">
        <v>38</v>
      </c>
      <c r="H137">
        <v>755</v>
      </c>
      <c r="I137">
        <v>902</v>
      </c>
      <c r="J137">
        <v>-147</v>
      </c>
    </row>
    <row r="138" spans="1:13" x14ac:dyDescent="0.25">
      <c r="A138">
        <v>7</v>
      </c>
      <c r="B138" t="s">
        <v>29</v>
      </c>
      <c r="C138" t="s">
        <v>10</v>
      </c>
      <c r="D138">
        <v>102</v>
      </c>
      <c r="E138">
        <v>60</v>
      </c>
      <c r="F138">
        <v>0.63</v>
      </c>
      <c r="G138">
        <v>0</v>
      </c>
      <c r="H138">
        <v>1063</v>
      </c>
      <c r="I138">
        <v>861</v>
      </c>
      <c r="J138">
        <v>202</v>
      </c>
      <c r="L138">
        <v>1</v>
      </c>
    </row>
    <row r="139" spans="1:13" x14ac:dyDescent="0.25">
      <c r="A139">
        <v>7</v>
      </c>
      <c r="B139" t="s">
        <v>29</v>
      </c>
      <c r="C139" t="s">
        <v>8</v>
      </c>
      <c r="D139">
        <v>96</v>
      </c>
      <c r="E139">
        <v>66</v>
      </c>
      <c r="F139">
        <v>0.59299999999999997</v>
      </c>
      <c r="G139">
        <v>6</v>
      </c>
      <c r="H139">
        <v>887</v>
      </c>
      <c r="I139">
        <v>704</v>
      </c>
      <c r="J139">
        <v>183</v>
      </c>
      <c r="M139">
        <v>1</v>
      </c>
    </row>
    <row r="140" spans="1:13" x14ac:dyDescent="0.25">
      <c r="A140">
        <v>7</v>
      </c>
      <c r="B140" t="s">
        <v>29</v>
      </c>
      <c r="C140" t="s">
        <v>11</v>
      </c>
      <c r="D140">
        <v>89</v>
      </c>
      <c r="E140">
        <v>73</v>
      </c>
      <c r="F140">
        <v>0.54900000000000004</v>
      </c>
      <c r="G140">
        <v>13</v>
      </c>
      <c r="H140">
        <v>821</v>
      </c>
      <c r="I140">
        <v>780</v>
      </c>
      <c r="J140">
        <v>41</v>
      </c>
      <c r="M140">
        <v>0.5</v>
      </c>
    </row>
    <row r="141" spans="1:13" x14ac:dyDescent="0.25">
      <c r="A141">
        <v>7</v>
      </c>
      <c r="B141" t="s">
        <v>29</v>
      </c>
      <c r="C141" t="s">
        <v>9</v>
      </c>
      <c r="D141">
        <v>87</v>
      </c>
      <c r="E141">
        <v>75</v>
      </c>
      <c r="F141">
        <v>0.53700000000000003</v>
      </c>
      <c r="G141">
        <v>15</v>
      </c>
      <c r="H141">
        <v>977</v>
      </c>
      <c r="I141">
        <v>891</v>
      </c>
      <c r="J141">
        <v>86</v>
      </c>
    </row>
    <row r="142" spans="1:13" x14ac:dyDescent="0.25">
      <c r="A142">
        <v>7</v>
      </c>
      <c r="B142" t="s">
        <v>29</v>
      </c>
      <c r="C142" t="s">
        <v>12</v>
      </c>
      <c r="D142">
        <v>71</v>
      </c>
      <c r="E142">
        <v>91</v>
      </c>
      <c r="F142">
        <v>0.438</v>
      </c>
      <c r="G142">
        <v>31</v>
      </c>
      <c r="H142">
        <v>821</v>
      </c>
      <c r="I142">
        <v>916</v>
      </c>
      <c r="J142">
        <v>-95</v>
      </c>
    </row>
    <row r="143" spans="1:13" x14ac:dyDescent="0.25">
      <c r="A143">
        <v>8</v>
      </c>
      <c r="B143" t="s">
        <v>31</v>
      </c>
      <c r="C143" t="s">
        <v>18</v>
      </c>
      <c r="D143">
        <v>116</v>
      </c>
      <c r="E143">
        <v>46</v>
      </c>
      <c r="F143">
        <v>0.71599999999999997</v>
      </c>
      <c r="G143">
        <v>0</v>
      </c>
      <c r="H143">
        <v>1141</v>
      </c>
      <c r="I143">
        <v>762</v>
      </c>
      <c r="J143">
        <v>379</v>
      </c>
      <c r="K143">
        <v>0.5</v>
      </c>
      <c r="L143">
        <v>0.5</v>
      </c>
    </row>
    <row r="144" spans="1:13" x14ac:dyDescent="0.25">
      <c r="A144">
        <v>8</v>
      </c>
      <c r="B144" t="s">
        <v>31</v>
      </c>
      <c r="C144" t="s">
        <v>19</v>
      </c>
      <c r="D144">
        <v>91</v>
      </c>
      <c r="E144">
        <v>71</v>
      </c>
      <c r="F144">
        <v>0.56200000000000006</v>
      </c>
      <c r="G144">
        <v>25</v>
      </c>
      <c r="H144">
        <v>974</v>
      </c>
      <c r="I144">
        <v>845</v>
      </c>
      <c r="J144">
        <v>129</v>
      </c>
      <c r="M144">
        <v>1</v>
      </c>
    </row>
    <row r="145" spans="1:13" x14ac:dyDescent="0.25">
      <c r="A145">
        <v>8</v>
      </c>
      <c r="B145" t="s">
        <v>31</v>
      </c>
      <c r="C145" t="s">
        <v>20</v>
      </c>
      <c r="D145">
        <v>82</v>
      </c>
      <c r="E145">
        <v>80</v>
      </c>
      <c r="F145">
        <v>0.50600000000000001</v>
      </c>
      <c r="G145">
        <v>34</v>
      </c>
      <c r="H145">
        <v>964</v>
      </c>
      <c r="I145">
        <v>865</v>
      </c>
      <c r="J145">
        <v>99</v>
      </c>
    </row>
    <row r="146" spans="1:13" x14ac:dyDescent="0.25">
      <c r="A146">
        <v>8</v>
      </c>
      <c r="B146" t="s">
        <v>31</v>
      </c>
      <c r="C146" t="s">
        <v>21</v>
      </c>
      <c r="D146">
        <v>60</v>
      </c>
      <c r="E146">
        <v>102</v>
      </c>
      <c r="F146">
        <v>0.37</v>
      </c>
      <c r="G146">
        <v>56</v>
      </c>
      <c r="H146">
        <v>875</v>
      </c>
      <c r="I146">
        <v>1072</v>
      </c>
      <c r="J146">
        <v>-197</v>
      </c>
    </row>
    <row r="147" spans="1:13" x14ac:dyDescent="0.25">
      <c r="A147">
        <v>8</v>
      </c>
      <c r="B147" t="s">
        <v>31</v>
      </c>
      <c r="C147" t="s">
        <v>22</v>
      </c>
      <c r="D147">
        <v>50</v>
      </c>
      <c r="E147">
        <v>112</v>
      </c>
      <c r="F147">
        <v>0.309</v>
      </c>
      <c r="G147">
        <v>66</v>
      </c>
      <c r="H147">
        <v>760</v>
      </c>
      <c r="I147">
        <v>1149</v>
      </c>
      <c r="J147">
        <v>-389</v>
      </c>
    </row>
    <row r="148" spans="1:13" x14ac:dyDescent="0.25">
      <c r="A148">
        <v>8</v>
      </c>
      <c r="B148" t="s">
        <v>30</v>
      </c>
      <c r="C148" t="s">
        <v>13</v>
      </c>
      <c r="D148">
        <v>117</v>
      </c>
      <c r="E148">
        <v>45</v>
      </c>
      <c r="F148">
        <v>0.72199999999999998</v>
      </c>
      <c r="G148">
        <v>0</v>
      </c>
      <c r="H148">
        <v>983</v>
      </c>
      <c r="I148">
        <v>637</v>
      </c>
      <c r="J148">
        <v>346</v>
      </c>
      <c r="K148">
        <v>1</v>
      </c>
    </row>
    <row r="149" spans="1:13" x14ac:dyDescent="0.25">
      <c r="A149">
        <v>8</v>
      </c>
      <c r="B149" t="s">
        <v>30</v>
      </c>
      <c r="C149" t="s">
        <v>14</v>
      </c>
      <c r="D149">
        <v>80</v>
      </c>
      <c r="E149">
        <v>82</v>
      </c>
      <c r="F149">
        <v>0.49399999999999999</v>
      </c>
      <c r="G149">
        <v>37</v>
      </c>
      <c r="H149">
        <v>822</v>
      </c>
      <c r="I149">
        <v>873</v>
      </c>
      <c r="J149">
        <v>-51</v>
      </c>
    </row>
    <row r="150" spans="1:13" x14ac:dyDescent="0.25">
      <c r="A150">
        <v>8</v>
      </c>
      <c r="B150" t="s">
        <v>30</v>
      </c>
      <c r="C150" t="s">
        <v>15</v>
      </c>
      <c r="D150">
        <v>67</v>
      </c>
      <c r="E150">
        <v>95</v>
      </c>
      <c r="F150">
        <v>0.41399999999999998</v>
      </c>
      <c r="G150">
        <v>50</v>
      </c>
      <c r="H150">
        <v>1031</v>
      </c>
      <c r="I150">
        <v>1226</v>
      </c>
      <c r="J150">
        <v>-195</v>
      </c>
    </row>
    <row r="151" spans="1:13" x14ac:dyDescent="0.25">
      <c r="A151">
        <v>8</v>
      </c>
      <c r="B151" t="s">
        <v>30</v>
      </c>
      <c r="C151" t="s">
        <v>16</v>
      </c>
      <c r="D151">
        <v>65</v>
      </c>
      <c r="E151">
        <v>97</v>
      </c>
      <c r="F151">
        <v>0.40100000000000002</v>
      </c>
      <c r="G151">
        <v>52</v>
      </c>
      <c r="H151">
        <v>820</v>
      </c>
      <c r="I151">
        <v>1010</v>
      </c>
      <c r="J151">
        <v>-190</v>
      </c>
    </row>
    <row r="152" spans="1:13" x14ac:dyDescent="0.25">
      <c r="A152">
        <v>8</v>
      </c>
      <c r="B152" t="s">
        <v>30</v>
      </c>
      <c r="C152" t="s">
        <v>17</v>
      </c>
      <c r="D152">
        <v>46</v>
      </c>
      <c r="E152">
        <v>116</v>
      </c>
      <c r="F152">
        <v>0.28399999999999997</v>
      </c>
      <c r="G152">
        <v>71</v>
      </c>
      <c r="H152">
        <v>620</v>
      </c>
      <c r="I152">
        <v>959</v>
      </c>
      <c r="J152">
        <v>-339</v>
      </c>
    </row>
    <row r="153" spans="1:13" x14ac:dyDescent="0.25">
      <c r="A153">
        <v>8</v>
      </c>
      <c r="B153" t="s">
        <v>32</v>
      </c>
      <c r="C153" t="s">
        <v>23</v>
      </c>
      <c r="D153">
        <v>116</v>
      </c>
      <c r="E153">
        <v>46</v>
      </c>
      <c r="F153">
        <v>0.71599999999999997</v>
      </c>
      <c r="G153">
        <v>0</v>
      </c>
      <c r="H153">
        <v>1015</v>
      </c>
      <c r="I153">
        <v>708</v>
      </c>
      <c r="J153">
        <v>307</v>
      </c>
      <c r="K153">
        <v>0.5</v>
      </c>
      <c r="L153">
        <v>0.5</v>
      </c>
    </row>
    <row r="154" spans="1:13" x14ac:dyDescent="0.25">
      <c r="A154">
        <v>8</v>
      </c>
      <c r="B154" t="s">
        <v>32</v>
      </c>
      <c r="C154" t="s">
        <v>24</v>
      </c>
      <c r="D154">
        <v>91</v>
      </c>
      <c r="E154">
        <v>71</v>
      </c>
      <c r="F154">
        <v>0.56200000000000006</v>
      </c>
      <c r="G154">
        <v>25</v>
      </c>
      <c r="H154">
        <v>867</v>
      </c>
      <c r="I154">
        <v>815</v>
      </c>
      <c r="J154">
        <v>52</v>
      </c>
      <c r="M154">
        <v>1</v>
      </c>
    </row>
    <row r="155" spans="1:13" x14ac:dyDescent="0.25">
      <c r="A155">
        <v>8</v>
      </c>
      <c r="B155" t="s">
        <v>32</v>
      </c>
      <c r="C155" t="s">
        <v>26</v>
      </c>
      <c r="D155">
        <v>70</v>
      </c>
      <c r="E155">
        <v>92</v>
      </c>
      <c r="F155">
        <v>0.432</v>
      </c>
      <c r="G155">
        <v>46</v>
      </c>
      <c r="H155">
        <v>755</v>
      </c>
      <c r="I155">
        <v>874</v>
      </c>
      <c r="J155">
        <v>-119</v>
      </c>
    </row>
    <row r="156" spans="1:13" x14ac:dyDescent="0.25">
      <c r="A156">
        <v>8</v>
      </c>
      <c r="B156" t="s">
        <v>32</v>
      </c>
      <c r="C156" t="s">
        <v>25</v>
      </c>
      <c r="D156">
        <v>69</v>
      </c>
      <c r="E156">
        <v>93</v>
      </c>
      <c r="F156">
        <v>0.42599999999999999</v>
      </c>
      <c r="G156">
        <v>47</v>
      </c>
      <c r="H156">
        <v>800</v>
      </c>
      <c r="I156">
        <v>866</v>
      </c>
      <c r="J156">
        <v>-66</v>
      </c>
    </row>
    <row r="157" spans="1:13" x14ac:dyDescent="0.25">
      <c r="A157">
        <v>8</v>
      </c>
      <c r="B157" t="s">
        <v>32</v>
      </c>
      <c r="C157" t="s">
        <v>27</v>
      </c>
      <c r="D157">
        <v>62</v>
      </c>
      <c r="E157">
        <v>100</v>
      </c>
      <c r="F157">
        <v>0.38300000000000001</v>
      </c>
      <c r="G157">
        <v>54</v>
      </c>
      <c r="H157">
        <v>779</v>
      </c>
      <c r="I157">
        <v>945</v>
      </c>
      <c r="J157">
        <v>-166</v>
      </c>
    </row>
    <row r="158" spans="1:13" x14ac:dyDescent="0.25">
      <c r="A158">
        <v>8</v>
      </c>
      <c r="B158" t="s">
        <v>29</v>
      </c>
      <c r="C158" t="s">
        <v>10</v>
      </c>
      <c r="D158">
        <v>97</v>
      </c>
      <c r="E158">
        <v>65</v>
      </c>
      <c r="F158">
        <v>0.59899999999999998</v>
      </c>
      <c r="G158">
        <v>0</v>
      </c>
      <c r="H158">
        <v>930</v>
      </c>
      <c r="I158">
        <v>845</v>
      </c>
      <c r="J158">
        <v>85</v>
      </c>
      <c r="L158">
        <v>1</v>
      </c>
    </row>
    <row r="159" spans="1:13" x14ac:dyDescent="0.25">
      <c r="A159">
        <v>8</v>
      </c>
      <c r="B159" t="s">
        <v>29</v>
      </c>
      <c r="C159" t="s">
        <v>11</v>
      </c>
      <c r="D159">
        <v>88</v>
      </c>
      <c r="E159">
        <v>74</v>
      </c>
      <c r="F159">
        <v>0.54300000000000004</v>
      </c>
      <c r="G159">
        <v>9</v>
      </c>
      <c r="H159">
        <v>957</v>
      </c>
      <c r="I159">
        <v>824</v>
      </c>
      <c r="J159">
        <v>133</v>
      </c>
    </row>
    <row r="160" spans="1:13" x14ac:dyDescent="0.25">
      <c r="A160">
        <v>8</v>
      </c>
      <c r="B160" t="s">
        <v>29</v>
      </c>
      <c r="C160" t="s">
        <v>8</v>
      </c>
      <c r="D160">
        <v>87</v>
      </c>
      <c r="E160">
        <v>75</v>
      </c>
      <c r="F160">
        <v>0.53700000000000003</v>
      </c>
      <c r="G160">
        <v>10</v>
      </c>
      <c r="H160">
        <v>840</v>
      </c>
      <c r="I160">
        <v>682</v>
      </c>
      <c r="J160">
        <v>158</v>
      </c>
    </row>
    <row r="161" spans="1:13" x14ac:dyDescent="0.25">
      <c r="A161">
        <v>8</v>
      </c>
      <c r="B161" t="s">
        <v>29</v>
      </c>
      <c r="C161" t="s">
        <v>9</v>
      </c>
      <c r="D161">
        <v>86</v>
      </c>
      <c r="E161">
        <v>76</v>
      </c>
      <c r="F161">
        <v>0.53100000000000003</v>
      </c>
      <c r="G161">
        <v>11</v>
      </c>
      <c r="H161">
        <v>856</v>
      </c>
      <c r="I161">
        <v>795</v>
      </c>
      <c r="J161">
        <v>61</v>
      </c>
    </row>
    <row r="162" spans="1:13" x14ac:dyDescent="0.25">
      <c r="A162">
        <v>8</v>
      </c>
      <c r="B162" t="s">
        <v>29</v>
      </c>
      <c r="C162" t="s">
        <v>12</v>
      </c>
      <c r="D162">
        <v>80</v>
      </c>
      <c r="E162">
        <v>82</v>
      </c>
      <c r="F162">
        <v>0.49399999999999999</v>
      </c>
      <c r="G162">
        <v>17</v>
      </c>
      <c r="H162">
        <v>821</v>
      </c>
      <c r="I162">
        <v>858</v>
      </c>
      <c r="J162">
        <v>-37</v>
      </c>
    </row>
    <row r="163" spans="1:13" x14ac:dyDescent="0.25">
      <c r="A163">
        <v>9</v>
      </c>
      <c r="B163" t="s">
        <v>31</v>
      </c>
      <c r="C163" t="s">
        <v>18</v>
      </c>
      <c r="D163">
        <v>108</v>
      </c>
      <c r="E163">
        <v>54</v>
      </c>
      <c r="F163">
        <v>0.66700000000000004</v>
      </c>
      <c r="G163">
        <v>0</v>
      </c>
      <c r="H163">
        <v>1047</v>
      </c>
      <c r="I163">
        <v>797</v>
      </c>
      <c r="J163">
        <v>250</v>
      </c>
      <c r="K163">
        <v>1</v>
      </c>
    </row>
    <row r="164" spans="1:13" x14ac:dyDescent="0.25">
      <c r="A164">
        <v>9</v>
      </c>
      <c r="B164" t="s">
        <v>31</v>
      </c>
      <c r="C164" t="s">
        <v>19</v>
      </c>
      <c r="D164">
        <v>95</v>
      </c>
      <c r="E164">
        <v>67</v>
      </c>
      <c r="F164">
        <v>0.58599999999999997</v>
      </c>
      <c r="G164">
        <v>13</v>
      </c>
      <c r="H164">
        <v>946</v>
      </c>
      <c r="I164">
        <v>822</v>
      </c>
      <c r="J164">
        <v>124</v>
      </c>
      <c r="M164">
        <v>1</v>
      </c>
    </row>
    <row r="165" spans="1:13" x14ac:dyDescent="0.25">
      <c r="A165">
        <v>9</v>
      </c>
      <c r="B165" t="s">
        <v>31</v>
      </c>
      <c r="C165" t="s">
        <v>21</v>
      </c>
      <c r="D165">
        <v>78</v>
      </c>
      <c r="E165">
        <v>84</v>
      </c>
      <c r="F165">
        <v>0.48099999999999998</v>
      </c>
      <c r="G165">
        <v>30</v>
      </c>
      <c r="H165">
        <v>816</v>
      </c>
      <c r="I165">
        <v>886</v>
      </c>
      <c r="J165">
        <v>-70</v>
      </c>
    </row>
    <row r="166" spans="1:13" x14ac:dyDescent="0.25">
      <c r="A166">
        <v>9</v>
      </c>
      <c r="B166" t="s">
        <v>31</v>
      </c>
      <c r="C166" t="s">
        <v>20</v>
      </c>
      <c r="D166">
        <v>72</v>
      </c>
      <c r="E166">
        <v>90</v>
      </c>
      <c r="F166">
        <v>0.44400000000000001</v>
      </c>
      <c r="G166">
        <v>36</v>
      </c>
      <c r="H166">
        <v>872</v>
      </c>
      <c r="I166">
        <v>957</v>
      </c>
      <c r="J166">
        <v>-85</v>
      </c>
    </row>
    <row r="167" spans="1:13" x14ac:dyDescent="0.25">
      <c r="A167">
        <v>9</v>
      </c>
      <c r="B167" t="s">
        <v>31</v>
      </c>
      <c r="C167" t="s">
        <v>22</v>
      </c>
      <c r="D167">
        <v>56</v>
      </c>
      <c r="E167">
        <v>106</v>
      </c>
      <c r="F167">
        <v>0.34599999999999997</v>
      </c>
      <c r="G167">
        <v>52</v>
      </c>
      <c r="H167">
        <v>818</v>
      </c>
      <c r="I167">
        <v>1068</v>
      </c>
      <c r="J167">
        <v>-250</v>
      </c>
    </row>
    <row r="168" spans="1:13" x14ac:dyDescent="0.25">
      <c r="A168">
        <v>9</v>
      </c>
      <c r="B168" t="s">
        <v>30</v>
      </c>
      <c r="C168" t="s">
        <v>13</v>
      </c>
      <c r="D168">
        <v>102</v>
      </c>
      <c r="E168">
        <v>60</v>
      </c>
      <c r="F168">
        <v>0.63</v>
      </c>
      <c r="G168">
        <v>0</v>
      </c>
      <c r="H168">
        <v>864</v>
      </c>
      <c r="I168">
        <v>609</v>
      </c>
      <c r="J168">
        <v>255</v>
      </c>
      <c r="L168">
        <v>1</v>
      </c>
    </row>
    <row r="169" spans="1:13" x14ac:dyDescent="0.25">
      <c r="A169">
        <v>9</v>
      </c>
      <c r="B169" t="s">
        <v>30</v>
      </c>
      <c r="C169" t="s">
        <v>15</v>
      </c>
      <c r="D169">
        <v>74</v>
      </c>
      <c r="E169">
        <v>88</v>
      </c>
      <c r="F169">
        <v>0.45700000000000002</v>
      </c>
      <c r="G169">
        <v>28</v>
      </c>
      <c r="H169">
        <v>1040</v>
      </c>
      <c r="I169">
        <v>1103</v>
      </c>
      <c r="J169">
        <v>-63</v>
      </c>
    </row>
    <row r="170" spans="1:13" x14ac:dyDescent="0.25">
      <c r="A170">
        <v>9</v>
      </c>
      <c r="B170" t="s">
        <v>30</v>
      </c>
      <c r="C170" t="s">
        <v>14</v>
      </c>
      <c r="D170">
        <v>72</v>
      </c>
      <c r="E170">
        <v>90</v>
      </c>
      <c r="F170">
        <v>0.44400000000000001</v>
      </c>
      <c r="G170">
        <v>30</v>
      </c>
      <c r="H170">
        <v>773</v>
      </c>
      <c r="I170">
        <v>893</v>
      </c>
      <c r="J170">
        <v>-120</v>
      </c>
    </row>
    <row r="171" spans="1:13" x14ac:dyDescent="0.25">
      <c r="A171">
        <v>9</v>
      </c>
      <c r="B171" t="s">
        <v>30</v>
      </c>
      <c r="C171" t="s">
        <v>16</v>
      </c>
      <c r="D171">
        <v>63</v>
      </c>
      <c r="E171">
        <v>99</v>
      </c>
      <c r="F171">
        <v>0.38900000000000001</v>
      </c>
      <c r="G171">
        <v>39</v>
      </c>
      <c r="H171">
        <v>776</v>
      </c>
      <c r="I171">
        <v>944</v>
      </c>
      <c r="J171">
        <v>-168</v>
      </c>
    </row>
    <row r="172" spans="1:13" x14ac:dyDescent="0.25">
      <c r="A172">
        <v>9</v>
      </c>
      <c r="B172" t="s">
        <v>30</v>
      </c>
      <c r="C172" t="s">
        <v>17</v>
      </c>
      <c r="D172">
        <v>47</v>
      </c>
      <c r="E172">
        <v>115</v>
      </c>
      <c r="F172">
        <v>0.28999999999999998</v>
      </c>
      <c r="G172">
        <v>55</v>
      </c>
      <c r="H172">
        <v>670</v>
      </c>
      <c r="I172">
        <v>1090</v>
      </c>
      <c r="J172">
        <v>-420</v>
      </c>
    </row>
    <row r="173" spans="1:13" x14ac:dyDescent="0.25">
      <c r="A173">
        <v>9</v>
      </c>
      <c r="B173" t="s">
        <v>32</v>
      </c>
      <c r="C173" t="s">
        <v>23</v>
      </c>
      <c r="D173">
        <v>111</v>
      </c>
      <c r="E173">
        <v>51</v>
      </c>
      <c r="F173">
        <v>0.68500000000000005</v>
      </c>
      <c r="G173">
        <v>0</v>
      </c>
      <c r="H173">
        <v>973</v>
      </c>
      <c r="I173">
        <v>662</v>
      </c>
      <c r="J173">
        <v>311</v>
      </c>
      <c r="K173">
        <v>1</v>
      </c>
    </row>
    <row r="174" spans="1:13" x14ac:dyDescent="0.25">
      <c r="A174">
        <v>9</v>
      </c>
      <c r="B174" t="s">
        <v>32</v>
      </c>
      <c r="C174" t="s">
        <v>24</v>
      </c>
      <c r="D174">
        <v>86</v>
      </c>
      <c r="E174">
        <v>76</v>
      </c>
      <c r="F174">
        <v>0.53100000000000003</v>
      </c>
      <c r="G174">
        <v>25</v>
      </c>
      <c r="H174">
        <v>830</v>
      </c>
      <c r="I174">
        <v>783</v>
      </c>
      <c r="J174">
        <v>47</v>
      </c>
    </row>
    <row r="175" spans="1:13" x14ac:dyDescent="0.25">
      <c r="A175">
        <v>9</v>
      </c>
      <c r="B175" t="s">
        <v>32</v>
      </c>
      <c r="C175" t="s">
        <v>27</v>
      </c>
      <c r="D175">
        <v>76</v>
      </c>
      <c r="E175">
        <v>86</v>
      </c>
      <c r="F175">
        <v>0.46899999999999997</v>
      </c>
      <c r="G175">
        <v>35</v>
      </c>
      <c r="H175">
        <v>830</v>
      </c>
      <c r="I175">
        <v>899</v>
      </c>
      <c r="J175">
        <v>-69</v>
      </c>
    </row>
    <row r="176" spans="1:13" x14ac:dyDescent="0.25">
      <c r="A176">
        <v>9</v>
      </c>
      <c r="B176" t="s">
        <v>32</v>
      </c>
      <c r="C176" t="s">
        <v>26</v>
      </c>
      <c r="D176">
        <v>67</v>
      </c>
      <c r="E176">
        <v>95</v>
      </c>
      <c r="F176">
        <v>0.41399999999999998</v>
      </c>
      <c r="G176">
        <v>44</v>
      </c>
      <c r="H176">
        <v>686</v>
      </c>
      <c r="I176">
        <v>865</v>
      </c>
      <c r="J176">
        <v>-179</v>
      </c>
    </row>
    <row r="177" spans="1:13" x14ac:dyDescent="0.25">
      <c r="A177">
        <v>9</v>
      </c>
      <c r="B177" t="s">
        <v>32</v>
      </c>
      <c r="C177" t="s">
        <v>25</v>
      </c>
      <c r="D177">
        <v>64</v>
      </c>
      <c r="E177">
        <v>98</v>
      </c>
      <c r="F177">
        <v>0.39500000000000002</v>
      </c>
      <c r="G177">
        <v>47</v>
      </c>
      <c r="H177">
        <v>783</v>
      </c>
      <c r="I177">
        <v>893</v>
      </c>
      <c r="J177">
        <v>-110</v>
      </c>
    </row>
    <row r="178" spans="1:13" x14ac:dyDescent="0.25">
      <c r="A178">
        <v>9</v>
      </c>
      <c r="B178" t="s">
        <v>29</v>
      </c>
      <c r="C178" t="s">
        <v>9</v>
      </c>
      <c r="D178">
        <v>98</v>
      </c>
      <c r="E178">
        <v>64</v>
      </c>
      <c r="F178">
        <v>0.60499999999999998</v>
      </c>
      <c r="G178">
        <v>0</v>
      </c>
      <c r="H178">
        <v>930</v>
      </c>
      <c r="I178">
        <v>764</v>
      </c>
      <c r="J178">
        <v>166</v>
      </c>
      <c r="L178">
        <v>1</v>
      </c>
    </row>
    <row r="179" spans="1:13" x14ac:dyDescent="0.25">
      <c r="A179">
        <v>9</v>
      </c>
      <c r="B179" t="s">
        <v>29</v>
      </c>
      <c r="C179" t="s">
        <v>8</v>
      </c>
      <c r="D179">
        <v>96</v>
      </c>
      <c r="E179">
        <v>66</v>
      </c>
      <c r="F179">
        <v>0.59299999999999997</v>
      </c>
      <c r="G179">
        <v>2</v>
      </c>
      <c r="H179">
        <v>829</v>
      </c>
      <c r="I179">
        <v>675</v>
      </c>
      <c r="J179">
        <v>154</v>
      </c>
      <c r="M179">
        <v>1</v>
      </c>
    </row>
    <row r="180" spans="1:13" x14ac:dyDescent="0.25">
      <c r="A180">
        <v>9</v>
      </c>
      <c r="B180" t="s">
        <v>29</v>
      </c>
      <c r="C180" t="s">
        <v>10</v>
      </c>
      <c r="D180">
        <v>91</v>
      </c>
      <c r="E180">
        <v>71</v>
      </c>
      <c r="F180">
        <v>0.56200000000000006</v>
      </c>
      <c r="G180">
        <v>7</v>
      </c>
      <c r="H180">
        <v>935</v>
      </c>
      <c r="I180">
        <v>766</v>
      </c>
      <c r="J180">
        <v>169</v>
      </c>
    </row>
    <row r="181" spans="1:13" x14ac:dyDescent="0.25">
      <c r="A181">
        <v>9</v>
      </c>
      <c r="B181" t="s">
        <v>29</v>
      </c>
      <c r="C181" t="s">
        <v>11</v>
      </c>
      <c r="D181">
        <v>88</v>
      </c>
      <c r="E181">
        <v>74</v>
      </c>
      <c r="F181">
        <v>0.54300000000000004</v>
      </c>
      <c r="G181">
        <v>10</v>
      </c>
      <c r="H181">
        <v>865</v>
      </c>
      <c r="I181">
        <v>821</v>
      </c>
      <c r="J181">
        <v>44</v>
      </c>
    </row>
    <row r="182" spans="1:13" x14ac:dyDescent="0.25">
      <c r="A182">
        <v>9</v>
      </c>
      <c r="B182" t="s">
        <v>29</v>
      </c>
      <c r="C182" t="s">
        <v>12</v>
      </c>
      <c r="D182">
        <v>76</v>
      </c>
      <c r="E182">
        <v>86</v>
      </c>
      <c r="F182">
        <v>0.46899999999999997</v>
      </c>
      <c r="G182">
        <v>22</v>
      </c>
      <c r="H182">
        <v>786</v>
      </c>
      <c r="I182">
        <v>772</v>
      </c>
      <c r="J182">
        <v>14</v>
      </c>
    </row>
    <row r="183" spans="1:13" x14ac:dyDescent="0.25">
      <c r="A183">
        <v>10</v>
      </c>
      <c r="B183" t="s">
        <v>31</v>
      </c>
      <c r="C183" t="s">
        <v>18</v>
      </c>
      <c r="D183">
        <v>103</v>
      </c>
      <c r="E183">
        <v>59</v>
      </c>
      <c r="F183">
        <v>0.63600000000000001</v>
      </c>
      <c r="G183">
        <v>0</v>
      </c>
      <c r="H183">
        <v>1032</v>
      </c>
      <c r="I183">
        <v>805</v>
      </c>
      <c r="J183">
        <v>227</v>
      </c>
      <c r="K183">
        <v>1</v>
      </c>
    </row>
    <row r="184" spans="1:13" x14ac:dyDescent="0.25">
      <c r="A184">
        <v>10</v>
      </c>
      <c r="B184" t="s">
        <v>31</v>
      </c>
      <c r="C184" t="s">
        <v>19</v>
      </c>
      <c r="D184">
        <v>95</v>
      </c>
      <c r="E184">
        <v>67</v>
      </c>
      <c r="F184">
        <v>0.58599999999999997</v>
      </c>
      <c r="G184">
        <v>8</v>
      </c>
      <c r="H184">
        <v>924</v>
      </c>
      <c r="I184">
        <v>804</v>
      </c>
      <c r="J184">
        <v>120</v>
      </c>
      <c r="M184">
        <v>1</v>
      </c>
    </row>
    <row r="185" spans="1:13" x14ac:dyDescent="0.25">
      <c r="A185">
        <v>10</v>
      </c>
      <c r="B185" t="s">
        <v>31</v>
      </c>
      <c r="C185" t="s">
        <v>20</v>
      </c>
      <c r="D185">
        <v>90</v>
      </c>
      <c r="E185">
        <v>72</v>
      </c>
      <c r="F185">
        <v>0.55600000000000005</v>
      </c>
      <c r="G185">
        <v>13</v>
      </c>
      <c r="H185">
        <v>979</v>
      </c>
      <c r="I185">
        <v>859</v>
      </c>
      <c r="J185">
        <v>120</v>
      </c>
    </row>
    <row r="186" spans="1:13" x14ac:dyDescent="0.25">
      <c r="A186">
        <v>10</v>
      </c>
      <c r="B186" t="s">
        <v>31</v>
      </c>
      <c r="C186" t="s">
        <v>21</v>
      </c>
      <c r="D186">
        <v>68</v>
      </c>
      <c r="E186">
        <v>94</v>
      </c>
      <c r="F186">
        <v>0.42</v>
      </c>
      <c r="G186">
        <v>35</v>
      </c>
      <c r="H186">
        <v>809</v>
      </c>
      <c r="I186">
        <v>991</v>
      </c>
      <c r="J186">
        <v>-182</v>
      </c>
    </row>
    <row r="187" spans="1:13" x14ac:dyDescent="0.25">
      <c r="A187">
        <v>10</v>
      </c>
      <c r="B187" t="s">
        <v>31</v>
      </c>
      <c r="C187" t="s">
        <v>22</v>
      </c>
      <c r="D187">
        <v>60</v>
      </c>
      <c r="E187">
        <v>102</v>
      </c>
      <c r="F187">
        <v>0.37</v>
      </c>
      <c r="G187">
        <v>43</v>
      </c>
      <c r="H187">
        <v>877</v>
      </c>
      <c r="I187">
        <v>1083</v>
      </c>
      <c r="J187">
        <v>-206</v>
      </c>
    </row>
    <row r="188" spans="1:13" x14ac:dyDescent="0.25">
      <c r="A188">
        <v>10</v>
      </c>
      <c r="B188" t="s">
        <v>30</v>
      </c>
      <c r="C188" t="s">
        <v>13</v>
      </c>
      <c r="D188">
        <v>106</v>
      </c>
      <c r="E188">
        <v>56</v>
      </c>
      <c r="F188">
        <v>0.65400000000000003</v>
      </c>
      <c r="G188">
        <v>0</v>
      </c>
      <c r="H188">
        <v>913</v>
      </c>
      <c r="I188">
        <v>641</v>
      </c>
      <c r="J188">
        <v>272</v>
      </c>
      <c r="K188">
        <v>1</v>
      </c>
    </row>
    <row r="189" spans="1:13" x14ac:dyDescent="0.25">
      <c r="A189">
        <v>10</v>
      </c>
      <c r="B189" t="s">
        <v>30</v>
      </c>
      <c r="C189" t="s">
        <v>15</v>
      </c>
      <c r="D189">
        <v>81</v>
      </c>
      <c r="E189">
        <v>81</v>
      </c>
      <c r="F189">
        <v>0.5</v>
      </c>
      <c r="G189">
        <v>25</v>
      </c>
      <c r="H189">
        <v>1007</v>
      </c>
      <c r="I189">
        <v>1090</v>
      </c>
      <c r="J189">
        <v>-83</v>
      </c>
    </row>
    <row r="190" spans="1:13" x14ac:dyDescent="0.25">
      <c r="A190">
        <v>10</v>
      </c>
      <c r="B190" t="s">
        <v>30</v>
      </c>
      <c r="C190" t="s">
        <v>14</v>
      </c>
      <c r="D190">
        <v>71</v>
      </c>
      <c r="E190">
        <v>91</v>
      </c>
      <c r="F190">
        <v>0.438</v>
      </c>
      <c r="G190">
        <v>35</v>
      </c>
      <c r="H190">
        <v>752</v>
      </c>
      <c r="I190">
        <v>855</v>
      </c>
      <c r="J190">
        <v>-103</v>
      </c>
    </row>
    <row r="191" spans="1:13" x14ac:dyDescent="0.25">
      <c r="A191">
        <v>10</v>
      </c>
      <c r="B191" t="s">
        <v>30</v>
      </c>
      <c r="C191" t="s">
        <v>16</v>
      </c>
      <c r="D191">
        <v>53</v>
      </c>
      <c r="E191">
        <v>109</v>
      </c>
      <c r="F191">
        <v>0.32700000000000001</v>
      </c>
      <c r="G191">
        <v>53</v>
      </c>
      <c r="H191">
        <v>764</v>
      </c>
      <c r="I191">
        <v>989</v>
      </c>
      <c r="J191">
        <v>-225</v>
      </c>
    </row>
    <row r="192" spans="1:13" x14ac:dyDescent="0.25">
      <c r="A192">
        <v>10</v>
      </c>
      <c r="B192" t="s">
        <v>30</v>
      </c>
      <c r="C192" t="s">
        <v>17</v>
      </c>
      <c r="D192">
        <v>43</v>
      </c>
      <c r="E192">
        <v>119</v>
      </c>
      <c r="F192">
        <v>0.26500000000000001</v>
      </c>
      <c r="G192">
        <v>63</v>
      </c>
      <c r="H192">
        <v>636</v>
      </c>
      <c r="I192">
        <v>1087</v>
      </c>
      <c r="J192">
        <v>-451</v>
      </c>
    </row>
    <row r="193" spans="1:15" x14ac:dyDescent="0.25">
      <c r="A193">
        <v>10</v>
      </c>
      <c r="B193" t="s">
        <v>32</v>
      </c>
      <c r="C193" t="s">
        <v>23</v>
      </c>
      <c r="D193">
        <v>88</v>
      </c>
      <c r="E193">
        <v>74</v>
      </c>
      <c r="F193">
        <v>0.54300000000000004</v>
      </c>
      <c r="G193">
        <v>0</v>
      </c>
      <c r="H193">
        <v>927</v>
      </c>
      <c r="I193">
        <v>782</v>
      </c>
      <c r="J193">
        <v>145</v>
      </c>
      <c r="L193">
        <v>1</v>
      </c>
    </row>
    <row r="194" spans="1:15" x14ac:dyDescent="0.25">
      <c r="A194">
        <v>10</v>
      </c>
      <c r="B194" t="s">
        <v>32</v>
      </c>
      <c r="C194" t="s">
        <v>24</v>
      </c>
      <c r="D194">
        <v>82</v>
      </c>
      <c r="E194">
        <v>80</v>
      </c>
      <c r="F194">
        <v>0.50600000000000001</v>
      </c>
      <c r="G194">
        <v>6</v>
      </c>
      <c r="H194">
        <v>822</v>
      </c>
      <c r="I194">
        <v>806</v>
      </c>
      <c r="J194">
        <v>16</v>
      </c>
    </row>
    <row r="195" spans="1:15" x14ac:dyDescent="0.25">
      <c r="A195">
        <v>10</v>
      </c>
      <c r="B195" t="s">
        <v>32</v>
      </c>
      <c r="C195" t="s">
        <v>26</v>
      </c>
      <c r="D195">
        <v>82</v>
      </c>
      <c r="E195">
        <v>80</v>
      </c>
      <c r="F195">
        <v>0.50600000000000001</v>
      </c>
      <c r="G195">
        <v>6</v>
      </c>
      <c r="H195">
        <v>772</v>
      </c>
      <c r="I195">
        <v>879</v>
      </c>
      <c r="J195">
        <v>-107</v>
      </c>
    </row>
    <row r="196" spans="1:15" x14ac:dyDescent="0.25">
      <c r="A196">
        <v>10</v>
      </c>
      <c r="B196" t="s">
        <v>32</v>
      </c>
      <c r="C196" t="s">
        <v>27</v>
      </c>
      <c r="D196">
        <v>73</v>
      </c>
      <c r="E196">
        <v>89</v>
      </c>
      <c r="F196">
        <v>0.45100000000000001</v>
      </c>
      <c r="G196">
        <v>15</v>
      </c>
      <c r="H196">
        <v>786</v>
      </c>
      <c r="I196">
        <v>846</v>
      </c>
      <c r="J196">
        <v>-60</v>
      </c>
    </row>
    <row r="197" spans="1:15" x14ac:dyDescent="0.25">
      <c r="A197">
        <v>10</v>
      </c>
      <c r="B197" t="s">
        <v>32</v>
      </c>
      <c r="C197" t="s">
        <v>25</v>
      </c>
      <c r="D197">
        <v>68</v>
      </c>
      <c r="E197">
        <v>94</v>
      </c>
      <c r="F197">
        <v>0.42</v>
      </c>
      <c r="G197">
        <v>20</v>
      </c>
      <c r="H197">
        <v>793</v>
      </c>
      <c r="I197">
        <v>873</v>
      </c>
      <c r="J197">
        <v>-80</v>
      </c>
    </row>
    <row r="198" spans="1:15" x14ac:dyDescent="0.25">
      <c r="A198">
        <v>10</v>
      </c>
      <c r="B198" t="s">
        <v>29</v>
      </c>
      <c r="C198" t="s">
        <v>10</v>
      </c>
      <c r="D198">
        <v>98</v>
      </c>
      <c r="E198">
        <v>64</v>
      </c>
      <c r="F198">
        <v>0.60499999999999998</v>
      </c>
      <c r="G198">
        <v>0</v>
      </c>
      <c r="H198">
        <v>981</v>
      </c>
      <c r="I198">
        <v>806</v>
      </c>
      <c r="J198">
        <v>175</v>
      </c>
      <c r="L198">
        <v>1</v>
      </c>
    </row>
    <row r="199" spans="1:15" x14ac:dyDescent="0.25">
      <c r="A199">
        <v>10</v>
      </c>
      <c r="B199" t="s">
        <v>29</v>
      </c>
      <c r="C199" t="s">
        <v>9</v>
      </c>
      <c r="D199">
        <v>94</v>
      </c>
      <c r="E199">
        <v>68</v>
      </c>
      <c r="F199">
        <v>0.57999999999999996</v>
      </c>
      <c r="G199">
        <v>4</v>
      </c>
      <c r="H199">
        <v>1008</v>
      </c>
      <c r="I199">
        <v>839</v>
      </c>
      <c r="J199">
        <v>169</v>
      </c>
      <c r="M199">
        <v>1</v>
      </c>
    </row>
    <row r="200" spans="1:15" x14ac:dyDescent="0.25">
      <c r="A200">
        <v>10</v>
      </c>
      <c r="B200" t="s">
        <v>29</v>
      </c>
      <c r="C200" t="s">
        <v>8</v>
      </c>
      <c r="D200">
        <v>92</v>
      </c>
      <c r="E200">
        <v>70</v>
      </c>
      <c r="F200">
        <v>0.56799999999999995</v>
      </c>
      <c r="G200">
        <v>6</v>
      </c>
      <c r="H200">
        <v>869</v>
      </c>
      <c r="I200">
        <v>714</v>
      </c>
      <c r="J200">
        <v>155</v>
      </c>
    </row>
    <row r="201" spans="1:15" x14ac:dyDescent="0.25">
      <c r="A201">
        <v>10</v>
      </c>
      <c r="B201" t="s">
        <v>29</v>
      </c>
      <c r="C201" t="s">
        <v>12</v>
      </c>
      <c r="D201">
        <v>89</v>
      </c>
      <c r="E201">
        <v>73</v>
      </c>
      <c r="F201">
        <v>0.54900000000000004</v>
      </c>
      <c r="G201">
        <v>9</v>
      </c>
      <c r="H201">
        <v>889</v>
      </c>
      <c r="I201">
        <v>847</v>
      </c>
      <c r="J201">
        <v>42</v>
      </c>
    </row>
    <row r="202" spans="1:15" x14ac:dyDescent="0.25">
      <c r="A202">
        <v>10</v>
      </c>
      <c r="B202" t="s">
        <v>29</v>
      </c>
      <c r="C202" t="s">
        <v>11</v>
      </c>
      <c r="D202">
        <v>84</v>
      </c>
      <c r="E202">
        <v>78</v>
      </c>
      <c r="F202">
        <v>0.51900000000000002</v>
      </c>
      <c r="G202">
        <v>14</v>
      </c>
      <c r="H202">
        <v>857</v>
      </c>
      <c r="I202">
        <v>801</v>
      </c>
      <c r="J202">
        <v>56</v>
      </c>
    </row>
    <row r="203" spans="1:15" x14ac:dyDescent="0.25">
      <c r="A203">
        <v>22</v>
      </c>
      <c r="B203" t="s">
        <v>31</v>
      </c>
      <c r="C203" t="s">
        <v>18</v>
      </c>
      <c r="D203">
        <v>117</v>
      </c>
      <c r="E203">
        <v>45</v>
      </c>
      <c r="F203">
        <v>0.72199999999999998</v>
      </c>
      <c r="G203">
        <v>0</v>
      </c>
      <c r="H203">
        <v>1117</v>
      </c>
      <c r="I203">
        <v>736</v>
      </c>
      <c r="J203">
        <v>381</v>
      </c>
      <c r="K203">
        <v>1</v>
      </c>
      <c r="O203">
        <v>11</v>
      </c>
    </row>
    <row r="204" spans="1:15" x14ac:dyDescent="0.25">
      <c r="A204">
        <v>22</v>
      </c>
      <c r="B204" t="s">
        <v>31</v>
      </c>
      <c r="C204" t="s">
        <v>19</v>
      </c>
      <c r="D204">
        <v>95</v>
      </c>
      <c r="E204">
        <v>67</v>
      </c>
      <c r="F204">
        <v>0.58599999999999997</v>
      </c>
      <c r="G204">
        <v>22</v>
      </c>
      <c r="H204">
        <v>981</v>
      </c>
      <c r="I204">
        <v>824</v>
      </c>
      <c r="J204">
        <v>157</v>
      </c>
      <c r="M204">
        <v>1</v>
      </c>
    </row>
    <row r="205" spans="1:15" x14ac:dyDescent="0.25">
      <c r="A205">
        <v>22</v>
      </c>
      <c r="B205" t="s">
        <v>31</v>
      </c>
      <c r="C205" t="s">
        <v>20</v>
      </c>
      <c r="D205">
        <v>94</v>
      </c>
      <c r="E205">
        <v>68</v>
      </c>
      <c r="F205">
        <v>0.57999999999999996</v>
      </c>
      <c r="G205">
        <v>23</v>
      </c>
      <c r="H205">
        <v>955</v>
      </c>
      <c r="I205">
        <v>850</v>
      </c>
      <c r="J205">
        <v>105</v>
      </c>
    </row>
    <row r="206" spans="1:15" x14ac:dyDescent="0.25">
      <c r="A206">
        <v>22</v>
      </c>
      <c r="B206" t="s">
        <v>31</v>
      </c>
      <c r="C206" t="s">
        <v>21</v>
      </c>
      <c r="D206">
        <v>64</v>
      </c>
      <c r="E206">
        <v>98</v>
      </c>
      <c r="F206">
        <v>0.39500000000000002</v>
      </c>
      <c r="G206">
        <v>53</v>
      </c>
      <c r="H206">
        <v>797</v>
      </c>
      <c r="I206">
        <v>929</v>
      </c>
      <c r="J206">
        <v>-132</v>
      </c>
    </row>
    <row r="207" spans="1:15" x14ac:dyDescent="0.25">
      <c r="A207">
        <v>22</v>
      </c>
      <c r="B207" t="s">
        <v>31</v>
      </c>
      <c r="C207" t="s">
        <v>22</v>
      </c>
      <c r="D207">
        <v>54</v>
      </c>
      <c r="E207">
        <v>108</v>
      </c>
      <c r="F207">
        <v>0.33300000000000002</v>
      </c>
      <c r="G207">
        <v>63</v>
      </c>
      <c r="H207">
        <v>753</v>
      </c>
      <c r="I207">
        <v>1035</v>
      </c>
      <c r="J207">
        <v>-282</v>
      </c>
    </row>
    <row r="208" spans="1:15" x14ac:dyDescent="0.25">
      <c r="A208">
        <v>22</v>
      </c>
      <c r="B208" t="s">
        <v>30</v>
      </c>
      <c r="C208" t="s">
        <v>13</v>
      </c>
      <c r="D208">
        <v>115</v>
      </c>
      <c r="E208">
        <v>47</v>
      </c>
      <c r="F208">
        <v>0.71</v>
      </c>
      <c r="G208">
        <v>0</v>
      </c>
      <c r="H208">
        <v>1000</v>
      </c>
      <c r="I208">
        <v>641</v>
      </c>
      <c r="J208">
        <v>359</v>
      </c>
      <c r="K208">
        <v>1</v>
      </c>
    </row>
    <row r="209" spans="1:13" x14ac:dyDescent="0.25">
      <c r="A209">
        <v>22</v>
      </c>
      <c r="B209" t="s">
        <v>30</v>
      </c>
      <c r="C209" t="s">
        <v>15</v>
      </c>
      <c r="D209">
        <v>79</v>
      </c>
      <c r="E209">
        <v>83</v>
      </c>
      <c r="F209">
        <v>0.48799999999999999</v>
      </c>
      <c r="G209">
        <v>36</v>
      </c>
      <c r="H209">
        <v>1073</v>
      </c>
      <c r="I209">
        <v>1121</v>
      </c>
      <c r="J209">
        <v>-48</v>
      </c>
    </row>
    <row r="210" spans="1:13" x14ac:dyDescent="0.25">
      <c r="A210">
        <v>22</v>
      </c>
      <c r="B210" t="s">
        <v>30</v>
      </c>
      <c r="C210" t="s">
        <v>14</v>
      </c>
      <c r="D210">
        <v>71</v>
      </c>
      <c r="E210">
        <v>91</v>
      </c>
      <c r="F210">
        <v>0.438</v>
      </c>
      <c r="G210">
        <v>44</v>
      </c>
      <c r="H210">
        <v>788</v>
      </c>
      <c r="I210">
        <v>834</v>
      </c>
      <c r="J210">
        <v>-46</v>
      </c>
    </row>
    <row r="211" spans="1:13" x14ac:dyDescent="0.25">
      <c r="A211">
        <v>22</v>
      </c>
      <c r="B211" t="s">
        <v>30</v>
      </c>
      <c r="C211" t="s">
        <v>16</v>
      </c>
      <c r="D211">
        <v>62</v>
      </c>
      <c r="E211">
        <v>100</v>
      </c>
      <c r="F211">
        <v>0.38300000000000001</v>
      </c>
      <c r="G211">
        <v>53</v>
      </c>
      <c r="H211">
        <v>820</v>
      </c>
      <c r="I211">
        <v>1075</v>
      </c>
      <c r="J211">
        <v>-255</v>
      </c>
    </row>
    <row r="212" spans="1:13" x14ac:dyDescent="0.25">
      <c r="A212">
        <v>22</v>
      </c>
      <c r="B212" t="s">
        <v>30</v>
      </c>
      <c r="C212" t="s">
        <v>17</v>
      </c>
      <c r="D212">
        <v>44</v>
      </c>
      <c r="E212">
        <v>118</v>
      </c>
      <c r="F212">
        <v>0.27200000000000002</v>
      </c>
      <c r="G212">
        <v>71</v>
      </c>
      <c r="H212">
        <v>625</v>
      </c>
      <c r="I212">
        <v>1115</v>
      </c>
      <c r="J212">
        <v>-490</v>
      </c>
    </row>
    <row r="213" spans="1:13" x14ac:dyDescent="0.25">
      <c r="A213">
        <v>22</v>
      </c>
      <c r="B213" t="s">
        <v>32</v>
      </c>
      <c r="C213" t="s">
        <v>23</v>
      </c>
      <c r="D213">
        <v>107</v>
      </c>
      <c r="E213">
        <v>55</v>
      </c>
      <c r="F213">
        <v>0.66</v>
      </c>
      <c r="G213">
        <v>0</v>
      </c>
      <c r="H213">
        <v>991</v>
      </c>
      <c r="I213">
        <v>697</v>
      </c>
      <c r="J213">
        <v>294</v>
      </c>
      <c r="L213">
        <v>1</v>
      </c>
    </row>
    <row r="214" spans="1:13" x14ac:dyDescent="0.25">
      <c r="A214">
        <v>22</v>
      </c>
      <c r="B214" t="s">
        <v>32</v>
      </c>
      <c r="C214" t="s">
        <v>24</v>
      </c>
      <c r="D214">
        <v>85</v>
      </c>
      <c r="E214">
        <v>77</v>
      </c>
      <c r="F214">
        <v>0.52500000000000002</v>
      </c>
      <c r="G214">
        <v>22</v>
      </c>
      <c r="H214">
        <v>808</v>
      </c>
      <c r="I214">
        <v>773</v>
      </c>
      <c r="J214">
        <v>35</v>
      </c>
    </row>
    <row r="215" spans="1:13" x14ac:dyDescent="0.25">
      <c r="A215">
        <v>22</v>
      </c>
      <c r="B215" t="s">
        <v>32</v>
      </c>
      <c r="C215" t="s">
        <v>25</v>
      </c>
      <c r="D215">
        <v>72</v>
      </c>
      <c r="E215">
        <v>90</v>
      </c>
      <c r="F215">
        <v>0.44400000000000001</v>
      </c>
      <c r="G215">
        <v>35</v>
      </c>
      <c r="H215">
        <v>794</v>
      </c>
      <c r="I215">
        <v>936</v>
      </c>
      <c r="J215">
        <v>-142</v>
      </c>
    </row>
    <row r="216" spans="1:13" x14ac:dyDescent="0.25">
      <c r="A216">
        <v>22</v>
      </c>
      <c r="B216" t="s">
        <v>32</v>
      </c>
      <c r="C216" t="s">
        <v>26</v>
      </c>
      <c r="D216">
        <v>68</v>
      </c>
      <c r="E216">
        <v>94</v>
      </c>
      <c r="F216">
        <v>0.42</v>
      </c>
      <c r="G216">
        <v>39</v>
      </c>
      <c r="H216">
        <v>773</v>
      </c>
      <c r="I216">
        <v>906</v>
      </c>
      <c r="J216">
        <v>-133</v>
      </c>
    </row>
    <row r="217" spans="1:13" x14ac:dyDescent="0.25">
      <c r="A217">
        <v>22</v>
      </c>
      <c r="B217" t="s">
        <v>32</v>
      </c>
      <c r="C217" t="s">
        <v>27</v>
      </c>
      <c r="D217">
        <v>54</v>
      </c>
      <c r="E217">
        <v>108</v>
      </c>
      <c r="F217">
        <v>0.33300000000000002</v>
      </c>
      <c r="G217">
        <v>53</v>
      </c>
      <c r="H217">
        <v>734</v>
      </c>
      <c r="I217">
        <v>967</v>
      </c>
      <c r="J217">
        <v>-233</v>
      </c>
    </row>
    <row r="218" spans="1:13" x14ac:dyDescent="0.25">
      <c r="A218">
        <v>22</v>
      </c>
      <c r="B218" t="s">
        <v>29</v>
      </c>
      <c r="C218" t="s">
        <v>8</v>
      </c>
      <c r="D218">
        <v>98</v>
      </c>
      <c r="E218">
        <v>64</v>
      </c>
      <c r="F218">
        <v>0.60499999999999998</v>
      </c>
      <c r="G218">
        <v>0</v>
      </c>
      <c r="H218">
        <v>876</v>
      </c>
      <c r="I218">
        <v>669</v>
      </c>
      <c r="J218">
        <v>207</v>
      </c>
      <c r="L218">
        <v>1</v>
      </c>
    </row>
    <row r="219" spans="1:13" x14ac:dyDescent="0.25">
      <c r="A219">
        <v>22</v>
      </c>
      <c r="B219" t="s">
        <v>29</v>
      </c>
      <c r="C219" t="s">
        <v>10</v>
      </c>
      <c r="D219">
        <v>96</v>
      </c>
      <c r="E219">
        <v>66</v>
      </c>
      <c r="F219">
        <v>0.59299999999999997</v>
      </c>
      <c r="G219">
        <v>2</v>
      </c>
      <c r="H219">
        <v>968</v>
      </c>
      <c r="I219">
        <v>861</v>
      </c>
      <c r="J219">
        <v>107</v>
      </c>
      <c r="M219">
        <v>1</v>
      </c>
    </row>
    <row r="220" spans="1:13" x14ac:dyDescent="0.25">
      <c r="A220">
        <v>22</v>
      </c>
      <c r="B220" t="s">
        <v>29</v>
      </c>
      <c r="C220" t="s">
        <v>9</v>
      </c>
      <c r="D220">
        <v>93</v>
      </c>
      <c r="E220">
        <v>69</v>
      </c>
      <c r="F220">
        <v>0.57399999999999995</v>
      </c>
      <c r="G220">
        <v>5</v>
      </c>
      <c r="H220">
        <v>1002</v>
      </c>
      <c r="I220">
        <v>850</v>
      </c>
      <c r="J220">
        <v>152</v>
      </c>
    </row>
    <row r="221" spans="1:13" x14ac:dyDescent="0.25">
      <c r="A221">
        <v>22</v>
      </c>
      <c r="B221" t="s">
        <v>29</v>
      </c>
      <c r="C221" t="s">
        <v>11</v>
      </c>
      <c r="D221">
        <v>77</v>
      </c>
      <c r="E221">
        <v>85</v>
      </c>
      <c r="F221">
        <v>0.47499999999999998</v>
      </c>
      <c r="G221">
        <v>21</v>
      </c>
      <c r="H221">
        <v>826</v>
      </c>
      <c r="I221">
        <v>811</v>
      </c>
      <c r="J221">
        <v>15</v>
      </c>
    </row>
    <row r="222" spans="1:13" x14ac:dyDescent="0.25">
      <c r="A222">
        <v>22</v>
      </c>
      <c r="B222" t="s">
        <v>29</v>
      </c>
      <c r="C222" t="s">
        <v>12</v>
      </c>
      <c r="D222">
        <v>75</v>
      </c>
      <c r="E222">
        <v>87</v>
      </c>
      <c r="F222">
        <v>0.46300000000000002</v>
      </c>
      <c r="G222">
        <v>23</v>
      </c>
      <c r="H222">
        <v>786</v>
      </c>
      <c r="I222">
        <v>837</v>
      </c>
      <c r="J222">
        <v>-51</v>
      </c>
    </row>
    <row r="223" spans="1:13" x14ac:dyDescent="0.25">
      <c r="A223">
        <v>23</v>
      </c>
      <c r="B223" t="s">
        <v>31</v>
      </c>
      <c r="C223" t="s">
        <v>18</v>
      </c>
      <c r="D223">
        <v>124</v>
      </c>
      <c r="E223">
        <v>38</v>
      </c>
      <c r="F223">
        <v>0.76500000000000001</v>
      </c>
      <c r="G223">
        <v>0</v>
      </c>
      <c r="H223">
        <v>1055</v>
      </c>
      <c r="I223">
        <v>683</v>
      </c>
      <c r="J223">
        <v>372</v>
      </c>
      <c r="K223">
        <v>1</v>
      </c>
    </row>
    <row r="224" spans="1:13" x14ac:dyDescent="0.25">
      <c r="A224">
        <v>23</v>
      </c>
      <c r="B224" t="s">
        <v>31</v>
      </c>
      <c r="C224" t="s">
        <v>19</v>
      </c>
      <c r="D224">
        <v>95</v>
      </c>
      <c r="E224">
        <v>67</v>
      </c>
      <c r="F224">
        <v>0.58599999999999997</v>
      </c>
      <c r="G224">
        <v>29</v>
      </c>
      <c r="H224">
        <v>982</v>
      </c>
      <c r="I224">
        <v>804</v>
      </c>
      <c r="J224">
        <v>178</v>
      </c>
      <c r="M224">
        <v>1</v>
      </c>
    </row>
    <row r="225" spans="1:13" x14ac:dyDescent="0.25">
      <c r="A225">
        <v>23</v>
      </c>
      <c r="B225" t="s">
        <v>31</v>
      </c>
      <c r="C225" t="s">
        <v>20</v>
      </c>
      <c r="D225">
        <v>84</v>
      </c>
      <c r="E225">
        <v>78</v>
      </c>
      <c r="F225">
        <v>0.51900000000000002</v>
      </c>
      <c r="G225">
        <v>40</v>
      </c>
      <c r="H225">
        <v>994</v>
      </c>
      <c r="I225">
        <v>901</v>
      </c>
      <c r="J225">
        <v>93</v>
      </c>
    </row>
    <row r="226" spans="1:13" x14ac:dyDescent="0.25">
      <c r="A226">
        <v>23</v>
      </c>
      <c r="B226" t="s">
        <v>31</v>
      </c>
      <c r="C226" t="s">
        <v>21</v>
      </c>
      <c r="D226">
        <v>74</v>
      </c>
      <c r="E226">
        <v>88</v>
      </c>
      <c r="F226">
        <v>0.45700000000000002</v>
      </c>
      <c r="G226">
        <v>50</v>
      </c>
      <c r="H226">
        <v>837</v>
      </c>
      <c r="I226">
        <v>984</v>
      </c>
      <c r="J226">
        <v>-147</v>
      </c>
    </row>
    <row r="227" spans="1:13" x14ac:dyDescent="0.25">
      <c r="A227">
        <v>23</v>
      </c>
      <c r="B227" t="s">
        <v>31</v>
      </c>
      <c r="C227" t="s">
        <v>22</v>
      </c>
      <c r="D227">
        <v>63</v>
      </c>
      <c r="E227">
        <v>99</v>
      </c>
      <c r="F227">
        <v>0.38900000000000001</v>
      </c>
      <c r="G227">
        <v>61</v>
      </c>
      <c r="H227">
        <v>781</v>
      </c>
      <c r="I227">
        <v>1061</v>
      </c>
      <c r="J227">
        <v>-280</v>
      </c>
    </row>
    <row r="228" spans="1:13" x14ac:dyDescent="0.25">
      <c r="A228">
        <v>23</v>
      </c>
      <c r="B228" t="s">
        <v>30</v>
      </c>
      <c r="C228" t="s">
        <v>13</v>
      </c>
      <c r="D228">
        <v>109</v>
      </c>
      <c r="E228">
        <v>53</v>
      </c>
      <c r="F228">
        <v>0.67300000000000004</v>
      </c>
      <c r="G228">
        <v>0</v>
      </c>
      <c r="H228">
        <v>961</v>
      </c>
      <c r="I228">
        <v>718</v>
      </c>
      <c r="J228">
        <v>243</v>
      </c>
      <c r="K228">
        <v>1</v>
      </c>
    </row>
    <row r="229" spans="1:13" x14ac:dyDescent="0.25">
      <c r="A229">
        <v>23</v>
      </c>
      <c r="B229" t="s">
        <v>30</v>
      </c>
      <c r="C229" t="s">
        <v>15</v>
      </c>
      <c r="D229">
        <v>72</v>
      </c>
      <c r="E229">
        <v>90</v>
      </c>
      <c r="F229">
        <v>0.44400000000000001</v>
      </c>
      <c r="G229">
        <v>37</v>
      </c>
      <c r="H229">
        <v>1069</v>
      </c>
      <c r="I229">
        <v>1193</v>
      </c>
      <c r="J229">
        <v>-124</v>
      </c>
    </row>
    <row r="230" spans="1:13" x14ac:dyDescent="0.25">
      <c r="A230">
        <v>23</v>
      </c>
      <c r="B230" t="s">
        <v>30</v>
      </c>
      <c r="C230" t="s">
        <v>14</v>
      </c>
      <c r="D230">
        <v>71</v>
      </c>
      <c r="E230">
        <v>91</v>
      </c>
      <c r="F230">
        <v>0.438</v>
      </c>
      <c r="G230">
        <v>38</v>
      </c>
      <c r="H230">
        <v>753</v>
      </c>
      <c r="I230">
        <v>917</v>
      </c>
      <c r="J230">
        <v>-164</v>
      </c>
    </row>
    <row r="231" spans="1:13" x14ac:dyDescent="0.25">
      <c r="A231">
        <v>23</v>
      </c>
      <c r="B231" t="s">
        <v>30</v>
      </c>
      <c r="C231" t="s">
        <v>16</v>
      </c>
      <c r="D231">
        <v>59</v>
      </c>
      <c r="E231">
        <v>103</v>
      </c>
      <c r="F231">
        <v>0.36399999999999999</v>
      </c>
      <c r="G231">
        <v>50</v>
      </c>
      <c r="H231">
        <v>866</v>
      </c>
      <c r="I231">
        <v>1001</v>
      </c>
      <c r="J231">
        <v>-135</v>
      </c>
    </row>
    <row r="232" spans="1:13" x14ac:dyDescent="0.25">
      <c r="A232">
        <v>23</v>
      </c>
      <c r="B232" t="s">
        <v>30</v>
      </c>
      <c r="C232" t="s">
        <v>17</v>
      </c>
      <c r="D232">
        <v>40</v>
      </c>
      <c r="E232">
        <v>122</v>
      </c>
      <c r="F232">
        <v>0.247</v>
      </c>
      <c r="G232">
        <v>69</v>
      </c>
      <c r="H232">
        <v>599</v>
      </c>
      <c r="I232">
        <v>1014</v>
      </c>
      <c r="J232">
        <v>-415</v>
      </c>
    </row>
    <row r="233" spans="1:13" x14ac:dyDescent="0.25">
      <c r="A233">
        <v>23</v>
      </c>
      <c r="B233" t="s">
        <v>32</v>
      </c>
      <c r="C233" t="s">
        <v>23</v>
      </c>
      <c r="D233">
        <v>100</v>
      </c>
      <c r="E233">
        <v>62</v>
      </c>
      <c r="F233">
        <v>0.61699999999999999</v>
      </c>
      <c r="G233">
        <v>0</v>
      </c>
      <c r="H233">
        <v>902</v>
      </c>
      <c r="I233">
        <v>700</v>
      </c>
      <c r="J233">
        <v>202</v>
      </c>
      <c r="L233">
        <v>1</v>
      </c>
    </row>
    <row r="234" spans="1:13" x14ac:dyDescent="0.25">
      <c r="A234">
        <v>23</v>
      </c>
      <c r="B234" t="s">
        <v>32</v>
      </c>
      <c r="C234" t="s">
        <v>24</v>
      </c>
      <c r="D234">
        <v>94</v>
      </c>
      <c r="E234">
        <v>68</v>
      </c>
      <c r="F234">
        <v>0.57999999999999996</v>
      </c>
      <c r="G234">
        <v>6</v>
      </c>
      <c r="H234">
        <v>801</v>
      </c>
      <c r="I234">
        <v>743</v>
      </c>
      <c r="J234">
        <v>58</v>
      </c>
      <c r="M234">
        <v>1</v>
      </c>
    </row>
    <row r="235" spans="1:13" x14ac:dyDescent="0.25">
      <c r="A235">
        <v>23</v>
      </c>
      <c r="B235" t="s">
        <v>32</v>
      </c>
      <c r="C235" t="s">
        <v>25</v>
      </c>
      <c r="D235">
        <v>72</v>
      </c>
      <c r="E235">
        <v>90</v>
      </c>
      <c r="F235">
        <v>0.44400000000000001</v>
      </c>
      <c r="G235">
        <v>28</v>
      </c>
      <c r="H235">
        <v>814</v>
      </c>
      <c r="I235">
        <v>870</v>
      </c>
      <c r="J235">
        <v>-56</v>
      </c>
    </row>
    <row r="236" spans="1:13" x14ac:dyDescent="0.25">
      <c r="A236">
        <v>23</v>
      </c>
      <c r="B236" t="s">
        <v>32</v>
      </c>
      <c r="C236" t="s">
        <v>26</v>
      </c>
      <c r="D236">
        <v>69</v>
      </c>
      <c r="E236">
        <v>93</v>
      </c>
      <c r="F236">
        <v>0.42599999999999999</v>
      </c>
      <c r="G236">
        <v>31</v>
      </c>
      <c r="H236">
        <v>731</v>
      </c>
      <c r="I236">
        <v>801</v>
      </c>
      <c r="J236">
        <v>-70</v>
      </c>
    </row>
    <row r="237" spans="1:13" x14ac:dyDescent="0.25">
      <c r="A237">
        <v>23</v>
      </c>
      <c r="B237" t="s">
        <v>32</v>
      </c>
      <c r="C237" t="s">
        <v>27</v>
      </c>
      <c r="D237">
        <v>63</v>
      </c>
      <c r="E237">
        <v>99</v>
      </c>
      <c r="F237">
        <v>0.38900000000000001</v>
      </c>
      <c r="G237">
        <v>37</v>
      </c>
      <c r="H237">
        <v>708</v>
      </c>
      <c r="I237">
        <v>857</v>
      </c>
      <c r="J237">
        <v>-149</v>
      </c>
    </row>
    <row r="238" spans="1:13" x14ac:dyDescent="0.25">
      <c r="A238">
        <v>23</v>
      </c>
      <c r="B238" t="s">
        <v>29</v>
      </c>
      <c r="C238" t="s">
        <v>10</v>
      </c>
      <c r="D238">
        <v>95</v>
      </c>
      <c r="E238">
        <v>67</v>
      </c>
      <c r="F238">
        <v>0.58599999999999997</v>
      </c>
      <c r="G238">
        <v>0</v>
      </c>
      <c r="H238">
        <v>984</v>
      </c>
      <c r="I238">
        <v>814</v>
      </c>
      <c r="J238">
        <v>170</v>
      </c>
      <c r="L238">
        <v>1</v>
      </c>
    </row>
    <row r="239" spans="1:13" x14ac:dyDescent="0.25">
      <c r="A239">
        <v>23</v>
      </c>
      <c r="B239" t="s">
        <v>29</v>
      </c>
      <c r="C239" t="s">
        <v>8</v>
      </c>
      <c r="D239">
        <v>93</v>
      </c>
      <c r="E239">
        <v>69</v>
      </c>
      <c r="F239">
        <v>0.57399999999999995</v>
      </c>
      <c r="G239">
        <v>2</v>
      </c>
      <c r="H239">
        <v>807</v>
      </c>
      <c r="I239">
        <v>672</v>
      </c>
      <c r="J239">
        <v>135</v>
      </c>
    </row>
    <row r="240" spans="1:13" x14ac:dyDescent="0.25">
      <c r="A240">
        <v>23</v>
      </c>
      <c r="B240" t="s">
        <v>29</v>
      </c>
      <c r="C240" t="s">
        <v>11</v>
      </c>
      <c r="D240">
        <v>93</v>
      </c>
      <c r="E240">
        <v>69</v>
      </c>
      <c r="F240">
        <v>0.57399999999999995</v>
      </c>
      <c r="G240">
        <v>2</v>
      </c>
      <c r="H240">
        <v>934</v>
      </c>
      <c r="I240">
        <v>792</v>
      </c>
      <c r="J240">
        <v>142</v>
      </c>
    </row>
    <row r="241" spans="1:13" x14ac:dyDescent="0.25">
      <c r="A241">
        <v>23</v>
      </c>
      <c r="B241" t="s">
        <v>29</v>
      </c>
      <c r="C241" t="s">
        <v>9</v>
      </c>
      <c r="D241">
        <v>75</v>
      </c>
      <c r="E241">
        <v>87</v>
      </c>
      <c r="F241">
        <v>0.46300000000000002</v>
      </c>
      <c r="G241">
        <v>20</v>
      </c>
      <c r="H241">
        <v>925</v>
      </c>
      <c r="I241">
        <v>941</v>
      </c>
      <c r="J241">
        <v>-16</v>
      </c>
    </row>
    <row r="242" spans="1:13" x14ac:dyDescent="0.25">
      <c r="A242">
        <v>23</v>
      </c>
      <c r="B242" t="s">
        <v>29</v>
      </c>
      <c r="C242" t="s">
        <v>12</v>
      </c>
      <c r="D242">
        <v>75</v>
      </c>
      <c r="E242">
        <v>87</v>
      </c>
      <c r="F242">
        <v>0.46300000000000002</v>
      </c>
      <c r="G242">
        <v>20</v>
      </c>
      <c r="H242">
        <v>836</v>
      </c>
      <c r="I242">
        <v>873</v>
      </c>
      <c r="J242">
        <v>-37</v>
      </c>
    </row>
    <row r="243" spans="1:13" x14ac:dyDescent="0.25">
      <c r="A243">
        <v>24</v>
      </c>
      <c r="B243" t="s">
        <v>31</v>
      </c>
      <c r="C243" t="s">
        <v>18</v>
      </c>
      <c r="D243">
        <v>97</v>
      </c>
      <c r="E243">
        <v>65</v>
      </c>
      <c r="F243">
        <v>0.59899999999999998</v>
      </c>
      <c r="G243">
        <v>0</v>
      </c>
      <c r="H243">
        <v>983</v>
      </c>
      <c r="I243">
        <v>741</v>
      </c>
      <c r="J243">
        <v>242</v>
      </c>
      <c r="L243">
        <v>1</v>
      </c>
    </row>
    <row r="244" spans="1:13" x14ac:dyDescent="0.25">
      <c r="A244">
        <v>24</v>
      </c>
      <c r="B244" t="s">
        <v>31</v>
      </c>
      <c r="C244" t="s">
        <v>19</v>
      </c>
      <c r="D244">
        <v>96</v>
      </c>
      <c r="E244">
        <v>66</v>
      </c>
      <c r="F244">
        <v>0.59299999999999997</v>
      </c>
      <c r="G244">
        <v>1</v>
      </c>
      <c r="H244">
        <v>1003</v>
      </c>
      <c r="I244">
        <v>777</v>
      </c>
      <c r="J244">
        <v>226</v>
      </c>
      <c r="M244">
        <v>1</v>
      </c>
    </row>
    <row r="245" spans="1:13" x14ac:dyDescent="0.25">
      <c r="A245">
        <v>24</v>
      </c>
      <c r="B245" t="s">
        <v>31</v>
      </c>
      <c r="C245" t="s">
        <v>20</v>
      </c>
      <c r="D245">
        <v>87</v>
      </c>
      <c r="E245">
        <v>75</v>
      </c>
      <c r="F245">
        <v>0.53700000000000003</v>
      </c>
      <c r="G245">
        <v>10</v>
      </c>
      <c r="H245">
        <v>945</v>
      </c>
      <c r="I245">
        <v>905</v>
      </c>
      <c r="J245">
        <v>40</v>
      </c>
    </row>
    <row r="246" spans="1:13" x14ac:dyDescent="0.25">
      <c r="A246">
        <v>24</v>
      </c>
      <c r="B246" t="s">
        <v>31</v>
      </c>
      <c r="C246" t="s">
        <v>21</v>
      </c>
      <c r="D246">
        <v>68</v>
      </c>
      <c r="E246">
        <v>94</v>
      </c>
      <c r="F246">
        <v>0.42</v>
      </c>
      <c r="G246">
        <v>29</v>
      </c>
      <c r="H246">
        <v>864</v>
      </c>
      <c r="I246">
        <v>1084</v>
      </c>
      <c r="J246">
        <v>-220</v>
      </c>
    </row>
    <row r="247" spans="1:13" x14ac:dyDescent="0.25">
      <c r="A247">
        <v>24</v>
      </c>
      <c r="B247" t="s">
        <v>31</v>
      </c>
      <c r="C247" t="s">
        <v>22</v>
      </c>
      <c r="D247">
        <v>59</v>
      </c>
      <c r="E247">
        <v>103</v>
      </c>
      <c r="F247">
        <v>0.36399999999999999</v>
      </c>
      <c r="G247">
        <v>38</v>
      </c>
      <c r="H247">
        <v>748</v>
      </c>
      <c r="I247">
        <v>1008</v>
      </c>
      <c r="J247">
        <v>-260</v>
      </c>
    </row>
    <row r="248" spans="1:13" x14ac:dyDescent="0.25">
      <c r="A248">
        <v>24</v>
      </c>
      <c r="B248" t="s">
        <v>30</v>
      </c>
      <c r="C248" t="s">
        <v>13</v>
      </c>
      <c r="D248">
        <v>126</v>
      </c>
      <c r="E248">
        <v>36</v>
      </c>
      <c r="F248">
        <v>0.77800000000000002</v>
      </c>
      <c r="G248">
        <v>0</v>
      </c>
      <c r="H248">
        <v>991</v>
      </c>
      <c r="I248">
        <v>632</v>
      </c>
      <c r="J248">
        <v>359</v>
      </c>
      <c r="K248">
        <v>1</v>
      </c>
    </row>
    <row r="249" spans="1:13" x14ac:dyDescent="0.25">
      <c r="A249">
        <v>24</v>
      </c>
      <c r="B249" t="s">
        <v>30</v>
      </c>
      <c r="C249" t="s">
        <v>14</v>
      </c>
      <c r="D249">
        <v>72</v>
      </c>
      <c r="E249">
        <v>90</v>
      </c>
      <c r="F249">
        <v>0.44400000000000001</v>
      </c>
      <c r="G249">
        <v>54</v>
      </c>
      <c r="H249">
        <v>822</v>
      </c>
      <c r="I249">
        <v>839</v>
      </c>
      <c r="J249">
        <v>-17</v>
      </c>
    </row>
    <row r="250" spans="1:13" x14ac:dyDescent="0.25">
      <c r="A250">
        <v>24</v>
      </c>
      <c r="B250" t="s">
        <v>30</v>
      </c>
      <c r="C250" t="s">
        <v>15</v>
      </c>
      <c r="D250">
        <v>65</v>
      </c>
      <c r="E250">
        <v>97</v>
      </c>
      <c r="F250">
        <v>0.40100000000000002</v>
      </c>
      <c r="G250">
        <v>61</v>
      </c>
      <c r="H250">
        <v>926</v>
      </c>
      <c r="I250">
        <v>1129</v>
      </c>
      <c r="J250">
        <v>-203</v>
      </c>
    </row>
    <row r="251" spans="1:13" x14ac:dyDescent="0.25">
      <c r="A251">
        <v>24</v>
      </c>
      <c r="B251" t="s">
        <v>30</v>
      </c>
      <c r="C251" t="s">
        <v>16</v>
      </c>
      <c r="D251">
        <v>61</v>
      </c>
      <c r="E251">
        <v>101</v>
      </c>
      <c r="F251">
        <v>0.377</v>
      </c>
      <c r="G251">
        <v>65</v>
      </c>
      <c r="H251">
        <v>800</v>
      </c>
      <c r="I251">
        <v>1028</v>
      </c>
      <c r="J251">
        <v>-228</v>
      </c>
    </row>
    <row r="252" spans="1:13" x14ac:dyDescent="0.25">
      <c r="A252">
        <v>24</v>
      </c>
      <c r="B252" t="s">
        <v>30</v>
      </c>
      <c r="C252" t="s">
        <v>17</v>
      </c>
      <c r="D252">
        <v>39</v>
      </c>
      <c r="E252">
        <v>123</v>
      </c>
      <c r="F252">
        <v>0.24099999999999999</v>
      </c>
      <c r="G252">
        <v>87</v>
      </c>
      <c r="H252">
        <v>659</v>
      </c>
      <c r="I252">
        <v>1132</v>
      </c>
      <c r="J252">
        <v>-473</v>
      </c>
    </row>
    <row r="253" spans="1:13" x14ac:dyDescent="0.25">
      <c r="A253">
        <v>24</v>
      </c>
      <c r="B253" t="s">
        <v>32</v>
      </c>
      <c r="C253" t="s">
        <v>23</v>
      </c>
      <c r="D253">
        <v>109</v>
      </c>
      <c r="E253">
        <v>53</v>
      </c>
      <c r="F253">
        <v>0.67300000000000004</v>
      </c>
      <c r="G253">
        <v>0</v>
      </c>
      <c r="H253">
        <v>980</v>
      </c>
      <c r="I253">
        <v>694</v>
      </c>
      <c r="J253">
        <v>286</v>
      </c>
      <c r="K253">
        <v>1</v>
      </c>
    </row>
    <row r="254" spans="1:13" x14ac:dyDescent="0.25">
      <c r="A254">
        <v>24</v>
      </c>
      <c r="B254" t="s">
        <v>32</v>
      </c>
      <c r="C254" t="s">
        <v>24</v>
      </c>
      <c r="D254">
        <v>82</v>
      </c>
      <c r="E254">
        <v>80</v>
      </c>
      <c r="F254">
        <v>0.50600000000000001</v>
      </c>
      <c r="G254">
        <v>27</v>
      </c>
      <c r="H254">
        <v>929</v>
      </c>
      <c r="I254">
        <v>857</v>
      </c>
      <c r="J254">
        <v>72</v>
      </c>
    </row>
    <row r="255" spans="1:13" x14ac:dyDescent="0.25">
      <c r="A255">
        <v>24</v>
      </c>
      <c r="B255" t="s">
        <v>32</v>
      </c>
      <c r="C255" t="s">
        <v>27</v>
      </c>
      <c r="D255">
        <v>77</v>
      </c>
      <c r="E255">
        <v>85</v>
      </c>
      <c r="F255">
        <v>0.47499999999999998</v>
      </c>
      <c r="G255">
        <v>32</v>
      </c>
      <c r="H255">
        <v>779</v>
      </c>
      <c r="I255">
        <v>835</v>
      </c>
      <c r="J255">
        <v>-56</v>
      </c>
    </row>
    <row r="256" spans="1:13" x14ac:dyDescent="0.25">
      <c r="A256">
        <v>24</v>
      </c>
      <c r="B256" t="s">
        <v>32</v>
      </c>
      <c r="C256" t="s">
        <v>25</v>
      </c>
      <c r="D256">
        <v>75</v>
      </c>
      <c r="E256">
        <v>87</v>
      </c>
      <c r="F256">
        <v>0.46300000000000002</v>
      </c>
      <c r="G256">
        <v>34</v>
      </c>
      <c r="H256">
        <v>862</v>
      </c>
      <c r="I256">
        <v>891</v>
      </c>
      <c r="J256">
        <v>-29</v>
      </c>
    </row>
    <row r="257" spans="1:13" x14ac:dyDescent="0.25">
      <c r="A257">
        <v>24</v>
      </c>
      <c r="B257" t="s">
        <v>32</v>
      </c>
      <c r="C257" t="s">
        <v>26</v>
      </c>
      <c r="D257">
        <v>63</v>
      </c>
      <c r="E257">
        <v>99</v>
      </c>
      <c r="F257">
        <v>0.38900000000000001</v>
      </c>
      <c r="G257">
        <v>46</v>
      </c>
      <c r="H257">
        <v>672</v>
      </c>
      <c r="I257">
        <v>859</v>
      </c>
      <c r="J257">
        <v>-187</v>
      </c>
    </row>
    <row r="258" spans="1:13" x14ac:dyDescent="0.25">
      <c r="A258">
        <v>24</v>
      </c>
      <c r="B258" t="s">
        <v>29</v>
      </c>
      <c r="C258" t="s">
        <v>10</v>
      </c>
      <c r="D258">
        <v>101</v>
      </c>
      <c r="E258">
        <v>61</v>
      </c>
      <c r="F258">
        <v>0.623</v>
      </c>
      <c r="G258">
        <v>0</v>
      </c>
      <c r="H258">
        <v>1054</v>
      </c>
      <c r="I258">
        <v>843</v>
      </c>
      <c r="J258">
        <v>211</v>
      </c>
      <c r="L258">
        <v>1</v>
      </c>
    </row>
    <row r="259" spans="1:13" x14ac:dyDescent="0.25">
      <c r="A259">
        <v>24</v>
      </c>
      <c r="B259" t="s">
        <v>29</v>
      </c>
      <c r="C259" t="s">
        <v>8</v>
      </c>
      <c r="D259">
        <v>95</v>
      </c>
      <c r="E259">
        <v>67</v>
      </c>
      <c r="F259">
        <v>0.58599999999999997</v>
      </c>
      <c r="G259">
        <v>6</v>
      </c>
      <c r="H259">
        <v>835</v>
      </c>
      <c r="I259">
        <v>717</v>
      </c>
      <c r="J259">
        <v>118</v>
      </c>
      <c r="M259">
        <v>1</v>
      </c>
    </row>
    <row r="260" spans="1:13" x14ac:dyDescent="0.25">
      <c r="A260">
        <v>24</v>
      </c>
      <c r="B260" t="s">
        <v>29</v>
      </c>
      <c r="C260" t="s">
        <v>11</v>
      </c>
      <c r="D260">
        <v>88</v>
      </c>
      <c r="E260">
        <v>74</v>
      </c>
      <c r="F260">
        <v>0.54300000000000004</v>
      </c>
      <c r="G260">
        <v>13</v>
      </c>
      <c r="H260">
        <v>868</v>
      </c>
      <c r="I260">
        <v>785</v>
      </c>
      <c r="J260">
        <v>83</v>
      </c>
    </row>
    <row r="261" spans="1:13" x14ac:dyDescent="0.25">
      <c r="A261">
        <v>24</v>
      </c>
      <c r="B261" t="s">
        <v>29</v>
      </c>
      <c r="C261" t="s">
        <v>9</v>
      </c>
      <c r="D261">
        <v>83</v>
      </c>
      <c r="E261">
        <v>79</v>
      </c>
      <c r="F261">
        <v>0.51200000000000001</v>
      </c>
      <c r="G261">
        <v>18</v>
      </c>
      <c r="H261">
        <v>969</v>
      </c>
      <c r="I261">
        <v>882</v>
      </c>
      <c r="J261">
        <v>87</v>
      </c>
    </row>
    <row r="262" spans="1:13" x14ac:dyDescent="0.25">
      <c r="A262">
        <v>24</v>
      </c>
      <c r="B262" t="s">
        <v>29</v>
      </c>
      <c r="C262" t="s">
        <v>12</v>
      </c>
      <c r="D262">
        <v>77</v>
      </c>
      <c r="E262">
        <v>85</v>
      </c>
      <c r="F262">
        <v>0.47499999999999998</v>
      </c>
      <c r="G262">
        <v>24</v>
      </c>
      <c r="H262">
        <v>832</v>
      </c>
      <c r="I262">
        <v>883</v>
      </c>
      <c r="J262">
        <v>-51</v>
      </c>
    </row>
    <row r="263" spans="1:13" x14ac:dyDescent="0.25">
      <c r="A263">
        <v>25</v>
      </c>
      <c r="B263" t="s">
        <v>31</v>
      </c>
      <c r="C263" t="s">
        <v>19</v>
      </c>
      <c r="D263">
        <v>106</v>
      </c>
      <c r="E263">
        <v>56</v>
      </c>
      <c r="F263">
        <v>0.65400000000000003</v>
      </c>
      <c r="G263">
        <v>0</v>
      </c>
      <c r="H263">
        <v>983</v>
      </c>
      <c r="I263">
        <v>740</v>
      </c>
      <c r="J263">
        <v>243</v>
      </c>
      <c r="K263">
        <v>1</v>
      </c>
    </row>
    <row r="264" spans="1:13" x14ac:dyDescent="0.25">
      <c r="A264">
        <v>25</v>
      </c>
      <c r="B264" t="s">
        <v>31</v>
      </c>
      <c r="C264" t="s">
        <v>18</v>
      </c>
      <c r="D264">
        <v>104</v>
      </c>
      <c r="E264">
        <v>58</v>
      </c>
      <c r="F264">
        <v>0.64200000000000002</v>
      </c>
      <c r="G264">
        <v>2</v>
      </c>
      <c r="H264">
        <v>1031</v>
      </c>
      <c r="I264">
        <v>804</v>
      </c>
      <c r="J264">
        <v>227</v>
      </c>
      <c r="M264">
        <v>1</v>
      </c>
    </row>
    <row r="265" spans="1:13" x14ac:dyDescent="0.25">
      <c r="A265">
        <v>25</v>
      </c>
      <c r="B265" t="s">
        <v>31</v>
      </c>
      <c r="C265" t="s">
        <v>20</v>
      </c>
      <c r="D265">
        <v>90</v>
      </c>
      <c r="E265">
        <v>72</v>
      </c>
      <c r="F265">
        <v>0.55600000000000005</v>
      </c>
      <c r="G265">
        <v>16</v>
      </c>
      <c r="H265">
        <v>1009</v>
      </c>
      <c r="I265">
        <v>923</v>
      </c>
      <c r="J265">
        <v>86</v>
      </c>
    </row>
    <row r="266" spans="1:13" x14ac:dyDescent="0.25">
      <c r="A266">
        <v>25</v>
      </c>
      <c r="B266" t="s">
        <v>31</v>
      </c>
      <c r="C266" t="s">
        <v>21</v>
      </c>
      <c r="D266">
        <v>76</v>
      </c>
      <c r="E266">
        <v>86</v>
      </c>
      <c r="F266">
        <v>0.46899999999999997</v>
      </c>
      <c r="G266">
        <v>30</v>
      </c>
      <c r="H266">
        <v>875</v>
      </c>
      <c r="I266">
        <v>994</v>
      </c>
      <c r="J266">
        <v>-119</v>
      </c>
    </row>
    <row r="267" spans="1:13" x14ac:dyDescent="0.25">
      <c r="A267">
        <v>25</v>
      </c>
      <c r="B267" t="s">
        <v>31</v>
      </c>
      <c r="C267" t="s">
        <v>22</v>
      </c>
      <c r="D267">
        <v>64</v>
      </c>
      <c r="E267">
        <v>98</v>
      </c>
      <c r="F267">
        <v>0.39500000000000002</v>
      </c>
      <c r="G267">
        <v>42</v>
      </c>
      <c r="H267">
        <v>857</v>
      </c>
      <c r="I267">
        <v>1084</v>
      </c>
      <c r="J267">
        <v>-227</v>
      </c>
    </row>
    <row r="268" spans="1:13" x14ac:dyDescent="0.25">
      <c r="A268">
        <v>25</v>
      </c>
      <c r="B268" t="s">
        <v>30</v>
      </c>
      <c r="C268" t="s">
        <v>13</v>
      </c>
      <c r="D268">
        <v>104</v>
      </c>
      <c r="E268">
        <v>58</v>
      </c>
      <c r="F268">
        <v>0.64200000000000002</v>
      </c>
      <c r="G268">
        <v>0</v>
      </c>
      <c r="H268">
        <v>926</v>
      </c>
      <c r="I268">
        <v>672</v>
      </c>
      <c r="J268">
        <v>254</v>
      </c>
      <c r="L268">
        <v>1</v>
      </c>
    </row>
    <row r="269" spans="1:13" x14ac:dyDescent="0.25">
      <c r="A269">
        <v>25</v>
      </c>
      <c r="B269" t="s">
        <v>30</v>
      </c>
      <c r="C269" t="s">
        <v>14</v>
      </c>
      <c r="D269">
        <v>77</v>
      </c>
      <c r="E269">
        <v>85</v>
      </c>
      <c r="F269">
        <v>0.47499999999999998</v>
      </c>
      <c r="G269">
        <v>27</v>
      </c>
      <c r="H269">
        <v>818</v>
      </c>
      <c r="I269">
        <v>879</v>
      </c>
      <c r="J269">
        <v>-61</v>
      </c>
    </row>
    <row r="270" spans="1:13" x14ac:dyDescent="0.25">
      <c r="A270">
        <v>25</v>
      </c>
      <c r="B270" t="s">
        <v>30</v>
      </c>
      <c r="C270" t="s">
        <v>15</v>
      </c>
      <c r="D270">
        <v>69</v>
      </c>
      <c r="E270">
        <v>93</v>
      </c>
      <c r="F270">
        <v>0.42599999999999999</v>
      </c>
      <c r="G270">
        <v>35</v>
      </c>
      <c r="H270">
        <v>1009</v>
      </c>
      <c r="I270">
        <v>1155</v>
      </c>
      <c r="J270">
        <v>-146</v>
      </c>
    </row>
    <row r="271" spans="1:13" x14ac:dyDescent="0.25">
      <c r="A271">
        <v>25</v>
      </c>
      <c r="B271" t="s">
        <v>30</v>
      </c>
      <c r="C271" t="s">
        <v>16</v>
      </c>
      <c r="D271">
        <v>63</v>
      </c>
      <c r="E271">
        <v>99</v>
      </c>
      <c r="F271">
        <v>0.38900000000000001</v>
      </c>
      <c r="G271">
        <v>41</v>
      </c>
      <c r="H271">
        <v>797</v>
      </c>
      <c r="I271">
        <v>987</v>
      </c>
      <c r="J271">
        <v>-190</v>
      </c>
    </row>
    <row r="272" spans="1:13" x14ac:dyDescent="0.25">
      <c r="A272">
        <v>25</v>
      </c>
      <c r="B272" t="s">
        <v>30</v>
      </c>
      <c r="C272" t="s">
        <v>17</v>
      </c>
      <c r="D272">
        <v>39</v>
      </c>
      <c r="E272">
        <v>123</v>
      </c>
      <c r="F272">
        <v>0.24099999999999999</v>
      </c>
      <c r="G272">
        <v>65</v>
      </c>
      <c r="H272">
        <v>624</v>
      </c>
      <c r="I272">
        <v>1039</v>
      </c>
      <c r="J272">
        <v>-415</v>
      </c>
    </row>
    <row r="273" spans="1:13" x14ac:dyDescent="0.25">
      <c r="A273">
        <v>25</v>
      </c>
      <c r="B273" t="s">
        <v>32</v>
      </c>
      <c r="C273" t="s">
        <v>23</v>
      </c>
      <c r="D273">
        <v>112</v>
      </c>
      <c r="E273">
        <v>50</v>
      </c>
      <c r="F273">
        <v>0.69099999999999995</v>
      </c>
      <c r="G273">
        <v>0</v>
      </c>
      <c r="H273">
        <v>1001</v>
      </c>
      <c r="I273">
        <v>681</v>
      </c>
      <c r="J273">
        <v>320</v>
      </c>
      <c r="K273">
        <v>1</v>
      </c>
    </row>
    <row r="274" spans="1:13" x14ac:dyDescent="0.25">
      <c r="A274">
        <v>25</v>
      </c>
      <c r="B274" t="s">
        <v>32</v>
      </c>
      <c r="C274" t="s">
        <v>24</v>
      </c>
      <c r="D274">
        <v>94</v>
      </c>
      <c r="E274">
        <v>68</v>
      </c>
      <c r="F274">
        <v>0.57999999999999996</v>
      </c>
      <c r="G274">
        <v>18</v>
      </c>
      <c r="H274">
        <v>885</v>
      </c>
      <c r="I274">
        <v>788</v>
      </c>
      <c r="J274">
        <v>97</v>
      </c>
      <c r="M274">
        <v>1</v>
      </c>
    </row>
    <row r="275" spans="1:13" x14ac:dyDescent="0.25">
      <c r="A275">
        <v>25</v>
      </c>
      <c r="B275" t="s">
        <v>32</v>
      </c>
      <c r="C275" t="s">
        <v>26</v>
      </c>
      <c r="D275">
        <v>71</v>
      </c>
      <c r="E275">
        <v>91</v>
      </c>
      <c r="F275">
        <v>0.438</v>
      </c>
      <c r="G275">
        <v>41</v>
      </c>
      <c r="H275">
        <v>796</v>
      </c>
      <c r="I275">
        <v>902</v>
      </c>
      <c r="J275">
        <v>-106</v>
      </c>
    </row>
    <row r="276" spans="1:13" x14ac:dyDescent="0.25">
      <c r="A276">
        <v>25</v>
      </c>
      <c r="B276" t="s">
        <v>32</v>
      </c>
      <c r="C276" t="s">
        <v>25</v>
      </c>
      <c r="D276">
        <v>66</v>
      </c>
      <c r="E276">
        <v>96</v>
      </c>
      <c r="F276">
        <v>0.40699999999999997</v>
      </c>
      <c r="G276">
        <v>46</v>
      </c>
      <c r="H276">
        <v>754</v>
      </c>
      <c r="I276">
        <v>866</v>
      </c>
      <c r="J276">
        <v>-112</v>
      </c>
    </row>
    <row r="277" spans="1:13" x14ac:dyDescent="0.25">
      <c r="A277">
        <v>25</v>
      </c>
      <c r="B277" t="s">
        <v>32</v>
      </c>
      <c r="C277" t="s">
        <v>27</v>
      </c>
      <c r="D277">
        <v>58</v>
      </c>
      <c r="E277">
        <v>104</v>
      </c>
      <c r="F277">
        <v>0.35799999999999998</v>
      </c>
      <c r="G277">
        <v>54</v>
      </c>
      <c r="H277">
        <v>738</v>
      </c>
      <c r="I277">
        <v>907</v>
      </c>
      <c r="J277">
        <v>-169</v>
      </c>
    </row>
    <row r="278" spans="1:13" x14ac:dyDescent="0.25">
      <c r="A278">
        <v>25</v>
      </c>
      <c r="B278" t="s">
        <v>29</v>
      </c>
      <c r="C278" t="s">
        <v>10</v>
      </c>
      <c r="D278">
        <v>98</v>
      </c>
      <c r="E278">
        <v>64</v>
      </c>
      <c r="F278">
        <v>0.60499999999999998</v>
      </c>
      <c r="G278">
        <v>0</v>
      </c>
      <c r="H278">
        <v>1001</v>
      </c>
      <c r="I278">
        <v>880</v>
      </c>
      <c r="J278">
        <v>121</v>
      </c>
      <c r="L278">
        <v>1</v>
      </c>
    </row>
    <row r="279" spans="1:13" x14ac:dyDescent="0.25">
      <c r="A279">
        <v>25</v>
      </c>
      <c r="B279" t="s">
        <v>29</v>
      </c>
      <c r="C279" t="s">
        <v>8</v>
      </c>
      <c r="D279">
        <v>92</v>
      </c>
      <c r="E279">
        <v>70</v>
      </c>
      <c r="F279">
        <v>0.56799999999999995</v>
      </c>
      <c r="G279">
        <v>6</v>
      </c>
      <c r="H279">
        <v>823</v>
      </c>
      <c r="I279">
        <v>704</v>
      </c>
      <c r="J279">
        <v>119</v>
      </c>
    </row>
    <row r="280" spans="1:13" x14ac:dyDescent="0.25">
      <c r="A280">
        <v>25</v>
      </c>
      <c r="B280" t="s">
        <v>29</v>
      </c>
      <c r="C280" t="s">
        <v>9</v>
      </c>
      <c r="D280">
        <v>82</v>
      </c>
      <c r="E280">
        <v>80</v>
      </c>
      <c r="F280">
        <v>0.50600000000000001</v>
      </c>
      <c r="G280">
        <v>16</v>
      </c>
      <c r="H280">
        <v>954</v>
      </c>
      <c r="I280">
        <v>876</v>
      </c>
      <c r="J280">
        <v>78</v>
      </c>
    </row>
    <row r="281" spans="1:13" x14ac:dyDescent="0.25">
      <c r="A281">
        <v>25</v>
      </c>
      <c r="B281" t="s">
        <v>29</v>
      </c>
      <c r="C281" t="s">
        <v>12</v>
      </c>
      <c r="D281">
        <v>79</v>
      </c>
      <c r="E281">
        <v>83</v>
      </c>
      <c r="F281">
        <v>0.48799999999999999</v>
      </c>
      <c r="G281">
        <v>19</v>
      </c>
      <c r="H281">
        <v>842</v>
      </c>
      <c r="I281">
        <v>843</v>
      </c>
      <c r="J281">
        <v>-1</v>
      </c>
    </row>
    <row r="282" spans="1:13" x14ac:dyDescent="0.25">
      <c r="A282">
        <v>25</v>
      </c>
      <c r="B282" t="s">
        <v>29</v>
      </c>
      <c r="C282" t="s">
        <v>11</v>
      </c>
      <c r="D282">
        <v>76</v>
      </c>
      <c r="E282">
        <v>86</v>
      </c>
      <c r="F282">
        <v>0.46899999999999997</v>
      </c>
      <c r="G282">
        <v>22</v>
      </c>
      <c r="H282">
        <v>822</v>
      </c>
      <c r="I282">
        <v>821</v>
      </c>
      <c r="J282">
        <v>1</v>
      </c>
    </row>
    <row r="283" spans="1:13" x14ac:dyDescent="0.25">
      <c r="A283">
        <v>26</v>
      </c>
      <c r="B283" t="s">
        <v>31</v>
      </c>
      <c r="C283" t="s">
        <v>18</v>
      </c>
      <c r="D283">
        <v>104</v>
      </c>
      <c r="E283">
        <v>58</v>
      </c>
      <c r="F283">
        <v>0.64200000000000002</v>
      </c>
      <c r="G283">
        <v>0</v>
      </c>
      <c r="H283">
        <v>941</v>
      </c>
      <c r="I283">
        <v>746</v>
      </c>
      <c r="J283">
        <v>195</v>
      </c>
      <c r="L283">
        <v>1</v>
      </c>
    </row>
    <row r="284" spans="1:13" x14ac:dyDescent="0.25">
      <c r="A284">
        <v>26</v>
      </c>
      <c r="B284" t="s">
        <v>31</v>
      </c>
      <c r="C284" t="s">
        <v>19</v>
      </c>
      <c r="D284">
        <v>95</v>
      </c>
      <c r="E284">
        <v>67</v>
      </c>
      <c r="F284">
        <v>0.58599999999999997</v>
      </c>
      <c r="G284">
        <v>9</v>
      </c>
      <c r="H284">
        <v>891</v>
      </c>
      <c r="I284">
        <v>797</v>
      </c>
      <c r="J284">
        <v>94</v>
      </c>
      <c r="M284">
        <v>1</v>
      </c>
    </row>
    <row r="285" spans="1:13" x14ac:dyDescent="0.25">
      <c r="A285">
        <v>26</v>
      </c>
      <c r="B285" t="s">
        <v>31</v>
      </c>
      <c r="C285" t="s">
        <v>20</v>
      </c>
      <c r="D285">
        <v>91</v>
      </c>
      <c r="E285">
        <v>71</v>
      </c>
      <c r="F285">
        <v>0.56200000000000006</v>
      </c>
      <c r="G285">
        <v>13</v>
      </c>
      <c r="H285">
        <v>973</v>
      </c>
      <c r="I285">
        <v>885</v>
      </c>
      <c r="J285">
        <v>88</v>
      </c>
    </row>
    <row r="286" spans="1:13" x14ac:dyDescent="0.25">
      <c r="A286">
        <v>26</v>
      </c>
      <c r="B286" t="s">
        <v>31</v>
      </c>
      <c r="C286" t="s">
        <v>21</v>
      </c>
      <c r="D286">
        <v>65</v>
      </c>
      <c r="E286">
        <v>97</v>
      </c>
      <c r="F286">
        <v>0.40100000000000002</v>
      </c>
      <c r="G286">
        <v>39</v>
      </c>
      <c r="H286">
        <v>781</v>
      </c>
      <c r="I286">
        <v>980</v>
      </c>
      <c r="J286">
        <v>-199</v>
      </c>
    </row>
    <row r="287" spans="1:13" x14ac:dyDescent="0.25">
      <c r="A287">
        <v>26</v>
      </c>
      <c r="B287" t="s">
        <v>31</v>
      </c>
      <c r="C287" t="s">
        <v>22</v>
      </c>
      <c r="D287">
        <v>56</v>
      </c>
      <c r="E287">
        <v>106</v>
      </c>
      <c r="F287">
        <v>0.34599999999999997</v>
      </c>
      <c r="G287">
        <v>48</v>
      </c>
      <c r="H287">
        <v>764</v>
      </c>
      <c r="I287">
        <v>1052</v>
      </c>
      <c r="J287">
        <v>-288</v>
      </c>
    </row>
    <row r="288" spans="1:13" x14ac:dyDescent="0.25">
      <c r="A288">
        <v>26</v>
      </c>
      <c r="B288" t="s">
        <v>30</v>
      </c>
      <c r="C288" t="s">
        <v>13</v>
      </c>
      <c r="D288">
        <v>109</v>
      </c>
      <c r="E288">
        <v>53</v>
      </c>
      <c r="F288">
        <v>0.67300000000000004</v>
      </c>
      <c r="G288">
        <v>0</v>
      </c>
      <c r="H288">
        <v>993</v>
      </c>
      <c r="I288">
        <v>681</v>
      </c>
      <c r="J288">
        <v>312</v>
      </c>
      <c r="K288">
        <v>1</v>
      </c>
    </row>
    <row r="289" spans="1:13" x14ac:dyDescent="0.25">
      <c r="A289">
        <v>26</v>
      </c>
      <c r="B289" t="s">
        <v>30</v>
      </c>
      <c r="C289" t="s">
        <v>15</v>
      </c>
      <c r="D289">
        <v>74</v>
      </c>
      <c r="E289">
        <v>88</v>
      </c>
      <c r="F289">
        <v>0.45700000000000002</v>
      </c>
      <c r="G289">
        <v>35</v>
      </c>
      <c r="H289">
        <v>990</v>
      </c>
      <c r="I289">
        <v>1090</v>
      </c>
      <c r="J289">
        <v>-100</v>
      </c>
    </row>
    <row r="290" spans="1:13" x14ac:dyDescent="0.25">
      <c r="A290">
        <v>26</v>
      </c>
      <c r="B290" t="s">
        <v>30</v>
      </c>
      <c r="C290" t="s">
        <v>16</v>
      </c>
      <c r="D290">
        <v>66</v>
      </c>
      <c r="E290">
        <v>96</v>
      </c>
      <c r="F290">
        <v>0.40699999999999997</v>
      </c>
      <c r="G290">
        <v>43</v>
      </c>
      <c r="H290">
        <v>816</v>
      </c>
      <c r="I290">
        <v>950</v>
      </c>
      <c r="J290">
        <v>-134</v>
      </c>
    </row>
    <row r="291" spans="1:13" x14ac:dyDescent="0.25">
      <c r="A291">
        <v>26</v>
      </c>
      <c r="B291" t="s">
        <v>30</v>
      </c>
      <c r="C291" t="s">
        <v>14</v>
      </c>
      <c r="D291">
        <v>66</v>
      </c>
      <c r="E291">
        <v>96</v>
      </c>
      <c r="F291">
        <v>0.40699999999999997</v>
      </c>
      <c r="G291">
        <v>43</v>
      </c>
      <c r="H291">
        <v>751</v>
      </c>
      <c r="I291">
        <v>898</v>
      </c>
      <c r="J291">
        <v>-147</v>
      </c>
    </row>
    <row r="292" spans="1:13" x14ac:dyDescent="0.25">
      <c r="A292">
        <v>26</v>
      </c>
      <c r="B292" t="s">
        <v>30</v>
      </c>
      <c r="C292" t="s">
        <v>17</v>
      </c>
      <c r="D292">
        <v>53</v>
      </c>
      <c r="E292">
        <v>109</v>
      </c>
      <c r="F292">
        <v>0.32700000000000001</v>
      </c>
      <c r="G292">
        <v>56</v>
      </c>
      <c r="H292">
        <v>666</v>
      </c>
      <c r="I292">
        <v>993</v>
      </c>
      <c r="J292">
        <v>-327</v>
      </c>
    </row>
    <row r="293" spans="1:13" x14ac:dyDescent="0.25">
      <c r="A293">
        <v>26</v>
      </c>
      <c r="B293" t="s">
        <v>32</v>
      </c>
      <c r="C293" t="s">
        <v>23</v>
      </c>
      <c r="D293">
        <v>103</v>
      </c>
      <c r="E293">
        <v>59</v>
      </c>
      <c r="F293">
        <v>0.63600000000000001</v>
      </c>
      <c r="G293">
        <v>0</v>
      </c>
      <c r="H293">
        <v>955</v>
      </c>
      <c r="I293">
        <v>720</v>
      </c>
      <c r="J293">
        <v>235</v>
      </c>
      <c r="L293">
        <v>1</v>
      </c>
    </row>
    <row r="294" spans="1:13" x14ac:dyDescent="0.25">
      <c r="A294">
        <v>26</v>
      </c>
      <c r="B294" t="s">
        <v>32</v>
      </c>
      <c r="C294" t="s">
        <v>24</v>
      </c>
      <c r="D294">
        <v>84</v>
      </c>
      <c r="E294">
        <v>78</v>
      </c>
      <c r="F294">
        <v>0.51900000000000002</v>
      </c>
      <c r="G294">
        <v>19</v>
      </c>
      <c r="H294">
        <v>792</v>
      </c>
      <c r="I294">
        <v>766</v>
      </c>
      <c r="J294">
        <v>26</v>
      </c>
    </row>
    <row r="295" spans="1:13" x14ac:dyDescent="0.25">
      <c r="A295">
        <v>26</v>
      </c>
      <c r="B295" t="s">
        <v>32</v>
      </c>
      <c r="C295" t="s">
        <v>26</v>
      </c>
      <c r="D295">
        <v>79</v>
      </c>
      <c r="E295">
        <v>83</v>
      </c>
      <c r="F295">
        <v>0.48799999999999999</v>
      </c>
      <c r="G295">
        <v>24</v>
      </c>
      <c r="H295">
        <v>755</v>
      </c>
      <c r="I295">
        <v>817</v>
      </c>
      <c r="J295">
        <v>-62</v>
      </c>
    </row>
    <row r="296" spans="1:13" x14ac:dyDescent="0.25">
      <c r="A296">
        <v>26</v>
      </c>
      <c r="B296" t="s">
        <v>32</v>
      </c>
      <c r="C296" t="s">
        <v>25</v>
      </c>
      <c r="D296">
        <v>64</v>
      </c>
      <c r="E296">
        <v>98</v>
      </c>
      <c r="F296">
        <v>0.39500000000000002</v>
      </c>
      <c r="G296">
        <v>39</v>
      </c>
      <c r="H296">
        <v>746</v>
      </c>
      <c r="I296">
        <v>850</v>
      </c>
      <c r="J296">
        <v>-104</v>
      </c>
    </row>
    <row r="297" spans="1:13" x14ac:dyDescent="0.25">
      <c r="A297">
        <v>26</v>
      </c>
      <c r="B297" t="s">
        <v>32</v>
      </c>
      <c r="C297" t="s">
        <v>27</v>
      </c>
      <c r="D297">
        <v>60</v>
      </c>
      <c r="E297">
        <v>102</v>
      </c>
      <c r="F297">
        <v>0.37</v>
      </c>
      <c r="G297">
        <v>43</v>
      </c>
      <c r="H297">
        <v>755</v>
      </c>
      <c r="I297">
        <v>894</v>
      </c>
      <c r="J297">
        <v>-139</v>
      </c>
    </row>
    <row r="298" spans="1:13" x14ac:dyDescent="0.25">
      <c r="A298">
        <v>26</v>
      </c>
      <c r="B298" t="s">
        <v>29</v>
      </c>
      <c r="C298" t="s">
        <v>8</v>
      </c>
      <c r="D298">
        <v>107</v>
      </c>
      <c r="E298">
        <v>55</v>
      </c>
      <c r="F298">
        <v>0.66</v>
      </c>
      <c r="G298">
        <v>0</v>
      </c>
      <c r="H298">
        <v>862</v>
      </c>
      <c r="I298">
        <v>612</v>
      </c>
      <c r="J298">
        <v>250</v>
      </c>
      <c r="K298">
        <v>1</v>
      </c>
    </row>
    <row r="299" spans="1:13" x14ac:dyDescent="0.25">
      <c r="A299">
        <v>26</v>
      </c>
      <c r="B299" t="s">
        <v>29</v>
      </c>
      <c r="C299" t="s">
        <v>9</v>
      </c>
      <c r="D299">
        <v>94</v>
      </c>
      <c r="E299">
        <v>68</v>
      </c>
      <c r="F299">
        <v>0.57999999999999996</v>
      </c>
      <c r="G299">
        <v>13</v>
      </c>
      <c r="H299">
        <v>955</v>
      </c>
      <c r="I299">
        <v>830</v>
      </c>
      <c r="J299">
        <v>125</v>
      </c>
      <c r="M299">
        <v>1</v>
      </c>
    </row>
    <row r="300" spans="1:13" x14ac:dyDescent="0.25">
      <c r="A300">
        <v>26</v>
      </c>
      <c r="B300" t="s">
        <v>29</v>
      </c>
      <c r="C300" t="s">
        <v>11</v>
      </c>
      <c r="D300">
        <v>89</v>
      </c>
      <c r="E300">
        <v>73</v>
      </c>
      <c r="F300">
        <v>0.54900000000000004</v>
      </c>
      <c r="G300">
        <v>18</v>
      </c>
      <c r="H300">
        <v>836</v>
      </c>
      <c r="I300">
        <v>736</v>
      </c>
      <c r="J300">
        <v>100</v>
      </c>
    </row>
    <row r="301" spans="1:13" x14ac:dyDescent="0.25">
      <c r="A301">
        <v>26</v>
      </c>
      <c r="B301" t="s">
        <v>29</v>
      </c>
      <c r="C301" t="s">
        <v>10</v>
      </c>
      <c r="D301">
        <v>87</v>
      </c>
      <c r="E301">
        <v>75</v>
      </c>
      <c r="F301">
        <v>0.53700000000000003</v>
      </c>
      <c r="G301">
        <v>20</v>
      </c>
      <c r="H301">
        <v>970</v>
      </c>
      <c r="I301">
        <v>816</v>
      </c>
      <c r="J301">
        <v>154</v>
      </c>
    </row>
    <row r="302" spans="1:13" x14ac:dyDescent="0.25">
      <c r="A302">
        <v>26</v>
      </c>
      <c r="B302" t="s">
        <v>29</v>
      </c>
      <c r="C302" t="s">
        <v>12</v>
      </c>
      <c r="D302">
        <v>74</v>
      </c>
      <c r="E302">
        <v>88</v>
      </c>
      <c r="F302">
        <v>0.45700000000000002</v>
      </c>
      <c r="G302">
        <v>33</v>
      </c>
      <c r="H302">
        <v>827</v>
      </c>
      <c r="I302">
        <v>906</v>
      </c>
      <c r="J302">
        <v>-79</v>
      </c>
    </row>
    <row r="303" spans="1:13" x14ac:dyDescent="0.25">
      <c r="A303">
        <v>27</v>
      </c>
      <c r="B303" t="s">
        <v>31</v>
      </c>
      <c r="C303" t="s">
        <v>18</v>
      </c>
      <c r="D303">
        <v>105</v>
      </c>
      <c r="E303">
        <v>57</v>
      </c>
      <c r="F303">
        <v>0.64800000000000002</v>
      </c>
      <c r="G303">
        <v>0</v>
      </c>
      <c r="H303">
        <v>1126</v>
      </c>
      <c r="I303">
        <v>818</v>
      </c>
      <c r="J303">
        <v>308</v>
      </c>
      <c r="L303">
        <v>1</v>
      </c>
    </row>
    <row r="304" spans="1:13" x14ac:dyDescent="0.25">
      <c r="A304">
        <v>27</v>
      </c>
      <c r="B304" t="s">
        <v>31</v>
      </c>
      <c r="C304" t="s">
        <v>19</v>
      </c>
      <c r="D304">
        <v>98</v>
      </c>
      <c r="E304">
        <v>64</v>
      </c>
      <c r="F304">
        <v>0.60499999999999998</v>
      </c>
      <c r="G304">
        <v>7</v>
      </c>
      <c r="H304">
        <v>960</v>
      </c>
      <c r="I304">
        <v>791</v>
      </c>
      <c r="J304">
        <v>169</v>
      </c>
      <c r="M304">
        <v>1</v>
      </c>
    </row>
    <row r="305" spans="1:13" x14ac:dyDescent="0.25">
      <c r="A305">
        <v>27</v>
      </c>
      <c r="B305" t="s">
        <v>31</v>
      </c>
      <c r="C305" t="s">
        <v>20</v>
      </c>
      <c r="D305">
        <v>93</v>
      </c>
      <c r="E305">
        <v>69</v>
      </c>
      <c r="F305">
        <v>0.57399999999999995</v>
      </c>
      <c r="G305">
        <v>12</v>
      </c>
      <c r="H305">
        <v>981</v>
      </c>
      <c r="I305">
        <v>928</v>
      </c>
      <c r="J305">
        <v>53</v>
      </c>
      <c r="M305">
        <v>0.5</v>
      </c>
    </row>
    <row r="306" spans="1:13" x14ac:dyDescent="0.25">
      <c r="A306">
        <v>27</v>
      </c>
      <c r="B306" t="s">
        <v>31</v>
      </c>
      <c r="C306" t="s">
        <v>21</v>
      </c>
      <c r="D306">
        <v>66</v>
      </c>
      <c r="E306">
        <v>96</v>
      </c>
      <c r="F306">
        <v>0.40699999999999997</v>
      </c>
      <c r="G306">
        <v>39</v>
      </c>
      <c r="H306">
        <v>879</v>
      </c>
      <c r="I306">
        <v>1042</v>
      </c>
      <c r="J306">
        <v>-163</v>
      </c>
    </row>
    <row r="307" spans="1:13" x14ac:dyDescent="0.25">
      <c r="A307">
        <v>27</v>
      </c>
      <c r="B307" t="s">
        <v>31</v>
      </c>
      <c r="C307" t="s">
        <v>22</v>
      </c>
      <c r="D307">
        <v>56</v>
      </c>
      <c r="E307">
        <v>106</v>
      </c>
      <c r="F307">
        <v>0.34599999999999997</v>
      </c>
      <c r="G307">
        <v>49</v>
      </c>
      <c r="H307">
        <v>828</v>
      </c>
      <c r="I307">
        <v>1102</v>
      </c>
      <c r="J307">
        <v>-274</v>
      </c>
    </row>
    <row r="308" spans="1:13" x14ac:dyDescent="0.25">
      <c r="A308">
        <v>27</v>
      </c>
      <c r="B308" t="s">
        <v>30</v>
      </c>
      <c r="C308" t="s">
        <v>13</v>
      </c>
      <c r="D308">
        <v>107</v>
      </c>
      <c r="E308">
        <v>55</v>
      </c>
      <c r="F308">
        <v>0.66</v>
      </c>
      <c r="G308">
        <v>0</v>
      </c>
      <c r="H308">
        <v>996</v>
      </c>
      <c r="I308">
        <v>728</v>
      </c>
      <c r="J308">
        <v>268</v>
      </c>
      <c r="K308">
        <v>1</v>
      </c>
    </row>
    <row r="309" spans="1:13" x14ac:dyDescent="0.25">
      <c r="A309">
        <v>27</v>
      </c>
      <c r="B309" t="s">
        <v>30</v>
      </c>
      <c r="C309" t="s">
        <v>15</v>
      </c>
      <c r="D309">
        <v>67</v>
      </c>
      <c r="E309">
        <v>95</v>
      </c>
      <c r="F309">
        <v>0.41399999999999998</v>
      </c>
      <c r="G309">
        <v>40</v>
      </c>
      <c r="H309">
        <v>1021</v>
      </c>
      <c r="I309">
        <v>1197</v>
      </c>
      <c r="J309">
        <v>-176</v>
      </c>
    </row>
    <row r="310" spans="1:13" x14ac:dyDescent="0.25">
      <c r="A310">
        <v>27</v>
      </c>
      <c r="B310" t="s">
        <v>30</v>
      </c>
      <c r="C310" t="s">
        <v>14</v>
      </c>
      <c r="D310">
        <v>66</v>
      </c>
      <c r="E310">
        <v>96</v>
      </c>
      <c r="F310">
        <v>0.40699999999999997</v>
      </c>
      <c r="G310">
        <v>41</v>
      </c>
      <c r="H310">
        <v>722</v>
      </c>
      <c r="I310">
        <v>832</v>
      </c>
      <c r="J310">
        <v>-110</v>
      </c>
    </row>
    <row r="311" spans="1:13" x14ac:dyDescent="0.25">
      <c r="A311">
        <v>27</v>
      </c>
      <c r="B311" t="s">
        <v>30</v>
      </c>
      <c r="C311" t="s">
        <v>16</v>
      </c>
      <c r="D311">
        <v>58</v>
      </c>
      <c r="E311">
        <v>104</v>
      </c>
      <c r="F311">
        <v>0.35799999999999998</v>
      </c>
      <c r="G311">
        <v>49</v>
      </c>
      <c r="H311">
        <v>787</v>
      </c>
      <c r="I311">
        <v>935</v>
      </c>
      <c r="J311">
        <v>-148</v>
      </c>
    </row>
    <row r="312" spans="1:13" x14ac:dyDescent="0.25">
      <c r="A312">
        <v>27</v>
      </c>
      <c r="B312" t="s">
        <v>30</v>
      </c>
      <c r="C312" t="s">
        <v>17</v>
      </c>
      <c r="D312">
        <v>49</v>
      </c>
      <c r="E312">
        <v>113</v>
      </c>
      <c r="F312">
        <v>0.30199999999999999</v>
      </c>
      <c r="G312">
        <v>58</v>
      </c>
      <c r="H312">
        <v>699</v>
      </c>
      <c r="I312">
        <v>1082</v>
      </c>
      <c r="J312">
        <v>-383</v>
      </c>
    </row>
    <row r="313" spans="1:13" x14ac:dyDescent="0.25">
      <c r="A313">
        <v>27</v>
      </c>
      <c r="B313" t="s">
        <v>32</v>
      </c>
      <c r="C313" t="s">
        <v>23</v>
      </c>
      <c r="D313">
        <v>107</v>
      </c>
      <c r="E313">
        <v>55</v>
      </c>
      <c r="F313">
        <v>0.66</v>
      </c>
      <c r="G313">
        <v>0</v>
      </c>
      <c r="H313">
        <v>977</v>
      </c>
      <c r="I313">
        <v>714</v>
      </c>
      <c r="J313">
        <v>263</v>
      </c>
      <c r="K313">
        <v>1</v>
      </c>
    </row>
    <row r="314" spans="1:13" x14ac:dyDescent="0.25">
      <c r="A314">
        <v>27</v>
      </c>
      <c r="B314" t="s">
        <v>32</v>
      </c>
      <c r="C314" t="s">
        <v>25</v>
      </c>
      <c r="D314">
        <v>82</v>
      </c>
      <c r="E314">
        <v>80</v>
      </c>
      <c r="F314">
        <v>0.50600000000000001</v>
      </c>
      <c r="G314">
        <v>25</v>
      </c>
      <c r="H314">
        <v>823</v>
      </c>
      <c r="I314">
        <v>862</v>
      </c>
      <c r="J314">
        <v>-39</v>
      </c>
    </row>
    <row r="315" spans="1:13" x14ac:dyDescent="0.25">
      <c r="A315">
        <v>27</v>
      </c>
      <c r="B315" t="s">
        <v>32</v>
      </c>
      <c r="C315" t="s">
        <v>24</v>
      </c>
      <c r="D315">
        <v>82</v>
      </c>
      <c r="E315">
        <v>80</v>
      </c>
      <c r="F315">
        <v>0.50600000000000001</v>
      </c>
      <c r="G315">
        <v>25</v>
      </c>
      <c r="H315">
        <v>848</v>
      </c>
      <c r="I315">
        <v>813</v>
      </c>
      <c r="J315">
        <v>35</v>
      </c>
    </row>
    <row r="316" spans="1:13" x14ac:dyDescent="0.25">
      <c r="A316">
        <v>27</v>
      </c>
      <c r="B316" t="s">
        <v>32</v>
      </c>
      <c r="C316" t="s">
        <v>27</v>
      </c>
      <c r="D316">
        <v>76</v>
      </c>
      <c r="E316">
        <v>86</v>
      </c>
      <c r="F316">
        <v>0.46899999999999997</v>
      </c>
      <c r="G316">
        <v>31</v>
      </c>
      <c r="H316">
        <v>798</v>
      </c>
      <c r="I316">
        <v>902</v>
      </c>
      <c r="J316">
        <v>-104</v>
      </c>
    </row>
    <row r="317" spans="1:13" x14ac:dyDescent="0.25">
      <c r="A317">
        <v>27</v>
      </c>
      <c r="B317" t="s">
        <v>32</v>
      </c>
      <c r="C317" t="s">
        <v>26</v>
      </c>
      <c r="D317">
        <v>68</v>
      </c>
      <c r="E317">
        <v>94</v>
      </c>
      <c r="F317">
        <v>0.42</v>
      </c>
      <c r="G317">
        <v>39</v>
      </c>
      <c r="H317">
        <v>750</v>
      </c>
      <c r="I317">
        <v>849</v>
      </c>
      <c r="J317">
        <v>-99</v>
      </c>
    </row>
    <row r="318" spans="1:13" x14ac:dyDescent="0.25">
      <c r="A318">
        <v>27</v>
      </c>
      <c r="B318" t="s">
        <v>29</v>
      </c>
      <c r="C318" t="s">
        <v>9</v>
      </c>
      <c r="D318">
        <v>100</v>
      </c>
      <c r="E318">
        <v>62</v>
      </c>
      <c r="F318">
        <v>0.61699999999999999</v>
      </c>
      <c r="G318">
        <v>0</v>
      </c>
      <c r="H318">
        <v>986</v>
      </c>
      <c r="I318">
        <v>823</v>
      </c>
      <c r="J318">
        <v>163</v>
      </c>
      <c r="L318">
        <v>1</v>
      </c>
    </row>
    <row r="319" spans="1:13" x14ac:dyDescent="0.25">
      <c r="A319">
        <v>27</v>
      </c>
      <c r="B319" t="s">
        <v>29</v>
      </c>
      <c r="C319" t="s">
        <v>10</v>
      </c>
      <c r="D319">
        <v>93</v>
      </c>
      <c r="E319">
        <v>69</v>
      </c>
      <c r="F319">
        <v>0.57399999999999995</v>
      </c>
      <c r="G319">
        <v>7</v>
      </c>
      <c r="H319">
        <v>968</v>
      </c>
      <c r="I319">
        <v>858</v>
      </c>
      <c r="J319">
        <v>110</v>
      </c>
      <c r="M319">
        <v>0.5</v>
      </c>
    </row>
    <row r="320" spans="1:13" x14ac:dyDescent="0.25">
      <c r="A320">
        <v>27</v>
      </c>
      <c r="B320" t="s">
        <v>29</v>
      </c>
      <c r="C320" t="s">
        <v>8</v>
      </c>
      <c r="D320">
        <v>85</v>
      </c>
      <c r="E320">
        <v>77</v>
      </c>
      <c r="F320">
        <v>0.52500000000000002</v>
      </c>
      <c r="G320">
        <v>15</v>
      </c>
      <c r="H320">
        <v>811</v>
      </c>
      <c r="I320">
        <v>719</v>
      </c>
      <c r="J320">
        <v>92</v>
      </c>
    </row>
    <row r="321" spans="1:10" x14ac:dyDescent="0.25">
      <c r="A321">
        <v>27</v>
      </c>
      <c r="B321" t="s">
        <v>29</v>
      </c>
      <c r="C321" t="s">
        <v>11</v>
      </c>
      <c r="D321">
        <v>81</v>
      </c>
      <c r="E321">
        <v>81</v>
      </c>
      <c r="F321">
        <v>0.5</v>
      </c>
      <c r="G321">
        <v>19</v>
      </c>
      <c r="H321">
        <v>852</v>
      </c>
      <c r="I321">
        <v>793</v>
      </c>
      <c r="J321">
        <v>59</v>
      </c>
    </row>
    <row r="322" spans="1:10" x14ac:dyDescent="0.25">
      <c r="A322">
        <v>27</v>
      </c>
      <c r="B322" t="s">
        <v>29</v>
      </c>
      <c r="C322" t="s">
        <v>12</v>
      </c>
      <c r="D322">
        <v>81</v>
      </c>
      <c r="E322">
        <v>81</v>
      </c>
      <c r="F322">
        <v>0.5</v>
      </c>
      <c r="G322">
        <v>19</v>
      </c>
      <c r="H322">
        <v>813</v>
      </c>
      <c r="I322">
        <v>837</v>
      </c>
      <c r="J322">
        <v>-24</v>
      </c>
    </row>
  </sheetData>
  <mergeCells count="1">
    <mergeCell ref="O1:AC1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O47"/>
  <sheetViews>
    <sheetView tabSelected="1" topLeftCell="A16" workbookViewId="0">
      <selection activeCell="AQ39" sqref="AQ39"/>
    </sheetView>
  </sheetViews>
  <sheetFormatPr defaultRowHeight="15" x14ac:dyDescent="0.25"/>
  <cols>
    <col min="1" max="1" width="30" customWidth="1"/>
    <col min="2" max="41" width="4" customWidth="1"/>
    <col min="42" max="42" width="11.28515625" bestFit="1" customWidth="1"/>
    <col min="43" max="43" width="19.5703125" bestFit="1" customWidth="1"/>
    <col min="44" max="45" width="3" customWidth="1"/>
    <col min="46" max="46" width="4" customWidth="1"/>
    <col min="47" max="47" width="3" customWidth="1"/>
    <col min="48" max="48" width="4" customWidth="1"/>
    <col min="49" max="55" width="3" customWidth="1"/>
    <col min="56" max="56" width="4" customWidth="1"/>
    <col min="57" max="67" width="3" customWidth="1"/>
    <col min="68" max="68" width="4" customWidth="1"/>
    <col min="69" max="69" width="3" customWidth="1"/>
    <col min="70" max="70" width="4" customWidth="1"/>
    <col min="71" max="72" width="3" customWidth="1"/>
    <col min="73" max="73" width="4" customWidth="1"/>
    <col min="74" max="78" width="3" customWidth="1"/>
    <col min="79" max="79" width="4" customWidth="1"/>
    <col min="80" max="81" width="3" customWidth="1"/>
    <col min="82" max="82" width="4" customWidth="1"/>
    <col min="83" max="83" width="22.7109375" bestFit="1" customWidth="1"/>
    <col min="84" max="84" width="16.140625" customWidth="1"/>
    <col min="85" max="123" width="3" customWidth="1"/>
    <col min="124" max="124" width="19.28515625" customWidth="1"/>
    <col min="125" max="125" width="19.42578125" customWidth="1"/>
    <col min="126" max="130" width="4" customWidth="1"/>
    <col min="131" max="131" width="3" customWidth="1"/>
    <col min="132" max="134" width="4" customWidth="1"/>
    <col min="135" max="135" width="3" customWidth="1"/>
    <col min="136" max="139" width="4" customWidth="1"/>
    <col min="140" max="140" width="3" customWidth="1"/>
    <col min="141" max="147" width="4" customWidth="1"/>
    <col min="148" max="148" width="3" customWidth="1"/>
    <col min="149" max="164" width="4" customWidth="1"/>
    <col min="165" max="165" width="22.5703125" customWidth="1"/>
    <col min="166" max="166" width="16.5703125" customWidth="1"/>
    <col min="167" max="205" width="3" customWidth="1"/>
    <col min="206" max="206" width="19.7109375" customWidth="1"/>
    <col min="207" max="207" width="24.5703125" bestFit="1" customWidth="1"/>
    <col min="208" max="218" width="3" customWidth="1"/>
    <col min="219" max="219" width="4" customWidth="1"/>
    <col min="220" max="246" width="3" customWidth="1"/>
    <col min="247" max="247" width="27.7109375" bestFit="1" customWidth="1"/>
    <col min="248" max="248" width="21.5703125" customWidth="1"/>
    <col min="249" max="287" width="3" customWidth="1"/>
    <col min="288" max="288" width="24.7109375" customWidth="1"/>
    <col min="289" max="289" width="26" bestFit="1" customWidth="1"/>
    <col min="290" max="328" width="3" customWidth="1"/>
    <col min="329" max="329" width="29.140625" bestFit="1" customWidth="1"/>
    <col min="330" max="330" width="21" customWidth="1"/>
    <col min="331" max="369" width="3" customWidth="1"/>
    <col min="370" max="370" width="24.140625" customWidth="1"/>
    <col min="371" max="371" width="21.7109375" customWidth="1"/>
    <col min="372" max="375" width="3" customWidth="1"/>
    <col min="376" max="376" width="4" customWidth="1"/>
    <col min="377" max="382" width="3" customWidth="1"/>
    <col min="383" max="383" width="4" customWidth="1"/>
    <col min="384" max="384" width="3" customWidth="1"/>
    <col min="385" max="385" width="4" customWidth="1"/>
    <col min="386" max="387" width="3" customWidth="1"/>
    <col min="388" max="388" width="4" customWidth="1"/>
    <col min="389" max="393" width="3" customWidth="1"/>
    <col min="394" max="394" width="4" customWidth="1"/>
    <col min="395" max="402" width="3" customWidth="1"/>
    <col min="403" max="404" width="4" customWidth="1"/>
    <col min="405" max="406" width="3" customWidth="1"/>
    <col min="407" max="408" width="4" customWidth="1"/>
    <col min="409" max="409" width="3" customWidth="1"/>
    <col min="410" max="410" width="4" customWidth="1"/>
    <col min="411" max="411" width="24.85546875" customWidth="1"/>
    <col min="412" max="412" width="15.42578125" customWidth="1"/>
    <col min="413" max="445" width="3" customWidth="1"/>
    <col min="446" max="446" width="4" customWidth="1"/>
    <col min="447" max="451" width="3" customWidth="1"/>
    <col min="452" max="452" width="18.5703125" customWidth="1"/>
    <col min="453" max="453" width="21" customWidth="1"/>
    <col min="454" max="492" width="3" customWidth="1"/>
    <col min="493" max="493" width="24.140625" customWidth="1"/>
    <col min="494" max="494" width="28.28515625" bestFit="1" customWidth="1"/>
    <col min="495" max="495" width="3" customWidth="1"/>
    <col min="496" max="496" width="4" customWidth="1"/>
    <col min="497" max="502" width="3" customWidth="1"/>
    <col min="503" max="504" width="4" customWidth="1"/>
    <col min="505" max="506" width="3" customWidth="1"/>
    <col min="507" max="507" width="4" customWidth="1"/>
    <col min="508" max="517" width="3" customWidth="1"/>
    <col min="518" max="518" width="4" customWidth="1"/>
    <col min="519" max="520" width="3" customWidth="1"/>
    <col min="521" max="521" width="4" customWidth="1"/>
    <col min="522" max="522" width="3" customWidth="1"/>
    <col min="523" max="524" width="4" customWidth="1"/>
    <col min="525" max="528" width="3" customWidth="1"/>
    <col min="529" max="529" width="4" customWidth="1"/>
    <col min="530" max="532" width="3" customWidth="1"/>
    <col min="533" max="533" width="4" customWidth="1"/>
    <col min="534" max="534" width="31.42578125" bestFit="1" customWidth="1"/>
    <col min="535" max="535" width="18.85546875" customWidth="1"/>
    <col min="536" max="574" width="4" customWidth="1"/>
    <col min="575" max="575" width="22.140625" customWidth="1"/>
    <col min="576" max="576" width="25.42578125" bestFit="1" customWidth="1"/>
    <col min="577" max="615" width="3" customWidth="1"/>
    <col min="616" max="616" width="28.5703125" bestFit="1" customWidth="1"/>
    <col min="617" max="617" width="23" bestFit="1" customWidth="1"/>
    <col min="618" max="656" width="3" customWidth="1"/>
    <col min="657" max="657" width="26.28515625" bestFit="1" customWidth="1"/>
    <col min="658" max="658" width="21.28515625" bestFit="1" customWidth="1"/>
    <col min="659" max="697" width="3" customWidth="1"/>
    <col min="698" max="698" width="24.42578125" bestFit="1" customWidth="1"/>
    <col min="699" max="699" width="24.7109375" bestFit="1" customWidth="1"/>
    <col min="700" max="738" width="3" customWidth="1"/>
    <col min="739" max="739" width="27.85546875" bestFit="1" customWidth="1"/>
    <col min="740" max="740" width="17.85546875" bestFit="1" customWidth="1"/>
    <col min="741" max="779" width="3" customWidth="1"/>
    <col min="780" max="780" width="21" bestFit="1" customWidth="1"/>
    <col min="781" max="781" width="17.28515625" bestFit="1" customWidth="1"/>
    <col min="782" max="782" width="3" customWidth="1"/>
    <col min="783" max="783" width="4" customWidth="1"/>
    <col min="784" max="806" width="3" customWidth="1"/>
    <col min="807" max="807" width="4" customWidth="1"/>
    <col min="808" max="820" width="3" customWidth="1"/>
    <col min="821" max="821" width="20.42578125" bestFit="1" customWidth="1"/>
    <col min="822" max="822" width="11.28515625" bestFit="1" customWidth="1"/>
  </cols>
  <sheetData>
    <row r="3" spans="1:41" x14ac:dyDescent="0.25">
      <c r="A3" s="76" t="s">
        <v>76</v>
      </c>
      <c r="B3" s="76" t="s">
        <v>74</v>
      </c>
    </row>
    <row r="4" spans="1:41" x14ac:dyDescent="0.25">
      <c r="A4" s="76" t="s">
        <v>75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</row>
    <row r="5" spans="1:41" x14ac:dyDescent="0.25">
      <c r="A5" s="77" t="s">
        <v>31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</row>
    <row r="6" spans="1:41" x14ac:dyDescent="0.25">
      <c r="A6" s="79" t="s">
        <v>20</v>
      </c>
      <c r="B6" s="78">
        <v>83</v>
      </c>
      <c r="C6" s="78">
        <v>86</v>
      </c>
      <c r="D6" s="78">
        <v>95</v>
      </c>
      <c r="E6" s="78">
        <v>83</v>
      </c>
      <c r="F6" s="78">
        <v>93</v>
      </c>
      <c r="G6" s="78">
        <v>94</v>
      </c>
      <c r="H6" s="78">
        <v>94</v>
      </c>
      <c r="I6" s="78">
        <v>83</v>
      </c>
      <c r="J6" s="78">
        <v>98</v>
      </c>
      <c r="K6" s="78">
        <v>76</v>
      </c>
      <c r="L6" s="78">
        <v>84</v>
      </c>
      <c r="M6" s="78">
        <v>84</v>
      </c>
      <c r="N6" s="78">
        <v>93</v>
      </c>
      <c r="O6" s="78">
        <v>84</v>
      </c>
      <c r="P6" s="78">
        <v>92</v>
      </c>
      <c r="Q6" s="78">
        <v>91</v>
      </c>
      <c r="R6" s="78">
        <v>91</v>
      </c>
      <c r="S6" s="78">
        <v>86</v>
      </c>
      <c r="T6" s="78">
        <v>82</v>
      </c>
      <c r="U6" s="78">
        <v>72</v>
      </c>
      <c r="V6" s="78">
        <v>90</v>
      </c>
      <c r="W6" s="78">
        <v>94</v>
      </c>
      <c r="X6" s="78">
        <v>84</v>
      </c>
      <c r="Y6" s="78">
        <v>87</v>
      </c>
      <c r="Z6" s="78">
        <v>90</v>
      </c>
      <c r="AA6" s="78">
        <v>91</v>
      </c>
      <c r="AB6" s="78">
        <v>93</v>
      </c>
      <c r="AC6" s="78">
        <v>80</v>
      </c>
      <c r="AD6" s="78">
        <v>91</v>
      </c>
      <c r="AE6" s="78">
        <v>77</v>
      </c>
      <c r="AF6" s="78">
        <v>81</v>
      </c>
      <c r="AG6" s="78">
        <v>91</v>
      </c>
      <c r="AH6" s="78">
        <v>87</v>
      </c>
      <c r="AI6" s="78">
        <v>93</v>
      </c>
      <c r="AJ6" s="78">
        <v>99</v>
      </c>
      <c r="AK6" s="78">
        <v>84</v>
      </c>
      <c r="AL6" s="78">
        <v>80</v>
      </c>
      <c r="AM6" s="78">
        <v>93</v>
      </c>
      <c r="AN6" s="78">
        <v>86</v>
      </c>
      <c r="AO6" s="78">
        <v>77</v>
      </c>
    </row>
    <row r="7" spans="1:41" x14ac:dyDescent="0.25">
      <c r="A7" s="79" t="s">
        <v>18</v>
      </c>
      <c r="B7" s="78">
        <v>107</v>
      </c>
      <c r="C7" s="78">
        <v>108</v>
      </c>
      <c r="D7" s="78">
        <v>102</v>
      </c>
      <c r="E7" s="78">
        <v>112</v>
      </c>
      <c r="F7" s="78">
        <v>102</v>
      </c>
      <c r="G7" s="78">
        <v>108</v>
      </c>
      <c r="H7" s="78">
        <v>96</v>
      </c>
      <c r="I7" s="78">
        <v>104</v>
      </c>
      <c r="J7" s="78">
        <v>105</v>
      </c>
      <c r="K7" s="78">
        <v>117</v>
      </c>
      <c r="L7" s="78">
        <v>99</v>
      </c>
      <c r="M7" s="78">
        <v>116</v>
      </c>
      <c r="N7" s="78">
        <v>107</v>
      </c>
      <c r="O7" s="78">
        <v>111</v>
      </c>
      <c r="P7" s="78">
        <v>107</v>
      </c>
      <c r="Q7" s="78">
        <v>99</v>
      </c>
      <c r="R7" s="78">
        <v>110</v>
      </c>
      <c r="S7" s="78">
        <v>111</v>
      </c>
      <c r="T7" s="78">
        <v>116</v>
      </c>
      <c r="U7" s="78">
        <v>108</v>
      </c>
      <c r="V7" s="78">
        <v>103</v>
      </c>
      <c r="W7" s="78">
        <v>117</v>
      </c>
      <c r="X7" s="78">
        <v>124</v>
      </c>
      <c r="Y7" s="78">
        <v>97</v>
      </c>
      <c r="Z7" s="78">
        <v>104</v>
      </c>
      <c r="AA7" s="78">
        <v>104</v>
      </c>
      <c r="AB7" s="78">
        <v>105</v>
      </c>
      <c r="AC7" s="78">
        <v>113</v>
      </c>
      <c r="AD7" s="78">
        <v>114</v>
      </c>
      <c r="AE7" s="78">
        <v>106</v>
      </c>
      <c r="AF7" s="78">
        <v>120</v>
      </c>
      <c r="AG7" s="78">
        <v>105</v>
      </c>
      <c r="AH7" s="78">
        <v>109</v>
      </c>
      <c r="AI7" s="78">
        <v>112</v>
      </c>
      <c r="AJ7" s="78">
        <v>102</v>
      </c>
      <c r="AK7" s="78">
        <v>112</v>
      </c>
      <c r="AL7" s="78">
        <v>101</v>
      </c>
      <c r="AM7" s="78">
        <v>109</v>
      </c>
      <c r="AN7" s="78">
        <v>110</v>
      </c>
      <c r="AO7" s="78">
        <v>106</v>
      </c>
    </row>
    <row r="8" spans="1:41" x14ac:dyDescent="0.25">
      <c r="A8" s="79" t="s">
        <v>19</v>
      </c>
      <c r="B8" s="78">
        <v>98</v>
      </c>
      <c r="C8" s="78">
        <v>82</v>
      </c>
      <c r="D8" s="78">
        <v>100</v>
      </c>
      <c r="E8" s="78">
        <v>95</v>
      </c>
      <c r="F8" s="78">
        <v>97</v>
      </c>
      <c r="G8" s="78">
        <v>91</v>
      </c>
      <c r="H8" s="78">
        <v>84</v>
      </c>
      <c r="I8" s="78">
        <v>89</v>
      </c>
      <c r="J8" s="78">
        <v>94</v>
      </c>
      <c r="K8" s="78">
        <v>100</v>
      </c>
      <c r="L8" s="78">
        <v>101</v>
      </c>
      <c r="M8" s="78">
        <v>99</v>
      </c>
      <c r="N8" s="78">
        <v>89</v>
      </c>
      <c r="O8" s="78">
        <v>106</v>
      </c>
      <c r="P8" s="78">
        <v>96</v>
      </c>
      <c r="Q8" s="78">
        <v>91</v>
      </c>
      <c r="R8" s="78">
        <v>88</v>
      </c>
      <c r="S8" s="78">
        <v>89</v>
      </c>
      <c r="T8" s="78">
        <v>91</v>
      </c>
      <c r="U8" s="78">
        <v>95</v>
      </c>
      <c r="V8" s="78">
        <v>95</v>
      </c>
      <c r="W8" s="78">
        <v>95</v>
      </c>
      <c r="X8" s="78">
        <v>95</v>
      </c>
      <c r="Y8" s="78">
        <v>96</v>
      </c>
      <c r="Z8" s="78">
        <v>106</v>
      </c>
      <c r="AA8" s="78">
        <v>95</v>
      </c>
      <c r="AB8" s="78">
        <v>98</v>
      </c>
      <c r="AC8" s="78">
        <v>103</v>
      </c>
      <c r="AD8" s="78">
        <v>95</v>
      </c>
      <c r="AE8" s="78">
        <v>107</v>
      </c>
      <c r="AF8" s="78">
        <v>103</v>
      </c>
      <c r="AG8" s="78">
        <v>95</v>
      </c>
      <c r="AH8" s="78">
        <v>89</v>
      </c>
      <c r="AI8" s="78">
        <v>93</v>
      </c>
      <c r="AJ8" s="78">
        <v>93</v>
      </c>
      <c r="AK8" s="78">
        <v>103</v>
      </c>
      <c r="AL8" s="78">
        <v>98</v>
      </c>
      <c r="AM8" s="78">
        <v>94</v>
      </c>
      <c r="AN8" s="78">
        <v>87</v>
      </c>
      <c r="AO8" s="78">
        <v>105</v>
      </c>
    </row>
    <row r="9" spans="1:41" x14ac:dyDescent="0.25">
      <c r="A9" s="79" t="s">
        <v>22</v>
      </c>
      <c r="B9" s="78">
        <v>57</v>
      </c>
      <c r="C9" s="78">
        <v>60</v>
      </c>
      <c r="D9" s="78">
        <v>52</v>
      </c>
      <c r="E9" s="78">
        <v>51</v>
      </c>
      <c r="F9" s="78">
        <v>57</v>
      </c>
      <c r="G9" s="78">
        <v>49</v>
      </c>
      <c r="H9" s="78">
        <v>53</v>
      </c>
      <c r="I9" s="78">
        <v>59</v>
      </c>
      <c r="J9" s="78">
        <v>56</v>
      </c>
      <c r="K9" s="78">
        <v>60</v>
      </c>
      <c r="L9" s="78">
        <v>54</v>
      </c>
      <c r="M9" s="78">
        <v>57</v>
      </c>
      <c r="N9" s="78">
        <v>57</v>
      </c>
      <c r="O9" s="78">
        <v>61</v>
      </c>
      <c r="P9" s="78">
        <v>57</v>
      </c>
      <c r="Q9" s="78">
        <v>66</v>
      </c>
      <c r="R9" s="78">
        <v>58</v>
      </c>
      <c r="S9" s="78">
        <v>49</v>
      </c>
      <c r="T9" s="78">
        <v>50</v>
      </c>
      <c r="U9" s="78">
        <v>56</v>
      </c>
      <c r="V9" s="78">
        <v>60</v>
      </c>
      <c r="W9" s="78">
        <v>54</v>
      </c>
      <c r="X9" s="78">
        <v>63</v>
      </c>
      <c r="Y9" s="78">
        <v>59</v>
      </c>
      <c r="Z9" s="78">
        <v>64</v>
      </c>
      <c r="AA9" s="78">
        <v>56</v>
      </c>
      <c r="AB9" s="78">
        <v>56</v>
      </c>
      <c r="AC9" s="78">
        <v>50</v>
      </c>
      <c r="AD9" s="78">
        <v>57</v>
      </c>
      <c r="AE9" s="78">
        <v>47</v>
      </c>
      <c r="AF9" s="78">
        <v>51</v>
      </c>
      <c r="AG9" s="78">
        <v>57</v>
      </c>
      <c r="AH9" s="78">
        <v>59</v>
      </c>
      <c r="AI9" s="78">
        <v>53</v>
      </c>
      <c r="AJ9" s="78">
        <v>59</v>
      </c>
      <c r="AK9" s="78">
        <v>56</v>
      </c>
      <c r="AL9" s="78">
        <v>61</v>
      </c>
      <c r="AM9" s="78">
        <v>66</v>
      </c>
      <c r="AN9" s="78">
        <v>60</v>
      </c>
      <c r="AO9" s="78">
        <v>54</v>
      </c>
    </row>
    <row r="10" spans="1:41" x14ac:dyDescent="0.25">
      <c r="A10" s="79" t="s">
        <v>21</v>
      </c>
      <c r="B10" s="78">
        <v>68</v>
      </c>
      <c r="C10" s="78">
        <v>65</v>
      </c>
      <c r="D10" s="78">
        <v>61</v>
      </c>
      <c r="E10" s="78">
        <v>71</v>
      </c>
      <c r="F10" s="78">
        <v>61</v>
      </c>
      <c r="G10" s="78">
        <v>66</v>
      </c>
      <c r="H10" s="78">
        <v>64</v>
      </c>
      <c r="I10" s="78">
        <v>60</v>
      </c>
      <c r="J10" s="78">
        <v>62</v>
      </c>
      <c r="K10" s="78">
        <v>58</v>
      </c>
      <c r="L10" s="78">
        <v>56</v>
      </c>
      <c r="M10" s="78">
        <v>83</v>
      </c>
      <c r="N10" s="78">
        <v>72</v>
      </c>
      <c r="O10" s="78">
        <v>62</v>
      </c>
      <c r="P10" s="78">
        <v>69</v>
      </c>
      <c r="Q10" s="78">
        <v>78</v>
      </c>
      <c r="R10" s="78">
        <v>71</v>
      </c>
      <c r="S10" s="78">
        <v>50</v>
      </c>
      <c r="T10" s="78">
        <v>60</v>
      </c>
      <c r="U10" s="78">
        <v>78</v>
      </c>
      <c r="V10" s="78">
        <v>68</v>
      </c>
      <c r="W10" s="78">
        <v>64</v>
      </c>
      <c r="X10" s="78">
        <v>74</v>
      </c>
      <c r="Y10" s="78">
        <v>68</v>
      </c>
      <c r="Z10" s="78">
        <v>76</v>
      </c>
      <c r="AA10" s="78">
        <v>65</v>
      </c>
      <c r="AB10" s="78">
        <v>66</v>
      </c>
      <c r="AC10" s="78">
        <v>67</v>
      </c>
      <c r="AD10" s="78">
        <v>59</v>
      </c>
      <c r="AE10" s="78">
        <v>66</v>
      </c>
      <c r="AF10" s="78">
        <v>75</v>
      </c>
      <c r="AG10" s="78">
        <v>66</v>
      </c>
      <c r="AH10" s="78">
        <v>62</v>
      </c>
      <c r="AI10" s="78">
        <v>64</v>
      </c>
      <c r="AJ10" s="78">
        <v>65</v>
      </c>
      <c r="AK10" s="78">
        <v>66</v>
      </c>
      <c r="AL10" s="78">
        <v>80</v>
      </c>
      <c r="AM10" s="78">
        <v>66</v>
      </c>
      <c r="AN10" s="78">
        <v>64</v>
      </c>
      <c r="AO10" s="78">
        <v>76</v>
      </c>
    </row>
    <row r="11" spans="1:41" x14ac:dyDescent="0.25">
      <c r="A11" s="77" t="s">
        <v>30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</row>
    <row r="12" spans="1:41" x14ac:dyDescent="0.25">
      <c r="A12" s="79" t="s">
        <v>16</v>
      </c>
      <c r="B12" s="78">
        <v>61</v>
      </c>
      <c r="C12" s="78">
        <v>74</v>
      </c>
      <c r="D12" s="78">
        <v>71</v>
      </c>
      <c r="E12" s="78">
        <v>70</v>
      </c>
      <c r="F12" s="78">
        <v>67</v>
      </c>
      <c r="G12" s="78">
        <v>78</v>
      </c>
      <c r="H12" s="78">
        <v>66</v>
      </c>
      <c r="I12" s="78">
        <v>68</v>
      </c>
      <c r="J12" s="78">
        <v>59</v>
      </c>
      <c r="K12" s="78">
        <v>67</v>
      </c>
      <c r="L12" s="78">
        <v>72</v>
      </c>
      <c r="M12" s="78">
        <v>59</v>
      </c>
      <c r="N12" s="78">
        <v>58</v>
      </c>
      <c r="O12" s="78">
        <v>63</v>
      </c>
      <c r="P12" s="78">
        <v>50</v>
      </c>
      <c r="Q12" s="78">
        <v>71</v>
      </c>
      <c r="R12" s="78">
        <v>61</v>
      </c>
      <c r="S12" s="78">
        <v>72</v>
      </c>
      <c r="T12" s="78">
        <v>65</v>
      </c>
      <c r="U12" s="78">
        <v>63</v>
      </c>
      <c r="V12" s="78">
        <v>53</v>
      </c>
      <c r="W12" s="78">
        <v>62</v>
      </c>
      <c r="X12" s="78">
        <v>59</v>
      </c>
      <c r="Y12" s="78">
        <v>61</v>
      </c>
      <c r="Z12" s="78">
        <v>63</v>
      </c>
      <c r="AA12" s="78">
        <v>66</v>
      </c>
      <c r="AB12" s="78">
        <v>58</v>
      </c>
      <c r="AC12" s="78">
        <v>69</v>
      </c>
      <c r="AD12" s="78">
        <v>71</v>
      </c>
      <c r="AE12" s="78">
        <v>54</v>
      </c>
      <c r="AF12" s="78">
        <v>67</v>
      </c>
      <c r="AG12" s="78">
        <v>63</v>
      </c>
      <c r="AH12" s="78">
        <v>62</v>
      </c>
      <c r="AI12" s="78">
        <v>65</v>
      </c>
      <c r="AJ12" s="78">
        <v>66</v>
      </c>
      <c r="AK12" s="78">
        <v>63</v>
      </c>
      <c r="AL12" s="78">
        <v>55</v>
      </c>
      <c r="AM12" s="78">
        <v>59</v>
      </c>
      <c r="AN12" s="78">
        <v>64</v>
      </c>
      <c r="AO12" s="78">
        <v>62</v>
      </c>
    </row>
    <row r="13" spans="1:41" x14ac:dyDescent="0.25">
      <c r="A13" s="79" t="s">
        <v>17</v>
      </c>
      <c r="B13" s="78">
        <v>53</v>
      </c>
      <c r="C13" s="78">
        <v>49</v>
      </c>
      <c r="D13" s="78">
        <v>51</v>
      </c>
      <c r="E13" s="78">
        <v>51</v>
      </c>
      <c r="F13" s="78">
        <v>41</v>
      </c>
      <c r="G13" s="78">
        <v>38</v>
      </c>
      <c r="H13" s="78">
        <v>45</v>
      </c>
      <c r="I13" s="78">
        <v>47</v>
      </c>
      <c r="J13" s="78">
        <v>49</v>
      </c>
      <c r="K13" s="78">
        <v>44</v>
      </c>
      <c r="L13" s="78">
        <v>45</v>
      </c>
      <c r="M13" s="78">
        <v>42</v>
      </c>
      <c r="N13" s="78">
        <v>43</v>
      </c>
      <c r="O13" s="78">
        <v>49</v>
      </c>
      <c r="P13" s="78">
        <v>46</v>
      </c>
      <c r="Q13" s="78">
        <v>44</v>
      </c>
      <c r="R13" s="78">
        <v>49</v>
      </c>
      <c r="S13" s="78">
        <v>41</v>
      </c>
      <c r="T13" s="78">
        <v>46</v>
      </c>
      <c r="U13" s="78">
        <v>47</v>
      </c>
      <c r="V13" s="78">
        <v>43</v>
      </c>
      <c r="W13" s="78">
        <v>44</v>
      </c>
      <c r="X13" s="78">
        <v>40</v>
      </c>
      <c r="Y13" s="78">
        <v>39</v>
      </c>
      <c r="Z13" s="78">
        <v>39</v>
      </c>
      <c r="AA13" s="78">
        <v>53</v>
      </c>
      <c r="AB13" s="78">
        <v>49</v>
      </c>
      <c r="AC13" s="78">
        <v>47</v>
      </c>
      <c r="AD13" s="78">
        <v>47</v>
      </c>
      <c r="AE13" s="78">
        <v>61</v>
      </c>
      <c r="AF13" s="78">
        <v>39</v>
      </c>
      <c r="AG13" s="78">
        <v>51</v>
      </c>
      <c r="AH13" s="78">
        <v>44</v>
      </c>
      <c r="AI13" s="78">
        <v>42</v>
      </c>
      <c r="AJ13" s="78">
        <v>41</v>
      </c>
      <c r="AK13" s="78">
        <v>45</v>
      </c>
      <c r="AL13" s="78">
        <v>35</v>
      </c>
      <c r="AM13" s="78">
        <v>48</v>
      </c>
      <c r="AN13" s="78">
        <v>41</v>
      </c>
      <c r="AO13" s="78">
        <v>44</v>
      </c>
    </row>
    <row r="14" spans="1:41" x14ac:dyDescent="0.25">
      <c r="A14" s="79" t="s">
        <v>13</v>
      </c>
      <c r="B14" s="78">
        <v>107</v>
      </c>
      <c r="C14" s="78">
        <v>114</v>
      </c>
      <c r="D14" s="78">
        <v>114</v>
      </c>
      <c r="E14" s="78">
        <v>101</v>
      </c>
      <c r="F14" s="78">
        <v>113</v>
      </c>
      <c r="G14" s="78">
        <v>104</v>
      </c>
      <c r="H14" s="78">
        <v>117</v>
      </c>
      <c r="I14" s="78">
        <v>106</v>
      </c>
      <c r="J14" s="78">
        <v>115</v>
      </c>
      <c r="K14" s="78">
        <v>116</v>
      </c>
      <c r="L14" s="78">
        <v>108</v>
      </c>
      <c r="M14" s="78">
        <v>110</v>
      </c>
      <c r="N14" s="78">
        <v>109</v>
      </c>
      <c r="O14" s="78">
        <v>102</v>
      </c>
      <c r="P14" s="78">
        <v>108</v>
      </c>
      <c r="Q14" s="78">
        <v>100</v>
      </c>
      <c r="R14" s="78">
        <v>114</v>
      </c>
      <c r="S14" s="78">
        <v>115</v>
      </c>
      <c r="T14" s="78">
        <v>117</v>
      </c>
      <c r="U14" s="78">
        <v>102</v>
      </c>
      <c r="V14" s="78">
        <v>106</v>
      </c>
      <c r="W14" s="78">
        <v>115</v>
      </c>
      <c r="X14" s="78">
        <v>109</v>
      </c>
      <c r="Y14" s="78">
        <v>126</v>
      </c>
      <c r="Z14" s="78">
        <v>104</v>
      </c>
      <c r="AA14" s="78">
        <v>109</v>
      </c>
      <c r="AB14" s="78">
        <v>107</v>
      </c>
      <c r="AC14" s="78">
        <v>114</v>
      </c>
      <c r="AD14" s="78">
        <v>119</v>
      </c>
      <c r="AE14" s="78">
        <v>106</v>
      </c>
      <c r="AF14" s="78">
        <v>104</v>
      </c>
      <c r="AG14" s="78">
        <v>112</v>
      </c>
      <c r="AH14" s="78">
        <v>109</v>
      </c>
      <c r="AI14" s="78">
        <v>120</v>
      </c>
      <c r="AJ14" s="78">
        <v>102</v>
      </c>
      <c r="AK14" s="78">
        <v>110</v>
      </c>
      <c r="AL14" s="78">
        <v>100</v>
      </c>
      <c r="AM14" s="78">
        <v>112</v>
      </c>
      <c r="AN14" s="78">
        <v>111</v>
      </c>
      <c r="AO14" s="78">
        <v>101</v>
      </c>
    </row>
    <row r="15" spans="1:41" x14ac:dyDescent="0.25">
      <c r="A15" s="79" t="s">
        <v>15</v>
      </c>
      <c r="B15" s="78">
        <v>79</v>
      </c>
      <c r="C15" s="78">
        <v>82</v>
      </c>
      <c r="D15" s="78">
        <v>74</v>
      </c>
      <c r="E15" s="78">
        <v>76</v>
      </c>
      <c r="F15" s="78">
        <v>70</v>
      </c>
      <c r="G15" s="78">
        <v>68</v>
      </c>
      <c r="H15" s="78">
        <v>77</v>
      </c>
      <c r="I15" s="78">
        <v>74</v>
      </c>
      <c r="J15" s="78">
        <v>75</v>
      </c>
      <c r="K15" s="78">
        <v>64</v>
      </c>
      <c r="L15" s="78">
        <v>77</v>
      </c>
      <c r="M15" s="78">
        <v>71</v>
      </c>
      <c r="N15" s="78">
        <v>69</v>
      </c>
      <c r="O15" s="78">
        <v>65</v>
      </c>
      <c r="P15" s="78">
        <v>69</v>
      </c>
      <c r="Q15" s="78">
        <v>83</v>
      </c>
      <c r="R15" s="78">
        <v>66</v>
      </c>
      <c r="S15" s="78">
        <v>74</v>
      </c>
      <c r="T15" s="78">
        <v>67</v>
      </c>
      <c r="U15" s="78">
        <v>74</v>
      </c>
      <c r="V15" s="78">
        <v>81</v>
      </c>
      <c r="W15" s="78">
        <v>79</v>
      </c>
      <c r="X15" s="78">
        <v>72</v>
      </c>
      <c r="Y15" s="78">
        <v>65</v>
      </c>
      <c r="Z15" s="78">
        <v>69</v>
      </c>
      <c r="AA15" s="78">
        <v>74</v>
      </c>
      <c r="AB15" s="78">
        <v>67</v>
      </c>
      <c r="AC15" s="78">
        <v>77</v>
      </c>
      <c r="AD15" s="78">
        <v>79</v>
      </c>
      <c r="AE15" s="78">
        <v>69</v>
      </c>
      <c r="AF15" s="78">
        <v>71</v>
      </c>
      <c r="AG15" s="78">
        <v>78</v>
      </c>
      <c r="AH15" s="78">
        <v>71</v>
      </c>
      <c r="AI15" s="78">
        <v>63</v>
      </c>
      <c r="AJ15" s="78">
        <v>72</v>
      </c>
      <c r="AK15" s="78">
        <v>79</v>
      </c>
      <c r="AL15" s="78">
        <v>69</v>
      </c>
      <c r="AM15" s="78">
        <v>80</v>
      </c>
      <c r="AN15" s="78">
        <v>73</v>
      </c>
      <c r="AO15" s="78">
        <v>74</v>
      </c>
    </row>
    <row r="16" spans="1:41" x14ac:dyDescent="0.25">
      <c r="A16" s="79" t="s">
        <v>14</v>
      </c>
      <c r="B16" s="78">
        <v>66</v>
      </c>
      <c r="C16" s="78">
        <v>67</v>
      </c>
      <c r="D16" s="78">
        <v>71</v>
      </c>
      <c r="E16" s="78">
        <v>74</v>
      </c>
      <c r="F16" s="78">
        <v>88</v>
      </c>
      <c r="G16" s="78">
        <v>73</v>
      </c>
      <c r="H16" s="78">
        <v>82</v>
      </c>
      <c r="I16" s="78">
        <v>71</v>
      </c>
      <c r="J16" s="78">
        <v>74</v>
      </c>
      <c r="K16" s="78">
        <v>75</v>
      </c>
      <c r="L16" s="78">
        <v>71</v>
      </c>
      <c r="M16" s="78">
        <v>79</v>
      </c>
      <c r="N16" s="78">
        <v>66</v>
      </c>
      <c r="O16" s="78">
        <v>74</v>
      </c>
      <c r="P16" s="78">
        <v>77</v>
      </c>
      <c r="Q16" s="78">
        <v>63</v>
      </c>
      <c r="R16" s="78">
        <v>81</v>
      </c>
      <c r="S16" s="78">
        <v>77</v>
      </c>
      <c r="T16" s="78">
        <v>80</v>
      </c>
      <c r="U16" s="78">
        <v>72</v>
      </c>
      <c r="V16" s="78">
        <v>71</v>
      </c>
      <c r="W16" s="78">
        <v>71</v>
      </c>
      <c r="X16" s="78">
        <v>71</v>
      </c>
      <c r="Y16" s="78">
        <v>72</v>
      </c>
      <c r="Z16" s="78">
        <v>77</v>
      </c>
      <c r="AA16" s="78">
        <v>66</v>
      </c>
      <c r="AB16" s="78">
        <v>66</v>
      </c>
      <c r="AC16" s="78">
        <v>68</v>
      </c>
      <c r="AD16" s="78">
        <v>69</v>
      </c>
      <c r="AE16" s="78">
        <v>77</v>
      </c>
      <c r="AF16" s="78">
        <v>70</v>
      </c>
      <c r="AG16" s="78">
        <v>74</v>
      </c>
      <c r="AH16" s="78">
        <v>75</v>
      </c>
      <c r="AI16" s="78">
        <v>74</v>
      </c>
      <c r="AJ16" s="78">
        <v>74</v>
      </c>
      <c r="AK16" s="78">
        <v>80</v>
      </c>
      <c r="AL16" s="78">
        <v>67</v>
      </c>
      <c r="AM16" s="78">
        <v>69</v>
      </c>
      <c r="AN16" s="78">
        <v>80</v>
      </c>
      <c r="AO16" s="78">
        <v>62</v>
      </c>
    </row>
    <row r="17" spans="1:41" x14ac:dyDescent="0.25">
      <c r="A17" s="77" t="s">
        <v>32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</row>
    <row r="18" spans="1:41" x14ac:dyDescent="0.25">
      <c r="A18" s="79" t="s">
        <v>23</v>
      </c>
      <c r="B18" s="78">
        <v>102</v>
      </c>
      <c r="C18" s="78">
        <v>101</v>
      </c>
      <c r="D18" s="78">
        <v>100</v>
      </c>
      <c r="E18" s="78">
        <v>91</v>
      </c>
      <c r="F18" s="78">
        <v>105</v>
      </c>
      <c r="G18" s="78">
        <v>101</v>
      </c>
      <c r="H18" s="78">
        <v>102</v>
      </c>
      <c r="I18" s="78">
        <v>113</v>
      </c>
      <c r="J18" s="78">
        <v>106</v>
      </c>
      <c r="K18" s="78">
        <v>104</v>
      </c>
      <c r="L18" s="78">
        <v>89</v>
      </c>
      <c r="M18" s="78">
        <v>90</v>
      </c>
      <c r="N18" s="78">
        <v>102</v>
      </c>
      <c r="O18" s="78">
        <v>98</v>
      </c>
      <c r="P18" s="78">
        <v>106</v>
      </c>
      <c r="Q18" s="78">
        <v>93</v>
      </c>
      <c r="R18" s="78">
        <v>103</v>
      </c>
      <c r="S18" s="78">
        <v>103</v>
      </c>
      <c r="T18" s="78">
        <v>116</v>
      </c>
      <c r="U18" s="78">
        <v>111</v>
      </c>
      <c r="V18" s="78">
        <v>88</v>
      </c>
      <c r="W18" s="78">
        <v>107</v>
      </c>
      <c r="X18" s="78">
        <v>100</v>
      </c>
      <c r="Y18" s="78">
        <v>109</v>
      </c>
      <c r="Z18" s="78">
        <v>112</v>
      </c>
      <c r="AA18" s="78">
        <v>103</v>
      </c>
      <c r="AB18" s="78">
        <v>107</v>
      </c>
      <c r="AC18" s="78">
        <v>108</v>
      </c>
      <c r="AD18" s="78">
        <v>99</v>
      </c>
      <c r="AE18" s="78">
        <v>115</v>
      </c>
      <c r="AF18" s="78">
        <v>103</v>
      </c>
      <c r="AG18" s="78">
        <v>105</v>
      </c>
      <c r="AH18" s="78">
        <v>107</v>
      </c>
      <c r="AI18" s="78">
        <v>103</v>
      </c>
      <c r="AJ18" s="78">
        <v>114</v>
      </c>
      <c r="AK18" s="78">
        <v>107</v>
      </c>
      <c r="AL18" s="78">
        <v>107</v>
      </c>
      <c r="AM18" s="78">
        <v>96</v>
      </c>
      <c r="AN18" s="78">
        <v>95</v>
      </c>
      <c r="AO18" s="78">
        <v>100</v>
      </c>
    </row>
    <row r="19" spans="1:41" x14ac:dyDescent="0.25">
      <c r="A19" s="79" t="s">
        <v>24</v>
      </c>
      <c r="B19" s="78">
        <v>85</v>
      </c>
      <c r="C19" s="78">
        <v>81</v>
      </c>
      <c r="D19" s="78">
        <v>83</v>
      </c>
      <c r="E19" s="78">
        <v>91</v>
      </c>
      <c r="F19" s="78">
        <v>84</v>
      </c>
      <c r="G19" s="78">
        <v>89</v>
      </c>
      <c r="H19" s="78">
        <v>81</v>
      </c>
      <c r="I19" s="78">
        <v>80</v>
      </c>
      <c r="J19" s="78">
        <v>88</v>
      </c>
      <c r="K19" s="78">
        <v>73</v>
      </c>
      <c r="L19" s="78">
        <v>98</v>
      </c>
      <c r="M19" s="78">
        <v>82</v>
      </c>
      <c r="N19" s="78">
        <v>102</v>
      </c>
      <c r="O19" s="78">
        <v>87</v>
      </c>
      <c r="P19" s="78">
        <v>78</v>
      </c>
      <c r="Q19" s="78">
        <v>89</v>
      </c>
      <c r="R19" s="78">
        <v>84</v>
      </c>
      <c r="S19" s="78">
        <v>81</v>
      </c>
      <c r="T19" s="78">
        <v>91</v>
      </c>
      <c r="U19" s="78">
        <v>86</v>
      </c>
      <c r="V19" s="78">
        <v>82</v>
      </c>
      <c r="W19" s="78">
        <v>85</v>
      </c>
      <c r="X19" s="78">
        <v>94</v>
      </c>
      <c r="Y19" s="78">
        <v>82</v>
      </c>
      <c r="Z19" s="78">
        <v>94</v>
      </c>
      <c r="AA19" s="78">
        <v>84</v>
      </c>
      <c r="AB19" s="78">
        <v>82</v>
      </c>
      <c r="AC19" s="78">
        <v>83</v>
      </c>
      <c r="AD19" s="78">
        <v>85</v>
      </c>
      <c r="AE19" s="78">
        <v>96</v>
      </c>
      <c r="AF19" s="78">
        <v>88</v>
      </c>
      <c r="AG19" s="78">
        <v>95</v>
      </c>
      <c r="AH19" s="78">
        <v>94</v>
      </c>
      <c r="AI19" s="78">
        <v>92</v>
      </c>
      <c r="AJ19" s="78">
        <v>83</v>
      </c>
      <c r="AK19" s="78">
        <v>67</v>
      </c>
      <c r="AL19" s="78">
        <v>95</v>
      </c>
      <c r="AM19" s="78">
        <v>91</v>
      </c>
      <c r="AN19" s="78">
        <v>94</v>
      </c>
      <c r="AO19" s="78">
        <v>92</v>
      </c>
    </row>
    <row r="20" spans="1:41" x14ac:dyDescent="0.25">
      <c r="A20" s="79" t="s">
        <v>26</v>
      </c>
      <c r="B20" s="78">
        <v>75</v>
      </c>
      <c r="C20" s="78">
        <v>80</v>
      </c>
      <c r="D20" s="78">
        <v>65</v>
      </c>
      <c r="E20" s="78">
        <v>65</v>
      </c>
      <c r="F20" s="78">
        <v>64</v>
      </c>
      <c r="G20" s="78">
        <v>73</v>
      </c>
      <c r="H20" s="78">
        <v>62</v>
      </c>
      <c r="I20" s="78">
        <v>78</v>
      </c>
      <c r="J20" s="78">
        <v>74</v>
      </c>
      <c r="K20" s="78">
        <v>72</v>
      </c>
      <c r="L20" s="78">
        <v>68</v>
      </c>
      <c r="M20" s="78">
        <v>73</v>
      </c>
      <c r="N20" s="78">
        <v>72</v>
      </c>
      <c r="O20" s="78">
        <v>57</v>
      </c>
      <c r="P20" s="78">
        <v>70</v>
      </c>
      <c r="Q20" s="78">
        <v>73</v>
      </c>
      <c r="R20" s="78">
        <v>56</v>
      </c>
      <c r="S20" s="78">
        <v>82</v>
      </c>
      <c r="T20" s="78">
        <v>70</v>
      </c>
      <c r="U20" s="78">
        <v>67</v>
      </c>
      <c r="V20" s="78">
        <v>82</v>
      </c>
      <c r="W20" s="78">
        <v>68</v>
      </c>
      <c r="X20" s="78">
        <v>69</v>
      </c>
      <c r="Y20" s="78">
        <v>63</v>
      </c>
      <c r="Z20" s="78">
        <v>71</v>
      </c>
      <c r="AA20" s="78">
        <v>79</v>
      </c>
      <c r="AB20" s="78">
        <v>68</v>
      </c>
      <c r="AC20" s="78">
        <v>72</v>
      </c>
      <c r="AD20" s="78">
        <v>68</v>
      </c>
      <c r="AE20" s="78">
        <v>61</v>
      </c>
      <c r="AF20" s="78">
        <v>75</v>
      </c>
      <c r="AG20" s="78">
        <v>74</v>
      </c>
      <c r="AH20" s="78">
        <v>67</v>
      </c>
      <c r="AI20" s="78">
        <v>79</v>
      </c>
      <c r="AJ20" s="78">
        <v>73</v>
      </c>
      <c r="AK20" s="78">
        <v>76</v>
      </c>
      <c r="AL20" s="78">
        <v>75</v>
      </c>
      <c r="AM20" s="78">
        <v>75</v>
      </c>
      <c r="AN20" s="78">
        <v>68</v>
      </c>
      <c r="AO20" s="78">
        <v>75</v>
      </c>
    </row>
    <row r="21" spans="1:41" x14ac:dyDescent="0.25">
      <c r="A21" s="79" t="s">
        <v>27</v>
      </c>
      <c r="B21" s="78">
        <v>70</v>
      </c>
      <c r="C21" s="78">
        <v>61</v>
      </c>
      <c r="D21" s="78">
        <v>72</v>
      </c>
      <c r="E21" s="78">
        <v>66</v>
      </c>
      <c r="F21" s="78">
        <v>64</v>
      </c>
      <c r="G21" s="78">
        <v>61</v>
      </c>
      <c r="H21" s="78">
        <v>58</v>
      </c>
      <c r="I21" s="78">
        <v>78</v>
      </c>
      <c r="J21" s="78">
        <v>64</v>
      </c>
      <c r="K21" s="78">
        <v>77</v>
      </c>
      <c r="L21" s="78">
        <v>74</v>
      </c>
      <c r="M21" s="78">
        <v>70</v>
      </c>
      <c r="N21" s="78">
        <v>63</v>
      </c>
      <c r="O21" s="78">
        <v>66</v>
      </c>
      <c r="P21" s="78">
        <v>61</v>
      </c>
      <c r="Q21" s="78">
        <v>65</v>
      </c>
      <c r="R21" s="78">
        <v>79</v>
      </c>
      <c r="S21" s="78">
        <v>80</v>
      </c>
      <c r="T21" s="78">
        <v>62</v>
      </c>
      <c r="U21" s="78">
        <v>76</v>
      </c>
      <c r="V21" s="78">
        <v>73</v>
      </c>
      <c r="W21" s="78">
        <v>54</v>
      </c>
      <c r="X21" s="78">
        <v>63</v>
      </c>
      <c r="Y21" s="78">
        <v>77</v>
      </c>
      <c r="Z21" s="78">
        <v>58</v>
      </c>
      <c r="AA21" s="78">
        <v>60</v>
      </c>
      <c r="AB21" s="78">
        <v>76</v>
      </c>
      <c r="AC21" s="78">
        <v>49</v>
      </c>
      <c r="AD21" s="78">
        <v>61</v>
      </c>
      <c r="AE21" s="78">
        <v>53</v>
      </c>
      <c r="AF21" s="78">
        <v>49</v>
      </c>
      <c r="AG21" s="78">
        <v>52</v>
      </c>
      <c r="AH21" s="78">
        <v>54</v>
      </c>
      <c r="AI21" s="78">
        <v>45</v>
      </c>
      <c r="AJ21" s="78">
        <v>56</v>
      </c>
      <c r="AK21" s="78">
        <v>66</v>
      </c>
      <c r="AL21" s="78">
        <v>54</v>
      </c>
      <c r="AM21" s="78">
        <v>52</v>
      </c>
      <c r="AN21" s="78">
        <v>52</v>
      </c>
      <c r="AO21" s="78">
        <v>60</v>
      </c>
    </row>
    <row r="22" spans="1:41" x14ac:dyDescent="0.25">
      <c r="A22" s="79" t="s">
        <v>25</v>
      </c>
      <c r="B22" s="78">
        <v>70</v>
      </c>
      <c r="C22" s="78">
        <v>70</v>
      </c>
      <c r="D22" s="78">
        <v>71</v>
      </c>
      <c r="E22" s="78">
        <v>65</v>
      </c>
      <c r="F22" s="78">
        <v>69</v>
      </c>
      <c r="G22" s="78">
        <v>62</v>
      </c>
      <c r="H22" s="78">
        <v>72</v>
      </c>
      <c r="I22" s="78">
        <v>79</v>
      </c>
      <c r="J22" s="78">
        <v>87</v>
      </c>
      <c r="K22" s="78">
        <v>80</v>
      </c>
      <c r="L22" s="78">
        <v>64</v>
      </c>
      <c r="M22" s="78">
        <v>73</v>
      </c>
      <c r="N22" s="78">
        <v>75</v>
      </c>
      <c r="O22" s="78">
        <v>75</v>
      </c>
      <c r="P22" s="78">
        <v>83</v>
      </c>
      <c r="Q22" s="78">
        <v>79</v>
      </c>
      <c r="R22" s="78">
        <v>73</v>
      </c>
      <c r="S22" s="78">
        <v>65</v>
      </c>
      <c r="T22" s="78">
        <v>69</v>
      </c>
      <c r="U22" s="78">
        <v>64</v>
      </c>
      <c r="V22" s="78">
        <v>68</v>
      </c>
      <c r="W22" s="78">
        <v>72</v>
      </c>
      <c r="X22" s="78">
        <v>72</v>
      </c>
      <c r="Y22" s="78">
        <v>75</v>
      </c>
      <c r="Z22" s="78">
        <v>66</v>
      </c>
      <c r="AA22" s="78">
        <v>64</v>
      </c>
      <c r="AB22" s="78">
        <v>82</v>
      </c>
      <c r="AC22" s="78">
        <v>81</v>
      </c>
      <c r="AD22" s="78">
        <v>75</v>
      </c>
      <c r="AE22" s="78">
        <v>77</v>
      </c>
      <c r="AF22" s="78">
        <v>74</v>
      </c>
      <c r="AG22" s="78">
        <v>67</v>
      </c>
      <c r="AH22" s="78">
        <v>70</v>
      </c>
      <c r="AI22" s="78">
        <v>76</v>
      </c>
      <c r="AJ22" s="78">
        <v>65</v>
      </c>
      <c r="AK22" s="78">
        <v>68</v>
      </c>
      <c r="AL22" s="78">
        <v>70</v>
      </c>
      <c r="AM22" s="78">
        <v>59</v>
      </c>
      <c r="AN22" s="78">
        <v>79</v>
      </c>
      <c r="AO22" s="78">
        <v>69</v>
      </c>
    </row>
    <row r="23" spans="1:41" x14ac:dyDescent="0.25">
      <c r="A23" s="77" t="s">
        <v>29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</row>
    <row r="24" spans="1:41" x14ac:dyDescent="0.25">
      <c r="A24" s="79" t="s">
        <v>8</v>
      </c>
      <c r="B24" s="78">
        <v>86</v>
      </c>
      <c r="C24" s="78">
        <v>87</v>
      </c>
      <c r="D24" s="78">
        <v>98</v>
      </c>
      <c r="E24" s="78">
        <v>106</v>
      </c>
      <c r="F24" s="78">
        <v>97</v>
      </c>
      <c r="G24" s="78">
        <v>105</v>
      </c>
      <c r="H24" s="78">
        <v>96</v>
      </c>
      <c r="I24" s="78">
        <v>93</v>
      </c>
      <c r="J24" s="78">
        <v>99</v>
      </c>
      <c r="K24" s="78">
        <v>92</v>
      </c>
      <c r="L24" s="78">
        <v>85</v>
      </c>
      <c r="M24" s="78">
        <v>94</v>
      </c>
      <c r="N24" s="78">
        <v>99</v>
      </c>
      <c r="O24" s="78">
        <v>105</v>
      </c>
      <c r="P24" s="78">
        <v>92</v>
      </c>
      <c r="Q24" s="78">
        <v>90</v>
      </c>
      <c r="R24" s="78">
        <v>83</v>
      </c>
      <c r="S24" s="78">
        <v>96</v>
      </c>
      <c r="T24" s="78">
        <v>87</v>
      </c>
      <c r="U24" s="78">
        <v>96</v>
      </c>
      <c r="V24" s="78">
        <v>92</v>
      </c>
      <c r="W24" s="78">
        <v>98</v>
      </c>
      <c r="X24" s="78">
        <v>93</v>
      </c>
      <c r="Y24" s="78">
        <v>95</v>
      </c>
      <c r="Z24" s="78">
        <v>92</v>
      </c>
      <c r="AA24" s="78">
        <v>107</v>
      </c>
      <c r="AB24" s="78">
        <v>85</v>
      </c>
      <c r="AC24" s="78">
        <v>107</v>
      </c>
      <c r="AD24" s="78">
        <v>89</v>
      </c>
      <c r="AE24" s="78">
        <v>95</v>
      </c>
      <c r="AF24" s="78">
        <v>102</v>
      </c>
      <c r="AG24" s="78">
        <v>95</v>
      </c>
      <c r="AH24" s="78">
        <v>99</v>
      </c>
      <c r="AI24" s="78">
        <v>95</v>
      </c>
      <c r="AJ24" s="78">
        <v>90</v>
      </c>
      <c r="AK24" s="78">
        <v>95</v>
      </c>
      <c r="AL24" s="78">
        <v>111</v>
      </c>
      <c r="AM24" s="78">
        <v>93</v>
      </c>
      <c r="AN24" s="78">
        <v>98</v>
      </c>
      <c r="AO24" s="78">
        <v>104</v>
      </c>
    </row>
    <row r="25" spans="1:41" x14ac:dyDescent="0.25">
      <c r="A25" s="79" t="s">
        <v>12</v>
      </c>
      <c r="B25" s="78">
        <v>81</v>
      </c>
      <c r="C25" s="78">
        <v>80</v>
      </c>
      <c r="D25" s="78">
        <v>74</v>
      </c>
      <c r="E25" s="78">
        <v>81</v>
      </c>
      <c r="F25" s="78">
        <v>73</v>
      </c>
      <c r="G25" s="78">
        <v>75</v>
      </c>
      <c r="H25" s="78">
        <v>91</v>
      </c>
      <c r="I25" s="78">
        <v>75</v>
      </c>
      <c r="J25" s="78">
        <v>73</v>
      </c>
      <c r="K25" s="78">
        <v>72</v>
      </c>
      <c r="L25" s="78">
        <v>92</v>
      </c>
      <c r="M25" s="78">
        <v>73</v>
      </c>
      <c r="N25" s="78">
        <v>71</v>
      </c>
      <c r="O25" s="78">
        <v>83</v>
      </c>
      <c r="P25" s="78">
        <v>84</v>
      </c>
      <c r="Q25" s="78">
        <v>75</v>
      </c>
      <c r="R25" s="78">
        <v>76</v>
      </c>
      <c r="S25" s="78">
        <v>71</v>
      </c>
      <c r="T25" s="78">
        <v>80</v>
      </c>
      <c r="U25" s="78">
        <v>76</v>
      </c>
      <c r="V25" s="78">
        <v>89</v>
      </c>
      <c r="W25" s="78">
        <v>75</v>
      </c>
      <c r="X25" s="78">
        <v>75</v>
      </c>
      <c r="Y25" s="78">
        <v>77</v>
      </c>
      <c r="Z25" s="78">
        <v>79</v>
      </c>
      <c r="AA25" s="78">
        <v>74</v>
      </c>
      <c r="AB25" s="78">
        <v>81</v>
      </c>
      <c r="AC25" s="78">
        <v>71</v>
      </c>
      <c r="AD25" s="78">
        <v>80</v>
      </c>
      <c r="AE25" s="78">
        <v>78</v>
      </c>
      <c r="AF25" s="78">
        <v>76</v>
      </c>
      <c r="AG25" s="78">
        <v>66</v>
      </c>
      <c r="AH25" s="78">
        <v>74</v>
      </c>
      <c r="AI25" s="78">
        <v>74</v>
      </c>
      <c r="AJ25" s="78">
        <v>87</v>
      </c>
      <c r="AK25" s="78">
        <v>83</v>
      </c>
      <c r="AL25" s="78">
        <v>69</v>
      </c>
      <c r="AM25" s="78">
        <v>80</v>
      </c>
      <c r="AN25" s="78">
        <v>76</v>
      </c>
      <c r="AO25" s="78">
        <v>78</v>
      </c>
    </row>
    <row r="26" spans="1:41" x14ac:dyDescent="0.25">
      <c r="A26" s="79" t="s">
        <v>10</v>
      </c>
      <c r="B26" s="78">
        <v>86</v>
      </c>
      <c r="C26" s="78">
        <v>92</v>
      </c>
      <c r="D26" s="78">
        <v>93</v>
      </c>
      <c r="E26" s="78">
        <v>93</v>
      </c>
      <c r="F26" s="78">
        <v>90</v>
      </c>
      <c r="G26" s="78">
        <v>103</v>
      </c>
      <c r="H26" s="78">
        <v>94</v>
      </c>
      <c r="I26" s="78">
        <v>91</v>
      </c>
      <c r="J26" s="78">
        <v>85</v>
      </c>
      <c r="K26" s="78">
        <v>87</v>
      </c>
      <c r="L26" s="78">
        <v>96</v>
      </c>
      <c r="M26" s="78">
        <v>89</v>
      </c>
      <c r="N26" s="78">
        <v>102</v>
      </c>
      <c r="O26" s="78">
        <v>95</v>
      </c>
      <c r="P26" s="78">
        <v>104</v>
      </c>
      <c r="Q26" s="78">
        <v>91</v>
      </c>
      <c r="R26" s="78">
        <v>92</v>
      </c>
      <c r="S26" s="78">
        <v>102</v>
      </c>
      <c r="T26" s="78">
        <v>97</v>
      </c>
      <c r="U26" s="78">
        <v>91</v>
      </c>
      <c r="V26" s="78">
        <v>98</v>
      </c>
      <c r="W26" s="78">
        <v>96</v>
      </c>
      <c r="X26" s="78">
        <v>95</v>
      </c>
      <c r="Y26" s="78">
        <v>101</v>
      </c>
      <c r="Z26" s="78">
        <v>98</v>
      </c>
      <c r="AA26" s="78">
        <v>87</v>
      </c>
      <c r="AB26" s="78">
        <v>93</v>
      </c>
      <c r="AC26" s="78">
        <v>84</v>
      </c>
      <c r="AD26" s="78">
        <v>83</v>
      </c>
      <c r="AE26" s="78">
        <v>93</v>
      </c>
      <c r="AF26" s="78">
        <v>89</v>
      </c>
      <c r="AG26" s="78">
        <v>96</v>
      </c>
      <c r="AH26" s="78">
        <v>106</v>
      </c>
      <c r="AI26" s="78">
        <v>100</v>
      </c>
      <c r="AJ26" s="78">
        <v>88</v>
      </c>
      <c r="AK26" s="78">
        <v>82</v>
      </c>
      <c r="AL26" s="78">
        <v>103</v>
      </c>
      <c r="AM26" s="78">
        <v>102</v>
      </c>
      <c r="AN26" s="78">
        <v>97</v>
      </c>
      <c r="AO26" s="78">
        <v>103</v>
      </c>
    </row>
    <row r="27" spans="1:41" x14ac:dyDescent="0.25">
      <c r="A27" s="79" t="s">
        <v>11</v>
      </c>
      <c r="B27" s="78">
        <v>95</v>
      </c>
      <c r="C27" s="78">
        <v>87</v>
      </c>
      <c r="D27" s="78">
        <v>73</v>
      </c>
      <c r="E27" s="78">
        <v>88</v>
      </c>
      <c r="F27" s="78">
        <v>97</v>
      </c>
      <c r="G27" s="78">
        <v>89</v>
      </c>
      <c r="H27" s="78">
        <v>87</v>
      </c>
      <c r="I27" s="78">
        <v>88</v>
      </c>
      <c r="J27" s="78">
        <v>83</v>
      </c>
      <c r="K27" s="78">
        <v>91</v>
      </c>
      <c r="L27" s="78">
        <v>96</v>
      </c>
      <c r="M27" s="78">
        <v>83</v>
      </c>
      <c r="N27" s="78">
        <v>85</v>
      </c>
      <c r="O27" s="78">
        <v>89</v>
      </c>
      <c r="P27" s="78">
        <v>89</v>
      </c>
      <c r="Q27" s="78">
        <v>84</v>
      </c>
      <c r="R27" s="78">
        <v>89</v>
      </c>
      <c r="S27" s="78">
        <v>89</v>
      </c>
      <c r="T27" s="78">
        <v>88</v>
      </c>
      <c r="U27" s="78">
        <v>88</v>
      </c>
      <c r="V27" s="78">
        <v>84</v>
      </c>
      <c r="W27" s="78">
        <v>77</v>
      </c>
      <c r="X27" s="78">
        <v>93</v>
      </c>
      <c r="Y27" s="78">
        <v>88</v>
      </c>
      <c r="Z27" s="78">
        <v>76</v>
      </c>
      <c r="AA27" s="78">
        <v>89</v>
      </c>
      <c r="AB27" s="78">
        <v>81</v>
      </c>
      <c r="AC27" s="78">
        <v>86</v>
      </c>
      <c r="AD27" s="78">
        <v>84</v>
      </c>
      <c r="AE27" s="78">
        <v>91</v>
      </c>
      <c r="AF27" s="78">
        <v>91</v>
      </c>
      <c r="AG27" s="78">
        <v>86</v>
      </c>
      <c r="AH27" s="78">
        <v>93</v>
      </c>
      <c r="AI27" s="78">
        <v>97</v>
      </c>
      <c r="AJ27" s="78">
        <v>102</v>
      </c>
      <c r="AK27" s="78">
        <v>85</v>
      </c>
      <c r="AL27" s="78">
        <v>93</v>
      </c>
      <c r="AM27" s="78">
        <v>84</v>
      </c>
      <c r="AN27" s="78">
        <v>88</v>
      </c>
      <c r="AO27" s="78">
        <v>94</v>
      </c>
    </row>
    <row r="28" spans="1:41" x14ac:dyDescent="0.25">
      <c r="A28" s="79" t="s">
        <v>9</v>
      </c>
      <c r="B28" s="78">
        <v>91</v>
      </c>
      <c r="C28" s="78">
        <v>94</v>
      </c>
      <c r="D28" s="78">
        <v>100</v>
      </c>
      <c r="E28" s="78">
        <v>90</v>
      </c>
      <c r="F28" s="78">
        <v>88</v>
      </c>
      <c r="G28" s="78">
        <v>93</v>
      </c>
      <c r="H28" s="78">
        <v>99</v>
      </c>
      <c r="I28" s="78">
        <v>84</v>
      </c>
      <c r="J28" s="78">
        <v>74</v>
      </c>
      <c r="K28" s="78">
        <v>95</v>
      </c>
      <c r="L28" s="78">
        <v>91</v>
      </c>
      <c r="M28" s="78">
        <v>93</v>
      </c>
      <c r="N28" s="78">
        <v>86</v>
      </c>
      <c r="O28" s="78">
        <v>88</v>
      </c>
      <c r="P28" s="78">
        <v>82</v>
      </c>
      <c r="Q28" s="78">
        <v>95</v>
      </c>
      <c r="R28" s="78">
        <v>96</v>
      </c>
      <c r="S28" s="78">
        <v>87</v>
      </c>
      <c r="T28" s="78">
        <v>86</v>
      </c>
      <c r="U28" s="78">
        <v>98</v>
      </c>
      <c r="V28" s="78">
        <v>94</v>
      </c>
      <c r="W28" s="78">
        <v>93</v>
      </c>
      <c r="X28" s="78">
        <v>75</v>
      </c>
      <c r="Y28" s="78">
        <v>83</v>
      </c>
      <c r="Z28" s="78">
        <v>82</v>
      </c>
      <c r="AA28" s="78">
        <v>94</v>
      </c>
      <c r="AB28" s="78">
        <v>100</v>
      </c>
      <c r="AC28" s="78">
        <v>91</v>
      </c>
      <c r="AD28" s="78">
        <v>95</v>
      </c>
      <c r="AE28" s="78">
        <v>91</v>
      </c>
      <c r="AF28" s="78">
        <v>92</v>
      </c>
      <c r="AG28" s="78">
        <v>92</v>
      </c>
      <c r="AH28" s="78">
        <v>89</v>
      </c>
      <c r="AI28" s="78">
        <v>80</v>
      </c>
      <c r="AJ28" s="78">
        <v>89</v>
      </c>
      <c r="AK28" s="78">
        <v>93</v>
      </c>
      <c r="AL28" s="78">
        <v>97</v>
      </c>
      <c r="AM28" s="78">
        <v>92</v>
      </c>
      <c r="AN28" s="78">
        <v>97</v>
      </c>
      <c r="AO28" s="78">
        <v>84</v>
      </c>
    </row>
    <row r="31" spans="1:41" x14ac:dyDescent="0.25">
      <c r="A31" s="79" t="s">
        <v>89</v>
      </c>
      <c r="B31">
        <f>LARGE(B$36:B$45,1)</f>
        <v>107</v>
      </c>
      <c r="C31">
        <f t="shared" ref="C31:AO31" si="0">LARGE(C$36:C$45,1)</f>
        <v>114</v>
      </c>
      <c r="D31">
        <f t="shared" si="0"/>
        <v>114</v>
      </c>
      <c r="E31">
        <f t="shared" si="0"/>
        <v>112</v>
      </c>
      <c r="F31">
        <f t="shared" si="0"/>
        <v>113</v>
      </c>
      <c r="G31">
        <f t="shared" si="0"/>
        <v>108</v>
      </c>
      <c r="H31">
        <f t="shared" si="0"/>
        <v>117</v>
      </c>
      <c r="I31">
        <f t="shared" si="0"/>
        <v>113</v>
      </c>
      <c r="J31">
        <f t="shared" si="0"/>
        <v>115</v>
      </c>
      <c r="K31">
        <f t="shared" si="0"/>
        <v>117</v>
      </c>
      <c r="L31">
        <f t="shared" si="0"/>
        <v>108</v>
      </c>
      <c r="M31">
        <f t="shared" si="0"/>
        <v>116</v>
      </c>
      <c r="N31">
        <f t="shared" si="0"/>
        <v>109</v>
      </c>
      <c r="O31">
        <f t="shared" si="0"/>
        <v>111</v>
      </c>
      <c r="P31">
        <f t="shared" si="0"/>
        <v>108</v>
      </c>
      <c r="Q31">
        <f t="shared" si="0"/>
        <v>100</v>
      </c>
      <c r="R31">
        <f t="shared" si="0"/>
        <v>114</v>
      </c>
      <c r="S31">
        <f t="shared" si="0"/>
        <v>115</v>
      </c>
      <c r="T31">
        <f t="shared" si="0"/>
        <v>117</v>
      </c>
      <c r="U31">
        <f t="shared" si="0"/>
        <v>111</v>
      </c>
      <c r="V31">
        <f t="shared" si="0"/>
        <v>106</v>
      </c>
      <c r="W31">
        <f t="shared" si="0"/>
        <v>117</v>
      </c>
      <c r="X31">
        <f t="shared" si="0"/>
        <v>124</v>
      </c>
      <c r="Y31">
        <f t="shared" si="0"/>
        <v>126</v>
      </c>
      <c r="Z31">
        <f t="shared" si="0"/>
        <v>112</v>
      </c>
      <c r="AA31">
        <f t="shared" si="0"/>
        <v>109</v>
      </c>
      <c r="AB31">
        <f t="shared" si="0"/>
        <v>107</v>
      </c>
      <c r="AC31">
        <f t="shared" si="0"/>
        <v>114</v>
      </c>
      <c r="AD31">
        <f t="shared" si="0"/>
        <v>119</v>
      </c>
      <c r="AE31">
        <f t="shared" si="0"/>
        <v>115</v>
      </c>
      <c r="AF31">
        <f t="shared" si="0"/>
        <v>120</v>
      </c>
      <c r="AG31">
        <f t="shared" si="0"/>
        <v>112</v>
      </c>
      <c r="AH31">
        <f t="shared" si="0"/>
        <v>109</v>
      </c>
      <c r="AI31">
        <f t="shared" si="0"/>
        <v>120</v>
      </c>
      <c r="AJ31">
        <f t="shared" si="0"/>
        <v>114</v>
      </c>
      <c r="AK31">
        <f t="shared" si="0"/>
        <v>112</v>
      </c>
      <c r="AL31">
        <f t="shared" si="0"/>
        <v>111</v>
      </c>
      <c r="AM31">
        <f t="shared" si="0"/>
        <v>112</v>
      </c>
      <c r="AN31">
        <f t="shared" si="0"/>
        <v>111</v>
      </c>
      <c r="AO31">
        <f t="shared" si="0"/>
        <v>106</v>
      </c>
    </row>
    <row r="32" spans="1:41" x14ac:dyDescent="0.25">
      <c r="A32" s="79" t="s">
        <v>90</v>
      </c>
      <c r="B32">
        <f>LARGE(B$36:B$45,2)</f>
        <v>107</v>
      </c>
      <c r="C32">
        <f t="shared" ref="C32:AO32" si="1">LARGE(C$36:C$45,2)</f>
        <v>108</v>
      </c>
      <c r="D32">
        <f t="shared" si="1"/>
        <v>102</v>
      </c>
      <c r="E32">
        <f t="shared" si="1"/>
        <v>106</v>
      </c>
      <c r="F32">
        <f t="shared" si="1"/>
        <v>105</v>
      </c>
      <c r="G32">
        <f t="shared" si="1"/>
        <v>105</v>
      </c>
      <c r="H32">
        <f t="shared" si="1"/>
        <v>102</v>
      </c>
      <c r="I32">
        <f t="shared" si="1"/>
        <v>106</v>
      </c>
      <c r="J32">
        <f t="shared" si="1"/>
        <v>106</v>
      </c>
      <c r="K32">
        <f t="shared" si="1"/>
        <v>116</v>
      </c>
      <c r="L32">
        <f t="shared" si="1"/>
        <v>101</v>
      </c>
      <c r="M32">
        <f t="shared" si="1"/>
        <v>110</v>
      </c>
      <c r="N32">
        <f t="shared" si="1"/>
        <v>107</v>
      </c>
      <c r="O32">
        <f t="shared" si="1"/>
        <v>106</v>
      </c>
      <c r="P32">
        <f t="shared" si="1"/>
        <v>107</v>
      </c>
      <c r="Q32">
        <f t="shared" si="1"/>
        <v>99</v>
      </c>
      <c r="R32">
        <f t="shared" si="1"/>
        <v>110</v>
      </c>
      <c r="S32">
        <f t="shared" si="1"/>
        <v>111</v>
      </c>
      <c r="T32">
        <f t="shared" si="1"/>
        <v>116</v>
      </c>
      <c r="U32">
        <f t="shared" si="1"/>
        <v>108</v>
      </c>
      <c r="V32">
        <f t="shared" si="1"/>
        <v>103</v>
      </c>
      <c r="W32">
        <f t="shared" si="1"/>
        <v>115</v>
      </c>
      <c r="X32">
        <f t="shared" si="1"/>
        <v>109</v>
      </c>
      <c r="Y32">
        <f t="shared" si="1"/>
        <v>109</v>
      </c>
      <c r="Z32">
        <f t="shared" si="1"/>
        <v>106</v>
      </c>
      <c r="AA32">
        <f t="shared" si="1"/>
        <v>107</v>
      </c>
      <c r="AB32">
        <f t="shared" si="1"/>
        <v>107</v>
      </c>
      <c r="AC32">
        <f t="shared" si="1"/>
        <v>113</v>
      </c>
      <c r="AD32">
        <f t="shared" si="1"/>
        <v>114</v>
      </c>
      <c r="AE32">
        <f t="shared" si="1"/>
        <v>107</v>
      </c>
      <c r="AF32">
        <f t="shared" si="1"/>
        <v>104</v>
      </c>
      <c r="AG32">
        <f t="shared" si="1"/>
        <v>105</v>
      </c>
      <c r="AH32">
        <f t="shared" si="1"/>
        <v>109</v>
      </c>
      <c r="AI32">
        <f t="shared" si="1"/>
        <v>112</v>
      </c>
      <c r="AJ32">
        <f t="shared" si="1"/>
        <v>102</v>
      </c>
      <c r="AK32">
        <f t="shared" si="1"/>
        <v>110</v>
      </c>
      <c r="AL32">
        <f t="shared" si="1"/>
        <v>107</v>
      </c>
      <c r="AM32">
        <f t="shared" si="1"/>
        <v>109</v>
      </c>
      <c r="AN32">
        <f t="shared" si="1"/>
        <v>110</v>
      </c>
      <c r="AO32">
        <f t="shared" si="1"/>
        <v>105</v>
      </c>
    </row>
    <row r="33" spans="1:41" x14ac:dyDescent="0.25">
      <c r="A33" s="79" t="s">
        <v>91</v>
      </c>
      <c r="B33">
        <f>LARGE(B$36:B$45,3)</f>
        <v>102</v>
      </c>
      <c r="C33">
        <f t="shared" ref="C33:AO33" si="2">LARGE(C$36:C$45,3)</f>
        <v>101</v>
      </c>
      <c r="D33">
        <f t="shared" si="2"/>
        <v>100</v>
      </c>
      <c r="E33">
        <f t="shared" si="2"/>
        <v>101</v>
      </c>
      <c r="F33">
        <f t="shared" si="2"/>
        <v>102</v>
      </c>
      <c r="G33">
        <f t="shared" si="2"/>
        <v>104</v>
      </c>
      <c r="H33">
        <f t="shared" si="2"/>
        <v>99</v>
      </c>
      <c r="I33">
        <f t="shared" si="2"/>
        <v>104</v>
      </c>
      <c r="J33">
        <f t="shared" si="2"/>
        <v>105</v>
      </c>
      <c r="K33">
        <f t="shared" si="2"/>
        <v>104</v>
      </c>
      <c r="L33">
        <f t="shared" si="2"/>
        <v>99</v>
      </c>
      <c r="M33">
        <f t="shared" si="2"/>
        <v>99</v>
      </c>
      <c r="N33">
        <f t="shared" si="2"/>
        <v>102</v>
      </c>
      <c r="O33">
        <f t="shared" si="2"/>
        <v>105</v>
      </c>
      <c r="P33">
        <f t="shared" si="2"/>
        <v>106</v>
      </c>
      <c r="Q33">
        <f t="shared" si="2"/>
        <v>95</v>
      </c>
      <c r="R33">
        <f t="shared" si="2"/>
        <v>103</v>
      </c>
      <c r="S33">
        <f t="shared" si="2"/>
        <v>103</v>
      </c>
      <c r="T33">
        <f t="shared" si="2"/>
        <v>116</v>
      </c>
      <c r="U33">
        <f t="shared" si="2"/>
        <v>102</v>
      </c>
      <c r="V33">
        <f t="shared" si="2"/>
        <v>98</v>
      </c>
      <c r="W33">
        <f t="shared" si="2"/>
        <v>107</v>
      </c>
      <c r="X33">
        <f t="shared" si="2"/>
        <v>100</v>
      </c>
      <c r="Y33">
        <f t="shared" si="2"/>
        <v>101</v>
      </c>
      <c r="Z33">
        <f t="shared" si="2"/>
        <v>104</v>
      </c>
      <c r="AA33">
        <f t="shared" si="2"/>
        <v>104</v>
      </c>
      <c r="AB33">
        <f t="shared" si="2"/>
        <v>105</v>
      </c>
      <c r="AC33">
        <f t="shared" si="2"/>
        <v>108</v>
      </c>
      <c r="AD33">
        <f t="shared" si="2"/>
        <v>99</v>
      </c>
      <c r="AE33">
        <f t="shared" si="2"/>
        <v>106</v>
      </c>
      <c r="AF33">
        <f t="shared" si="2"/>
        <v>103</v>
      </c>
      <c r="AG33">
        <f t="shared" si="2"/>
        <v>105</v>
      </c>
      <c r="AH33">
        <f t="shared" si="2"/>
        <v>107</v>
      </c>
      <c r="AI33">
        <f t="shared" si="2"/>
        <v>103</v>
      </c>
      <c r="AJ33">
        <f t="shared" si="2"/>
        <v>102</v>
      </c>
      <c r="AK33">
        <f t="shared" si="2"/>
        <v>107</v>
      </c>
      <c r="AL33">
        <f t="shared" si="2"/>
        <v>101</v>
      </c>
      <c r="AM33">
        <f t="shared" si="2"/>
        <v>102</v>
      </c>
      <c r="AN33">
        <f t="shared" si="2"/>
        <v>98</v>
      </c>
      <c r="AO33">
        <f t="shared" si="2"/>
        <v>104</v>
      </c>
    </row>
    <row r="34" spans="1:41" x14ac:dyDescent="0.25">
      <c r="A34" s="79" t="s">
        <v>92</v>
      </c>
      <c r="B34">
        <f>LARGE(B$36:B$45,4)</f>
        <v>98</v>
      </c>
      <c r="C34">
        <f t="shared" ref="C34:AO34" si="3">LARGE(C$36:C$45,4)</f>
        <v>94</v>
      </c>
      <c r="D34">
        <f t="shared" si="3"/>
        <v>100</v>
      </c>
      <c r="E34">
        <f t="shared" si="3"/>
        <v>95</v>
      </c>
      <c r="F34">
        <f t="shared" si="3"/>
        <v>97</v>
      </c>
      <c r="G34">
        <f t="shared" si="3"/>
        <v>101</v>
      </c>
      <c r="H34">
        <f t="shared" si="3"/>
        <v>96</v>
      </c>
      <c r="I34">
        <f t="shared" si="3"/>
        <v>93</v>
      </c>
      <c r="J34">
        <f t="shared" si="3"/>
        <v>99</v>
      </c>
      <c r="K34">
        <f t="shared" si="3"/>
        <v>100</v>
      </c>
      <c r="L34">
        <f t="shared" si="3"/>
        <v>98</v>
      </c>
      <c r="M34">
        <f t="shared" si="3"/>
        <v>94</v>
      </c>
      <c r="N34">
        <f t="shared" si="3"/>
        <v>102</v>
      </c>
      <c r="O34">
        <f t="shared" si="3"/>
        <v>102</v>
      </c>
      <c r="P34">
        <f t="shared" si="3"/>
        <v>104</v>
      </c>
      <c r="Q34">
        <f t="shared" si="3"/>
        <v>93</v>
      </c>
      <c r="R34">
        <f t="shared" si="3"/>
        <v>96</v>
      </c>
      <c r="S34">
        <f t="shared" si="3"/>
        <v>102</v>
      </c>
      <c r="T34">
        <f t="shared" si="3"/>
        <v>97</v>
      </c>
      <c r="U34">
        <f t="shared" si="3"/>
        <v>98</v>
      </c>
      <c r="V34">
        <f t="shared" si="3"/>
        <v>95</v>
      </c>
      <c r="W34">
        <f t="shared" si="3"/>
        <v>98</v>
      </c>
      <c r="X34">
        <f t="shared" si="3"/>
        <v>95</v>
      </c>
      <c r="Y34">
        <f t="shared" si="3"/>
        <v>97</v>
      </c>
      <c r="Z34">
        <f t="shared" si="3"/>
        <v>104</v>
      </c>
      <c r="AA34">
        <f t="shared" si="3"/>
        <v>103</v>
      </c>
      <c r="AB34">
        <f t="shared" si="3"/>
        <v>100</v>
      </c>
      <c r="AC34">
        <f t="shared" si="3"/>
        <v>107</v>
      </c>
      <c r="AD34">
        <f t="shared" si="3"/>
        <v>95</v>
      </c>
      <c r="AE34">
        <f t="shared" si="3"/>
        <v>106</v>
      </c>
      <c r="AF34">
        <f t="shared" si="3"/>
        <v>103</v>
      </c>
      <c r="AG34">
        <f t="shared" si="3"/>
        <v>96</v>
      </c>
      <c r="AH34">
        <f t="shared" si="3"/>
        <v>106</v>
      </c>
      <c r="AI34">
        <f t="shared" si="3"/>
        <v>100</v>
      </c>
      <c r="AJ34">
        <f t="shared" si="3"/>
        <v>102</v>
      </c>
      <c r="AK34">
        <f t="shared" si="3"/>
        <v>103</v>
      </c>
      <c r="AL34">
        <f t="shared" si="3"/>
        <v>100</v>
      </c>
      <c r="AM34">
        <f t="shared" si="3"/>
        <v>96</v>
      </c>
      <c r="AN34">
        <f t="shared" si="3"/>
        <v>95</v>
      </c>
      <c r="AO34">
        <f t="shared" si="3"/>
        <v>101</v>
      </c>
    </row>
    <row r="36" spans="1:41" x14ac:dyDescent="0.25">
      <c r="A36" s="79" t="s">
        <v>77</v>
      </c>
      <c r="B36">
        <f>MAX(B$6:B$10)</f>
        <v>107</v>
      </c>
      <c r="C36">
        <f t="shared" ref="C36:AO36" si="4">MAX(C$6:C$10)</f>
        <v>108</v>
      </c>
      <c r="D36">
        <f t="shared" si="4"/>
        <v>102</v>
      </c>
      <c r="E36">
        <f t="shared" si="4"/>
        <v>112</v>
      </c>
      <c r="F36">
        <f t="shared" si="4"/>
        <v>102</v>
      </c>
      <c r="G36">
        <f t="shared" si="4"/>
        <v>108</v>
      </c>
      <c r="H36">
        <f t="shared" si="4"/>
        <v>96</v>
      </c>
      <c r="I36">
        <f t="shared" si="4"/>
        <v>104</v>
      </c>
      <c r="J36">
        <f t="shared" si="4"/>
        <v>105</v>
      </c>
      <c r="K36">
        <f t="shared" si="4"/>
        <v>117</v>
      </c>
      <c r="L36">
        <f t="shared" si="4"/>
        <v>101</v>
      </c>
      <c r="M36">
        <f t="shared" si="4"/>
        <v>116</v>
      </c>
      <c r="N36">
        <f t="shared" si="4"/>
        <v>107</v>
      </c>
      <c r="O36">
        <f t="shared" si="4"/>
        <v>111</v>
      </c>
      <c r="P36">
        <f t="shared" si="4"/>
        <v>107</v>
      </c>
      <c r="Q36">
        <f t="shared" si="4"/>
        <v>99</v>
      </c>
      <c r="R36">
        <f t="shared" si="4"/>
        <v>110</v>
      </c>
      <c r="S36">
        <f t="shared" si="4"/>
        <v>111</v>
      </c>
      <c r="T36">
        <f t="shared" si="4"/>
        <v>116</v>
      </c>
      <c r="U36">
        <f t="shared" si="4"/>
        <v>108</v>
      </c>
      <c r="V36">
        <f t="shared" si="4"/>
        <v>103</v>
      </c>
      <c r="W36">
        <f t="shared" si="4"/>
        <v>117</v>
      </c>
      <c r="X36">
        <f t="shared" si="4"/>
        <v>124</v>
      </c>
      <c r="Y36">
        <f t="shared" si="4"/>
        <v>97</v>
      </c>
      <c r="Z36">
        <f t="shared" si="4"/>
        <v>106</v>
      </c>
      <c r="AA36">
        <f t="shared" si="4"/>
        <v>104</v>
      </c>
      <c r="AB36">
        <f t="shared" si="4"/>
        <v>105</v>
      </c>
      <c r="AC36">
        <f t="shared" si="4"/>
        <v>113</v>
      </c>
      <c r="AD36">
        <f t="shared" si="4"/>
        <v>114</v>
      </c>
      <c r="AE36">
        <f t="shared" si="4"/>
        <v>107</v>
      </c>
      <c r="AF36">
        <f t="shared" si="4"/>
        <v>120</v>
      </c>
      <c r="AG36">
        <f t="shared" si="4"/>
        <v>105</v>
      </c>
      <c r="AH36">
        <f t="shared" si="4"/>
        <v>109</v>
      </c>
      <c r="AI36">
        <f t="shared" si="4"/>
        <v>112</v>
      </c>
      <c r="AJ36">
        <f t="shared" si="4"/>
        <v>102</v>
      </c>
      <c r="AK36">
        <f t="shared" si="4"/>
        <v>112</v>
      </c>
      <c r="AL36">
        <f t="shared" si="4"/>
        <v>101</v>
      </c>
      <c r="AM36">
        <f t="shared" si="4"/>
        <v>109</v>
      </c>
      <c r="AN36">
        <f t="shared" si="4"/>
        <v>110</v>
      </c>
      <c r="AO36">
        <f t="shared" si="4"/>
        <v>106</v>
      </c>
    </row>
    <row r="37" spans="1:41" x14ac:dyDescent="0.25">
      <c r="A37" s="79" t="s">
        <v>81</v>
      </c>
      <c r="B37">
        <f>LARGE(B$6:B$10,2)</f>
        <v>98</v>
      </c>
      <c r="C37">
        <f t="shared" ref="C37:AO37" si="5">LARGE(C$6:C$10,2)</f>
        <v>86</v>
      </c>
      <c r="D37">
        <f t="shared" si="5"/>
        <v>100</v>
      </c>
      <c r="E37">
        <f t="shared" si="5"/>
        <v>95</v>
      </c>
      <c r="F37">
        <f t="shared" si="5"/>
        <v>97</v>
      </c>
      <c r="G37">
        <f t="shared" si="5"/>
        <v>94</v>
      </c>
      <c r="H37">
        <f t="shared" si="5"/>
        <v>94</v>
      </c>
      <c r="I37">
        <f t="shared" si="5"/>
        <v>89</v>
      </c>
      <c r="J37">
        <f t="shared" si="5"/>
        <v>98</v>
      </c>
      <c r="K37">
        <f t="shared" si="5"/>
        <v>100</v>
      </c>
      <c r="L37">
        <f t="shared" si="5"/>
        <v>99</v>
      </c>
      <c r="M37">
        <f t="shared" si="5"/>
        <v>99</v>
      </c>
      <c r="N37">
        <f t="shared" si="5"/>
        <v>93</v>
      </c>
      <c r="O37">
        <f t="shared" si="5"/>
        <v>106</v>
      </c>
      <c r="P37">
        <f t="shared" si="5"/>
        <v>96</v>
      </c>
      <c r="Q37">
        <f t="shared" si="5"/>
        <v>91</v>
      </c>
      <c r="R37">
        <f t="shared" si="5"/>
        <v>91</v>
      </c>
      <c r="S37">
        <f t="shared" si="5"/>
        <v>89</v>
      </c>
      <c r="T37">
        <f t="shared" si="5"/>
        <v>91</v>
      </c>
      <c r="U37">
        <f t="shared" si="5"/>
        <v>95</v>
      </c>
      <c r="V37">
        <f t="shared" si="5"/>
        <v>95</v>
      </c>
      <c r="W37">
        <f t="shared" si="5"/>
        <v>95</v>
      </c>
      <c r="X37">
        <f t="shared" si="5"/>
        <v>95</v>
      </c>
      <c r="Y37">
        <f t="shared" si="5"/>
        <v>96</v>
      </c>
      <c r="Z37">
        <f t="shared" si="5"/>
        <v>104</v>
      </c>
      <c r="AA37">
        <f t="shared" si="5"/>
        <v>95</v>
      </c>
      <c r="AB37">
        <f t="shared" si="5"/>
        <v>98</v>
      </c>
      <c r="AC37">
        <f t="shared" si="5"/>
        <v>103</v>
      </c>
      <c r="AD37">
        <f t="shared" si="5"/>
        <v>95</v>
      </c>
      <c r="AE37">
        <f t="shared" si="5"/>
        <v>106</v>
      </c>
      <c r="AF37">
        <f t="shared" si="5"/>
        <v>103</v>
      </c>
      <c r="AG37">
        <f t="shared" si="5"/>
        <v>95</v>
      </c>
      <c r="AH37">
        <f t="shared" si="5"/>
        <v>89</v>
      </c>
      <c r="AI37">
        <f t="shared" si="5"/>
        <v>93</v>
      </c>
      <c r="AJ37">
        <f t="shared" si="5"/>
        <v>99</v>
      </c>
      <c r="AK37">
        <f t="shared" si="5"/>
        <v>103</v>
      </c>
      <c r="AL37">
        <f t="shared" si="5"/>
        <v>98</v>
      </c>
      <c r="AM37">
        <f t="shared" si="5"/>
        <v>94</v>
      </c>
      <c r="AN37">
        <f t="shared" si="5"/>
        <v>87</v>
      </c>
      <c r="AO37">
        <f t="shared" si="5"/>
        <v>105</v>
      </c>
    </row>
    <row r="38" spans="1:41" x14ac:dyDescent="0.25">
      <c r="A38" s="79" t="s">
        <v>85</v>
      </c>
      <c r="B38">
        <f>LARGE(B$6:B$10,3)</f>
        <v>83</v>
      </c>
      <c r="C38">
        <f t="shared" ref="C38:AO38" si="6">LARGE(C$6:C$10,3)</f>
        <v>82</v>
      </c>
      <c r="D38">
        <f t="shared" si="6"/>
        <v>95</v>
      </c>
      <c r="E38">
        <f t="shared" si="6"/>
        <v>83</v>
      </c>
      <c r="F38">
        <f t="shared" si="6"/>
        <v>93</v>
      </c>
      <c r="G38">
        <f t="shared" si="6"/>
        <v>91</v>
      </c>
      <c r="H38">
        <f t="shared" si="6"/>
        <v>84</v>
      </c>
      <c r="I38">
        <f t="shared" si="6"/>
        <v>83</v>
      </c>
      <c r="J38">
        <f t="shared" si="6"/>
        <v>94</v>
      </c>
      <c r="K38">
        <f t="shared" si="6"/>
        <v>76</v>
      </c>
      <c r="L38">
        <f t="shared" si="6"/>
        <v>84</v>
      </c>
      <c r="M38">
        <f t="shared" si="6"/>
        <v>84</v>
      </c>
      <c r="N38">
        <f t="shared" si="6"/>
        <v>89</v>
      </c>
      <c r="O38">
        <f t="shared" si="6"/>
        <v>84</v>
      </c>
      <c r="P38">
        <f t="shared" si="6"/>
        <v>92</v>
      </c>
      <c r="Q38">
        <f t="shared" si="6"/>
        <v>91</v>
      </c>
      <c r="R38">
        <f t="shared" si="6"/>
        <v>88</v>
      </c>
      <c r="S38">
        <f t="shared" si="6"/>
        <v>86</v>
      </c>
      <c r="T38">
        <f t="shared" si="6"/>
        <v>82</v>
      </c>
      <c r="U38">
        <f t="shared" si="6"/>
        <v>78</v>
      </c>
      <c r="V38">
        <f t="shared" si="6"/>
        <v>90</v>
      </c>
      <c r="W38">
        <f t="shared" si="6"/>
        <v>94</v>
      </c>
      <c r="X38">
        <f t="shared" si="6"/>
        <v>84</v>
      </c>
      <c r="Y38">
        <f t="shared" si="6"/>
        <v>87</v>
      </c>
      <c r="Z38">
        <f t="shared" si="6"/>
        <v>90</v>
      </c>
      <c r="AA38">
        <f t="shared" si="6"/>
        <v>91</v>
      </c>
      <c r="AB38">
        <f t="shared" si="6"/>
        <v>93</v>
      </c>
      <c r="AC38">
        <f t="shared" si="6"/>
        <v>80</v>
      </c>
      <c r="AD38">
        <f t="shared" si="6"/>
        <v>91</v>
      </c>
      <c r="AE38">
        <f t="shared" si="6"/>
        <v>77</v>
      </c>
      <c r="AF38">
        <f t="shared" si="6"/>
        <v>81</v>
      </c>
      <c r="AG38">
        <f t="shared" si="6"/>
        <v>91</v>
      </c>
      <c r="AH38">
        <f t="shared" si="6"/>
        <v>87</v>
      </c>
      <c r="AI38">
        <f t="shared" si="6"/>
        <v>93</v>
      </c>
      <c r="AJ38">
        <f t="shared" si="6"/>
        <v>93</v>
      </c>
      <c r="AK38">
        <f t="shared" si="6"/>
        <v>84</v>
      </c>
      <c r="AL38">
        <f t="shared" si="6"/>
        <v>80</v>
      </c>
      <c r="AM38">
        <f t="shared" si="6"/>
        <v>93</v>
      </c>
      <c r="AN38">
        <f t="shared" si="6"/>
        <v>86</v>
      </c>
      <c r="AO38">
        <f t="shared" si="6"/>
        <v>77</v>
      </c>
    </row>
    <row r="39" spans="1:41" x14ac:dyDescent="0.25">
      <c r="A39" s="79" t="s">
        <v>78</v>
      </c>
      <c r="B39">
        <f>MAX(B$12:B$16)</f>
        <v>107</v>
      </c>
      <c r="C39">
        <f t="shared" ref="C39:AO39" si="7">MAX(C$12:C$16)</f>
        <v>114</v>
      </c>
      <c r="D39">
        <f t="shared" si="7"/>
        <v>114</v>
      </c>
      <c r="E39">
        <f t="shared" si="7"/>
        <v>101</v>
      </c>
      <c r="F39">
        <f t="shared" si="7"/>
        <v>113</v>
      </c>
      <c r="G39">
        <f t="shared" si="7"/>
        <v>104</v>
      </c>
      <c r="H39">
        <f t="shared" si="7"/>
        <v>117</v>
      </c>
      <c r="I39">
        <f t="shared" si="7"/>
        <v>106</v>
      </c>
      <c r="J39">
        <f t="shared" si="7"/>
        <v>115</v>
      </c>
      <c r="K39">
        <f t="shared" si="7"/>
        <v>116</v>
      </c>
      <c r="L39">
        <f t="shared" si="7"/>
        <v>108</v>
      </c>
      <c r="M39">
        <f t="shared" si="7"/>
        <v>110</v>
      </c>
      <c r="N39">
        <f t="shared" si="7"/>
        <v>109</v>
      </c>
      <c r="O39">
        <f t="shared" si="7"/>
        <v>102</v>
      </c>
      <c r="P39">
        <f t="shared" si="7"/>
        <v>108</v>
      </c>
      <c r="Q39">
        <f t="shared" si="7"/>
        <v>100</v>
      </c>
      <c r="R39">
        <f t="shared" si="7"/>
        <v>114</v>
      </c>
      <c r="S39">
        <f t="shared" si="7"/>
        <v>115</v>
      </c>
      <c r="T39">
        <f t="shared" si="7"/>
        <v>117</v>
      </c>
      <c r="U39">
        <f t="shared" si="7"/>
        <v>102</v>
      </c>
      <c r="V39">
        <f t="shared" si="7"/>
        <v>106</v>
      </c>
      <c r="W39">
        <f t="shared" si="7"/>
        <v>115</v>
      </c>
      <c r="X39">
        <f t="shared" si="7"/>
        <v>109</v>
      </c>
      <c r="Y39">
        <f t="shared" si="7"/>
        <v>126</v>
      </c>
      <c r="Z39">
        <f t="shared" si="7"/>
        <v>104</v>
      </c>
      <c r="AA39">
        <f t="shared" si="7"/>
        <v>109</v>
      </c>
      <c r="AB39">
        <f t="shared" si="7"/>
        <v>107</v>
      </c>
      <c r="AC39">
        <f t="shared" si="7"/>
        <v>114</v>
      </c>
      <c r="AD39">
        <f t="shared" si="7"/>
        <v>119</v>
      </c>
      <c r="AE39">
        <f t="shared" si="7"/>
        <v>106</v>
      </c>
      <c r="AF39">
        <f t="shared" si="7"/>
        <v>104</v>
      </c>
      <c r="AG39">
        <f t="shared" si="7"/>
        <v>112</v>
      </c>
      <c r="AH39">
        <f t="shared" si="7"/>
        <v>109</v>
      </c>
      <c r="AI39">
        <f t="shared" si="7"/>
        <v>120</v>
      </c>
      <c r="AJ39">
        <f t="shared" si="7"/>
        <v>102</v>
      </c>
      <c r="AK39">
        <f t="shared" si="7"/>
        <v>110</v>
      </c>
      <c r="AL39">
        <f t="shared" si="7"/>
        <v>100</v>
      </c>
      <c r="AM39">
        <f t="shared" si="7"/>
        <v>112</v>
      </c>
      <c r="AN39">
        <f t="shared" si="7"/>
        <v>111</v>
      </c>
      <c r="AO39">
        <f t="shared" si="7"/>
        <v>101</v>
      </c>
    </row>
    <row r="40" spans="1:41" x14ac:dyDescent="0.25">
      <c r="A40" s="79" t="s">
        <v>82</v>
      </c>
      <c r="B40">
        <f>LARGE(B$12:B$16,2)</f>
        <v>79</v>
      </c>
      <c r="C40">
        <f t="shared" ref="C40:AO40" si="8">LARGE(C$12:C$16,2)</f>
        <v>82</v>
      </c>
      <c r="D40">
        <f t="shared" si="8"/>
        <v>74</v>
      </c>
      <c r="E40">
        <f t="shared" si="8"/>
        <v>76</v>
      </c>
      <c r="F40">
        <f t="shared" si="8"/>
        <v>88</v>
      </c>
      <c r="G40">
        <f t="shared" si="8"/>
        <v>78</v>
      </c>
      <c r="H40">
        <f t="shared" si="8"/>
        <v>82</v>
      </c>
      <c r="I40">
        <f t="shared" si="8"/>
        <v>74</v>
      </c>
      <c r="J40">
        <f t="shared" si="8"/>
        <v>75</v>
      </c>
      <c r="K40">
        <f t="shared" si="8"/>
        <v>75</v>
      </c>
      <c r="L40">
        <f t="shared" si="8"/>
        <v>77</v>
      </c>
      <c r="M40">
        <f t="shared" si="8"/>
        <v>79</v>
      </c>
      <c r="N40">
        <f t="shared" si="8"/>
        <v>69</v>
      </c>
      <c r="O40">
        <f t="shared" si="8"/>
        <v>74</v>
      </c>
      <c r="P40">
        <f t="shared" si="8"/>
        <v>77</v>
      </c>
      <c r="Q40">
        <f t="shared" si="8"/>
        <v>83</v>
      </c>
      <c r="R40">
        <f t="shared" si="8"/>
        <v>81</v>
      </c>
      <c r="S40">
        <f t="shared" si="8"/>
        <v>77</v>
      </c>
      <c r="T40">
        <f t="shared" si="8"/>
        <v>80</v>
      </c>
      <c r="U40">
        <f t="shared" si="8"/>
        <v>74</v>
      </c>
      <c r="V40">
        <f t="shared" si="8"/>
        <v>81</v>
      </c>
      <c r="W40">
        <f t="shared" si="8"/>
        <v>79</v>
      </c>
      <c r="X40">
        <f t="shared" si="8"/>
        <v>72</v>
      </c>
      <c r="Y40">
        <f t="shared" si="8"/>
        <v>72</v>
      </c>
      <c r="Z40">
        <f t="shared" si="8"/>
        <v>77</v>
      </c>
      <c r="AA40">
        <f t="shared" si="8"/>
        <v>74</v>
      </c>
      <c r="AB40">
        <f t="shared" si="8"/>
        <v>67</v>
      </c>
      <c r="AC40">
        <f t="shared" si="8"/>
        <v>77</v>
      </c>
      <c r="AD40">
        <f t="shared" si="8"/>
        <v>79</v>
      </c>
      <c r="AE40">
        <f t="shared" si="8"/>
        <v>77</v>
      </c>
      <c r="AF40">
        <f t="shared" si="8"/>
        <v>71</v>
      </c>
      <c r="AG40">
        <f t="shared" si="8"/>
        <v>78</v>
      </c>
      <c r="AH40">
        <f t="shared" si="8"/>
        <v>75</v>
      </c>
      <c r="AI40">
        <f t="shared" si="8"/>
        <v>74</v>
      </c>
      <c r="AJ40">
        <f t="shared" si="8"/>
        <v>74</v>
      </c>
      <c r="AK40">
        <f t="shared" si="8"/>
        <v>80</v>
      </c>
      <c r="AL40">
        <f t="shared" si="8"/>
        <v>69</v>
      </c>
      <c r="AM40">
        <f t="shared" si="8"/>
        <v>80</v>
      </c>
      <c r="AN40">
        <f t="shared" si="8"/>
        <v>80</v>
      </c>
      <c r="AO40">
        <f t="shared" si="8"/>
        <v>74</v>
      </c>
    </row>
    <row r="41" spans="1:41" x14ac:dyDescent="0.25">
      <c r="A41" s="79" t="s">
        <v>86</v>
      </c>
      <c r="B41">
        <f>LARGE(B$12:B$16,3)</f>
        <v>66</v>
      </c>
      <c r="C41">
        <f t="shared" ref="C41:AO41" si="9">LARGE(C$12:C$16,3)</f>
        <v>74</v>
      </c>
      <c r="D41">
        <f t="shared" si="9"/>
        <v>71</v>
      </c>
      <c r="E41">
        <f t="shared" si="9"/>
        <v>74</v>
      </c>
      <c r="F41">
        <f t="shared" si="9"/>
        <v>70</v>
      </c>
      <c r="G41">
        <f t="shared" si="9"/>
        <v>73</v>
      </c>
      <c r="H41">
        <f t="shared" si="9"/>
        <v>77</v>
      </c>
      <c r="I41">
        <f t="shared" si="9"/>
        <v>71</v>
      </c>
      <c r="J41">
        <f t="shared" si="9"/>
        <v>74</v>
      </c>
      <c r="K41">
        <f t="shared" si="9"/>
        <v>67</v>
      </c>
      <c r="L41">
        <f t="shared" si="9"/>
        <v>72</v>
      </c>
      <c r="M41">
        <f t="shared" si="9"/>
        <v>71</v>
      </c>
      <c r="N41">
        <f t="shared" si="9"/>
        <v>66</v>
      </c>
      <c r="O41">
        <f t="shared" si="9"/>
        <v>65</v>
      </c>
      <c r="P41">
        <f t="shared" si="9"/>
        <v>69</v>
      </c>
      <c r="Q41">
        <f t="shared" si="9"/>
        <v>71</v>
      </c>
      <c r="R41">
        <f t="shared" si="9"/>
        <v>66</v>
      </c>
      <c r="S41">
        <f t="shared" si="9"/>
        <v>74</v>
      </c>
      <c r="T41">
        <f t="shared" si="9"/>
        <v>67</v>
      </c>
      <c r="U41">
        <f t="shared" si="9"/>
        <v>72</v>
      </c>
      <c r="V41">
        <f t="shared" si="9"/>
        <v>71</v>
      </c>
      <c r="W41">
        <f t="shared" si="9"/>
        <v>71</v>
      </c>
      <c r="X41">
        <f t="shared" si="9"/>
        <v>71</v>
      </c>
      <c r="Y41">
        <f t="shared" si="9"/>
        <v>65</v>
      </c>
      <c r="Z41">
        <f t="shared" si="9"/>
        <v>69</v>
      </c>
      <c r="AA41">
        <f t="shared" si="9"/>
        <v>66</v>
      </c>
      <c r="AB41">
        <f t="shared" si="9"/>
        <v>66</v>
      </c>
      <c r="AC41">
        <f t="shared" si="9"/>
        <v>69</v>
      </c>
      <c r="AD41">
        <f t="shared" si="9"/>
        <v>71</v>
      </c>
      <c r="AE41">
        <f t="shared" si="9"/>
        <v>69</v>
      </c>
      <c r="AF41">
        <f t="shared" si="9"/>
        <v>70</v>
      </c>
      <c r="AG41">
        <f t="shared" si="9"/>
        <v>74</v>
      </c>
      <c r="AH41">
        <f t="shared" si="9"/>
        <v>71</v>
      </c>
      <c r="AI41">
        <f t="shared" si="9"/>
        <v>65</v>
      </c>
      <c r="AJ41">
        <f t="shared" si="9"/>
        <v>72</v>
      </c>
      <c r="AK41">
        <f t="shared" si="9"/>
        <v>79</v>
      </c>
      <c r="AL41">
        <f t="shared" si="9"/>
        <v>67</v>
      </c>
      <c r="AM41">
        <f t="shared" si="9"/>
        <v>69</v>
      </c>
      <c r="AN41">
        <f t="shared" si="9"/>
        <v>73</v>
      </c>
      <c r="AO41">
        <f t="shared" si="9"/>
        <v>62</v>
      </c>
    </row>
    <row r="42" spans="1:41" x14ac:dyDescent="0.25">
      <c r="A42" s="79" t="s">
        <v>79</v>
      </c>
      <c r="B42">
        <f>MAX(B$18:B$22)</f>
        <v>102</v>
      </c>
      <c r="C42">
        <f t="shared" ref="C42:AO42" si="10">MAX(C$18:C$22)</f>
        <v>101</v>
      </c>
      <c r="D42">
        <f t="shared" si="10"/>
        <v>100</v>
      </c>
      <c r="E42">
        <f t="shared" si="10"/>
        <v>91</v>
      </c>
      <c r="F42">
        <f t="shared" si="10"/>
        <v>105</v>
      </c>
      <c r="G42">
        <f t="shared" si="10"/>
        <v>101</v>
      </c>
      <c r="H42">
        <f t="shared" si="10"/>
        <v>102</v>
      </c>
      <c r="I42">
        <f t="shared" si="10"/>
        <v>113</v>
      </c>
      <c r="J42">
        <f t="shared" si="10"/>
        <v>106</v>
      </c>
      <c r="K42">
        <f t="shared" si="10"/>
        <v>104</v>
      </c>
      <c r="L42">
        <f t="shared" si="10"/>
        <v>98</v>
      </c>
      <c r="M42">
        <f t="shared" si="10"/>
        <v>90</v>
      </c>
      <c r="N42">
        <f t="shared" si="10"/>
        <v>102</v>
      </c>
      <c r="O42">
        <f t="shared" si="10"/>
        <v>98</v>
      </c>
      <c r="P42">
        <f t="shared" si="10"/>
        <v>106</v>
      </c>
      <c r="Q42">
        <f t="shared" si="10"/>
        <v>93</v>
      </c>
      <c r="R42">
        <f t="shared" si="10"/>
        <v>103</v>
      </c>
      <c r="S42">
        <f t="shared" si="10"/>
        <v>103</v>
      </c>
      <c r="T42">
        <f t="shared" si="10"/>
        <v>116</v>
      </c>
      <c r="U42">
        <f t="shared" si="10"/>
        <v>111</v>
      </c>
      <c r="V42">
        <f t="shared" si="10"/>
        <v>88</v>
      </c>
      <c r="W42">
        <f t="shared" si="10"/>
        <v>107</v>
      </c>
      <c r="X42">
        <f t="shared" si="10"/>
        <v>100</v>
      </c>
      <c r="Y42">
        <f t="shared" si="10"/>
        <v>109</v>
      </c>
      <c r="Z42">
        <f t="shared" si="10"/>
        <v>112</v>
      </c>
      <c r="AA42">
        <f t="shared" si="10"/>
        <v>103</v>
      </c>
      <c r="AB42">
        <f t="shared" si="10"/>
        <v>107</v>
      </c>
      <c r="AC42">
        <f t="shared" si="10"/>
        <v>108</v>
      </c>
      <c r="AD42">
        <f t="shared" si="10"/>
        <v>99</v>
      </c>
      <c r="AE42">
        <f t="shared" si="10"/>
        <v>115</v>
      </c>
      <c r="AF42">
        <f t="shared" si="10"/>
        <v>103</v>
      </c>
      <c r="AG42">
        <f t="shared" si="10"/>
        <v>105</v>
      </c>
      <c r="AH42">
        <f t="shared" si="10"/>
        <v>107</v>
      </c>
      <c r="AI42">
        <f t="shared" si="10"/>
        <v>103</v>
      </c>
      <c r="AJ42">
        <f t="shared" si="10"/>
        <v>114</v>
      </c>
      <c r="AK42">
        <f t="shared" si="10"/>
        <v>107</v>
      </c>
      <c r="AL42">
        <f t="shared" si="10"/>
        <v>107</v>
      </c>
      <c r="AM42">
        <f t="shared" si="10"/>
        <v>96</v>
      </c>
      <c r="AN42">
        <f t="shared" si="10"/>
        <v>95</v>
      </c>
      <c r="AO42">
        <f t="shared" si="10"/>
        <v>100</v>
      </c>
    </row>
    <row r="43" spans="1:41" x14ac:dyDescent="0.25">
      <c r="A43" s="79" t="s">
        <v>83</v>
      </c>
      <c r="B43">
        <f>LARGE(B$18:B$22,2)</f>
        <v>85</v>
      </c>
      <c r="C43">
        <f t="shared" ref="C43:AO43" si="11">LARGE(C$18:C$22,2)</f>
        <v>81</v>
      </c>
      <c r="D43">
        <f t="shared" si="11"/>
        <v>83</v>
      </c>
      <c r="E43">
        <f t="shared" si="11"/>
        <v>91</v>
      </c>
      <c r="F43">
        <f t="shared" si="11"/>
        <v>84</v>
      </c>
      <c r="G43">
        <f t="shared" si="11"/>
        <v>89</v>
      </c>
      <c r="H43">
        <f t="shared" si="11"/>
        <v>81</v>
      </c>
      <c r="I43">
        <f t="shared" si="11"/>
        <v>80</v>
      </c>
      <c r="J43">
        <f t="shared" si="11"/>
        <v>88</v>
      </c>
      <c r="K43">
        <f t="shared" si="11"/>
        <v>80</v>
      </c>
      <c r="L43">
        <f t="shared" si="11"/>
        <v>89</v>
      </c>
      <c r="M43">
        <f t="shared" si="11"/>
        <v>82</v>
      </c>
      <c r="N43">
        <f t="shared" si="11"/>
        <v>102</v>
      </c>
      <c r="O43">
        <f t="shared" si="11"/>
        <v>87</v>
      </c>
      <c r="P43">
        <f t="shared" si="11"/>
        <v>83</v>
      </c>
      <c r="Q43">
        <f t="shared" si="11"/>
        <v>89</v>
      </c>
      <c r="R43">
        <f t="shared" si="11"/>
        <v>84</v>
      </c>
      <c r="S43">
        <f t="shared" si="11"/>
        <v>82</v>
      </c>
      <c r="T43">
        <f t="shared" si="11"/>
        <v>91</v>
      </c>
      <c r="U43">
        <f t="shared" si="11"/>
        <v>86</v>
      </c>
      <c r="V43">
        <f t="shared" si="11"/>
        <v>82</v>
      </c>
      <c r="W43">
        <f t="shared" si="11"/>
        <v>85</v>
      </c>
      <c r="X43">
        <f t="shared" si="11"/>
        <v>94</v>
      </c>
      <c r="Y43">
        <f t="shared" si="11"/>
        <v>82</v>
      </c>
      <c r="Z43">
        <f t="shared" si="11"/>
        <v>94</v>
      </c>
      <c r="AA43">
        <f t="shared" si="11"/>
        <v>84</v>
      </c>
      <c r="AB43">
        <f t="shared" si="11"/>
        <v>82</v>
      </c>
      <c r="AC43">
        <f t="shared" si="11"/>
        <v>83</v>
      </c>
      <c r="AD43">
        <f t="shared" si="11"/>
        <v>85</v>
      </c>
      <c r="AE43">
        <f t="shared" si="11"/>
        <v>96</v>
      </c>
      <c r="AF43">
        <f t="shared" si="11"/>
        <v>88</v>
      </c>
      <c r="AG43">
        <f t="shared" si="11"/>
        <v>95</v>
      </c>
      <c r="AH43">
        <f t="shared" si="11"/>
        <v>94</v>
      </c>
      <c r="AI43">
        <f t="shared" si="11"/>
        <v>92</v>
      </c>
      <c r="AJ43">
        <f t="shared" si="11"/>
        <v>83</v>
      </c>
      <c r="AK43">
        <f t="shared" si="11"/>
        <v>76</v>
      </c>
      <c r="AL43">
        <f t="shared" si="11"/>
        <v>95</v>
      </c>
      <c r="AM43">
        <f t="shared" si="11"/>
        <v>91</v>
      </c>
      <c r="AN43">
        <f t="shared" si="11"/>
        <v>94</v>
      </c>
      <c r="AO43">
        <f t="shared" si="11"/>
        <v>92</v>
      </c>
    </row>
    <row r="44" spans="1:41" x14ac:dyDescent="0.25">
      <c r="A44" s="79" t="s">
        <v>87</v>
      </c>
      <c r="B44">
        <f>LARGE(B$18:B$22,3)</f>
        <v>75</v>
      </c>
      <c r="C44">
        <f t="shared" ref="C44:AO44" si="12">LARGE(C$18:C$22,3)</f>
        <v>80</v>
      </c>
      <c r="D44">
        <f t="shared" si="12"/>
        <v>72</v>
      </c>
      <c r="E44">
        <f t="shared" si="12"/>
        <v>66</v>
      </c>
      <c r="F44">
        <f t="shared" si="12"/>
        <v>69</v>
      </c>
      <c r="G44">
        <f t="shared" si="12"/>
        <v>73</v>
      </c>
      <c r="H44">
        <f t="shared" si="12"/>
        <v>72</v>
      </c>
      <c r="I44">
        <f t="shared" si="12"/>
        <v>79</v>
      </c>
      <c r="J44">
        <f t="shared" si="12"/>
        <v>87</v>
      </c>
      <c r="K44">
        <f t="shared" si="12"/>
        <v>77</v>
      </c>
      <c r="L44">
        <f t="shared" si="12"/>
        <v>74</v>
      </c>
      <c r="M44">
        <f t="shared" si="12"/>
        <v>73</v>
      </c>
      <c r="N44">
        <f t="shared" si="12"/>
        <v>75</v>
      </c>
      <c r="O44">
        <f t="shared" si="12"/>
        <v>75</v>
      </c>
      <c r="P44">
        <f t="shared" si="12"/>
        <v>78</v>
      </c>
      <c r="Q44">
        <f t="shared" si="12"/>
        <v>79</v>
      </c>
      <c r="R44">
        <f t="shared" si="12"/>
        <v>79</v>
      </c>
      <c r="S44">
        <f t="shared" si="12"/>
        <v>81</v>
      </c>
      <c r="T44">
        <f t="shared" si="12"/>
        <v>70</v>
      </c>
      <c r="U44">
        <f t="shared" si="12"/>
        <v>76</v>
      </c>
      <c r="V44">
        <f t="shared" si="12"/>
        <v>82</v>
      </c>
      <c r="W44">
        <f t="shared" si="12"/>
        <v>72</v>
      </c>
      <c r="X44">
        <f t="shared" si="12"/>
        <v>72</v>
      </c>
      <c r="Y44">
        <f t="shared" si="12"/>
        <v>77</v>
      </c>
      <c r="Z44">
        <f t="shared" si="12"/>
        <v>71</v>
      </c>
      <c r="AA44">
        <f t="shared" si="12"/>
        <v>79</v>
      </c>
      <c r="AB44">
        <f t="shared" si="12"/>
        <v>82</v>
      </c>
      <c r="AC44">
        <f t="shared" si="12"/>
        <v>81</v>
      </c>
      <c r="AD44">
        <f t="shared" si="12"/>
        <v>75</v>
      </c>
      <c r="AE44">
        <f t="shared" si="12"/>
        <v>77</v>
      </c>
      <c r="AF44">
        <f t="shared" si="12"/>
        <v>75</v>
      </c>
      <c r="AG44">
        <f t="shared" si="12"/>
        <v>74</v>
      </c>
      <c r="AH44">
        <f t="shared" si="12"/>
        <v>70</v>
      </c>
      <c r="AI44">
        <f t="shared" si="12"/>
        <v>79</v>
      </c>
      <c r="AJ44">
        <f t="shared" si="12"/>
        <v>73</v>
      </c>
      <c r="AK44">
        <f t="shared" si="12"/>
        <v>68</v>
      </c>
      <c r="AL44">
        <f t="shared" si="12"/>
        <v>75</v>
      </c>
      <c r="AM44">
        <f t="shared" si="12"/>
        <v>75</v>
      </c>
      <c r="AN44">
        <f t="shared" si="12"/>
        <v>79</v>
      </c>
      <c r="AO44">
        <f t="shared" si="12"/>
        <v>75</v>
      </c>
    </row>
    <row r="45" spans="1:41" x14ac:dyDescent="0.25">
      <c r="A45" s="79" t="s">
        <v>80</v>
      </c>
      <c r="B45">
        <f>MAX(B$24:B$28)</f>
        <v>95</v>
      </c>
      <c r="C45">
        <f t="shared" ref="C45:AO45" si="13">MAX(C$24:C$28)</f>
        <v>94</v>
      </c>
      <c r="D45">
        <f t="shared" si="13"/>
        <v>100</v>
      </c>
      <c r="E45">
        <f t="shared" si="13"/>
        <v>106</v>
      </c>
      <c r="F45">
        <f t="shared" si="13"/>
        <v>97</v>
      </c>
      <c r="G45">
        <f t="shared" si="13"/>
        <v>105</v>
      </c>
      <c r="H45">
        <f t="shared" si="13"/>
        <v>99</v>
      </c>
      <c r="I45">
        <f t="shared" si="13"/>
        <v>93</v>
      </c>
      <c r="J45">
        <f t="shared" si="13"/>
        <v>99</v>
      </c>
      <c r="K45">
        <f t="shared" si="13"/>
        <v>95</v>
      </c>
      <c r="L45">
        <f t="shared" si="13"/>
        <v>96</v>
      </c>
      <c r="M45">
        <f t="shared" si="13"/>
        <v>94</v>
      </c>
      <c r="N45">
        <f t="shared" si="13"/>
        <v>102</v>
      </c>
      <c r="O45">
        <f t="shared" si="13"/>
        <v>105</v>
      </c>
      <c r="P45">
        <f t="shared" si="13"/>
        <v>104</v>
      </c>
      <c r="Q45">
        <f t="shared" si="13"/>
        <v>95</v>
      </c>
      <c r="R45">
        <f t="shared" si="13"/>
        <v>96</v>
      </c>
      <c r="S45">
        <f t="shared" si="13"/>
        <v>102</v>
      </c>
      <c r="T45">
        <f t="shared" si="13"/>
        <v>97</v>
      </c>
      <c r="U45">
        <f t="shared" si="13"/>
        <v>98</v>
      </c>
      <c r="V45">
        <f t="shared" si="13"/>
        <v>98</v>
      </c>
      <c r="W45">
        <f t="shared" si="13"/>
        <v>98</v>
      </c>
      <c r="X45">
        <f t="shared" si="13"/>
        <v>95</v>
      </c>
      <c r="Y45">
        <f t="shared" si="13"/>
        <v>101</v>
      </c>
      <c r="Z45">
        <f t="shared" si="13"/>
        <v>98</v>
      </c>
      <c r="AA45">
        <f t="shared" si="13"/>
        <v>107</v>
      </c>
      <c r="AB45">
        <f t="shared" si="13"/>
        <v>100</v>
      </c>
      <c r="AC45">
        <f t="shared" si="13"/>
        <v>107</v>
      </c>
      <c r="AD45">
        <f t="shared" si="13"/>
        <v>95</v>
      </c>
      <c r="AE45">
        <f t="shared" si="13"/>
        <v>95</v>
      </c>
      <c r="AF45">
        <f t="shared" si="13"/>
        <v>102</v>
      </c>
      <c r="AG45">
        <f t="shared" si="13"/>
        <v>96</v>
      </c>
      <c r="AH45">
        <f t="shared" si="13"/>
        <v>106</v>
      </c>
      <c r="AI45">
        <f t="shared" si="13"/>
        <v>100</v>
      </c>
      <c r="AJ45">
        <f t="shared" si="13"/>
        <v>102</v>
      </c>
      <c r="AK45">
        <f t="shared" si="13"/>
        <v>95</v>
      </c>
      <c r="AL45">
        <f t="shared" si="13"/>
        <v>111</v>
      </c>
      <c r="AM45">
        <f t="shared" si="13"/>
        <v>102</v>
      </c>
      <c r="AN45">
        <f t="shared" si="13"/>
        <v>98</v>
      </c>
      <c r="AO45">
        <f t="shared" si="13"/>
        <v>104</v>
      </c>
    </row>
    <row r="46" spans="1:41" x14ac:dyDescent="0.25">
      <c r="A46" s="79" t="s">
        <v>84</v>
      </c>
      <c r="B46">
        <f>LARGE(B$24:B$28,2)</f>
        <v>91</v>
      </c>
      <c r="C46">
        <f t="shared" ref="C46:AO46" si="14">LARGE(C$24:C$28,2)</f>
        <v>92</v>
      </c>
      <c r="D46">
        <f t="shared" si="14"/>
        <v>98</v>
      </c>
      <c r="E46">
        <f t="shared" si="14"/>
        <v>93</v>
      </c>
      <c r="F46">
        <f t="shared" si="14"/>
        <v>97</v>
      </c>
      <c r="G46">
        <f t="shared" si="14"/>
        <v>103</v>
      </c>
      <c r="H46">
        <f t="shared" si="14"/>
        <v>96</v>
      </c>
      <c r="I46">
        <f t="shared" si="14"/>
        <v>91</v>
      </c>
      <c r="J46">
        <f t="shared" si="14"/>
        <v>85</v>
      </c>
      <c r="K46">
        <f t="shared" si="14"/>
        <v>92</v>
      </c>
      <c r="L46">
        <f t="shared" si="14"/>
        <v>96</v>
      </c>
      <c r="M46">
        <f t="shared" si="14"/>
        <v>93</v>
      </c>
      <c r="N46">
        <f t="shared" si="14"/>
        <v>99</v>
      </c>
      <c r="O46">
        <f t="shared" si="14"/>
        <v>95</v>
      </c>
      <c r="P46">
        <f t="shared" si="14"/>
        <v>92</v>
      </c>
      <c r="Q46">
        <f t="shared" si="14"/>
        <v>91</v>
      </c>
      <c r="R46">
        <f t="shared" si="14"/>
        <v>92</v>
      </c>
      <c r="S46">
        <f t="shared" si="14"/>
        <v>96</v>
      </c>
      <c r="T46">
        <f t="shared" si="14"/>
        <v>88</v>
      </c>
      <c r="U46">
        <f t="shared" si="14"/>
        <v>96</v>
      </c>
      <c r="V46">
        <f t="shared" si="14"/>
        <v>94</v>
      </c>
      <c r="W46">
        <f t="shared" si="14"/>
        <v>96</v>
      </c>
      <c r="X46">
        <f t="shared" si="14"/>
        <v>93</v>
      </c>
      <c r="Y46">
        <f t="shared" si="14"/>
        <v>95</v>
      </c>
      <c r="Z46">
        <f t="shared" si="14"/>
        <v>92</v>
      </c>
      <c r="AA46">
        <f t="shared" si="14"/>
        <v>94</v>
      </c>
      <c r="AB46">
        <f t="shared" si="14"/>
        <v>93</v>
      </c>
      <c r="AC46">
        <f t="shared" si="14"/>
        <v>91</v>
      </c>
      <c r="AD46">
        <f t="shared" si="14"/>
        <v>89</v>
      </c>
      <c r="AE46">
        <f t="shared" si="14"/>
        <v>93</v>
      </c>
      <c r="AF46">
        <f t="shared" si="14"/>
        <v>92</v>
      </c>
      <c r="AG46">
        <f t="shared" si="14"/>
        <v>95</v>
      </c>
      <c r="AH46">
        <f t="shared" si="14"/>
        <v>99</v>
      </c>
      <c r="AI46">
        <f t="shared" si="14"/>
        <v>97</v>
      </c>
      <c r="AJ46">
        <f t="shared" si="14"/>
        <v>90</v>
      </c>
      <c r="AK46">
        <f t="shared" si="14"/>
        <v>93</v>
      </c>
      <c r="AL46">
        <f t="shared" si="14"/>
        <v>103</v>
      </c>
      <c r="AM46">
        <f t="shared" si="14"/>
        <v>93</v>
      </c>
      <c r="AN46">
        <f t="shared" si="14"/>
        <v>97</v>
      </c>
      <c r="AO46">
        <f t="shared" si="14"/>
        <v>103</v>
      </c>
    </row>
    <row r="47" spans="1:41" x14ac:dyDescent="0.25">
      <c r="A47" s="79" t="s">
        <v>88</v>
      </c>
      <c r="B47">
        <f>LARGE(B$24:B$28,3)</f>
        <v>86</v>
      </c>
      <c r="C47">
        <f t="shared" ref="C47:AO47" si="15">LARGE(C$24:C$28,3)</f>
        <v>87</v>
      </c>
      <c r="D47">
        <f t="shared" si="15"/>
        <v>93</v>
      </c>
      <c r="E47">
        <f t="shared" si="15"/>
        <v>90</v>
      </c>
      <c r="F47">
        <f t="shared" si="15"/>
        <v>90</v>
      </c>
      <c r="G47">
        <f t="shared" si="15"/>
        <v>93</v>
      </c>
      <c r="H47">
        <f t="shared" si="15"/>
        <v>94</v>
      </c>
      <c r="I47">
        <f t="shared" si="15"/>
        <v>88</v>
      </c>
      <c r="J47">
        <f t="shared" si="15"/>
        <v>83</v>
      </c>
      <c r="K47">
        <f t="shared" si="15"/>
        <v>91</v>
      </c>
      <c r="L47">
        <f t="shared" si="15"/>
        <v>92</v>
      </c>
      <c r="M47">
        <f t="shared" si="15"/>
        <v>89</v>
      </c>
      <c r="N47">
        <f t="shared" si="15"/>
        <v>86</v>
      </c>
      <c r="O47">
        <f t="shared" si="15"/>
        <v>89</v>
      </c>
      <c r="P47">
        <f t="shared" si="15"/>
        <v>89</v>
      </c>
      <c r="Q47">
        <f t="shared" si="15"/>
        <v>90</v>
      </c>
      <c r="R47">
        <f t="shared" si="15"/>
        <v>89</v>
      </c>
      <c r="S47">
        <f t="shared" si="15"/>
        <v>89</v>
      </c>
      <c r="T47">
        <f t="shared" si="15"/>
        <v>87</v>
      </c>
      <c r="U47">
        <f t="shared" si="15"/>
        <v>91</v>
      </c>
      <c r="V47">
        <f t="shared" si="15"/>
        <v>92</v>
      </c>
      <c r="W47">
        <f t="shared" si="15"/>
        <v>93</v>
      </c>
      <c r="X47">
        <f t="shared" si="15"/>
        <v>93</v>
      </c>
      <c r="Y47">
        <f t="shared" si="15"/>
        <v>88</v>
      </c>
      <c r="Z47">
        <f t="shared" si="15"/>
        <v>82</v>
      </c>
      <c r="AA47">
        <f t="shared" si="15"/>
        <v>89</v>
      </c>
      <c r="AB47">
        <f t="shared" si="15"/>
        <v>85</v>
      </c>
      <c r="AC47">
        <f t="shared" si="15"/>
        <v>86</v>
      </c>
      <c r="AD47">
        <f t="shared" si="15"/>
        <v>84</v>
      </c>
      <c r="AE47">
        <f t="shared" si="15"/>
        <v>91</v>
      </c>
      <c r="AF47">
        <f t="shared" si="15"/>
        <v>91</v>
      </c>
      <c r="AG47">
        <f t="shared" si="15"/>
        <v>92</v>
      </c>
      <c r="AH47">
        <f t="shared" si="15"/>
        <v>93</v>
      </c>
      <c r="AI47">
        <f t="shared" si="15"/>
        <v>95</v>
      </c>
      <c r="AJ47">
        <f t="shared" si="15"/>
        <v>89</v>
      </c>
      <c r="AK47">
        <f t="shared" si="15"/>
        <v>85</v>
      </c>
      <c r="AL47">
        <f t="shared" si="15"/>
        <v>97</v>
      </c>
      <c r="AM47">
        <f t="shared" si="15"/>
        <v>92</v>
      </c>
      <c r="AN47">
        <f t="shared" si="15"/>
        <v>97</v>
      </c>
      <c r="AO47">
        <f t="shared" si="15"/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02"/>
  <sheetViews>
    <sheetView zoomScaleNormal="100" workbookViewId="0">
      <pane ySplit="2" topLeftCell="A778" activePane="bottomLeft" state="frozen"/>
      <selection pane="bottomLeft" activeCell="A2" sqref="A2:J802"/>
    </sheetView>
  </sheetViews>
  <sheetFormatPr defaultRowHeight="15" x14ac:dyDescent="0.25"/>
  <cols>
    <col min="1" max="1" width="5.28515625" bestFit="1" customWidth="1"/>
    <col min="2" max="2" width="9.7109375" bestFit="1" customWidth="1"/>
    <col min="3" max="3" width="26.28515625" bestFit="1" customWidth="1"/>
    <col min="4" max="5" width="4" bestFit="1" customWidth="1"/>
    <col min="6" max="6" width="6" bestFit="1" customWidth="1"/>
    <col min="7" max="7" width="3.42578125" bestFit="1" customWidth="1"/>
    <col min="8" max="9" width="5" bestFit="1" customWidth="1"/>
    <col min="10" max="10" width="4.85546875" bestFit="1" customWidth="1"/>
    <col min="11" max="11" width="4.28515625" bestFit="1" customWidth="1"/>
    <col min="12" max="12" width="3.85546875" bestFit="1" customWidth="1"/>
    <col min="13" max="13" width="4" bestFit="1" customWidth="1"/>
    <col min="15" max="15" width="9.7109375" bestFit="1" customWidth="1"/>
    <col min="16" max="16" width="13.5703125" bestFit="1" customWidth="1"/>
    <col min="17" max="17" width="26.28515625" bestFit="1" customWidth="1"/>
    <col min="18" max="19" width="5.5703125" bestFit="1" customWidth="1"/>
    <col min="20" max="20" width="6.140625" bestFit="1" customWidth="1"/>
    <col min="21" max="21" width="5.140625" bestFit="1" customWidth="1"/>
    <col min="22" max="23" width="5.5703125" bestFit="1" customWidth="1"/>
    <col min="24" max="24" width="5.85546875" bestFit="1" customWidth="1"/>
    <col min="25" max="27" width="4.5703125" bestFit="1" customWidth="1"/>
    <col min="28" max="28" width="6.5703125" bestFit="1" customWidth="1"/>
    <col min="29" max="29" width="5.5703125" bestFit="1" customWidth="1"/>
    <col min="30" max="30" width="5.28515625" bestFit="1" customWidth="1"/>
  </cols>
  <sheetData>
    <row r="1" spans="1:30" ht="19.5" thickBot="1" x14ac:dyDescent="0.35">
      <c r="K1" s="75" t="s">
        <v>73</v>
      </c>
      <c r="L1" s="75"/>
      <c r="M1" s="75"/>
      <c r="O1" s="50" t="s">
        <v>47</v>
      </c>
      <c r="P1" s="50"/>
      <c r="Q1" s="50"/>
      <c r="R1" s="50"/>
      <c r="S1" s="50"/>
      <c r="T1" s="50"/>
      <c r="U1" s="50"/>
      <c r="V1" s="50"/>
      <c r="W1" s="50"/>
      <c r="X1" s="50"/>
      <c r="Y1" s="74" t="s">
        <v>45</v>
      </c>
      <c r="Z1" s="74"/>
      <c r="AA1" s="74"/>
      <c r="AB1" s="51">
        <v>2.0470388534753097</v>
      </c>
      <c r="AC1" s="50"/>
      <c r="AD1" s="50"/>
    </row>
    <row r="2" spans="1:30" ht="15.75" thickBot="1" x14ac:dyDescent="0.3">
      <c r="A2" t="s">
        <v>33</v>
      </c>
      <c r="B2" t="s">
        <v>34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38</v>
      </c>
      <c r="L2" t="s">
        <v>34</v>
      </c>
      <c r="M2" t="s">
        <v>39</v>
      </c>
      <c r="O2" s="22" t="s">
        <v>43</v>
      </c>
      <c r="P2" s="22" t="s">
        <v>52</v>
      </c>
      <c r="Q2" s="22" t="s">
        <v>0</v>
      </c>
      <c r="R2" s="23" t="s">
        <v>1</v>
      </c>
      <c r="S2" s="23" t="s">
        <v>2</v>
      </c>
      <c r="T2" s="23" t="s">
        <v>3</v>
      </c>
      <c r="U2" s="23" t="s">
        <v>4</v>
      </c>
      <c r="V2" s="23" t="s">
        <v>49</v>
      </c>
      <c r="W2" s="23" t="s">
        <v>50</v>
      </c>
      <c r="X2" s="23" t="s">
        <v>51</v>
      </c>
      <c r="Y2" s="23" t="s">
        <v>38</v>
      </c>
      <c r="Z2" s="23" t="s">
        <v>34</v>
      </c>
      <c r="AA2" s="23" t="s">
        <v>39</v>
      </c>
      <c r="AB2" s="23" t="s">
        <v>44</v>
      </c>
      <c r="AC2" s="23" t="s">
        <v>35</v>
      </c>
      <c r="AD2" s="23" t="s">
        <v>48</v>
      </c>
    </row>
    <row r="3" spans="1:30" x14ac:dyDescent="0.25">
      <c r="A3">
        <v>1</v>
      </c>
      <c r="B3" t="s">
        <v>31</v>
      </c>
      <c r="C3" t="s">
        <v>18</v>
      </c>
      <c r="D3">
        <v>107</v>
      </c>
      <c r="E3">
        <v>55</v>
      </c>
      <c r="F3">
        <v>0.66</v>
      </c>
      <c r="G3">
        <v>0</v>
      </c>
      <c r="H3">
        <v>1060</v>
      </c>
      <c r="I3">
        <v>761</v>
      </c>
      <c r="J3">
        <v>299</v>
      </c>
      <c r="K3">
        <v>1</v>
      </c>
      <c r="O3" s="18" t="s">
        <v>31</v>
      </c>
      <c r="P3" s="10" t="s">
        <v>53</v>
      </c>
      <c r="Q3" s="10" t="s">
        <v>18</v>
      </c>
      <c r="R3" s="11">
        <f>AVERAGEIF($C$3:$C$802,$Q3,D$3:D$802)</f>
        <v>107.95</v>
      </c>
      <c r="S3" s="11">
        <f>AVERAGEIF($C$3:$C$802,$Q3,E$3:E$802)</f>
        <v>54.05</v>
      </c>
      <c r="T3" s="56">
        <f t="shared" ref="T3:T22" si="0">R3/(R3+S3)</f>
        <v>0.66635802469135808</v>
      </c>
      <c r="U3" s="11">
        <f>AVERAGEIF($C$3:$C$802,$Q3,G$3:G$802)</f>
        <v>0.125</v>
      </c>
      <c r="V3" s="65">
        <f>AVERAGEIF($C$3:$C$802,$Q3,H$3:H$802)/162</f>
        <v>6.4708333333333341</v>
      </c>
      <c r="W3" s="65">
        <f>AVERAGEIF($C$3:$C$802,$Q3,I$3:I$802)/162</f>
        <v>4.6845679012345673</v>
      </c>
      <c r="X3" s="11">
        <f>AVERAGEIF($C$3:$C$802,$Q3,J$3:J$802)/162</f>
        <v>1.7862654320987654</v>
      </c>
      <c r="Y3" s="43">
        <f>SUMIF($C$3:$C$802,$Q3,K$3:K$802)/40</f>
        <v>0.68333333333333335</v>
      </c>
      <c r="Z3" s="43">
        <f>SUMIF($C$3:$C$802,$Q3,L$3:L$802)/40</f>
        <v>0.24166666666666664</v>
      </c>
      <c r="AA3" s="43">
        <f>SUMIF($C$3:$C$802,$Q3,M$3:M$802)/40</f>
        <v>7.4999999999999997E-2</v>
      </c>
      <c r="AB3" s="56">
        <f t="shared" ref="AB3:AB22" si="1">V3^AB$1/(V3^AB$1+W3^AB$1)</f>
        <v>0.65954280177468572</v>
      </c>
      <c r="AC3" s="11">
        <f t="shared" ref="AC3:AC22" si="2">AB3*(R3+S3)</f>
        <v>106.84593388749909</v>
      </c>
      <c r="AD3" s="11">
        <f t="shared" ref="AD3:AD22" si="3">ABS(R3-AC3)</f>
        <v>1.1040661125009166</v>
      </c>
    </row>
    <row r="4" spans="1:30" x14ac:dyDescent="0.25">
      <c r="A4">
        <v>1</v>
      </c>
      <c r="B4" t="s">
        <v>31</v>
      </c>
      <c r="C4" t="s">
        <v>19</v>
      </c>
      <c r="D4">
        <v>98</v>
      </c>
      <c r="E4">
        <v>64</v>
      </c>
      <c r="F4">
        <v>0.60499999999999998</v>
      </c>
      <c r="G4">
        <v>9</v>
      </c>
      <c r="H4">
        <v>1001</v>
      </c>
      <c r="I4">
        <v>831</v>
      </c>
      <c r="J4">
        <v>170</v>
      </c>
      <c r="M4">
        <v>1</v>
      </c>
      <c r="O4" s="19" t="s">
        <v>31</v>
      </c>
      <c r="P4" s="14" t="s">
        <v>54</v>
      </c>
      <c r="Q4" s="14" t="s">
        <v>19</v>
      </c>
      <c r="R4" s="15">
        <f>AVERAGEIF($C$3:$C$802,$Q4,D$3:D$802)</f>
        <v>95.5</v>
      </c>
      <c r="S4" s="15">
        <f>AVERAGEIF($C$3:$C$802,$Q4,E$3:E$802)</f>
        <v>66.5</v>
      </c>
      <c r="T4" s="57">
        <f t="shared" si="0"/>
        <v>0.58950617283950613</v>
      </c>
      <c r="U4" s="15">
        <f>AVERAGEIF($C$3:$C$802,$Q4,G$3:G$802)</f>
        <v>12.574999999999999</v>
      </c>
      <c r="V4" s="66">
        <f>AVERAGEIF($C$3:$C$802,$Q4,H$3:H$802)/162</f>
        <v>5.9671296296296292</v>
      </c>
      <c r="W4" s="66">
        <f>AVERAGEIF($C$3:$C$802,$Q4,I$3:I$802)/162</f>
        <v>5.0424382716049383</v>
      </c>
      <c r="X4" s="15">
        <f>AVERAGEIF($C$3:$C$802,$Q4,J$3:J$802)/162</f>
        <v>0.92469135802469138</v>
      </c>
      <c r="Y4" s="44">
        <f>SUMIF($C$3:$C$802,$Q4,K$3:K$802)/40</f>
        <v>7.4999999999999997E-2</v>
      </c>
      <c r="Z4" s="44">
        <f>SUMIF($C$3:$C$802,$Q4,L$3:L$802)/40</f>
        <v>0</v>
      </c>
      <c r="AA4" s="44">
        <f>SUMIF($C$3:$C$802,$Q4,M$3:M$802)/40</f>
        <v>0.6875</v>
      </c>
      <c r="AB4" s="57">
        <f t="shared" si="1"/>
        <v>0.5853251422144724</v>
      </c>
      <c r="AC4" s="15">
        <f t="shared" si="2"/>
        <v>94.822673038744526</v>
      </c>
      <c r="AD4" s="15">
        <f t="shared" si="3"/>
        <v>0.6773269612554742</v>
      </c>
    </row>
    <row r="5" spans="1:30" x14ac:dyDescent="0.25">
      <c r="A5">
        <v>1</v>
      </c>
      <c r="B5" t="s">
        <v>31</v>
      </c>
      <c r="C5" t="s">
        <v>20</v>
      </c>
      <c r="D5">
        <v>83</v>
      </c>
      <c r="E5">
        <v>79</v>
      </c>
      <c r="F5">
        <v>0.51200000000000001</v>
      </c>
      <c r="G5">
        <v>24</v>
      </c>
      <c r="H5">
        <v>915</v>
      </c>
      <c r="I5">
        <v>941</v>
      </c>
      <c r="J5">
        <v>-26</v>
      </c>
      <c r="O5" s="19" t="s">
        <v>31</v>
      </c>
      <c r="P5" s="14" t="s">
        <v>55</v>
      </c>
      <c r="Q5" s="14" t="s">
        <v>20</v>
      </c>
      <c r="R5" s="15">
        <f>AVERAGEIF($C$3:$C$802,$Q5,D$3:D$802)</f>
        <v>87.3</v>
      </c>
      <c r="S5" s="15">
        <f>AVERAGEIF($C$3:$C$802,$Q5,E$3:E$802)</f>
        <v>74.7</v>
      </c>
      <c r="T5" s="57">
        <f t="shared" si="0"/>
        <v>0.53888888888888886</v>
      </c>
      <c r="U5" s="15">
        <f>AVERAGEIF($C$3:$C$802,$Q5,G$3:G$802)</f>
        <v>20.774999999999999</v>
      </c>
      <c r="V5" s="66">
        <f>AVERAGEIF($C$3:$C$802,$Q5,H$3:H$802)/162</f>
        <v>5.92608024691358</v>
      </c>
      <c r="W5" s="66">
        <f>AVERAGEIF($C$3:$C$802,$Q5,I$3:I$802)/162</f>
        <v>5.5445987654320987</v>
      </c>
      <c r="X5" s="15">
        <f>AVERAGEIF($C$3:$C$802,$Q5,J$3:J$802)/162</f>
        <v>0.38148148148148148</v>
      </c>
      <c r="Y5" s="44">
        <f>SUMIF($C$3:$C$802,$Q5,K$3:K$802)/40</f>
        <v>0</v>
      </c>
      <c r="Z5" s="44">
        <f>SUMIF($C$3:$C$802,$Q5,L$3:L$802)/40</f>
        <v>0</v>
      </c>
      <c r="AA5" s="44">
        <f>SUMIF($C$3:$C$802,$Q5,M$3:M$802)/40</f>
        <v>0.19166666666666665</v>
      </c>
      <c r="AB5" s="57">
        <f t="shared" si="1"/>
        <v>0.53399929452498773</v>
      </c>
      <c r="AC5" s="15">
        <f t="shared" si="2"/>
        <v>86.507885713048012</v>
      </c>
      <c r="AD5" s="15">
        <f t="shared" si="3"/>
        <v>0.79211428695198549</v>
      </c>
    </row>
    <row r="6" spans="1:30" x14ac:dyDescent="0.25">
      <c r="A6">
        <v>1</v>
      </c>
      <c r="B6" t="s">
        <v>31</v>
      </c>
      <c r="C6" t="s">
        <v>21</v>
      </c>
      <c r="D6">
        <v>68</v>
      </c>
      <c r="E6">
        <v>94</v>
      </c>
      <c r="F6">
        <v>0.42</v>
      </c>
      <c r="G6">
        <v>39</v>
      </c>
      <c r="H6">
        <v>836</v>
      </c>
      <c r="I6">
        <v>960</v>
      </c>
      <c r="J6">
        <v>-124</v>
      </c>
      <c r="O6" s="19" t="s">
        <v>31</v>
      </c>
      <c r="P6" s="33" t="s">
        <v>56</v>
      </c>
      <c r="Q6" s="33" t="s">
        <v>21</v>
      </c>
      <c r="R6" s="34">
        <f>AVERAGEIF($C$3:$C$802,$Q6,D$3:D$802)</f>
        <v>66.8</v>
      </c>
      <c r="S6" s="34">
        <f>AVERAGEIF($C$3:$C$802,$Q6,E$3:E$802)</f>
        <v>95.2</v>
      </c>
      <c r="T6" s="58">
        <f t="shared" si="0"/>
        <v>0.41234567901234565</v>
      </c>
      <c r="U6" s="34">
        <f>AVERAGEIF($C$3:$C$802,$Q6,G$3:G$802)</f>
        <v>41.274999999999999</v>
      </c>
      <c r="V6" s="67">
        <f>AVERAGEIF($C$3:$C$802,$Q6,H$3:H$802)/162</f>
        <v>5.1296296296296298</v>
      </c>
      <c r="W6" s="67">
        <f>AVERAGEIF($C$3:$C$802,$Q6,I$3:I$802)/162</f>
        <v>6.1000000000000005</v>
      </c>
      <c r="X6" s="34">
        <f>AVERAGEIF($C$3:$C$802,$Q6,J$3:J$802)/162</f>
        <v>-0.97037037037037033</v>
      </c>
      <c r="Y6" s="45">
        <f>SUMIF($C$3:$C$802,$Q6,K$3:K$802)/40</f>
        <v>0</v>
      </c>
      <c r="Z6" s="45">
        <f>SUMIF($C$3:$C$802,$Q6,L$3:L$802)/40</f>
        <v>0</v>
      </c>
      <c r="AA6" s="45">
        <f>SUMIF($C$3:$C$802,$Q6,M$3:M$802)/40</f>
        <v>0</v>
      </c>
      <c r="AB6" s="58">
        <f t="shared" si="1"/>
        <v>0.4122527553537923</v>
      </c>
      <c r="AC6" s="34">
        <f t="shared" si="2"/>
        <v>66.784946367314348</v>
      </c>
      <c r="AD6" s="34">
        <f t="shared" si="3"/>
        <v>1.5053632685649632E-2</v>
      </c>
    </row>
    <row r="7" spans="1:30" ht="15.75" thickBot="1" x14ac:dyDescent="0.3">
      <c r="A7">
        <v>1</v>
      </c>
      <c r="B7" t="s">
        <v>31</v>
      </c>
      <c r="C7" t="s">
        <v>22</v>
      </c>
      <c r="D7">
        <v>57</v>
      </c>
      <c r="E7">
        <v>105</v>
      </c>
      <c r="F7">
        <v>0.35199999999999998</v>
      </c>
      <c r="G7">
        <v>50</v>
      </c>
      <c r="H7">
        <v>777</v>
      </c>
      <c r="I7">
        <v>1107</v>
      </c>
      <c r="J7">
        <v>-330</v>
      </c>
      <c r="O7" s="19" t="s">
        <v>31</v>
      </c>
      <c r="P7" s="14" t="s">
        <v>57</v>
      </c>
      <c r="Q7" s="14" t="s">
        <v>22</v>
      </c>
      <c r="R7" s="15">
        <f>AVERAGEIF($C$3:$C$802,$Q7,D$3:D$802)</f>
        <v>56.524999999999999</v>
      </c>
      <c r="S7" s="15">
        <f>AVERAGEIF($C$3:$C$802,$Q7,E$3:E$802)</f>
        <v>105.47499999999999</v>
      </c>
      <c r="T7" s="57">
        <f t="shared" si="0"/>
        <v>0.34891975308641976</v>
      </c>
      <c r="U7" s="15">
        <f>AVERAGEIF($C$3:$C$802,$Q7,G$3:G$802)</f>
        <v>51.55</v>
      </c>
      <c r="V7" s="66">
        <f>AVERAGEIF($C$3:$C$802,$Q7,H$3:H$802)/162</f>
        <v>4.8999999999999995</v>
      </c>
      <c r="W7" s="66">
        <f>AVERAGEIF($C$3:$C$802,$Q7,I$3:I$802)/162</f>
        <v>6.5915123456790123</v>
      </c>
      <c r="X7" s="15">
        <f>AVERAGEIF($C$3:$C$802,$Q7,J$3:J$802)/162</f>
        <v>-1.6915123456790122</v>
      </c>
      <c r="Y7" s="44">
        <f>SUMIF($C$3:$C$802,$Q7,K$3:K$802)/40</f>
        <v>0</v>
      </c>
      <c r="Z7" s="44">
        <f>SUMIF($C$3:$C$802,$Q7,L$3:L$802)/40</f>
        <v>0</v>
      </c>
      <c r="AA7" s="44">
        <f>SUMIF($C$3:$C$802,$Q7,M$3:M$802)/40</f>
        <v>0</v>
      </c>
      <c r="AB7" s="57">
        <f t="shared" si="1"/>
        <v>0.35273368741130973</v>
      </c>
      <c r="AC7" s="15">
        <f t="shared" si="2"/>
        <v>57.142857360632178</v>
      </c>
      <c r="AD7" s="15">
        <f t="shared" si="3"/>
        <v>0.61785736063217911</v>
      </c>
    </row>
    <row r="8" spans="1:30" x14ac:dyDescent="0.25">
      <c r="A8">
        <v>1</v>
      </c>
      <c r="B8" t="s">
        <v>30</v>
      </c>
      <c r="C8" t="s">
        <v>13</v>
      </c>
      <c r="D8">
        <v>107</v>
      </c>
      <c r="E8">
        <v>55</v>
      </c>
      <c r="F8">
        <v>0.66</v>
      </c>
      <c r="G8">
        <v>0</v>
      </c>
      <c r="H8">
        <v>952</v>
      </c>
      <c r="I8">
        <v>654</v>
      </c>
      <c r="J8">
        <v>298</v>
      </c>
      <c r="K8">
        <v>1</v>
      </c>
      <c r="O8" s="20" t="s">
        <v>30</v>
      </c>
      <c r="P8" s="2" t="s">
        <v>58</v>
      </c>
      <c r="Q8" s="2" t="s">
        <v>13</v>
      </c>
      <c r="R8" s="3">
        <f>AVERAGEIF($C$3:$C$802,$Q8,D$3:D$802)</f>
        <v>109.7</v>
      </c>
      <c r="S8" s="3">
        <f>AVERAGEIF($C$3:$C$802,$Q8,E$3:E$802)</f>
        <v>52.3</v>
      </c>
      <c r="T8" s="59">
        <f t="shared" si="0"/>
        <v>0.67716049382716048</v>
      </c>
      <c r="U8" s="3">
        <f>AVERAGEIF($C$3:$C$802,$Q8,G$3:G$802)</f>
        <v>0</v>
      </c>
      <c r="V8" s="68">
        <f>AVERAGEIF($C$3:$C$802,$Q8,H$3:H$802)/162</f>
        <v>6.1703703703703709</v>
      </c>
      <c r="W8" s="68">
        <f>AVERAGEIF($C$3:$C$802,$Q8,I$3:I$802)/162</f>
        <v>4.2691358024691359</v>
      </c>
      <c r="X8" s="3">
        <f>AVERAGEIF($C$3:$C$802,$Q8,J$3:J$802)/162</f>
        <v>1.9012345679012346</v>
      </c>
      <c r="Y8" s="46">
        <f>SUMIF($C$3:$C$802,$Q8,K$3:K$802)/40</f>
        <v>0.78333333333333333</v>
      </c>
      <c r="Z8" s="46">
        <f>SUMIF($C$3:$C$802,$Q8,L$3:L$802)/40</f>
        <v>0.2166666666666667</v>
      </c>
      <c r="AA8" s="46">
        <f>SUMIF($C$3:$C$802,$Q8,M$3:M$802)/40</f>
        <v>0</v>
      </c>
      <c r="AB8" s="59">
        <f t="shared" si="1"/>
        <v>0.68005433868053389</v>
      </c>
      <c r="AC8" s="3">
        <f t="shared" si="2"/>
        <v>110.16880286624649</v>
      </c>
      <c r="AD8" s="3">
        <f t="shared" si="3"/>
        <v>0.46880286624649159</v>
      </c>
    </row>
    <row r="9" spans="1:30" x14ac:dyDescent="0.25">
      <c r="A9">
        <v>1</v>
      </c>
      <c r="B9" t="s">
        <v>30</v>
      </c>
      <c r="C9" t="s">
        <v>14</v>
      </c>
      <c r="D9">
        <v>66</v>
      </c>
      <c r="E9">
        <v>96</v>
      </c>
      <c r="F9">
        <v>0.40699999999999997</v>
      </c>
      <c r="G9">
        <v>41</v>
      </c>
      <c r="H9">
        <v>775</v>
      </c>
      <c r="I9">
        <v>872</v>
      </c>
      <c r="J9">
        <v>-97</v>
      </c>
      <c r="O9" s="21" t="s">
        <v>30</v>
      </c>
      <c r="P9" s="29" t="s">
        <v>59</v>
      </c>
      <c r="Q9" s="29" t="s">
        <v>15</v>
      </c>
      <c r="R9" s="30">
        <f>AVERAGEIF($C$3:$C$802,$Q9,D$3:D$802)</f>
        <v>72.900000000000006</v>
      </c>
      <c r="S9" s="30">
        <f>AVERAGEIF($C$3:$C$802,$Q9,E$3:E$802)</f>
        <v>89.1</v>
      </c>
      <c r="T9" s="60">
        <f>R9/(R9+S9)</f>
        <v>0.45</v>
      </c>
      <c r="U9" s="30">
        <f>AVERAGEIF($C$3:$C$802,$Q9,G$3:G$802)</f>
        <v>36.799999999999997</v>
      </c>
      <c r="V9" s="69">
        <f>AVERAGEIF($C$3:$C$802,$Q9,H$3:H$802)/162</f>
        <v>6.2998456790123463</v>
      </c>
      <c r="W9" s="69">
        <f>AVERAGEIF($C$3:$C$802,$Q9,I$3:I$802)/162</f>
        <v>7.0249999999999995</v>
      </c>
      <c r="X9" s="30">
        <f>AVERAGEIF($C$3:$C$802,$Q9,J$3:J$802)/162</f>
        <v>-0.72515432098765431</v>
      </c>
      <c r="Y9" s="48">
        <f>SUMIF($C$3:$C$802,$Q9,K$3:K$802)/40</f>
        <v>0</v>
      </c>
      <c r="Z9" s="48">
        <f>SUMIF($C$3:$C$802,$Q9,L$3:L$802)/40</f>
        <v>0</v>
      </c>
      <c r="AA9" s="48">
        <f>SUMIF($C$3:$C$802,$Q9,M$3:M$802)/40</f>
        <v>0</v>
      </c>
      <c r="AB9" s="60">
        <f>V9^AB$1/(V9^AB$1+W9^AB$1)</f>
        <v>0.44447370625369398</v>
      </c>
      <c r="AC9" s="30">
        <f>AB9*(R9+S9)</f>
        <v>72.004740413098418</v>
      </c>
      <c r="AD9" s="30">
        <f>ABS(R9-AC9)</f>
        <v>0.89525958690158802</v>
      </c>
    </row>
    <row r="10" spans="1:30" x14ac:dyDescent="0.25">
      <c r="A10">
        <v>1</v>
      </c>
      <c r="B10" t="s">
        <v>30</v>
      </c>
      <c r="C10" t="s">
        <v>15</v>
      </c>
      <c r="D10">
        <v>79</v>
      </c>
      <c r="E10">
        <v>83</v>
      </c>
      <c r="F10">
        <v>0.48799999999999999</v>
      </c>
      <c r="G10">
        <v>28</v>
      </c>
      <c r="H10">
        <v>981</v>
      </c>
      <c r="I10">
        <v>1102</v>
      </c>
      <c r="J10">
        <v>-121</v>
      </c>
      <c r="O10" s="21" t="s">
        <v>30</v>
      </c>
      <c r="P10" s="1" t="s">
        <v>67</v>
      </c>
      <c r="Q10" s="1" t="s">
        <v>14</v>
      </c>
      <c r="R10" s="6">
        <f>AVERAGEIF($C$3:$C$802,$Q10,D$3:D$802)</f>
        <v>72.849999999999994</v>
      </c>
      <c r="S10" s="6">
        <f>AVERAGEIF($C$3:$C$802,$Q10,E$3:E$802)</f>
        <v>89.15</v>
      </c>
      <c r="T10" s="61">
        <f t="shared" si="0"/>
        <v>0.44969135802469135</v>
      </c>
      <c r="U10" s="6">
        <f>AVERAGEIF($C$3:$C$802,$Q10,G$3:G$802)</f>
        <v>36.85</v>
      </c>
      <c r="V10" s="70">
        <f>AVERAGEIF($C$3:$C$802,$Q10,H$3:H$802)/162</f>
        <v>4.8103395061728396</v>
      </c>
      <c r="W10" s="70">
        <f>AVERAGEIF($C$3:$C$802,$Q10,I$3:I$802)/162</f>
        <v>5.3368827160493826</v>
      </c>
      <c r="X10" s="6">
        <f>AVERAGEIF($C$3:$C$802,$Q10,J$3:J$802)/162</f>
        <v>-0.52654320987654324</v>
      </c>
      <c r="Y10" s="47">
        <f>SUMIF($C$3:$C$802,$Q10,K$3:K$802)/40</f>
        <v>0</v>
      </c>
      <c r="Z10" s="47">
        <f>SUMIF($C$3:$C$802,$Q10,L$3:L$802)/40</f>
        <v>0</v>
      </c>
      <c r="AA10" s="47">
        <f>SUMIF($C$3:$C$802,$Q10,M$3:M$802)/40</f>
        <v>0</v>
      </c>
      <c r="AB10" s="61">
        <f t="shared" si="1"/>
        <v>0.44704083074711737</v>
      </c>
      <c r="AC10" s="6">
        <f t="shared" si="2"/>
        <v>72.420614581033007</v>
      </c>
      <c r="AD10" s="6">
        <f t="shared" si="3"/>
        <v>0.42938541896698723</v>
      </c>
    </row>
    <row r="11" spans="1:30" x14ac:dyDescent="0.25">
      <c r="A11">
        <v>1</v>
      </c>
      <c r="B11" t="s">
        <v>30</v>
      </c>
      <c r="C11" t="s">
        <v>16</v>
      </c>
      <c r="D11">
        <v>61</v>
      </c>
      <c r="E11">
        <v>101</v>
      </c>
      <c r="F11">
        <v>0.377</v>
      </c>
      <c r="G11">
        <v>46</v>
      </c>
      <c r="H11">
        <v>772</v>
      </c>
      <c r="I11">
        <v>984</v>
      </c>
      <c r="J11">
        <v>-212</v>
      </c>
      <c r="O11" s="21" t="s">
        <v>30</v>
      </c>
      <c r="P11" s="1" t="s">
        <v>60</v>
      </c>
      <c r="Q11" s="1" t="s">
        <v>16</v>
      </c>
      <c r="R11" s="6">
        <f>AVERAGEIF($C$3:$C$802,$Q11,D$3:D$802)</f>
        <v>63.924999999999997</v>
      </c>
      <c r="S11" s="6">
        <f>AVERAGEIF($C$3:$C$802,$Q11,E$3:E$802)</f>
        <v>98.075000000000003</v>
      </c>
      <c r="T11" s="61">
        <f t="shared" si="0"/>
        <v>0.39459876543209876</v>
      </c>
      <c r="U11" s="6">
        <f>AVERAGEIF($C$3:$C$802,$Q11,G$3:G$802)</f>
        <v>45.774999999999999</v>
      </c>
      <c r="V11" s="70">
        <f>AVERAGEIF($C$3:$C$802,$Q11,H$3:H$802)/162</f>
        <v>5.0972222222222223</v>
      </c>
      <c r="W11" s="70">
        <f>AVERAGEIF($C$3:$C$802,$Q11,I$3:I$802)/162</f>
        <v>6.089043209876543</v>
      </c>
      <c r="X11" s="6">
        <f>AVERAGEIF($C$3:$C$802,$Q11,J$3:J$802)/162</f>
        <v>-0.99182098765432103</v>
      </c>
      <c r="Y11" s="47">
        <f>SUMIF($C$3:$C$802,$Q11,K$3:K$802)/40</f>
        <v>0</v>
      </c>
      <c r="Z11" s="47">
        <f>SUMIF($C$3:$C$802,$Q11,L$3:L$802)/40</f>
        <v>0</v>
      </c>
      <c r="AA11" s="47">
        <f>SUMIF($C$3:$C$802,$Q11,M$3:M$802)/40</f>
        <v>0</v>
      </c>
      <c r="AB11" s="61">
        <f t="shared" si="1"/>
        <v>0.41000281316585141</v>
      </c>
      <c r="AC11" s="6">
        <f t="shared" si="2"/>
        <v>66.420455732867921</v>
      </c>
      <c r="AD11" s="6">
        <f t="shared" si="3"/>
        <v>2.4954557328679243</v>
      </c>
    </row>
    <row r="12" spans="1:30" ht="15.75" thickBot="1" x14ac:dyDescent="0.3">
      <c r="A12">
        <v>1</v>
      </c>
      <c r="B12" t="s">
        <v>30</v>
      </c>
      <c r="C12" t="s">
        <v>17</v>
      </c>
      <c r="D12">
        <v>53</v>
      </c>
      <c r="E12">
        <v>109</v>
      </c>
      <c r="F12">
        <v>0.32700000000000001</v>
      </c>
      <c r="G12">
        <v>54</v>
      </c>
      <c r="H12">
        <v>629</v>
      </c>
      <c r="I12">
        <v>1001</v>
      </c>
      <c r="J12">
        <v>-372</v>
      </c>
      <c r="O12" s="21" t="s">
        <v>30</v>
      </c>
      <c r="P12" s="1" t="s">
        <v>61</v>
      </c>
      <c r="Q12" s="1" t="s">
        <v>17</v>
      </c>
      <c r="R12" s="6">
        <f>AVERAGEIF($C$3:$C$802,$Q12,D$3:D$802)</f>
        <v>45.3</v>
      </c>
      <c r="S12" s="6">
        <f>AVERAGEIF($C$3:$C$802,$Q12,E$3:E$802)</f>
        <v>116.7</v>
      </c>
      <c r="T12" s="61">
        <f t="shared" si="0"/>
        <v>0.27962962962962962</v>
      </c>
      <c r="U12" s="6">
        <f>AVERAGEIF($C$3:$C$802,$Q12,G$3:G$802)</f>
        <v>64.400000000000006</v>
      </c>
      <c r="V12" s="70">
        <f>AVERAGEIF($C$3:$C$802,$Q12,H$3:H$802)/162</f>
        <v>4.0425925925925927</v>
      </c>
      <c r="W12" s="70">
        <f>AVERAGEIF($C$3:$C$802,$Q12,I$3:I$802)/162</f>
        <v>6.418364197530865</v>
      </c>
      <c r="X12" s="6">
        <f>AVERAGEIF($C$3:$C$802,$Q12,J$3:J$802)/162</f>
        <v>-2.3757716049382718</v>
      </c>
      <c r="Y12" s="47">
        <f>SUMIF($C$3:$C$802,$Q12,K$3:K$802)/40</f>
        <v>0</v>
      </c>
      <c r="Z12" s="47">
        <f>SUMIF($C$3:$C$802,$Q12,L$3:L$802)/40</f>
        <v>0</v>
      </c>
      <c r="AA12" s="47">
        <f>SUMIF($C$3:$C$802,$Q12,M$3:M$802)/40</f>
        <v>0</v>
      </c>
      <c r="AB12" s="61">
        <f t="shared" si="1"/>
        <v>0.27962970672428156</v>
      </c>
      <c r="AC12" s="6">
        <f t="shared" si="2"/>
        <v>45.300012489333611</v>
      </c>
      <c r="AD12" s="6">
        <f t="shared" si="3"/>
        <v>1.2489333613530107E-5</v>
      </c>
    </row>
    <row r="13" spans="1:30" x14ac:dyDescent="0.25">
      <c r="A13">
        <v>1</v>
      </c>
      <c r="B13" t="s">
        <v>32</v>
      </c>
      <c r="C13" t="s">
        <v>23</v>
      </c>
      <c r="D13">
        <v>102</v>
      </c>
      <c r="E13">
        <v>60</v>
      </c>
      <c r="F13">
        <v>0.63</v>
      </c>
      <c r="G13">
        <v>0</v>
      </c>
      <c r="H13">
        <v>996</v>
      </c>
      <c r="I13">
        <v>704</v>
      </c>
      <c r="J13">
        <v>292</v>
      </c>
      <c r="L13">
        <v>1</v>
      </c>
      <c r="O13" s="18" t="s">
        <v>32</v>
      </c>
      <c r="P13" s="10" t="s">
        <v>62</v>
      </c>
      <c r="Q13" s="10" t="s">
        <v>23</v>
      </c>
      <c r="R13" s="11">
        <f>AVERAGEIF($C$3:$C$802,$Q13,D$3:D$802)</f>
        <v>103.02500000000001</v>
      </c>
      <c r="S13" s="11">
        <f>AVERAGEIF($C$3:$C$802,$Q13,E$3:E$802)</f>
        <v>58.975000000000001</v>
      </c>
      <c r="T13" s="56">
        <f t="shared" si="0"/>
        <v>0.63595679012345685</v>
      </c>
      <c r="U13" s="11">
        <f>AVERAGEIF($C$3:$C$802,$Q13,G$3:G$802)</f>
        <v>0.22500000000000001</v>
      </c>
      <c r="V13" s="65">
        <f>AVERAGEIF($C$3:$C$802,$Q13,H$3:H$802)/162</f>
        <v>5.8459876543209877</v>
      </c>
      <c r="W13" s="65">
        <f>AVERAGEIF($C$3:$C$802,$Q13,I$3:I$802)/162</f>
        <v>4.4225308641975314</v>
      </c>
      <c r="X13" s="11">
        <f>AVERAGEIF($C$3:$C$802,$Q13,J$3:J$802)/162</f>
        <v>1.4234567901234567</v>
      </c>
      <c r="Y13" s="43">
        <f>SUMIF($C$3:$C$802,$Q13,K$3:K$802)/40</f>
        <v>0.3</v>
      </c>
      <c r="Z13" s="43">
        <f>SUMIF($C$3:$C$802,$Q13,L$3:L$802)/40</f>
        <v>0.65</v>
      </c>
      <c r="AA13" s="43">
        <f>SUMIF($C$3:$C$802,$Q13,M$3:M$802)/40</f>
        <v>1.2500000000000001E-2</v>
      </c>
      <c r="AB13" s="56">
        <f t="shared" si="1"/>
        <v>0.63904296165254537</v>
      </c>
      <c r="AC13" s="11">
        <f t="shared" si="2"/>
        <v>103.52495978771235</v>
      </c>
      <c r="AD13" s="11">
        <f t="shared" si="3"/>
        <v>0.49995978771234206</v>
      </c>
    </row>
    <row r="14" spans="1:30" x14ac:dyDescent="0.25">
      <c r="A14">
        <v>1</v>
      </c>
      <c r="B14" t="s">
        <v>32</v>
      </c>
      <c r="C14" t="s">
        <v>24</v>
      </c>
      <c r="D14">
        <v>85</v>
      </c>
      <c r="E14">
        <v>77</v>
      </c>
      <c r="F14">
        <v>0.52500000000000002</v>
      </c>
      <c r="G14">
        <v>17</v>
      </c>
      <c r="H14">
        <v>825</v>
      </c>
      <c r="I14">
        <v>775</v>
      </c>
      <c r="J14">
        <v>50</v>
      </c>
      <c r="O14" s="19" t="s">
        <v>32</v>
      </c>
      <c r="P14" s="14" t="s">
        <v>63</v>
      </c>
      <c r="Q14" s="14" t="s">
        <v>24</v>
      </c>
      <c r="R14" s="15">
        <f>AVERAGEIF($C$3:$C$802,$Q14,D$3:D$802)</f>
        <v>86.775000000000006</v>
      </c>
      <c r="S14" s="15">
        <f>AVERAGEIF($C$3:$C$802,$Q14,E$3:E$802)</f>
        <v>75.224999999999994</v>
      </c>
      <c r="T14" s="57">
        <f t="shared" si="0"/>
        <v>0.53564814814814821</v>
      </c>
      <c r="U14" s="15">
        <f>AVERAGEIF($C$3:$C$802,$Q14,G$3:G$802)</f>
        <v>16.475000000000001</v>
      </c>
      <c r="V14" s="66">
        <f>AVERAGEIF($C$3:$C$802,$Q14,H$3:H$802)/162</f>
        <v>5.2384259259259256</v>
      </c>
      <c r="W14" s="66">
        <f>AVERAGEIF($C$3:$C$802,$Q14,I$3:I$802)/162</f>
        <v>4.9790123456790125</v>
      </c>
      <c r="X14" s="15">
        <f>AVERAGEIF($C$3:$C$802,$Q14,J$3:J$802)/162</f>
        <v>0.25941358024691358</v>
      </c>
      <c r="Y14" s="44">
        <f>SUMIF($C$3:$C$802,$Q14,K$3:K$802)/40</f>
        <v>0</v>
      </c>
      <c r="Z14" s="44">
        <f>SUMIF($C$3:$C$802,$Q14,L$3:L$802)/40</f>
        <v>0.05</v>
      </c>
      <c r="AA14" s="44">
        <f>SUMIF($C$3:$C$802,$Q14,M$3:M$802)/40</f>
        <v>0.15416666666666667</v>
      </c>
      <c r="AB14" s="57">
        <f t="shared" si="1"/>
        <v>0.52596863734424804</v>
      </c>
      <c r="AC14" s="15">
        <f t="shared" si="2"/>
        <v>85.206919249768177</v>
      </c>
      <c r="AD14" s="15">
        <f t="shared" si="3"/>
        <v>1.5680807502318288</v>
      </c>
    </row>
    <row r="15" spans="1:30" x14ac:dyDescent="0.25">
      <c r="A15">
        <v>1</v>
      </c>
      <c r="B15" t="s">
        <v>32</v>
      </c>
      <c r="C15" t="s">
        <v>26</v>
      </c>
      <c r="D15">
        <v>75</v>
      </c>
      <c r="E15">
        <v>87</v>
      </c>
      <c r="F15">
        <v>0.46300000000000002</v>
      </c>
      <c r="G15">
        <v>27</v>
      </c>
      <c r="H15">
        <v>778</v>
      </c>
      <c r="I15">
        <v>852</v>
      </c>
      <c r="J15">
        <v>-74</v>
      </c>
      <c r="O15" s="19" t="s">
        <v>32</v>
      </c>
      <c r="P15" s="14" t="s">
        <v>64</v>
      </c>
      <c r="Q15" s="14" t="s">
        <v>25</v>
      </c>
      <c r="R15" s="15">
        <f>AVERAGEIF($C$3:$C$802,$Q15,D$3:D$802)</f>
        <v>71.849999999999994</v>
      </c>
      <c r="S15" s="15">
        <f>AVERAGEIF($C$3:$C$802,$Q15,E$3:E$802)</f>
        <v>90.15</v>
      </c>
      <c r="T15" s="57">
        <f t="shared" si="0"/>
        <v>0.44351851851851848</v>
      </c>
      <c r="U15" s="15">
        <f>AVERAGEIF($C$3:$C$802,$Q15,G$3:G$802)</f>
        <v>31.4</v>
      </c>
      <c r="V15" s="66">
        <f>AVERAGEIF($C$3:$C$802,$Q15,H$3:H$802)/162</f>
        <v>4.88641975308642</v>
      </c>
      <c r="W15" s="66">
        <f>AVERAGEIF($C$3:$C$802,$Q15,I$3:I$802)/162</f>
        <v>5.409259259259259</v>
      </c>
      <c r="X15" s="15">
        <f>AVERAGEIF($C$3:$C$802,$Q15,J$3:J$802)/162</f>
        <v>-0.52283950617283947</v>
      </c>
      <c r="Y15" s="44">
        <f>SUMIF($C$3:$C$802,$Q15,K$3:K$802)/40</f>
        <v>0</v>
      </c>
      <c r="Z15" s="44">
        <f>SUMIF($C$3:$C$802,$Q15,L$3:L$802)/40</f>
        <v>0</v>
      </c>
      <c r="AA15" s="44">
        <f>SUMIF($C$3:$C$802,$Q15,M$3:M$802)/40</f>
        <v>0</v>
      </c>
      <c r="AB15" s="57">
        <f t="shared" si="1"/>
        <v>0.44816535731703427</v>
      </c>
      <c r="AC15" s="15">
        <f t="shared" si="2"/>
        <v>72.602787885359547</v>
      </c>
      <c r="AD15" s="15">
        <f t="shared" si="3"/>
        <v>0.75278788535955243</v>
      </c>
    </row>
    <row r="16" spans="1:30" x14ac:dyDescent="0.25">
      <c r="A16">
        <v>1</v>
      </c>
      <c r="B16" t="s">
        <v>32</v>
      </c>
      <c r="C16" t="s">
        <v>25</v>
      </c>
      <c r="D16">
        <v>70</v>
      </c>
      <c r="E16">
        <v>92</v>
      </c>
      <c r="F16">
        <v>0.432</v>
      </c>
      <c r="G16">
        <v>32</v>
      </c>
      <c r="H16">
        <v>855</v>
      </c>
      <c r="I16">
        <v>895</v>
      </c>
      <c r="J16">
        <v>-40</v>
      </c>
      <c r="O16" s="19" t="s">
        <v>32</v>
      </c>
      <c r="P16" s="33" t="s">
        <v>65</v>
      </c>
      <c r="Q16" s="33" t="s">
        <v>26</v>
      </c>
      <c r="R16" s="34">
        <f>AVERAGEIF($C$3:$C$802,$Q16,D$3:D$802)</f>
        <v>70.849999999999994</v>
      </c>
      <c r="S16" s="34">
        <f>AVERAGEIF($C$3:$C$802,$Q16,E$3:E$802)</f>
        <v>91.15</v>
      </c>
      <c r="T16" s="58">
        <f t="shared" si="0"/>
        <v>0.43734567901234567</v>
      </c>
      <c r="U16" s="34">
        <f>AVERAGEIF($C$3:$C$802,$Q16,G$3:G$802)</f>
        <v>32.4</v>
      </c>
      <c r="V16" s="67">
        <f>AVERAGEIF($C$3:$C$802,$Q16,H$3:H$802)/162</f>
        <v>4.675771604938272</v>
      </c>
      <c r="W16" s="67">
        <f>AVERAGEIF($C$3:$C$802,$Q16,I$3:I$802)/162</f>
        <v>5.3543209876543205</v>
      </c>
      <c r="X16" s="34">
        <f>AVERAGEIF($C$3:$C$802,$Q16,J$3:J$802)/162</f>
        <v>-0.67854938271604937</v>
      </c>
      <c r="Y16" s="45">
        <f>SUMIF($C$3:$C$802,$Q16,K$3:K$802)/40</f>
        <v>0</v>
      </c>
      <c r="Z16" s="45">
        <f>SUMIF($C$3:$C$802,$Q16,L$3:L$802)/40</f>
        <v>0</v>
      </c>
      <c r="AA16" s="45">
        <f>SUMIF($C$3:$C$802,$Q16,M$3:M$802)/40</f>
        <v>0</v>
      </c>
      <c r="AB16" s="58">
        <f t="shared" si="1"/>
        <v>0.43109288117330846</v>
      </c>
      <c r="AC16" s="34">
        <f t="shared" si="2"/>
        <v>69.83704675007597</v>
      </c>
      <c r="AD16" s="34">
        <f t="shared" si="3"/>
        <v>1.0129532499240241</v>
      </c>
    </row>
    <row r="17" spans="1:30" ht="15.75" thickBot="1" x14ac:dyDescent="0.3">
      <c r="A17">
        <v>1</v>
      </c>
      <c r="B17" t="s">
        <v>32</v>
      </c>
      <c r="C17" t="s">
        <v>27</v>
      </c>
      <c r="D17">
        <v>70</v>
      </c>
      <c r="E17">
        <v>92</v>
      </c>
      <c r="F17">
        <v>0.432</v>
      </c>
      <c r="G17">
        <v>32</v>
      </c>
      <c r="H17">
        <v>766</v>
      </c>
      <c r="I17">
        <v>861</v>
      </c>
      <c r="J17">
        <v>-95</v>
      </c>
      <c r="O17" s="41" t="s">
        <v>32</v>
      </c>
      <c r="P17" s="52" t="s">
        <v>66</v>
      </c>
      <c r="Q17" s="52" t="s">
        <v>27</v>
      </c>
      <c r="R17" s="53">
        <f>AVERAGEIF($C$3:$C$802,$Q17,D$3:D$802)</f>
        <v>63.274999999999999</v>
      </c>
      <c r="S17" s="53">
        <f>AVERAGEIF($C$3:$C$802,$Q17,E$3:E$802)</f>
        <v>98.724999999999994</v>
      </c>
      <c r="T17" s="62">
        <f t="shared" si="0"/>
        <v>0.39058641975308639</v>
      </c>
      <c r="U17" s="53">
        <f>AVERAGEIF($C$3:$C$802,$Q17,G$3:G$802)</f>
        <v>39.975000000000001</v>
      </c>
      <c r="V17" s="71">
        <f>AVERAGEIF($C$3:$C$802,$Q17,H$3:H$802)/162</f>
        <v>4.7706790123456795</v>
      </c>
      <c r="W17" s="71">
        <f>AVERAGEIF($C$3:$C$802,$Q17,I$3:I$802)/162</f>
        <v>5.8609567901234572</v>
      </c>
      <c r="X17" s="53">
        <f>AVERAGEIF($C$3:$C$802,$Q17,J$3:J$802)/162</f>
        <v>-1.0902777777777777</v>
      </c>
      <c r="Y17" s="54">
        <f>SUMIF($C$3:$C$802,$Q17,K$3:K$802)/40</f>
        <v>0</v>
      </c>
      <c r="Z17" s="54">
        <f>SUMIF($C$3:$C$802,$Q17,L$3:L$802)/40</f>
        <v>0</v>
      </c>
      <c r="AA17" s="54">
        <f>SUMIF($C$3:$C$802,$Q17,M$3:M$802)/40</f>
        <v>0</v>
      </c>
      <c r="AB17" s="62">
        <f t="shared" si="1"/>
        <v>0.39619849488409675</v>
      </c>
      <c r="AC17" s="53">
        <f t="shared" si="2"/>
        <v>64.184156171223677</v>
      </c>
      <c r="AD17" s="53">
        <f t="shared" si="3"/>
        <v>0.9091561712236782</v>
      </c>
    </row>
    <row r="18" spans="1:30" x14ac:dyDescent="0.25">
      <c r="A18">
        <v>1</v>
      </c>
      <c r="B18" t="s">
        <v>29</v>
      </c>
      <c r="C18" t="s">
        <v>11</v>
      </c>
      <c r="D18">
        <v>95</v>
      </c>
      <c r="E18">
        <v>67</v>
      </c>
      <c r="F18">
        <v>0.58599999999999997</v>
      </c>
      <c r="G18">
        <v>0</v>
      </c>
      <c r="H18">
        <v>866</v>
      </c>
      <c r="I18">
        <v>739</v>
      </c>
      <c r="J18">
        <v>127</v>
      </c>
      <c r="L18">
        <v>1</v>
      </c>
      <c r="O18" s="20" t="s">
        <v>29</v>
      </c>
      <c r="P18" s="2" t="s">
        <v>68</v>
      </c>
      <c r="Q18" s="2" t="s">
        <v>8</v>
      </c>
      <c r="R18" s="3">
        <f>AVERAGEIF($C$3:$C$802,$Q18,D$3:D$802)</f>
        <v>95.525000000000006</v>
      </c>
      <c r="S18" s="3">
        <f>AVERAGEIF($C$3:$C$802,$Q18,E$3:E$802)</f>
        <v>66.474999999999994</v>
      </c>
      <c r="T18" s="59">
        <f t="shared" si="0"/>
        <v>0.58966049382716057</v>
      </c>
      <c r="U18" s="3">
        <f>AVERAGEIF($C$3:$C$802,$Q18,G$3:G$802)</f>
        <v>4.0250000000000004</v>
      </c>
      <c r="V18" s="68">
        <f>AVERAGEIF($C$3:$C$802,$Q18,H$3:H$802)/162</f>
        <v>5.2870370370370372</v>
      </c>
      <c r="W18" s="68">
        <f>AVERAGEIF($C$3:$C$802,$Q18,I$3:I$802)/162</f>
        <v>4.2546296296296298</v>
      </c>
      <c r="X18" s="3">
        <f>AVERAGEIF($C$3:$C$802,$Q18,J$3:J$802)/162</f>
        <v>1.0324074074074074</v>
      </c>
      <c r="Y18" s="46">
        <f>SUMIF($C$3:$C$802,$Q18,K$3:K$802)/40</f>
        <v>0.15</v>
      </c>
      <c r="Z18" s="46">
        <f>SUMIF($C$3:$C$802,$Q18,L$3:L$802)/40</f>
        <v>0.23749999999999999</v>
      </c>
      <c r="AA18" s="46">
        <f>SUMIF($C$3:$C$802,$Q18,M$3:M$802)/40</f>
        <v>0.30833333333333329</v>
      </c>
      <c r="AB18" s="59">
        <f t="shared" si="1"/>
        <v>0.60938307370711575</v>
      </c>
      <c r="AC18" s="3">
        <f t="shared" si="2"/>
        <v>98.720057940552749</v>
      </c>
      <c r="AD18" s="3">
        <f t="shared" si="3"/>
        <v>3.1950579405527435</v>
      </c>
    </row>
    <row r="19" spans="1:30" x14ac:dyDescent="0.25">
      <c r="A19">
        <v>1</v>
      </c>
      <c r="B19" t="s">
        <v>29</v>
      </c>
      <c r="C19" t="s">
        <v>9</v>
      </c>
      <c r="D19">
        <v>91</v>
      </c>
      <c r="E19">
        <v>71</v>
      </c>
      <c r="F19">
        <v>0.56200000000000006</v>
      </c>
      <c r="G19">
        <v>4</v>
      </c>
      <c r="H19">
        <v>926</v>
      </c>
      <c r="I19">
        <v>822</v>
      </c>
      <c r="J19">
        <v>104</v>
      </c>
      <c r="M19">
        <v>1</v>
      </c>
      <c r="O19" s="21" t="s">
        <v>29</v>
      </c>
      <c r="P19" s="1" t="s">
        <v>69</v>
      </c>
      <c r="Q19" s="1" t="s">
        <v>10</v>
      </c>
      <c r="R19" s="6">
        <f>AVERAGEIF($C$3:$C$802,$Q19,D$3:D$802)</f>
        <v>94.174999999999997</v>
      </c>
      <c r="S19" s="6">
        <f>AVERAGEIF($C$3:$C$802,$Q19,E$3:E$802)</f>
        <v>67.825000000000003</v>
      </c>
      <c r="T19" s="61">
        <f t="shared" si="0"/>
        <v>0.58132716049382716</v>
      </c>
      <c r="U19" s="6">
        <f>AVERAGEIF($C$3:$C$802,$Q19,G$3:G$802)</f>
        <v>5.375</v>
      </c>
      <c r="V19" s="70">
        <f>AVERAGEIF($C$3:$C$802,$Q19,H$3:H$802)/162</f>
        <v>6.0643518518518515</v>
      </c>
      <c r="W19" s="70">
        <f>AVERAGEIF($C$3:$C$802,$Q19,I$3:I$802)/162</f>
        <v>5.1489197530864201</v>
      </c>
      <c r="X19" s="6">
        <f>AVERAGEIF($C$3:$C$802,$Q19,J$3:J$802)/162</f>
        <v>0.91543209876543219</v>
      </c>
      <c r="Y19" s="47">
        <f>SUMIF($C$3:$C$802,$Q19,K$3:K$802)/40</f>
        <v>0</v>
      </c>
      <c r="Z19" s="47">
        <f>SUMIF($C$3:$C$802,$Q19,L$3:L$802)/40</f>
        <v>0.3125</v>
      </c>
      <c r="AA19" s="47">
        <f>SUMIF($C$3:$C$802,$Q19,M$3:M$802)/40</f>
        <v>0.3041666666666667</v>
      </c>
      <c r="AB19" s="61">
        <f t="shared" si="1"/>
        <v>0.58297033417725319</v>
      </c>
      <c r="AC19" s="6">
        <f t="shared" si="2"/>
        <v>94.441194136715012</v>
      </c>
      <c r="AD19" s="6">
        <f t="shared" si="3"/>
        <v>0.26619413671501491</v>
      </c>
    </row>
    <row r="20" spans="1:30" x14ac:dyDescent="0.25">
      <c r="A20">
        <v>1</v>
      </c>
      <c r="B20" t="s">
        <v>29</v>
      </c>
      <c r="C20" t="s">
        <v>8</v>
      </c>
      <c r="D20">
        <v>86</v>
      </c>
      <c r="E20">
        <v>76</v>
      </c>
      <c r="F20">
        <v>0.53100000000000003</v>
      </c>
      <c r="G20">
        <v>9</v>
      </c>
      <c r="H20">
        <v>810</v>
      </c>
      <c r="I20">
        <v>715</v>
      </c>
      <c r="J20">
        <v>95</v>
      </c>
      <c r="O20" s="21" t="s">
        <v>29</v>
      </c>
      <c r="P20" s="1" t="s">
        <v>70</v>
      </c>
      <c r="Q20" s="1" t="s">
        <v>9</v>
      </c>
      <c r="R20" s="6">
        <f>AVERAGEIF($C$3:$C$802,$Q20,D$3:D$802)</f>
        <v>90.325000000000003</v>
      </c>
      <c r="S20" s="6">
        <f>AVERAGEIF($C$3:$C$802,$Q20,E$3:E$802)</f>
        <v>71.674999999999997</v>
      </c>
      <c r="T20" s="61">
        <f t="shared" si="0"/>
        <v>0.5575617283950618</v>
      </c>
      <c r="U20" s="6">
        <f>AVERAGEIF($C$3:$C$802,$Q20,G$3:G$802)</f>
        <v>9.2249999999999996</v>
      </c>
      <c r="V20" s="70">
        <f>AVERAGEIF($C$3:$C$802,$Q20,H$3:H$802)/162</f>
        <v>5.899537037037037</v>
      </c>
      <c r="W20" s="70">
        <f>AVERAGEIF($C$3:$C$802,$Q20,I$3:I$802)/162</f>
        <v>5.2695987654320984</v>
      </c>
      <c r="X20" s="6">
        <f>AVERAGEIF($C$3:$C$802,$Q20,J$3:J$802)/162</f>
        <v>0.6299382716049382</v>
      </c>
      <c r="Y20" s="47">
        <f>SUMIF($C$3:$C$802,$Q20,K$3:K$802)/40</f>
        <v>0</v>
      </c>
      <c r="Z20" s="47">
        <f>SUMIF($C$3:$C$802,$Q20,L$3:L$802)/40</f>
        <v>0.22500000000000001</v>
      </c>
      <c r="AA20" s="47">
        <f>SUMIF($C$3:$C$802,$Q20,M$3:M$802)/40</f>
        <v>0.2</v>
      </c>
      <c r="AB20" s="61">
        <f t="shared" si="1"/>
        <v>0.5575317944402256</v>
      </c>
      <c r="AC20" s="6">
        <f t="shared" si="2"/>
        <v>90.320150699316542</v>
      </c>
      <c r="AD20" s="6">
        <f t="shared" si="3"/>
        <v>4.8493006834604557E-3</v>
      </c>
    </row>
    <row r="21" spans="1:30" x14ac:dyDescent="0.25">
      <c r="A21">
        <v>1</v>
      </c>
      <c r="B21" t="s">
        <v>29</v>
      </c>
      <c r="C21" t="s">
        <v>10</v>
      </c>
      <c r="D21">
        <v>86</v>
      </c>
      <c r="E21">
        <v>76</v>
      </c>
      <c r="F21">
        <v>0.53100000000000003</v>
      </c>
      <c r="G21">
        <v>9</v>
      </c>
      <c r="H21">
        <v>922</v>
      </c>
      <c r="I21">
        <v>885</v>
      </c>
      <c r="J21">
        <v>37</v>
      </c>
      <c r="O21" s="21" t="s">
        <v>29</v>
      </c>
      <c r="P21" s="1" t="s">
        <v>71</v>
      </c>
      <c r="Q21" s="1" t="s">
        <v>11</v>
      </c>
      <c r="R21" s="6">
        <f>AVERAGEIF($C$3:$C$802,$Q21,D$3:D$802)</f>
        <v>88</v>
      </c>
      <c r="S21" s="6">
        <f>AVERAGEIF($C$3:$C$802,$Q21,E$3:E$802)</f>
        <v>74</v>
      </c>
      <c r="T21" s="61">
        <f t="shared" si="0"/>
        <v>0.54320987654320985</v>
      </c>
      <c r="U21" s="6">
        <f>AVERAGEIF($C$3:$C$802,$Q21,G$3:G$802)</f>
        <v>11.55</v>
      </c>
      <c r="V21" s="70">
        <f>AVERAGEIF($C$3:$C$802,$Q21,H$3:H$802)/162</f>
        <v>5.4106481481481481</v>
      </c>
      <c r="W21" s="70">
        <f>AVERAGEIF($C$3:$C$802,$Q21,I$3:I$802)/162</f>
        <v>4.8668209876543207</v>
      </c>
      <c r="X21" s="6">
        <f>AVERAGEIF($C$3:$C$802,$Q21,J$3:J$802)/162</f>
        <v>0.54382716049382718</v>
      </c>
      <c r="Y21" s="47">
        <f>SUMIF($C$3:$C$802,$Q21,K$3:K$802)/40</f>
        <v>8.3333333333333332E-3</v>
      </c>
      <c r="Z21" s="47">
        <f>SUMIF($C$3:$C$802,$Q21,L$3:L$802)/40</f>
        <v>6.6666666666666666E-2</v>
      </c>
      <c r="AA21" s="47">
        <f>SUMIF($C$3:$C$802,$Q21,M$3:M$802)/40</f>
        <v>6.6666666666666666E-2</v>
      </c>
      <c r="AB21" s="61">
        <f t="shared" si="1"/>
        <v>0.55399824027960909</v>
      </c>
      <c r="AC21" s="6">
        <f t="shared" si="2"/>
        <v>89.747714925296677</v>
      </c>
      <c r="AD21" s="6">
        <f t="shared" si="3"/>
        <v>1.7477149252966768</v>
      </c>
    </row>
    <row r="22" spans="1:30" x14ac:dyDescent="0.25">
      <c r="A22">
        <v>1</v>
      </c>
      <c r="B22" t="s">
        <v>29</v>
      </c>
      <c r="C22" t="s">
        <v>12</v>
      </c>
      <c r="D22">
        <v>81</v>
      </c>
      <c r="E22">
        <v>81</v>
      </c>
      <c r="F22">
        <v>0.5</v>
      </c>
      <c r="G22">
        <v>14</v>
      </c>
      <c r="H22">
        <v>819</v>
      </c>
      <c r="I22">
        <v>800</v>
      </c>
      <c r="J22">
        <v>19</v>
      </c>
      <c r="O22" s="42" t="s">
        <v>29</v>
      </c>
      <c r="P22" s="39" t="s">
        <v>72</v>
      </c>
      <c r="Q22" s="39" t="s">
        <v>12</v>
      </c>
      <c r="R22" s="40">
        <f>AVERAGEIF($C$3:$C$802,$Q22,D$3:D$802)</f>
        <v>77.45</v>
      </c>
      <c r="S22" s="40">
        <f>AVERAGEIF($C$3:$C$802,$Q22,E$3:E$802)</f>
        <v>84.55</v>
      </c>
      <c r="T22" s="63">
        <f t="shared" si="0"/>
        <v>0.47808641975308641</v>
      </c>
      <c r="U22" s="40">
        <f>AVERAGEIF($C$3:$C$802,$Q22,G$3:G$802)</f>
        <v>22.1</v>
      </c>
      <c r="V22" s="72">
        <f>AVERAGEIF($C$3:$C$802,$Q22,H$3:H$802)/162</f>
        <v>5.0317901234567897</v>
      </c>
      <c r="W22" s="72">
        <f>AVERAGEIF($C$3:$C$802,$Q22,I$3:I$802)/162</f>
        <v>5.2570987654320982</v>
      </c>
      <c r="X22" s="40">
        <f>AVERAGEIF($C$3:$C$802,$Q22,J$3:J$802)/162</f>
        <v>-0.22530864197530864</v>
      </c>
      <c r="Y22" s="49">
        <f>SUMIF($C$3:$C$802,$Q22,K$3:K$802)/40</f>
        <v>0</v>
      </c>
      <c r="Z22" s="49">
        <f>SUMIF($C$3:$C$802,$Q22,L$3:L$802)/40</f>
        <v>0</v>
      </c>
      <c r="AA22" s="49">
        <f>SUMIF($C$3:$C$802,$Q22,M$3:M$802)/40</f>
        <v>0</v>
      </c>
      <c r="AB22" s="63">
        <f t="shared" si="1"/>
        <v>0.47759814165621578</v>
      </c>
      <c r="AC22" s="40">
        <f t="shared" si="2"/>
        <v>77.370898948306959</v>
      </c>
      <c r="AD22" s="40">
        <f t="shared" si="3"/>
        <v>7.9101051693044155E-2</v>
      </c>
    </row>
    <row r="23" spans="1:30" ht="15.75" thickBot="1" x14ac:dyDescent="0.3">
      <c r="A23">
        <v>2</v>
      </c>
      <c r="B23" t="s">
        <v>31</v>
      </c>
      <c r="C23" t="s">
        <v>19</v>
      </c>
      <c r="D23">
        <v>82</v>
      </c>
      <c r="E23">
        <v>80</v>
      </c>
      <c r="F23">
        <v>0.50600000000000001</v>
      </c>
      <c r="G23">
        <v>26</v>
      </c>
      <c r="H23">
        <v>954</v>
      </c>
      <c r="I23">
        <v>876</v>
      </c>
      <c r="J23">
        <v>78</v>
      </c>
      <c r="O23" s="28"/>
      <c r="P23" s="28"/>
      <c r="Q23" s="37" t="s">
        <v>46</v>
      </c>
      <c r="R23" s="9"/>
      <c r="S23" s="9"/>
      <c r="T23" s="9"/>
      <c r="U23" s="9"/>
      <c r="V23" s="55"/>
      <c r="W23" s="55"/>
      <c r="X23" s="55"/>
      <c r="Y23" s="9"/>
      <c r="Z23" s="9"/>
      <c r="AA23" s="9"/>
      <c r="AB23" s="9"/>
      <c r="AC23" s="9"/>
      <c r="AD23" s="9"/>
    </row>
    <row r="24" spans="1:30" x14ac:dyDescent="0.25">
      <c r="A24">
        <v>2</v>
      </c>
      <c r="B24" t="s">
        <v>30</v>
      </c>
      <c r="C24" t="s">
        <v>16</v>
      </c>
      <c r="D24">
        <v>74</v>
      </c>
      <c r="E24">
        <v>88</v>
      </c>
      <c r="F24">
        <v>0.45700000000000002</v>
      </c>
      <c r="G24">
        <v>40</v>
      </c>
      <c r="H24">
        <v>859</v>
      </c>
      <c r="I24">
        <v>873</v>
      </c>
      <c r="J24">
        <v>-14</v>
      </c>
      <c r="O24" s="25"/>
      <c r="P24" s="25"/>
      <c r="Q24" s="25" t="s">
        <v>37</v>
      </c>
      <c r="R24" s="26">
        <f t="shared" ref="R24:W24" si="4">AVERAGE(R3:R22)</f>
        <v>81</v>
      </c>
      <c r="S24" s="26">
        <f t="shared" si="4"/>
        <v>81</v>
      </c>
      <c r="T24" s="64">
        <f t="shared" si="4"/>
        <v>0.5</v>
      </c>
      <c r="U24" s="26">
        <f t="shared" si="4"/>
        <v>24.143750000000004</v>
      </c>
      <c r="V24" s="26">
        <f t="shared" si="4"/>
        <v>5.3962345679012351</v>
      </c>
      <c r="W24" s="26">
        <f t="shared" si="4"/>
        <v>5.3962345679012342</v>
      </c>
      <c r="X24" s="26"/>
      <c r="Y24" s="26">
        <f>SUM(Y3:Y22)</f>
        <v>1.9999999999999998</v>
      </c>
      <c r="Z24" s="26">
        <f>SUM(Z3:Z22)</f>
        <v>2.0000000000000004</v>
      </c>
      <c r="AA24" s="26">
        <f>SUM(AA3:AA22)</f>
        <v>1.9999999999999998</v>
      </c>
      <c r="AB24" s="64">
        <f>AVERAGE(AB3:AB22)</f>
        <v>0.5013502496741189</v>
      </c>
      <c r="AC24" s="26">
        <f>AVERAGE(AC3:AC22)</f>
        <v>81.218740447207267</v>
      </c>
      <c r="AD24" s="26">
        <f>SUM(AD3:AD22)</f>
        <v>17.531189647735175</v>
      </c>
    </row>
    <row r="25" spans="1:30" x14ac:dyDescent="0.25">
      <c r="A25">
        <v>2</v>
      </c>
      <c r="B25" t="s">
        <v>31</v>
      </c>
      <c r="C25" t="s">
        <v>22</v>
      </c>
      <c r="D25">
        <v>60</v>
      </c>
      <c r="E25">
        <v>102</v>
      </c>
      <c r="F25">
        <v>0.37</v>
      </c>
      <c r="G25">
        <v>48</v>
      </c>
      <c r="H25">
        <v>802</v>
      </c>
      <c r="I25">
        <v>1056</v>
      </c>
      <c r="J25">
        <v>-254</v>
      </c>
    </row>
    <row r="26" spans="1:30" x14ac:dyDescent="0.25">
      <c r="A26">
        <v>2</v>
      </c>
      <c r="B26" t="s">
        <v>30</v>
      </c>
      <c r="C26" t="s">
        <v>17</v>
      </c>
      <c r="D26">
        <v>49</v>
      </c>
      <c r="E26">
        <v>113</v>
      </c>
      <c r="F26">
        <v>0.30199999999999999</v>
      </c>
      <c r="G26">
        <v>65</v>
      </c>
      <c r="H26">
        <v>651</v>
      </c>
      <c r="I26">
        <v>1000</v>
      </c>
      <c r="J26">
        <v>-349</v>
      </c>
    </row>
    <row r="27" spans="1:30" x14ac:dyDescent="0.25">
      <c r="A27">
        <v>2</v>
      </c>
      <c r="B27" t="s">
        <v>31</v>
      </c>
      <c r="C27" t="s">
        <v>18</v>
      </c>
      <c r="D27">
        <v>108</v>
      </c>
      <c r="E27">
        <v>54</v>
      </c>
      <c r="F27">
        <v>0.66700000000000004</v>
      </c>
      <c r="G27">
        <v>0</v>
      </c>
      <c r="H27">
        <v>1015</v>
      </c>
      <c r="I27">
        <v>732</v>
      </c>
      <c r="J27">
        <v>283</v>
      </c>
      <c r="K27">
        <v>1</v>
      </c>
    </row>
    <row r="28" spans="1:30" x14ac:dyDescent="0.25">
      <c r="A28">
        <v>2</v>
      </c>
      <c r="B28" t="s">
        <v>30</v>
      </c>
      <c r="C28" t="s">
        <v>14</v>
      </c>
      <c r="D28">
        <v>67</v>
      </c>
      <c r="E28">
        <v>95</v>
      </c>
      <c r="F28">
        <v>0.41399999999999998</v>
      </c>
      <c r="G28">
        <v>47</v>
      </c>
      <c r="H28">
        <v>711</v>
      </c>
      <c r="I28">
        <v>903</v>
      </c>
      <c r="J28">
        <v>-192</v>
      </c>
    </row>
    <row r="29" spans="1:30" x14ac:dyDescent="0.25">
      <c r="A29">
        <v>2</v>
      </c>
      <c r="B29" t="s">
        <v>32</v>
      </c>
      <c r="C29" t="s">
        <v>27</v>
      </c>
      <c r="D29">
        <v>61</v>
      </c>
      <c r="E29">
        <v>101</v>
      </c>
      <c r="F29">
        <v>0.377</v>
      </c>
      <c r="G29">
        <v>40</v>
      </c>
      <c r="H29">
        <v>722</v>
      </c>
      <c r="I29">
        <v>917</v>
      </c>
      <c r="J29">
        <v>-195</v>
      </c>
    </row>
    <row r="30" spans="1:30" x14ac:dyDescent="0.25">
      <c r="A30">
        <v>2</v>
      </c>
      <c r="B30" t="s">
        <v>32</v>
      </c>
      <c r="C30" t="s">
        <v>23</v>
      </c>
      <c r="D30">
        <v>101</v>
      </c>
      <c r="E30">
        <v>61</v>
      </c>
      <c r="F30">
        <v>0.623</v>
      </c>
      <c r="G30">
        <v>0</v>
      </c>
      <c r="H30">
        <v>818</v>
      </c>
      <c r="I30">
        <v>673</v>
      </c>
      <c r="J30">
        <v>145</v>
      </c>
      <c r="L30">
        <v>1</v>
      </c>
    </row>
    <row r="31" spans="1:30" x14ac:dyDescent="0.25">
      <c r="A31">
        <v>2</v>
      </c>
      <c r="B31" t="s">
        <v>29</v>
      </c>
      <c r="C31" t="s">
        <v>12</v>
      </c>
      <c r="D31">
        <v>80</v>
      </c>
      <c r="E31">
        <v>82</v>
      </c>
      <c r="F31">
        <v>0.49399999999999999</v>
      </c>
      <c r="G31">
        <v>14</v>
      </c>
      <c r="H31">
        <v>869</v>
      </c>
      <c r="I31">
        <v>885</v>
      </c>
      <c r="J31">
        <v>-16</v>
      </c>
    </row>
    <row r="32" spans="1:30" x14ac:dyDescent="0.25">
      <c r="A32">
        <v>2</v>
      </c>
      <c r="B32" t="s">
        <v>31</v>
      </c>
      <c r="C32" t="s">
        <v>21</v>
      </c>
      <c r="D32">
        <v>65</v>
      </c>
      <c r="E32">
        <v>97</v>
      </c>
      <c r="F32">
        <v>0.40100000000000002</v>
      </c>
      <c r="G32">
        <v>43</v>
      </c>
      <c r="H32">
        <v>868</v>
      </c>
      <c r="I32">
        <v>1032</v>
      </c>
      <c r="J32">
        <v>-164</v>
      </c>
    </row>
    <row r="33" spans="1:13" x14ac:dyDescent="0.25">
      <c r="A33">
        <v>2</v>
      </c>
      <c r="B33" t="s">
        <v>29</v>
      </c>
      <c r="C33" t="s">
        <v>9</v>
      </c>
      <c r="D33">
        <v>94</v>
      </c>
      <c r="E33">
        <v>68</v>
      </c>
      <c r="F33">
        <v>0.57999999999999996</v>
      </c>
      <c r="G33">
        <v>0</v>
      </c>
      <c r="H33">
        <v>983</v>
      </c>
      <c r="I33">
        <v>821</v>
      </c>
      <c r="J33">
        <v>162</v>
      </c>
      <c r="L33">
        <v>1</v>
      </c>
    </row>
    <row r="34" spans="1:13" x14ac:dyDescent="0.25">
      <c r="A34">
        <v>2</v>
      </c>
      <c r="B34" t="s">
        <v>29</v>
      </c>
      <c r="C34" t="s">
        <v>10</v>
      </c>
      <c r="D34">
        <v>92</v>
      </c>
      <c r="E34">
        <v>70</v>
      </c>
      <c r="F34">
        <v>0.56799999999999995</v>
      </c>
      <c r="G34">
        <v>2</v>
      </c>
      <c r="H34">
        <v>997</v>
      </c>
      <c r="I34">
        <v>781</v>
      </c>
      <c r="J34">
        <v>216</v>
      </c>
      <c r="M34">
        <v>1</v>
      </c>
    </row>
    <row r="35" spans="1:13" x14ac:dyDescent="0.25">
      <c r="A35">
        <v>2</v>
      </c>
      <c r="B35" t="s">
        <v>29</v>
      </c>
      <c r="C35" t="s">
        <v>8</v>
      </c>
      <c r="D35">
        <v>87</v>
      </c>
      <c r="E35">
        <v>75</v>
      </c>
      <c r="F35">
        <v>0.53700000000000003</v>
      </c>
      <c r="G35">
        <v>7</v>
      </c>
      <c r="H35">
        <v>820</v>
      </c>
      <c r="I35">
        <v>687</v>
      </c>
      <c r="J35">
        <v>133</v>
      </c>
      <c r="M35">
        <v>1</v>
      </c>
    </row>
    <row r="36" spans="1:13" x14ac:dyDescent="0.25">
      <c r="A36">
        <v>2</v>
      </c>
      <c r="B36" t="s">
        <v>29</v>
      </c>
      <c r="C36" t="s">
        <v>11</v>
      </c>
      <c r="D36">
        <v>87</v>
      </c>
      <c r="E36">
        <v>75</v>
      </c>
      <c r="F36">
        <v>0.53700000000000003</v>
      </c>
      <c r="G36">
        <v>7</v>
      </c>
      <c r="H36">
        <v>857</v>
      </c>
      <c r="I36">
        <v>789</v>
      </c>
      <c r="J36">
        <v>68</v>
      </c>
    </row>
    <row r="37" spans="1:13" x14ac:dyDescent="0.25">
      <c r="A37">
        <v>2</v>
      </c>
      <c r="B37" t="s">
        <v>31</v>
      </c>
      <c r="C37" t="s">
        <v>20</v>
      </c>
      <c r="D37">
        <v>86</v>
      </c>
      <c r="E37">
        <v>76</v>
      </c>
      <c r="F37">
        <v>0.53100000000000003</v>
      </c>
      <c r="G37">
        <v>22</v>
      </c>
      <c r="H37">
        <v>1001</v>
      </c>
      <c r="I37">
        <v>917</v>
      </c>
      <c r="J37">
        <v>84</v>
      </c>
    </row>
    <row r="38" spans="1:13" x14ac:dyDescent="0.25">
      <c r="A38">
        <v>2</v>
      </c>
      <c r="B38" t="s">
        <v>30</v>
      </c>
      <c r="C38" t="s">
        <v>15</v>
      </c>
      <c r="D38">
        <v>82</v>
      </c>
      <c r="E38">
        <v>80</v>
      </c>
      <c r="F38">
        <v>0.50600000000000001</v>
      </c>
      <c r="G38">
        <v>32</v>
      </c>
      <c r="H38">
        <v>1064</v>
      </c>
      <c r="I38">
        <v>1109</v>
      </c>
      <c r="J38">
        <v>-45</v>
      </c>
    </row>
    <row r="39" spans="1:13" x14ac:dyDescent="0.25">
      <c r="A39">
        <v>2</v>
      </c>
      <c r="B39" t="s">
        <v>32</v>
      </c>
      <c r="C39" t="s">
        <v>24</v>
      </c>
      <c r="D39">
        <v>81</v>
      </c>
      <c r="E39">
        <v>81</v>
      </c>
      <c r="F39">
        <v>0.5</v>
      </c>
      <c r="G39">
        <v>20</v>
      </c>
      <c r="H39">
        <v>832</v>
      </c>
      <c r="I39">
        <v>865</v>
      </c>
      <c r="J39">
        <v>-33</v>
      </c>
    </row>
    <row r="40" spans="1:13" x14ac:dyDescent="0.25">
      <c r="A40">
        <v>2</v>
      </c>
      <c r="B40" t="s">
        <v>32</v>
      </c>
      <c r="C40" t="s">
        <v>26</v>
      </c>
      <c r="D40">
        <v>80</v>
      </c>
      <c r="E40">
        <v>82</v>
      </c>
      <c r="F40">
        <v>0.49399999999999999</v>
      </c>
      <c r="G40">
        <v>21</v>
      </c>
      <c r="H40">
        <v>789</v>
      </c>
      <c r="I40">
        <v>895</v>
      </c>
      <c r="J40">
        <v>-106</v>
      </c>
    </row>
    <row r="41" spans="1:13" x14ac:dyDescent="0.25">
      <c r="A41">
        <v>2</v>
      </c>
      <c r="B41" t="s">
        <v>32</v>
      </c>
      <c r="C41" t="s">
        <v>25</v>
      </c>
      <c r="D41">
        <v>70</v>
      </c>
      <c r="E41">
        <v>92</v>
      </c>
      <c r="F41">
        <v>0.432</v>
      </c>
      <c r="G41">
        <v>31</v>
      </c>
      <c r="H41">
        <v>730</v>
      </c>
      <c r="I41">
        <v>845</v>
      </c>
      <c r="J41">
        <v>-115</v>
      </c>
    </row>
    <row r="42" spans="1:13" x14ac:dyDescent="0.25">
      <c r="A42">
        <v>2</v>
      </c>
      <c r="B42" t="s">
        <v>30</v>
      </c>
      <c r="C42" t="s">
        <v>13</v>
      </c>
      <c r="D42">
        <v>114</v>
      </c>
      <c r="E42">
        <v>48</v>
      </c>
      <c r="F42">
        <v>0.70399999999999996</v>
      </c>
      <c r="G42">
        <v>0</v>
      </c>
      <c r="H42">
        <v>1019</v>
      </c>
      <c r="I42">
        <v>705</v>
      </c>
      <c r="J42">
        <v>314</v>
      </c>
      <c r="K42">
        <v>1</v>
      </c>
    </row>
    <row r="43" spans="1:13" x14ac:dyDescent="0.25">
      <c r="A43">
        <v>3</v>
      </c>
      <c r="B43" t="s">
        <v>30</v>
      </c>
      <c r="C43" t="s">
        <v>13</v>
      </c>
      <c r="D43">
        <v>114</v>
      </c>
      <c r="E43">
        <v>48</v>
      </c>
      <c r="F43">
        <v>0.70399999999999996</v>
      </c>
      <c r="G43">
        <v>0</v>
      </c>
      <c r="H43">
        <v>1132</v>
      </c>
      <c r="I43">
        <v>726</v>
      </c>
      <c r="J43">
        <v>406</v>
      </c>
      <c r="K43">
        <v>1</v>
      </c>
    </row>
    <row r="44" spans="1:13" x14ac:dyDescent="0.25">
      <c r="A44">
        <v>3</v>
      </c>
      <c r="B44" t="s">
        <v>29</v>
      </c>
      <c r="C44" t="s">
        <v>9</v>
      </c>
      <c r="D44">
        <v>100</v>
      </c>
      <c r="E44">
        <v>62</v>
      </c>
      <c r="F44">
        <v>0.61699999999999999</v>
      </c>
      <c r="G44">
        <v>0</v>
      </c>
      <c r="H44">
        <v>993</v>
      </c>
      <c r="I44">
        <v>836</v>
      </c>
      <c r="J44">
        <v>157</v>
      </c>
      <c r="L44">
        <v>1</v>
      </c>
    </row>
    <row r="45" spans="1:13" x14ac:dyDescent="0.25">
      <c r="A45">
        <v>3</v>
      </c>
      <c r="B45" t="s">
        <v>31</v>
      </c>
      <c r="C45" t="s">
        <v>19</v>
      </c>
      <c r="D45">
        <v>100</v>
      </c>
      <c r="E45">
        <v>62</v>
      </c>
      <c r="F45">
        <v>0.61699999999999999</v>
      </c>
      <c r="G45">
        <v>2</v>
      </c>
      <c r="H45">
        <v>935</v>
      </c>
      <c r="I45">
        <v>764</v>
      </c>
      <c r="J45">
        <v>171</v>
      </c>
      <c r="M45">
        <v>1</v>
      </c>
    </row>
    <row r="46" spans="1:13" x14ac:dyDescent="0.25">
      <c r="A46">
        <v>3</v>
      </c>
      <c r="B46" t="s">
        <v>29</v>
      </c>
      <c r="C46" t="s">
        <v>8</v>
      </c>
      <c r="D46">
        <v>98</v>
      </c>
      <c r="E46">
        <v>64</v>
      </c>
      <c r="F46">
        <v>0.60499999999999998</v>
      </c>
      <c r="G46">
        <v>2</v>
      </c>
      <c r="H46">
        <v>907</v>
      </c>
      <c r="I46">
        <v>725</v>
      </c>
      <c r="J46">
        <v>182</v>
      </c>
      <c r="M46">
        <v>1</v>
      </c>
    </row>
    <row r="47" spans="1:13" x14ac:dyDescent="0.25">
      <c r="A47">
        <v>3</v>
      </c>
      <c r="B47" t="s">
        <v>29</v>
      </c>
      <c r="C47" t="s">
        <v>10</v>
      </c>
      <c r="D47">
        <v>93</v>
      </c>
      <c r="E47">
        <v>69</v>
      </c>
      <c r="F47">
        <v>0.57399999999999995</v>
      </c>
      <c r="G47">
        <v>7</v>
      </c>
      <c r="H47">
        <v>952</v>
      </c>
      <c r="I47">
        <v>793</v>
      </c>
      <c r="J47">
        <v>159</v>
      </c>
    </row>
    <row r="48" spans="1:13" x14ac:dyDescent="0.25">
      <c r="A48">
        <v>3</v>
      </c>
      <c r="B48" t="s">
        <v>32</v>
      </c>
      <c r="C48" t="s">
        <v>26</v>
      </c>
      <c r="D48">
        <v>65</v>
      </c>
      <c r="E48">
        <v>97</v>
      </c>
      <c r="F48">
        <v>0.40100000000000002</v>
      </c>
      <c r="G48">
        <v>35</v>
      </c>
      <c r="H48">
        <v>730</v>
      </c>
      <c r="I48">
        <v>904</v>
      </c>
      <c r="J48">
        <v>-174</v>
      </c>
    </row>
    <row r="49" spans="1:13" x14ac:dyDescent="0.25">
      <c r="A49">
        <v>3</v>
      </c>
      <c r="B49" t="s">
        <v>31</v>
      </c>
      <c r="C49" t="s">
        <v>21</v>
      </c>
      <c r="D49">
        <v>61</v>
      </c>
      <c r="E49">
        <v>101</v>
      </c>
      <c r="F49">
        <v>0.377</v>
      </c>
      <c r="G49">
        <v>41</v>
      </c>
      <c r="H49">
        <v>829</v>
      </c>
      <c r="I49">
        <v>1042</v>
      </c>
      <c r="J49">
        <v>-213</v>
      </c>
    </row>
    <row r="50" spans="1:13" x14ac:dyDescent="0.25">
      <c r="A50">
        <v>3</v>
      </c>
      <c r="B50" t="s">
        <v>31</v>
      </c>
      <c r="C50" t="s">
        <v>22</v>
      </c>
      <c r="D50">
        <v>52</v>
      </c>
      <c r="E50">
        <v>110</v>
      </c>
      <c r="F50">
        <v>0.32100000000000001</v>
      </c>
      <c r="G50">
        <v>50</v>
      </c>
      <c r="H50">
        <v>781</v>
      </c>
      <c r="I50">
        <v>1115</v>
      </c>
      <c r="J50">
        <v>-334</v>
      </c>
    </row>
    <row r="51" spans="1:13" x14ac:dyDescent="0.25">
      <c r="A51">
        <v>3</v>
      </c>
      <c r="B51" t="s">
        <v>31</v>
      </c>
      <c r="C51" t="s">
        <v>18</v>
      </c>
      <c r="D51">
        <v>102</v>
      </c>
      <c r="E51">
        <v>60</v>
      </c>
      <c r="F51">
        <v>0.63</v>
      </c>
      <c r="G51">
        <v>0</v>
      </c>
      <c r="H51">
        <v>1046</v>
      </c>
      <c r="I51">
        <v>724</v>
      </c>
      <c r="J51">
        <v>322</v>
      </c>
      <c r="K51">
        <v>1</v>
      </c>
    </row>
    <row r="52" spans="1:13" x14ac:dyDescent="0.25">
      <c r="A52">
        <v>3</v>
      </c>
      <c r="B52" t="s">
        <v>32</v>
      </c>
      <c r="C52" t="s">
        <v>23</v>
      </c>
      <c r="D52">
        <v>100</v>
      </c>
      <c r="E52">
        <v>62</v>
      </c>
      <c r="F52">
        <v>0.61699999999999999</v>
      </c>
      <c r="G52">
        <v>0</v>
      </c>
      <c r="H52">
        <v>869</v>
      </c>
      <c r="I52">
        <v>735</v>
      </c>
      <c r="J52">
        <v>134</v>
      </c>
      <c r="L52">
        <v>1</v>
      </c>
    </row>
    <row r="53" spans="1:13" x14ac:dyDescent="0.25">
      <c r="A53">
        <v>3</v>
      </c>
      <c r="B53" t="s">
        <v>30</v>
      </c>
      <c r="C53" t="s">
        <v>15</v>
      </c>
      <c r="D53">
        <v>74</v>
      </c>
      <c r="E53">
        <v>88</v>
      </c>
      <c r="F53">
        <v>0.45700000000000002</v>
      </c>
      <c r="G53">
        <v>40</v>
      </c>
      <c r="H53">
        <v>996</v>
      </c>
      <c r="I53">
        <v>1105</v>
      </c>
      <c r="J53">
        <v>-109</v>
      </c>
    </row>
    <row r="54" spans="1:13" x14ac:dyDescent="0.25">
      <c r="A54">
        <v>3</v>
      </c>
      <c r="B54" t="s">
        <v>29</v>
      </c>
      <c r="C54" t="s">
        <v>11</v>
      </c>
      <c r="D54">
        <v>73</v>
      </c>
      <c r="E54">
        <v>89</v>
      </c>
      <c r="F54">
        <v>0.45100000000000001</v>
      </c>
      <c r="G54">
        <v>27</v>
      </c>
      <c r="H54">
        <v>805</v>
      </c>
      <c r="I54">
        <v>788</v>
      </c>
      <c r="J54">
        <v>17</v>
      </c>
    </row>
    <row r="55" spans="1:13" x14ac:dyDescent="0.25">
      <c r="A55">
        <v>3</v>
      </c>
      <c r="B55" t="s">
        <v>32</v>
      </c>
      <c r="C55" t="s">
        <v>27</v>
      </c>
      <c r="D55">
        <v>72</v>
      </c>
      <c r="E55">
        <v>90</v>
      </c>
      <c r="F55">
        <v>0.44400000000000001</v>
      </c>
      <c r="G55">
        <v>28</v>
      </c>
      <c r="H55">
        <v>785</v>
      </c>
      <c r="I55">
        <v>876</v>
      </c>
      <c r="J55">
        <v>-91</v>
      </c>
    </row>
    <row r="56" spans="1:13" x14ac:dyDescent="0.25">
      <c r="A56">
        <v>3</v>
      </c>
      <c r="B56" t="s">
        <v>30</v>
      </c>
      <c r="C56" t="s">
        <v>16</v>
      </c>
      <c r="D56">
        <v>71</v>
      </c>
      <c r="E56">
        <v>91</v>
      </c>
      <c r="F56">
        <v>0.438</v>
      </c>
      <c r="G56">
        <v>43</v>
      </c>
      <c r="H56">
        <v>854</v>
      </c>
      <c r="I56">
        <v>964</v>
      </c>
      <c r="J56">
        <v>-110</v>
      </c>
    </row>
    <row r="57" spans="1:13" x14ac:dyDescent="0.25">
      <c r="A57">
        <v>3</v>
      </c>
      <c r="B57" t="s">
        <v>31</v>
      </c>
      <c r="C57" t="s">
        <v>20</v>
      </c>
      <c r="D57">
        <v>95</v>
      </c>
      <c r="E57">
        <v>67</v>
      </c>
      <c r="F57">
        <v>0.58599999999999997</v>
      </c>
      <c r="G57">
        <v>7</v>
      </c>
      <c r="H57">
        <v>982</v>
      </c>
      <c r="I57">
        <v>871</v>
      </c>
      <c r="J57">
        <v>111</v>
      </c>
    </row>
    <row r="58" spans="1:13" x14ac:dyDescent="0.25">
      <c r="A58">
        <v>3</v>
      </c>
      <c r="B58" t="s">
        <v>32</v>
      </c>
      <c r="C58" t="s">
        <v>24</v>
      </c>
      <c r="D58">
        <v>83</v>
      </c>
      <c r="E58">
        <v>79</v>
      </c>
      <c r="F58">
        <v>0.51200000000000001</v>
      </c>
      <c r="G58">
        <v>17</v>
      </c>
      <c r="H58">
        <v>862</v>
      </c>
      <c r="I58">
        <v>840</v>
      </c>
      <c r="J58">
        <v>22</v>
      </c>
    </row>
    <row r="59" spans="1:13" x14ac:dyDescent="0.25">
      <c r="A59">
        <v>3</v>
      </c>
      <c r="B59" t="s">
        <v>29</v>
      </c>
      <c r="C59" t="s">
        <v>12</v>
      </c>
      <c r="D59">
        <v>74</v>
      </c>
      <c r="E59">
        <v>88</v>
      </c>
      <c r="F59">
        <v>0.45700000000000002</v>
      </c>
      <c r="G59">
        <v>26</v>
      </c>
      <c r="H59">
        <v>782</v>
      </c>
      <c r="I59">
        <v>871</v>
      </c>
      <c r="J59">
        <v>-89</v>
      </c>
    </row>
    <row r="60" spans="1:13" x14ac:dyDescent="0.25">
      <c r="A60">
        <v>3</v>
      </c>
      <c r="B60" t="s">
        <v>32</v>
      </c>
      <c r="C60" t="s">
        <v>25</v>
      </c>
      <c r="D60">
        <v>71</v>
      </c>
      <c r="E60">
        <v>91</v>
      </c>
      <c r="F60">
        <v>0.438</v>
      </c>
      <c r="G60">
        <v>29</v>
      </c>
      <c r="H60">
        <v>783</v>
      </c>
      <c r="I60">
        <v>912</v>
      </c>
      <c r="J60">
        <v>-129</v>
      </c>
    </row>
    <row r="61" spans="1:13" x14ac:dyDescent="0.25">
      <c r="A61">
        <v>3</v>
      </c>
      <c r="B61" t="s">
        <v>30</v>
      </c>
      <c r="C61" t="s">
        <v>17</v>
      </c>
      <c r="D61">
        <v>51</v>
      </c>
      <c r="E61">
        <v>111</v>
      </c>
      <c r="F61">
        <v>0.315</v>
      </c>
      <c r="G61">
        <v>63</v>
      </c>
      <c r="H61">
        <v>672</v>
      </c>
      <c r="I61">
        <v>1006</v>
      </c>
      <c r="J61">
        <v>-334</v>
      </c>
    </row>
    <row r="62" spans="1:13" x14ac:dyDescent="0.25">
      <c r="A62">
        <v>3</v>
      </c>
      <c r="B62" t="s">
        <v>30</v>
      </c>
      <c r="C62" t="s">
        <v>14</v>
      </c>
      <c r="D62">
        <v>71</v>
      </c>
      <c r="E62">
        <v>91</v>
      </c>
      <c r="F62">
        <v>0.438</v>
      </c>
      <c r="G62">
        <v>43</v>
      </c>
      <c r="H62">
        <v>764</v>
      </c>
      <c r="I62">
        <v>862</v>
      </c>
      <c r="J62">
        <v>-98</v>
      </c>
    </row>
    <row r="63" spans="1:13" x14ac:dyDescent="0.25">
      <c r="A63">
        <v>4</v>
      </c>
      <c r="B63" t="s">
        <v>29</v>
      </c>
      <c r="C63" t="s">
        <v>8</v>
      </c>
      <c r="D63">
        <v>106</v>
      </c>
      <c r="E63">
        <v>56</v>
      </c>
      <c r="F63">
        <v>0.65400000000000003</v>
      </c>
      <c r="G63">
        <v>0</v>
      </c>
      <c r="H63">
        <v>840</v>
      </c>
      <c r="I63">
        <v>610</v>
      </c>
      <c r="J63">
        <v>230</v>
      </c>
      <c r="K63">
        <v>1</v>
      </c>
    </row>
    <row r="64" spans="1:13" x14ac:dyDescent="0.25">
      <c r="A64">
        <v>4</v>
      </c>
      <c r="B64" t="s">
        <v>31</v>
      </c>
      <c r="C64" t="s">
        <v>19</v>
      </c>
      <c r="D64">
        <v>95</v>
      </c>
      <c r="E64">
        <v>67</v>
      </c>
      <c r="F64">
        <v>0.58599999999999997</v>
      </c>
      <c r="G64">
        <v>17</v>
      </c>
      <c r="H64">
        <v>937</v>
      </c>
      <c r="I64">
        <v>851</v>
      </c>
      <c r="J64">
        <v>86</v>
      </c>
      <c r="M64">
        <v>1</v>
      </c>
    </row>
    <row r="65" spans="1:13" x14ac:dyDescent="0.25">
      <c r="A65">
        <v>4</v>
      </c>
      <c r="B65" t="s">
        <v>32</v>
      </c>
      <c r="C65" t="s">
        <v>24</v>
      </c>
      <c r="D65">
        <v>91</v>
      </c>
      <c r="E65">
        <v>71</v>
      </c>
      <c r="F65">
        <v>0.56200000000000006</v>
      </c>
      <c r="G65">
        <v>0</v>
      </c>
      <c r="H65">
        <v>879</v>
      </c>
      <c r="I65">
        <v>777</v>
      </c>
      <c r="J65">
        <v>102</v>
      </c>
      <c r="L65">
        <v>0.5</v>
      </c>
    </row>
    <row r="66" spans="1:13" x14ac:dyDescent="0.25">
      <c r="A66">
        <v>4</v>
      </c>
      <c r="B66" t="s">
        <v>32</v>
      </c>
      <c r="C66" t="s">
        <v>23</v>
      </c>
      <c r="D66">
        <v>91</v>
      </c>
      <c r="E66">
        <v>71</v>
      </c>
      <c r="F66">
        <v>0.56200000000000006</v>
      </c>
      <c r="G66">
        <v>0</v>
      </c>
      <c r="H66">
        <v>843</v>
      </c>
      <c r="I66">
        <v>684</v>
      </c>
      <c r="J66">
        <v>159</v>
      </c>
      <c r="L66">
        <v>0.5</v>
      </c>
    </row>
    <row r="67" spans="1:13" x14ac:dyDescent="0.25">
      <c r="A67">
        <v>4</v>
      </c>
      <c r="B67" t="s">
        <v>30</v>
      </c>
      <c r="C67" t="s">
        <v>15</v>
      </c>
      <c r="D67">
        <v>76</v>
      </c>
      <c r="E67">
        <v>86</v>
      </c>
      <c r="F67">
        <v>0.46899999999999997</v>
      </c>
      <c r="G67">
        <v>25</v>
      </c>
      <c r="H67">
        <v>1034</v>
      </c>
      <c r="I67">
        <v>1193</v>
      </c>
      <c r="J67">
        <v>-159</v>
      </c>
    </row>
    <row r="68" spans="1:13" x14ac:dyDescent="0.25">
      <c r="A68">
        <v>4</v>
      </c>
      <c r="B68" t="s">
        <v>30</v>
      </c>
      <c r="C68" t="s">
        <v>17</v>
      </c>
      <c r="D68">
        <v>51</v>
      </c>
      <c r="E68">
        <v>111</v>
      </c>
      <c r="F68">
        <v>0.315</v>
      </c>
      <c r="G68">
        <v>50</v>
      </c>
      <c r="H68">
        <v>650</v>
      </c>
      <c r="I68">
        <v>1008</v>
      </c>
      <c r="J68">
        <v>-358</v>
      </c>
    </row>
    <row r="69" spans="1:13" x14ac:dyDescent="0.25">
      <c r="A69">
        <v>4</v>
      </c>
      <c r="B69" t="s">
        <v>30</v>
      </c>
      <c r="C69" t="s">
        <v>14</v>
      </c>
      <c r="D69">
        <v>74</v>
      </c>
      <c r="E69">
        <v>88</v>
      </c>
      <c r="F69">
        <v>0.45700000000000002</v>
      </c>
      <c r="G69">
        <v>27</v>
      </c>
      <c r="H69">
        <v>713</v>
      </c>
      <c r="I69">
        <v>821</v>
      </c>
      <c r="J69">
        <v>-108</v>
      </c>
    </row>
    <row r="70" spans="1:13" x14ac:dyDescent="0.25">
      <c r="A70">
        <v>4</v>
      </c>
      <c r="B70" t="s">
        <v>31</v>
      </c>
      <c r="C70" t="s">
        <v>21</v>
      </c>
      <c r="D70">
        <v>71</v>
      </c>
      <c r="E70">
        <v>91</v>
      </c>
      <c r="F70">
        <v>0.438</v>
      </c>
      <c r="G70">
        <v>41</v>
      </c>
      <c r="H70">
        <v>876</v>
      </c>
      <c r="I70">
        <v>984</v>
      </c>
      <c r="J70">
        <v>-108</v>
      </c>
    </row>
    <row r="71" spans="1:13" x14ac:dyDescent="0.25">
      <c r="A71">
        <v>4</v>
      </c>
      <c r="B71" t="s">
        <v>32</v>
      </c>
      <c r="C71" t="s">
        <v>26</v>
      </c>
      <c r="D71">
        <v>65</v>
      </c>
      <c r="E71">
        <v>97</v>
      </c>
      <c r="F71">
        <v>0.40100000000000002</v>
      </c>
      <c r="G71">
        <v>26</v>
      </c>
      <c r="H71">
        <v>729</v>
      </c>
      <c r="I71">
        <v>878</v>
      </c>
      <c r="J71">
        <v>-149</v>
      </c>
    </row>
    <row r="72" spans="1:13" x14ac:dyDescent="0.25">
      <c r="A72">
        <v>4</v>
      </c>
      <c r="B72" t="s">
        <v>31</v>
      </c>
      <c r="C72" t="s">
        <v>22</v>
      </c>
      <c r="D72">
        <v>51</v>
      </c>
      <c r="E72">
        <v>111</v>
      </c>
      <c r="F72">
        <v>0.315</v>
      </c>
      <c r="G72">
        <v>61</v>
      </c>
      <c r="H72">
        <v>778</v>
      </c>
      <c r="I72">
        <v>1067</v>
      </c>
      <c r="J72">
        <v>-289</v>
      </c>
    </row>
    <row r="73" spans="1:13" x14ac:dyDescent="0.25">
      <c r="A73">
        <v>4</v>
      </c>
      <c r="B73" t="s">
        <v>30</v>
      </c>
      <c r="C73" t="s">
        <v>13</v>
      </c>
      <c r="D73">
        <v>101</v>
      </c>
      <c r="E73">
        <v>61</v>
      </c>
      <c r="F73">
        <v>0.623</v>
      </c>
      <c r="G73">
        <v>0</v>
      </c>
      <c r="H73">
        <v>1045</v>
      </c>
      <c r="I73">
        <v>750</v>
      </c>
      <c r="J73">
        <v>295</v>
      </c>
      <c r="L73">
        <v>1</v>
      </c>
    </row>
    <row r="74" spans="1:13" x14ac:dyDescent="0.25">
      <c r="A74">
        <v>4</v>
      </c>
      <c r="B74" t="s">
        <v>29</v>
      </c>
      <c r="C74" t="s">
        <v>12</v>
      </c>
      <c r="D74">
        <v>81</v>
      </c>
      <c r="E74">
        <v>81</v>
      </c>
      <c r="F74">
        <v>0.5</v>
      </c>
      <c r="G74">
        <v>25</v>
      </c>
      <c r="H74">
        <v>807</v>
      </c>
      <c r="I74">
        <v>877</v>
      </c>
      <c r="J74">
        <v>-70</v>
      </c>
    </row>
    <row r="75" spans="1:13" x14ac:dyDescent="0.25">
      <c r="A75">
        <v>4</v>
      </c>
      <c r="B75" t="s">
        <v>30</v>
      </c>
      <c r="C75" t="s">
        <v>16</v>
      </c>
      <c r="D75">
        <v>70</v>
      </c>
      <c r="E75">
        <v>92</v>
      </c>
      <c r="F75">
        <v>0.432</v>
      </c>
      <c r="G75">
        <v>31</v>
      </c>
      <c r="H75">
        <v>887</v>
      </c>
      <c r="I75">
        <v>973</v>
      </c>
      <c r="J75">
        <v>-86</v>
      </c>
    </row>
    <row r="76" spans="1:13" x14ac:dyDescent="0.25">
      <c r="A76">
        <v>4</v>
      </c>
      <c r="B76" t="s">
        <v>32</v>
      </c>
      <c r="C76" t="s">
        <v>27</v>
      </c>
      <c r="D76">
        <v>66</v>
      </c>
      <c r="E76">
        <v>96</v>
      </c>
      <c r="F76">
        <v>0.40699999999999997</v>
      </c>
      <c r="G76">
        <v>25</v>
      </c>
      <c r="H76">
        <v>774</v>
      </c>
      <c r="I76">
        <v>993</v>
      </c>
      <c r="J76">
        <v>-219</v>
      </c>
    </row>
    <row r="77" spans="1:13" x14ac:dyDescent="0.25">
      <c r="A77">
        <v>4</v>
      </c>
      <c r="B77" t="s">
        <v>32</v>
      </c>
      <c r="C77" t="s">
        <v>25</v>
      </c>
      <c r="D77">
        <v>65</v>
      </c>
      <c r="E77">
        <v>97</v>
      </c>
      <c r="F77">
        <v>0.40100000000000002</v>
      </c>
      <c r="G77">
        <v>26</v>
      </c>
      <c r="H77">
        <v>775</v>
      </c>
      <c r="I77">
        <v>849</v>
      </c>
      <c r="J77">
        <v>-74</v>
      </c>
    </row>
    <row r="78" spans="1:13" x14ac:dyDescent="0.25">
      <c r="A78">
        <v>4</v>
      </c>
      <c r="B78" t="s">
        <v>29</v>
      </c>
      <c r="C78" t="s">
        <v>10</v>
      </c>
      <c r="D78">
        <v>93</v>
      </c>
      <c r="E78">
        <v>69</v>
      </c>
      <c r="F78">
        <v>0.57399999999999995</v>
      </c>
      <c r="G78">
        <v>13</v>
      </c>
      <c r="H78">
        <v>897</v>
      </c>
      <c r="I78">
        <v>802</v>
      </c>
      <c r="J78">
        <v>95</v>
      </c>
      <c r="M78">
        <v>1</v>
      </c>
    </row>
    <row r="79" spans="1:13" x14ac:dyDescent="0.25">
      <c r="A79">
        <v>4</v>
      </c>
      <c r="B79" t="s">
        <v>29</v>
      </c>
      <c r="C79" t="s">
        <v>9</v>
      </c>
      <c r="D79">
        <v>90</v>
      </c>
      <c r="E79">
        <v>72</v>
      </c>
      <c r="F79">
        <v>0.55600000000000005</v>
      </c>
      <c r="G79">
        <v>16</v>
      </c>
      <c r="H79">
        <v>933</v>
      </c>
      <c r="I79">
        <v>878</v>
      </c>
      <c r="J79">
        <v>55</v>
      </c>
    </row>
    <row r="80" spans="1:13" x14ac:dyDescent="0.25">
      <c r="A80">
        <v>4</v>
      </c>
      <c r="B80" t="s">
        <v>29</v>
      </c>
      <c r="C80" t="s">
        <v>11</v>
      </c>
      <c r="D80">
        <v>88</v>
      </c>
      <c r="E80">
        <v>74</v>
      </c>
      <c r="F80">
        <v>0.54300000000000004</v>
      </c>
      <c r="G80">
        <v>18</v>
      </c>
      <c r="H80">
        <v>895</v>
      </c>
      <c r="I80">
        <v>785</v>
      </c>
      <c r="J80">
        <v>110</v>
      </c>
    </row>
    <row r="81" spans="1:13" x14ac:dyDescent="0.25">
      <c r="A81">
        <v>4</v>
      </c>
      <c r="B81" t="s">
        <v>31</v>
      </c>
      <c r="C81" t="s">
        <v>20</v>
      </c>
      <c r="D81">
        <v>83</v>
      </c>
      <c r="E81">
        <v>79</v>
      </c>
      <c r="F81">
        <v>0.51200000000000001</v>
      </c>
      <c r="G81">
        <v>29</v>
      </c>
      <c r="H81">
        <v>955</v>
      </c>
      <c r="I81">
        <v>898</v>
      </c>
      <c r="J81">
        <v>57</v>
      </c>
    </row>
    <row r="82" spans="1:13" x14ac:dyDescent="0.25">
      <c r="A82">
        <v>4</v>
      </c>
      <c r="B82" t="s">
        <v>31</v>
      </c>
      <c r="C82" t="s">
        <v>18</v>
      </c>
      <c r="D82">
        <v>112</v>
      </c>
      <c r="E82">
        <v>50</v>
      </c>
      <c r="F82">
        <v>0.69099999999999995</v>
      </c>
      <c r="G82">
        <v>0</v>
      </c>
      <c r="H82">
        <v>1206</v>
      </c>
      <c r="I82">
        <v>775</v>
      </c>
      <c r="J82">
        <v>431</v>
      </c>
      <c r="K82">
        <v>1</v>
      </c>
    </row>
    <row r="83" spans="1:13" x14ac:dyDescent="0.25">
      <c r="A83">
        <v>5</v>
      </c>
      <c r="B83" t="s">
        <v>31</v>
      </c>
      <c r="C83" t="s">
        <v>18</v>
      </c>
      <c r="D83">
        <v>102</v>
      </c>
      <c r="E83">
        <v>60</v>
      </c>
      <c r="F83">
        <v>0.63</v>
      </c>
      <c r="G83">
        <v>0</v>
      </c>
      <c r="H83">
        <v>980</v>
      </c>
      <c r="I83">
        <v>786</v>
      </c>
      <c r="J83">
        <v>194</v>
      </c>
      <c r="L83">
        <v>1</v>
      </c>
    </row>
    <row r="84" spans="1:13" x14ac:dyDescent="0.25">
      <c r="A84">
        <v>5</v>
      </c>
      <c r="B84" t="s">
        <v>29</v>
      </c>
      <c r="C84" t="s">
        <v>12</v>
      </c>
      <c r="D84">
        <v>73</v>
      </c>
      <c r="E84">
        <v>89</v>
      </c>
      <c r="F84">
        <v>0.45100000000000001</v>
      </c>
      <c r="G84">
        <v>24</v>
      </c>
      <c r="H84">
        <v>852</v>
      </c>
      <c r="I84">
        <v>822</v>
      </c>
      <c r="J84">
        <v>30</v>
      </c>
    </row>
    <row r="85" spans="1:13" x14ac:dyDescent="0.25">
      <c r="A85">
        <v>5</v>
      </c>
      <c r="B85" t="s">
        <v>32</v>
      </c>
      <c r="C85" t="s">
        <v>27</v>
      </c>
      <c r="D85">
        <v>64</v>
      </c>
      <c r="E85">
        <v>98</v>
      </c>
      <c r="F85">
        <v>0.39500000000000002</v>
      </c>
      <c r="G85">
        <v>41</v>
      </c>
      <c r="H85">
        <v>786</v>
      </c>
      <c r="I85">
        <v>974</v>
      </c>
      <c r="J85">
        <v>-188</v>
      </c>
    </row>
    <row r="86" spans="1:13" x14ac:dyDescent="0.25">
      <c r="A86">
        <v>5</v>
      </c>
      <c r="B86" t="s">
        <v>31</v>
      </c>
      <c r="C86" t="s">
        <v>21</v>
      </c>
      <c r="D86">
        <v>61</v>
      </c>
      <c r="E86">
        <v>101</v>
      </c>
      <c r="F86">
        <v>0.377</v>
      </c>
      <c r="G86">
        <v>41</v>
      </c>
      <c r="H86">
        <v>873</v>
      </c>
      <c r="I86">
        <v>1063</v>
      </c>
      <c r="J86">
        <v>-190</v>
      </c>
    </row>
    <row r="87" spans="1:13" x14ac:dyDescent="0.25">
      <c r="A87">
        <v>5</v>
      </c>
      <c r="B87" t="s">
        <v>30</v>
      </c>
      <c r="C87" t="s">
        <v>13</v>
      </c>
      <c r="D87">
        <v>113</v>
      </c>
      <c r="E87">
        <v>49</v>
      </c>
      <c r="F87">
        <v>0.69799999999999995</v>
      </c>
      <c r="G87">
        <v>0</v>
      </c>
      <c r="H87">
        <v>953</v>
      </c>
      <c r="I87">
        <v>661</v>
      </c>
      <c r="J87">
        <v>292</v>
      </c>
      <c r="K87">
        <v>1</v>
      </c>
    </row>
    <row r="88" spans="1:13" x14ac:dyDescent="0.25">
      <c r="A88">
        <v>5</v>
      </c>
      <c r="B88" t="s">
        <v>29</v>
      </c>
      <c r="C88" t="s">
        <v>8</v>
      </c>
      <c r="D88">
        <v>97</v>
      </c>
      <c r="E88">
        <v>65</v>
      </c>
      <c r="F88">
        <v>0.59899999999999998</v>
      </c>
      <c r="G88">
        <v>0</v>
      </c>
      <c r="H88">
        <v>858</v>
      </c>
      <c r="I88">
        <v>686</v>
      </c>
      <c r="J88">
        <v>172</v>
      </c>
      <c r="L88">
        <v>0.5</v>
      </c>
      <c r="M88">
        <f>2/3</f>
        <v>0.66666666666666663</v>
      </c>
    </row>
    <row r="89" spans="1:13" x14ac:dyDescent="0.25">
      <c r="A89">
        <v>5</v>
      </c>
      <c r="B89" t="s">
        <v>30</v>
      </c>
      <c r="C89" t="s">
        <v>15</v>
      </c>
      <c r="D89">
        <v>70</v>
      </c>
      <c r="E89">
        <v>92</v>
      </c>
      <c r="F89">
        <v>0.432</v>
      </c>
      <c r="G89">
        <v>43</v>
      </c>
      <c r="H89">
        <v>935</v>
      </c>
      <c r="I89">
        <v>1185</v>
      </c>
      <c r="J89">
        <v>-250</v>
      </c>
    </row>
    <row r="90" spans="1:13" x14ac:dyDescent="0.25">
      <c r="A90">
        <v>5</v>
      </c>
      <c r="B90" t="s">
        <v>32</v>
      </c>
      <c r="C90" t="s">
        <v>25</v>
      </c>
      <c r="D90">
        <v>69</v>
      </c>
      <c r="E90">
        <v>93</v>
      </c>
      <c r="F90">
        <v>0.42599999999999999</v>
      </c>
      <c r="G90">
        <v>36</v>
      </c>
      <c r="H90">
        <v>800</v>
      </c>
      <c r="I90">
        <v>856</v>
      </c>
      <c r="J90">
        <v>-56</v>
      </c>
    </row>
    <row r="91" spans="1:13" x14ac:dyDescent="0.25">
      <c r="A91">
        <v>5</v>
      </c>
      <c r="B91" t="s">
        <v>30</v>
      </c>
      <c r="C91" t="s">
        <v>16</v>
      </c>
      <c r="D91">
        <v>67</v>
      </c>
      <c r="E91">
        <v>95</v>
      </c>
      <c r="F91">
        <v>0.41399999999999998</v>
      </c>
      <c r="G91">
        <v>46</v>
      </c>
      <c r="H91">
        <v>812</v>
      </c>
      <c r="I91">
        <v>969</v>
      </c>
      <c r="J91">
        <v>-157</v>
      </c>
    </row>
    <row r="92" spans="1:13" x14ac:dyDescent="0.25">
      <c r="A92">
        <v>5</v>
      </c>
      <c r="B92" t="s">
        <v>32</v>
      </c>
      <c r="C92" t="s">
        <v>23</v>
      </c>
      <c r="D92">
        <v>105</v>
      </c>
      <c r="E92">
        <v>57</v>
      </c>
      <c r="F92">
        <v>0.64800000000000002</v>
      </c>
      <c r="G92">
        <v>0</v>
      </c>
      <c r="H92">
        <v>921</v>
      </c>
      <c r="I92">
        <v>694</v>
      </c>
      <c r="J92">
        <v>227</v>
      </c>
      <c r="K92">
        <v>1</v>
      </c>
    </row>
    <row r="93" spans="1:13" x14ac:dyDescent="0.25">
      <c r="A93">
        <v>5</v>
      </c>
      <c r="B93" t="s">
        <v>31</v>
      </c>
      <c r="C93" t="s">
        <v>19</v>
      </c>
      <c r="D93">
        <v>97</v>
      </c>
      <c r="E93">
        <v>65</v>
      </c>
      <c r="F93">
        <v>0.59899999999999998</v>
      </c>
      <c r="G93">
        <v>5</v>
      </c>
      <c r="H93">
        <v>995</v>
      </c>
      <c r="I93">
        <v>815</v>
      </c>
      <c r="J93">
        <v>180</v>
      </c>
      <c r="M93">
        <f>2/3</f>
        <v>0.66666666666666663</v>
      </c>
    </row>
    <row r="94" spans="1:13" x14ac:dyDescent="0.25">
      <c r="A94">
        <v>5</v>
      </c>
      <c r="B94" t="s">
        <v>31</v>
      </c>
      <c r="C94" t="s">
        <v>22</v>
      </c>
      <c r="D94">
        <v>57</v>
      </c>
      <c r="E94">
        <v>105</v>
      </c>
      <c r="F94">
        <v>0.35199999999999998</v>
      </c>
      <c r="G94">
        <v>45</v>
      </c>
      <c r="H94">
        <v>772</v>
      </c>
      <c r="I94">
        <v>1039</v>
      </c>
      <c r="J94">
        <v>-267</v>
      </c>
    </row>
    <row r="95" spans="1:13" x14ac:dyDescent="0.25">
      <c r="A95">
        <v>5</v>
      </c>
      <c r="B95" t="s">
        <v>30</v>
      </c>
      <c r="C95" t="s">
        <v>17</v>
      </c>
      <c r="D95">
        <v>41</v>
      </c>
      <c r="E95">
        <v>121</v>
      </c>
      <c r="F95">
        <v>0.253</v>
      </c>
      <c r="G95">
        <v>72</v>
      </c>
      <c r="H95">
        <v>672</v>
      </c>
      <c r="I95">
        <v>1057</v>
      </c>
      <c r="J95">
        <v>-385</v>
      </c>
    </row>
    <row r="96" spans="1:13" x14ac:dyDescent="0.25">
      <c r="A96">
        <v>5</v>
      </c>
      <c r="B96" t="s">
        <v>29</v>
      </c>
      <c r="C96" t="s">
        <v>11</v>
      </c>
      <c r="D96">
        <v>97</v>
      </c>
      <c r="E96">
        <v>65</v>
      </c>
      <c r="F96">
        <v>0.59899999999999998</v>
      </c>
      <c r="G96">
        <v>0</v>
      </c>
      <c r="H96">
        <v>889</v>
      </c>
      <c r="I96">
        <v>768</v>
      </c>
      <c r="J96">
        <v>121</v>
      </c>
      <c r="L96">
        <v>0.5</v>
      </c>
      <c r="M96">
        <f>2/3</f>
        <v>0.66666666666666663</v>
      </c>
    </row>
    <row r="97" spans="1:13" x14ac:dyDescent="0.25">
      <c r="A97">
        <v>5</v>
      </c>
      <c r="B97" t="s">
        <v>31</v>
      </c>
      <c r="C97" t="s">
        <v>20</v>
      </c>
      <c r="D97">
        <v>93</v>
      </c>
      <c r="E97">
        <v>69</v>
      </c>
      <c r="F97">
        <v>0.57399999999999995</v>
      </c>
      <c r="G97">
        <v>9</v>
      </c>
      <c r="H97">
        <v>966</v>
      </c>
      <c r="I97">
        <v>850</v>
      </c>
      <c r="J97">
        <v>116</v>
      </c>
    </row>
    <row r="98" spans="1:13" x14ac:dyDescent="0.25">
      <c r="A98">
        <v>5</v>
      </c>
      <c r="B98" t="s">
        <v>29</v>
      </c>
      <c r="C98" t="s">
        <v>10</v>
      </c>
      <c r="D98">
        <v>90</v>
      </c>
      <c r="E98">
        <v>72</v>
      </c>
      <c r="F98">
        <v>0.55600000000000005</v>
      </c>
      <c r="G98">
        <v>7</v>
      </c>
      <c r="H98">
        <v>957</v>
      </c>
      <c r="I98">
        <v>857</v>
      </c>
      <c r="J98">
        <v>100</v>
      </c>
    </row>
    <row r="99" spans="1:13" x14ac:dyDescent="0.25">
      <c r="A99">
        <v>5</v>
      </c>
      <c r="B99" t="s">
        <v>29</v>
      </c>
      <c r="C99" t="s">
        <v>9</v>
      </c>
      <c r="D99">
        <v>88</v>
      </c>
      <c r="E99">
        <v>74</v>
      </c>
      <c r="F99">
        <v>0.54300000000000004</v>
      </c>
      <c r="G99">
        <v>9</v>
      </c>
      <c r="H99">
        <v>913</v>
      </c>
      <c r="I99">
        <v>860</v>
      </c>
      <c r="J99">
        <v>53</v>
      </c>
    </row>
    <row r="100" spans="1:13" x14ac:dyDescent="0.25">
      <c r="A100">
        <v>5</v>
      </c>
      <c r="B100" t="s">
        <v>30</v>
      </c>
      <c r="C100" t="s">
        <v>14</v>
      </c>
      <c r="D100">
        <v>88</v>
      </c>
      <c r="E100">
        <v>74</v>
      </c>
      <c r="F100">
        <v>0.54300000000000004</v>
      </c>
      <c r="G100">
        <v>25</v>
      </c>
      <c r="H100">
        <v>832</v>
      </c>
      <c r="I100">
        <v>793</v>
      </c>
      <c r="J100">
        <v>39</v>
      </c>
    </row>
    <row r="101" spans="1:13" x14ac:dyDescent="0.25">
      <c r="A101">
        <v>5</v>
      </c>
      <c r="B101" t="s">
        <v>32</v>
      </c>
      <c r="C101" t="s">
        <v>24</v>
      </c>
      <c r="D101">
        <v>84</v>
      </c>
      <c r="E101">
        <v>78</v>
      </c>
      <c r="F101">
        <v>0.51900000000000002</v>
      </c>
      <c r="G101">
        <v>21</v>
      </c>
      <c r="H101">
        <v>938</v>
      </c>
      <c r="I101">
        <v>802</v>
      </c>
      <c r="J101">
        <v>136</v>
      </c>
    </row>
    <row r="102" spans="1:13" x14ac:dyDescent="0.25">
      <c r="A102">
        <v>5</v>
      </c>
      <c r="B102" t="s">
        <v>32</v>
      </c>
      <c r="C102" t="s">
        <v>26</v>
      </c>
      <c r="D102">
        <v>64</v>
      </c>
      <c r="E102">
        <v>98</v>
      </c>
      <c r="F102">
        <v>0.39500000000000002</v>
      </c>
      <c r="G102">
        <v>41</v>
      </c>
      <c r="H102">
        <v>729</v>
      </c>
      <c r="I102">
        <v>896</v>
      </c>
      <c r="J102">
        <v>-167</v>
      </c>
    </row>
    <row r="103" spans="1:13" x14ac:dyDescent="0.25">
      <c r="A103">
        <v>6</v>
      </c>
      <c r="B103" t="s">
        <v>31</v>
      </c>
      <c r="C103" t="s">
        <v>18</v>
      </c>
      <c r="D103">
        <v>108</v>
      </c>
      <c r="E103">
        <v>54</v>
      </c>
      <c r="F103">
        <v>0.66700000000000004</v>
      </c>
      <c r="G103">
        <v>0</v>
      </c>
      <c r="H103">
        <v>1157</v>
      </c>
      <c r="I103">
        <v>852</v>
      </c>
      <c r="J103">
        <v>305</v>
      </c>
      <c r="K103">
        <v>1</v>
      </c>
    </row>
    <row r="104" spans="1:13" x14ac:dyDescent="0.25">
      <c r="A104">
        <v>6</v>
      </c>
      <c r="B104" t="s">
        <v>32</v>
      </c>
      <c r="C104" t="s">
        <v>23</v>
      </c>
      <c r="D104">
        <v>101</v>
      </c>
      <c r="E104">
        <v>61</v>
      </c>
      <c r="F104">
        <v>0.623</v>
      </c>
      <c r="G104">
        <v>0</v>
      </c>
      <c r="H104">
        <v>930</v>
      </c>
      <c r="I104">
        <v>720</v>
      </c>
      <c r="J104">
        <v>210</v>
      </c>
      <c r="L104">
        <v>1</v>
      </c>
    </row>
    <row r="105" spans="1:13" x14ac:dyDescent="0.25">
      <c r="A105">
        <v>6</v>
      </c>
      <c r="B105" t="s">
        <v>31</v>
      </c>
      <c r="C105" t="s">
        <v>21</v>
      </c>
      <c r="D105">
        <v>66</v>
      </c>
      <c r="E105">
        <v>96</v>
      </c>
      <c r="F105">
        <v>0.40699999999999997</v>
      </c>
      <c r="G105">
        <v>42</v>
      </c>
      <c r="H105">
        <v>849</v>
      </c>
      <c r="I105">
        <v>1007</v>
      </c>
      <c r="J105">
        <v>-158</v>
      </c>
    </row>
    <row r="106" spans="1:13" x14ac:dyDescent="0.25">
      <c r="A106">
        <v>6</v>
      </c>
      <c r="B106" t="s">
        <v>29</v>
      </c>
      <c r="C106" t="s">
        <v>10</v>
      </c>
      <c r="D106">
        <v>103</v>
      </c>
      <c r="E106">
        <v>59</v>
      </c>
      <c r="F106">
        <v>0.63600000000000001</v>
      </c>
      <c r="G106">
        <v>2</v>
      </c>
      <c r="H106">
        <v>1043</v>
      </c>
      <c r="I106">
        <v>825</v>
      </c>
      <c r="J106">
        <v>218</v>
      </c>
      <c r="M106">
        <v>1</v>
      </c>
    </row>
    <row r="107" spans="1:13" x14ac:dyDescent="0.25">
      <c r="A107">
        <v>6</v>
      </c>
      <c r="B107" t="s">
        <v>29</v>
      </c>
      <c r="C107" t="s">
        <v>12</v>
      </c>
      <c r="D107">
        <v>75</v>
      </c>
      <c r="E107">
        <v>87</v>
      </c>
      <c r="F107">
        <v>0.46300000000000002</v>
      </c>
      <c r="G107">
        <v>30</v>
      </c>
      <c r="H107">
        <v>785</v>
      </c>
      <c r="I107">
        <v>843</v>
      </c>
      <c r="J107">
        <v>-58</v>
      </c>
    </row>
    <row r="108" spans="1:13" x14ac:dyDescent="0.25">
      <c r="A108">
        <v>6</v>
      </c>
      <c r="B108" t="s">
        <v>30</v>
      </c>
      <c r="C108" t="s">
        <v>14</v>
      </c>
      <c r="D108">
        <v>73</v>
      </c>
      <c r="E108">
        <v>89</v>
      </c>
      <c r="F108">
        <v>0.45100000000000001</v>
      </c>
      <c r="G108">
        <v>31</v>
      </c>
      <c r="H108">
        <v>793</v>
      </c>
      <c r="I108">
        <v>944</v>
      </c>
      <c r="J108">
        <v>-151</v>
      </c>
    </row>
    <row r="109" spans="1:13" x14ac:dyDescent="0.25">
      <c r="A109">
        <v>6</v>
      </c>
      <c r="B109" t="s">
        <v>31</v>
      </c>
      <c r="C109" t="s">
        <v>22</v>
      </c>
      <c r="D109">
        <v>49</v>
      </c>
      <c r="E109">
        <v>113</v>
      </c>
      <c r="F109">
        <v>0.30199999999999999</v>
      </c>
      <c r="G109">
        <v>59</v>
      </c>
      <c r="H109">
        <v>734</v>
      </c>
      <c r="I109">
        <v>1095</v>
      </c>
      <c r="J109">
        <v>-361</v>
      </c>
    </row>
    <row r="110" spans="1:13" x14ac:dyDescent="0.25">
      <c r="A110">
        <v>6</v>
      </c>
      <c r="B110" t="s">
        <v>30</v>
      </c>
      <c r="C110" t="s">
        <v>13</v>
      </c>
      <c r="D110">
        <v>104</v>
      </c>
      <c r="E110">
        <v>58</v>
      </c>
      <c r="F110">
        <v>0.64200000000000002</v>
      </c>
      <c r="G110">
        <v>0</v>
      </c>
      <c r="H110">
        <v>1020</v>
      </c>
      <c r="I110">
        <v>753</v>
      </c>
      <c r="J110">
        <v>267</v>
      </c>
      <c r="L110">
        <v>1</v>
      </c>
    </row>
    <row r="111" spans="1:13" x14ac:dyDescent="0.25">
      <c r="A111">
        <v>6</v>
      </c>
      <c r="B111" t="s">
        <v>29</v>
      </c>
      <c r="C111" t="s">
        <v>9</v>
      </c>
      <c r="D111">
        <v>93</v>
      </c>
      <c r="E111">
        <v>69</v>
      </c>
      <c r="F111">
        <v>0.57399999999999995</v>
      </c>
      <c r="G111">
        <v>12</v>
      </c>
      <c r="H111">
        <v>921</v>
      </c>
      <c r="I111">
        <v>817</v>
      </c>
      <c r="J111">
        <v>104</v>
      </c>
    </row>
    <row r="112" spans="1:13" x14ac:dyDescent="0.25">
      <c r="A112">
        <v>6</v>
      </c>
      <c r="B112" t="s">
        <v>32</v>
      </c>
      <c r="C112" t="s">
        <v>26</v>
      </c>
      <c r="D112">
        <v>73</v>
      </c>
      <c r="E112">
        <v>89</v>
      </c>
      <c r="F112">
        <v>0.45100000000000001</v>
      </c>
      <c r="G112">
        <v>28</v>
      </c>
      <c r="H112">
        <v>770</v>
      </c>
      <c r="I112">
        <v>803</v>
      </c>
      <c r="J112">
        <v>-33</v>
      </c>
    </row>
    <row r="113" spans="1:13" x14ac:dyDescent="0.25">
      <c r="A113">
        <v>6</v>
      </c>
      <c r="B113" t="s">
        <v>32</v>
      </c>
      <c r="C113" t="s">
        <v>25</v>
      </c>
      <c r="D113">
        <v>62</v>
      </c>
      <c r="E113">
        <v>100</v>
      </c>
      <c r="F113">
        <v>0.38300000000000001</v>
      </c>
      <c r="G113">
        <v>39</v>
      </c>
      <c r="H113">
        <v>727</v>
      </c>
      <c r="I113">
        <v>876</v>
      </c>
      <c r="J113">
        <v>-149</v>
      </c>
    </row>
    <row r="114" spans="1:13" x14ac:dyDescent="0.25">
      <c r="A114">
        <v>6</v>
      </c>
      <c r="B114" t="s">
        <v>32</v>
      </c>
      <c r="C114" t="s">
        <v>27</v>
      </c>
      <c r="D114">
        <v>61</v>
      </c>
      <c r="E114">
        <v>101</v>
      </c>
      <c r="F114">
        <v>0.377</v>
      </c>
      <c r="G114">
        <v>40</v>
      </c>
      <c r="H114">
        <v>820</v>
      </c>
      <c r="I114">
        <v>913</v>
      </c>
      <c r="J114">
        <v>-93</v>
      </c>
    </row>
    <row r="115" spans="1:13" x14ac:dyDescent="0.25">
      <c r="A115">
        <v>6</v>
      </c>
      <c r="B115" t="s">
        <v>30</v>
      </c>
      <c r="C115" t="s">
        <v>17</v>
      </c>
      <c r="D115">
        <v>38</v>
      </c>
      <c r="E115">
        <v>124</v>
      </c>
      <c r="F115">
        <v>0.23499999999999999</v>
      </c>
      <c r="G115">
        <v>66</v>
      </c>
      <c r="H115">
        <v>646</v>
      </c>
      <c r="I115">
        <v>1114</v>
      </c>
      <c r="J115">
        <v>-468</v>
      </c>
    </row>
    <row r="116" spans="1:13" x14ac:dyDescent="0.25">
      <c r="A116">
        <v>6</v>
      </c>
      <c r="B116" t="s">
        <v>29</v>
      </c>
      <c r="C116" t="s">
        <v>8</v>
      </c>
      <c r="D116">
        <v>105</v>
      </c>
      <c r="E116">
        <v>57</v>
      </c>
      <c r="F116">
        <v>0.64800000000000002</v>
      </c>
      <c r="G116">
        <v>0</v>
      </c>
      <c r="H116">
        <v>848</v>
      </c>
      <c r="I116">
        <v>624</v>
      </c>
      <c r="J116">
        <v>224</v>
      </c>
      <c r="K116">
        <v>1</v>
      </c>
    </row>
    <row r="117" spans="1:13" x14ac:dyDescent="0.25">
      <c r="A117">
        <v>6</v>
      </c>
      <c r="B117" t="s">
        <v>31</v>
      </c>
      <c r="C117" t="s">
        <v>20</v>
      </c>
      <c r="D117">
        <v>94</v>
      </c>
      <c r="E117">
        <v>68</v>
      </c>
      <c r="F117">
        <v>0.57999999999999996</v>
      </c>
      <c r="G117">
        <v>14</v>
      </c>
      <c r="H117">
        <v>990</v>
      </c>
      <c r="I117">
        <v>837</v>
      </c>
      <c r="J117">
        <v>153</v>
      </c>
      <c r="M117">
        <v>1</v>
      </c>
    </row>
    <row r="118" spans="1:13" x14ac:dyDescent="0.25">
      <c r="A118">
        <v>6</v>
      </c>
      <c r="B118" t="s">
        <v>31</v>
      </c>
      <c r="C118" t="s">
        <v>19</v>
      </c>
      <c r="D118">
        <v>91</v>
      </c>
      <c r="E118">
        <v>71</v>
      </c>
      <c r="F118">
        <v>0.56200000000000006</v>
      </c>
      <c r="G118">
        <v>17</v>
      </c>
      <c r="H118">
        <v>1010</v>
      </c>
      <c r="I118">
        <v>889</v>
      </c>
      <c r="J118">
        <v>121</v>
      </c>
    </row>
    <row r="119" spans="1:13" x14ac:dyDescent="0.25">
      <c r="A119">
        <v>6</v>
      </c>
      <c r="B119" t="s">
        <v>29</v>
      </c>
      <c r="C119" t="s">
        <v>11</v>
      </c>
      <c r="D119">
        <v>89</v>
      </c>
      <c r="E119">
        <v>73</v>
      </c>
      <c r="F119">
        <v>0.54900000000000004</v>
      </c>
      <c r="G119">
        <v>16</v>
      </c>
      <c r="H119">
        <v>846</v>
      </c>
      <c r="I119">
        <v>771</v>
      </c>
      <c r="J119">
        <v>75</v>
      </c>
    </row>
    <row r="120" spans="1:13" x14ac:dyDescent="0.25">
      <c r="A120">
        <v>6</v>
      </c>
      <c r="B120" t="s">
        <v>32</v>
      </c>
      <c r="C120" t="s">
        <v>24</v>
      </c>
      <c r="D120">
        <v>89</v>
      </c>
      <c r="E120">
        <v>73</v>
      </c>
      <c r="F120">
        <v>0.54900000000000004</v>
      </c>
      <c r="G120">
        <v>12</v>
      </c>
      <c r="H120">
        <v>850</v>
      </c>
      <c r="I120">
        <v>834</v>
      </c>
      <c r="J120">
        <v>16</v>
      </c>
    </row>
    <row r="121" spans="1:13" x14ac:dyDescent="0.25">
      <c r="A121">
        <v>6</v>
      </c>
      <c r="B121" t="s">
        <v>30</v>
      </c>
      <c r="C121" t="s">
        <v>16</v>
      </c>
      <c r="D121">
        <v>78</v>
      </c>
      <c r="E121">
        <v>84</v>
      </c>
      <c r="F121">
        <v>0.48099999999999998</v>
      </c>
      <c r="G121">
        <v>26</v>
      </c>
      <c r="H121">
        <v>898</v>
      </c>
      <c r="I121">
        <v>978</v>
      </c>
      <c r="J121">
        <v>-80</v>
      </c>
    </row>
    <row r="122" spans="1:13" x14ac:dyDescent="0.25">
      <c r="A122">
        <v>6</v>
      </c>
      <c r="B122" t="s">
        <v>30</v>
      </c>
      <c r="C122" t="s">
        <v>15</v>
      </c>
      <c r="D122">
        <v>68</v>
      </c>
      <c r="E122">
        <v>94</v>
      </c>
      <c r="F122">
        <v>0.42</v>
      </c>
      <c r="G122">
        <v>36</v>
      </c>
      <c r="H122">
        <v>996</v>
      </c>
      <c r="I122">
        <v>1138</v>
      </c>
      <c r="J122">
        <v>-142</v>
      </c>
    </row>
    <row r="123" spans="1:13" x14ac:dyDescent="0.25">
      <c r="A123">
        <v>7</v>
      </c>
      <c r="B123" t="s">
        <v>32</v>
      </c>
      <c r="C123" t="s">
        <v>23</v>
      </c>
      <c r="D123">
        <v>102</v>
      </c>
      <c r="E123">
        <v>60</v>
      </c>
      <c r="F123">
        <v>0.63</v>
      </c>
      <c r="G123">
        <v>0</v>
      </c>
      <c r="H123">
        <v>959</v>
      </c>
      <c r="I123">
        <v>736</v>
      </c>
      <c r="J123">
        <v>223</v>
      </c>
      <c r="K123">
        <v>1</v>
      </c>
    </row>
    <row r="124" spans="1:13" x14ac:dyDescent="0.25">
      <c r="A124">
        <v>7</v>
      </c>
      <c r="B124" t="s">
        <v>29</v>
      </c>
      <c r="C124" t="s">
        <v>8</v>
      </c>
      <c r="D124">
        <v>96</v>
      </c>
      <c r="E124">
        <v>66</v>
      </c>
      <c r="F124">
        <v>0.59299999999999997</v>
      </c>
      <c r="G124">
        <v>3</v>
      </c>
      <c r="H124">
        <v>888</v>
      </c>
      <c r="I124">
        <v>738</v>
      </c>
      <c r="J124">
        <v>150</v>
      </c>
      <c r="M124">
        <v>1</v>
      </c>
    </row>
    <row r="125" spans="1:13" x14ac:dyDescent="0.25">
      <c r="A125">
        <v>7</v>
      </c>
      <c r="B125" t="s">
        <v>31</v>
      </c>
      <c r="C125" t="s">
        <v>18</v>
      </c>
      <c r="D125">
        <v>96</v>
      </c>
      <c r="E125">
        <v>66</v>
      </c>
      <c r="F125">
        <v>0.59299999999999997</v>
      </c>
      <c r="G125">
        <v>0</v>
      </c>
      <c r="H125">
        <v>982</v>
      </c>
      <c r="I125">
        <v>800</v>
      </c>
      <c r="J125">
        <v>182</v>
      </c>
      <c r="L125">
        <v>1</v>
      </c>
    </row>
    <row r="126" spans="1:13" x14ac:dyDescent="0.25">
      <c r="A126">
        <v>7</v>
      </c>
      <c r="B126" t="s">
        <v>31</v>
      </c>
      <c r="C126" t="s">
        <v>19</v>
      </c>
      <c r="D126">
        <v>84</v>
      </c>
      <c r="E126">
        <v>78</v>
      </c>
      <c r="F126">
        <v>0.51900000000000002</v>
      </c>
      <c r="G126">
        <v>12</v>
      </c>
      <c r="H126">
        <v>993</v>
      </c>
      <c r="I126">
        <v>853</v>
      </c>
      <c r="J126">
        <v>140</v>
      </c>
    </row>
    <row r="127" spans="1:13" x14ac:dyDescent="0.25">
      <c r="A127">
        <v>7</v>
      </c>
      <c r="B127" t="s">
        <v>32</v>
      </c>
      <c r="C127" t="s">
        <v>26</v>
      </c>
      <c r="D127">
        <v>62</v>
      </c>
      <c r="E127">
        <v>100</v>
      </c>
      <c r="F127">
        <v>0.38300000000000001</v>
      </c>
      <c r="G127">
        <v>40</v>
      </c>
      <c r="H127">
        <v>705</v>
      </c>
      <c r="I127">
        <v>903</v>
      </c>
      <c r="J127">
        <v>-198</v>
      </c>
    </row>
    <row r="128" spans="1:13" x14ac:dyDescent="0.25">
      <c r="A128">
        <v>7</v>
      </c>
      <c r="B128" t="s">
        <v>31</v>
      </c>
      <c r="C128" t="s">
        <v>22</v>
      </c>
      <c r="D128">
        <v>53</v>
      </c>
      <c r="E128">
        <v>109</v>
      </c>
      <c r="F128">
        <v>0.32700000000000001</v>
      </c>
      <c r="G128">
        <v>43</v>
      </c>
      <c r="H128">
        <v>783</v>
      </c>
      <c r="I128">
        <v>1137</v>
      </c>
      <c r="J128">
        <v>-354</v>
      </c>
    </row>
    <row r="129" spans="1:13" x14ac:dyDescent="0.25">
      <c r="A129">
        <v>7</v>
      </c>
      <c r="B129" t="s">
        <v>31</v>
      </c>
      <c r="C129" t="s">
        <v>21</v>
      </c>
      <c r="D129">
        <v>64</v>
      </c>
      <c r="E129">
        <v>98</v>
      </c>
      <c r="F129">
        <v>0.39500000000000002</v>
      </c>
      <c r="G129">
        <v>32</v>
      </c>
      <c r="H129">
        <v>762</v>
      </c>
      <c r="I129">
        <v>953</v>
      </c>
      <c r="J129">
        <v>-191</v>
      </c>
    </row>
    <row r="130" spans="1:13" x14ac:dyDescent="0.25">
      <c r="A130">
        <v>7</v>
      </c>
      <c r="B130" t="s">
        <v>30</v>
      </c>
      <c r="C130" t="s">
        <v>17</v>
      </c>
      <c r="D130">
        <v>45</v>
      </c>
      <c r="E130">
        <v>117</v>
      </c>
      <c r="F130">
        <v>0.27800000000000002</v>
      </c>
      <c r="G130">
        <v>72</v>
      </c>
      <c r="H130">
        <v>624</v>
      </c>
      <c r="I130">
        <v>1028</v>
      </c>
      <c r="J130">
        <v>-404</v>
      </c>
    </row>
    <row r="131" spans="1:13" x14ac:dyDescent="0.25">
      <c r="A131">
        <v>7</v>
      </c>
      <c r="B131" t="s">
        <v>30</v>
      </c>
      <c r="C131" t="s">
        <v>16</v>
      </c>
      <c r="D131">
        <v>66</v>
      </c>
      <c r="E131">
        <v>96</v>
      </c>
      <c r="F131">
        <v>0.40699999999999997</v>
      </c>
      <c r="G131">
        <v>51</v>
      </c>
      <c r="H131">
        <v>801</v>
      </c>
      <c r="I131">
        <v>937</v>
      </c>
      <c r="J131">
        <v>-136</v>
      </c>
    </row>
    <row r="132" spans="1:13" x14ac:dyDescent="0.25">
      <c r="A132">
        <v>7</v>
      </c>
      <c r="B132" t="s">
        <v>32</v>
      </c>
      <c r="C132" t="s">
        <v>27</v>
      </c>
      <c r="D132">
        <v>58</v>
      </c>
      <c r="E132">
        <v>104</v>
      </c>
      <c r="F132">
        <v>0.35799999999999998</v>
      </c>
      <c r="G132">
        <v>44</v>
      </c>
      <c r="H132">
        <v>829</v>
      </c>
      <c r="I132">
        <v>979</v>
      </c>
      <c r="J132">
        <v>-150</v>
      </c>
    </row>
    <row r="133" spans="1:13" x14ac:dyDescent="0.25">
      <c r="A133">
        <v>7</v>
      </c>
      <c r="B133" t="s">
        <v>29</v>
      </c>
      <c r="C133" t="s">
        <v>9</v>
      </c>
      <c r="D133">
        <v>99</v>
      </c>
      <c r="E133">
        <v>63</v>
      </c>
      <c r="F133">
        <v>0.61099999999999999</v>
      </c>
      <c r="G133">
        <v>0</v>
      </c>
      <c r="H133">
        <v>1034</v>
      </c>
      <c r="I133">
        <v>882</v>
      </c>
      <c r="J133">
        <v>152</v>
      </c>
      <c r="L133">
        <v>1</v>
      </c>
    </row>
    <row r="134" spans="1:13" x14ac:dyDescent="0.25">
      <c r="A134">
        <v>7</v>
      </c>
      <c r="B134" t="s">
        <v>29</v>
      </c>
      <c r="C134" t="s">
        <v>10</v>
      </c>
      <c r="D134">
        <v>94</v>
      </c>
      <c r="E134">
        <v>68</v>
      </c>
      <c r="F134">
        <v>0.57999999999999996</v>
      </c>
      <c r="G134">
        <v>5</v>
      </c>
      <c r="H134">
        <v>995</v>
      </c>
      <c r="I134">
        <v>865</v>
      </c>
      <c r="J134">
        <v>130</v>
      </c>
      <c r="M134">
        <v>0.5</v>
      </c>
    </row>
    <row r="135" spans="1:13" x14ac:dyDescent="0.25">
      <c r="A135">
        <v>7</v>
      </c>
      <c r="B135" t="s">
        <v>31</v>
      </c>
      <c r="C135" t="s">
        <v>20</v>
      </c>
      <c r="D135">
        <v>94</v>
      </c>
      <c r="E135">
        <v>68</v>
      </c>
      <c r="F135">
        <v>0.57999999999999996</v>
      </c>
      <c r="G135">
        <v>2</v>
      </c>
      <c r="H135">
        <v>1045</v>
      </c>
      <c r="I135">
        <v>883</v>
      </c>
      <c r="J135">
        <v>162</v>
      </c>
      <c r="M135">
        <v>0.5</v>
      </c>
    </row>
    <row r="136" spans="1:13" x14ac:dyDescent="0.25">
      <c r="A136">
        <v>7</v>
      </c>
      <c r="B136" t="s">
        <v>29</v>
      </c>
      <c r="C136" t="s">
        <v>12</v>
      </c>
      <c r="D136">
        <v>91</v>
      </c>
      <c r="E136">
        <v>71</v>
      </c>
      <c r="F136">
        <v>0.56200000000000006</v>
      </c>
      <c r="G136">
        <v>8</v>
      </c>
      <c r="H136">
        <v>779</v>
      </c>
      <c r="I136">
        <v>736</v>
      </c>
      <c r="J136">
        <v>43</v>
      </c>
    </row>
    <row r="137" spans="1:13" x14ac:dyDescent="0.25">
      <c r="A137">
        <v>7</v>
      </c>
      <c r="B137" t="s">
        <v>29</v>
      </c>
      <c r="C137" t="s">
        <v>11</v>
      </c>
      <c r="D137">
        <v>87</v>
      </c>
      <c r="E137">
        <v>75</v>
      </c>
      <c r="F137">
        <v>0.53700000000000003</v>
      </c>
      <c r="G137">
        <v>12</v>
      </c>
      <c r="H137">
        <v>865</v>
      </c>
      <c r="I137">
        <v>774</v>
      </c>
      <c r="J137">
        <v>91</v>
      </c>
    </row>
    <row r="138" spans="1:13" x14ac:dyDescent="0.25">
      <c r="A138">
        <v>7</v>
      </c>
      <c r="B138" t="s">
        <v>30</v>
      </c>
      <c r="C138" t="s">
        <v>14</v>
      </c>
      <c r="D138">
        <v>82</v>
      </c>
      <c r="E138">
        <v>80</v>
      </c>
      <c r="F138">
        <v>0.50600000000000001</v>
      </c>
      <c r="G138">
        <v>35</v>
      </c>
      <c r="H138">
        <v>751</v>
      </c>
      <c r="I138">
        <v>801</v>
      </c>
      <c r="J138">
        <v>-50</v>
      </c>
    </row>
    <row r="139" spans="1:13" x14ac:dyDescent="0.25">
      <c r="A139">
        <v>7</v>
      </c>
      <c r="B139" t="s">
        <v>32</v>
      </c>
      <c r="C139" t="s">
        <v>24</v>
      </c>
      <c r="D139">
        <v>81</v>
      </c>
      <c r="E139">
        <v>81</v>
      </c>
      <c r="F139">
        <v>0.5</v>
      </c>
      <c r="G139">
        <v>21</v>
      </c>
      <c r="H139">
        <v>849</v>
      </c>
      <c r="I139">
        <v>836</v>
      </c>
      <c r="J139">
        <v>13</v>
      </c>
    </row>
    <row r="140" spans="1:13" x14ac:dyDescent="0.25">
      <c r="A140">
        <v>7</v>
      </c>
      <c r="B140" t="s">
        <v>30</v>
      </c>
      <c r="C140" t="s">
        <v>15</v>
      </c>
      <c r="D140">
        <v>77</v>
      </c>
      <c r="E140">
        <v>85</v>
      </c>
      <c r="F140">
        <v>0.47499999999999998</v>
      </c>
      <c r="G140">
        <v>40</v>
      </c>
      <c r="H140">
        <v>1042</v>
      </c>
      <c r="I140">
        <v>1106</v>
      </c>
      <c r="J140">
        <v>-64</v>
      </c>
    </row>
    <row r="141" spans="1:13" x14ac:dyDescent="0.25">
      <c r="A141">
        <v>7</v>
      </c>
      <c r="B141" t="s">
        <v>32</v>
      </c>
      <c r="C141" t="s">
        <v>25</v>
      </c>
      <c r="D141">
        <v>72</v>
      </c>
      <c r="E141">
        <v>90</v>
      </c>
      <c r="F141">
        <v>0.44400000000000001</v>
      </c>
      <c r="G141">
        <v>30</v>
      </c>
      <c r="H141">
        <v>771</v>
      </c>
      <c r="I141">
        <v>869</v>
      </c>
      <c r="J141">
        <v>-98</v>
      </c>
    </row>
    <row r="142" spans="1:13" x14ac:dyDescent="0.25">
      <c r="A142">
        <v>7</v>
      </c>
      <c r="B142" t="s">
        <v>30</v>
      </c>
      <c r="C142" t="s">
        <v>13</v>
      </c>
      <c r="D142">
        <v>117</v>
      </c>
      <c r="E142">
        <v>45</v>
      </c>
      <c r="F142">
        <v>0.72199999999999998</v>
      </c>
      <c r="G142">
        <v>0</v>
      </c>
      <c r="H142">
        <v>1017</v>
      </c>
      <c r="I142">
        <v>658</v>
      </c>
      <c r="J142">
        <v>359</v>
      </c>
      <c r="K142">
        <v>1</v>
      </c>
    </row>
    <row r="143" spans="1:13" x14ac:dyDescent="0.25">
      <c r="A143">
        <v>8</v>
      </c>
      <c r="B143" t="s">
        <v>31</v>
      </c>
      <c r="C143" t="s">
        <v>18</v>
      </c>
      <c r="D143">
        <v>104</v>
      </c>
      <c r="E143">
        <v>58</v>
      </c>
      <c r="F143">
        <v>0.64200000000000002</v>
      </c>
      <c r="G143">
        <v>0</v>
      </c>
      <c r="H143">
        <v>1040</v>
      </c>
      <c r="I143">
        <v>781</v>
      </c>
      <c r="J143">
        <v>259</v>
      </c>
      <c r="L143">
        <v>1</v>
      </c>
    </row>
    <row r="144" spans="1:13" x14ac:dyDescent="0.25">
      <c r="A144">
        <v>8</v>
      </c>
      <c r="B144" t="s">
        <v>29</v>
      </c>
      <c r="C144" t="s">
        <v>10</v>
      </c>
      <c r="D144">
        <v>91</v>
      </c>
      <c r="E144">
        <v>71</v>
      </c>
      <c r="F144">
        <v>0.56200000000000006</v>
      </c>
      <c r="G144">
        <v>2</v>
      </c>
      <c r="H144">
        <v>986</v>
      </c>
      <c r="I144">
        <v>864</v>
      </c>
      <c r="J144">
        <v>122</v>
      </c>
      <c r="M144">
        <v>1</v>
      </c>
    </row>
    <row r="145" spans="1:13" x14ac:dyDescent="0.25">
      <c r="A145">
        <v>8</v>
      </c>
      <c r="B145" t="s">
        <v>30</v>
      </c>
      <c r="C145" t="s">
        <v>15</v>
      </c>
      <c r="D145">
        <v>74</v>
      </c>
      <c r="E145">
        <v>88</v>
      </c>
      <c r="F145">
        <v>0.45700000000000002</v>
      </c>
      <c r="G145">
        <v>32</v>
      </c>
      <c r="H145">
        <v>1056</v>
      </c>
      <c r="I145">
        <v>1165</v>
      </c>
      <c r="J145">
        <v>-109</v>
      </c>
    </row>
    <row r="146" spans="1:13" x14ac:dyDescent="0.25">
      <c r="A146">
        <v>8</v>
      </c>
      <c r="B146" t="s">
        <v>31</v>
      </c>
      <c r="C146" t="s">
        <v>21</v>
      </c>
      <c r="D146">
        <v>60</v>
      </c>
      <c r="E146">
        <v>102</v>
      </c>
      <c r="F146">
        <v>0.37</v>
      </c>
      <c r="G146">
        <v>44</v>
      </c>
      <c r="H146">
        <v>757</v>
      </c>
      <c r="I146">
        <v>977</v>
      </c>
      <c r="J146">
        <v>-220</v>
      </c>
    </row>
    <row r="147" spans="1:13" x14ac:dyDescent="0.25">
      <c r="A147">
        <v>8</v>
      </c>
      <c r="B147" t="s">
        <v>32</v>
      </c>
      <c r="C147" t="s">
        <v>23</v>
      </c>
      <c r="D147">
        <v>113</v>
      </c>
      <c r="E147">
        <v>49</v>
      </c>
      <c r="F147">
        <v>0.69799999999999995</v>
      </c>
      <c r="G147">
        <v>0</v>
      </c>
      <c r="H147">
        <v>989</v>
      </c>
      <c r="I147">
        <v>675</v>
      </c>
      <c r="J147">
        <v>314</v>
      </c>
      <c r="K147">
        <v>1</v>
      </c>
    </row>
    <row r="148" spans="1:13" x14ac:dyDescent="0.25">
      <c r="A148">
        <v>8</v>
      </c>
      <c r="B148" t="s">
        <v>30</v>
      </c>
      <c r="C148" t="s">
        <v>13</v>
      </c>
      <c r="D148">
        <v>106</v>
      </c>
      <c r="E148">
        <v>56</v>
      </c>
      <c r="F148">
        <v>0.65400000000000003</v>
      </c>
      <c r="G148">
        <v>0</v>
      </c>
      <c r="H148">
        <v>951</v>
      </c>
      <c r="I148">
        <v>709</v>
      </c>
      <c r="J148">
        <v>242</v>
      </c>
      <c r="K148">
        <v>1</v>
      </c>
    </row>
    <row r="149" spans="1:13" x14ac:dyDescent="0.25">
      <c r="A149">
        <v>8</v>
      </c>
      <c r="B149" t="s">
        <v>32</v>
      </c>
      <c r="C149" t="s">
        <v>27</v>
      </c>
      <c r="D149">
        <v>78</v>
      </c>
      <c r="E149">
        <v>84</v>
      </c>
      <c r="F149">
        <v>0.48099999999999998</v>
      </c>
      <c r="G149">
        <v>35</v>
      </c>
      <c r="H149">
        <v>801</v>
      </c>
      <c r="I149">
        <v>882</v>
      </c>
      <c r="J149">
        <v>-81</v>
      </c>
    </row>
    <row r="150" spans="1:13" x14ac:dyDescent="0.25">
      <c r="A150">
        <v>8</v>
      </c>
      <c r="B150" t="s">
        <v>29</v>
      </c>
      <c r="C150" t="s">
        <v>12</v>
      </c>
      <c r="D150">
        <v>75</v>
      </c>
      <c r="E150">
        <v>87</v>
      </c>
      <c r="F150">
        <v>0.46300000000000002</v>
      </c>
      <c r="G150">
        <v>18</v>
      </c>
      <c r="H150">
        <v>792</v>
      </c>
      <c r="I150">
        <v>909</v>
      </c>
      <c r="J150">
        <v>-117</v>
      </c>
    </row>
    <row r="151" spans="1:13" x14ac:dyDescent="0.25">
      <c r="A151">
        <v>8</v>
      </c>
      <c r="B151" t="s">
        <v>30</v>
      </c>
      <c r="C151" t="s">
        <v>14</v>
      </c>
      <c r="D151">
        <v>71</v>
      </c>
      <c r="E151">
        <v>91</v>
      </c>
      <c r="F151">
        <v>0.438</v>
      </c>
      <c r="G151">
        <v>35</v>
      </c>
      <c r="H151">
        <v>697</v>
      </c>
      <c r="I151">
        <v>847</v>
      </c>
      <c r="J151">
        <v>-150</v>
      </c>
    </row>
    <row r="152" spans="1:13" x14ac:dyDescent="0.25">
      <c r="A152">
        <v>8</v>
      </c>
      <c r="B152" t="s">
        <v>30</v>
      </c>
      <c r="C152" t="s">
        <v>16</v>
      </c>
      <c r="D152">
        <v>68</v>
      </c>
      <c r="E152">
        <v>94</v>
      </c>
      <c r="F152">
        <v>0.42</v>
      </c>
      <c r="G152">
        <v>38</v>
      </c>
      <c r="H152">
        <v>881</v>
      </c>
      <c r="I152">
        <v>1016</v>
      </c>
      <c r="J152">
        <v>-135</v>
      </c>
    </row>
    <row r="153" spans="1:13" x14ac:dyDescent="0.25">
      <c r="A153">
        <v>8</v>
      </c>
      <c r="B153" t="s">
        <v>31</v>
      </c>
      <c r="C153" t="s">
        <v>22</v>
      </c>
      <c r="D153">
        <v>59</v>
      </c>
      <c r="E153">
        <v>103</v>
      </c>
      <c r="F153">
        <v>0.36399999999999999</v>
      </c>
      <c r="G153">
        <v>45</v>
      </c>
      <c r="H153">
        <v>876</v>
      </c>
      <c r="I153">
        <v>1082</v>
      </c>
      <c r="J153">
        <v>-206</v>
      </c>
    </row>
    <row r="154" spans="1:13" x14ac:dyDescent="0.25">
      <c r="A154">
        <v>8</v>
      </c>
      <c r="B154" t="s">
        <v>29</v>
      </c>
      <c r="C154" t="s">
        <v>8</v>
      </c>
      <c r="D154">
        <v>93</v>
      </c>
      <c r="E154">
        <v>69</v>
      </c>
      <c r="F154">
        <v>0.57399999999999995</v>
      </c>
      <c r="G154">
        <v>0</v>
      </c>
      <c r="H154">
        <v>881</v>
      </c>
      <c r="I154">
        <v>657</v>
      </c>
      <c r="J154">
        <v>224</v>
      </c>
      <c r="L154">
        <v>1</v>
      </c>
    </row>
    <row r="155" spans="1:13" x14ac:dyDescent="0.25">
      <c r="A155">
        <v>8</v>
      </c>
      <c r="B155" t="s">
        <v>30</v>
      </c>
      <c r="C155" t="s">
        <v>17</v>
      </c>
      <c r="D155">
        <v>47</v>
      </c>
      <c r="E155">
        <v>115</v>
      </c>
      <c r="F155">
        <v>0.28999999999999998</v>
      </c>
      <c r="G155">
        <v>59</v>
      </c>
      <c r="H155">
        <v>640</v>
      </c>
      <c r="I155">
        <v>986</v>
      </c>
      <c r="J155">
        <v>-346</v>
      </c>
    </row>
    <row r="156" spans="1:13" x14ac:dyDescent="0.25">
      <c r="A156">
        <v>8</v>
      </c>
      <c r="B156" t="s">
        <v>31</v>
      </c>
      <c r="C156" t="s">
        <v>19</v>
      </c>
      <c r="D156">
        <v>89</v>
      </c>
      <c r="E156">
        <v>73</v>
      </c>
      <c r="F156">
        <v>0.54900000000000004</v>
      </c>
      <c r="G156">
        <v>15</v>
      </c>
      <c r="H156">
        <v>942</v>
      </c>
      <c r="I156">
        <v>863</v>
      </c>
      <c r="J156">
        <v>79</v>
      </c>
      <c r="M156">
        <v>1</v>
      </c>
    </row>
    <row r="157" spans="1:13" x14ac:dyDescent="0.25">
      <c r="A157">
        <v>8</v>
      </c>
      <c r="B157" t="s">
        <v>29</v>
      </c>
      <c r="C157" t="s">
        <v>11</v>
      </c>
      <c r="D157">
        <v>88</v>
      </c>
      <c r="E157">
        <v>74</v>
      </c>
      <c r="F157">
        <v>0.54300000000000004</v>
      </c>
      <c r="G157">
        <v>5</v>
      </c>
      <c r="H157">
        <v>890</v>
      </c>
      <c r="I157">
        <v>832</v>
      </c>
      <c r="J157">
        <v>58</v>
      </c>
    </row>
    <row r="158" spans="1:13" x14ac:dyDescent="0.25">
      <c r="A158">
        <v>8</v>
      </c>
      <c r="B158" t="s">
        <v>29</v>
      </c>
      <c r="C158" t="s">
        <v>9</v>
      </c>
      <c r="D158">
        <v>84</v>
      </c>
      <c r="E158">
        <v>78</v>
      </c>
      <c r="F158">
        <v>0.51900000000000002</v>
      </c>
      <c r="G158">
        <v>9</v>
      </c>
      <c r="H158">
        <v>933</v>
      </c>
      <c r="I158">
        <v>856</v>
      </c>
      <c r="J158">
        <v>77</v>
      </c>
    </row>
    <row r="159" spans="1:13" x14ac:dyDescent="0.25">
      <c r="A159">
        <v>8</v>
      </c>
      <c r="B159" t="s">
        <v>31</v>
      </c>
      <c r="C159" t="s">
        <v>20</v>
      </c>
      <c r="D159">
        <v>83</v>
      </c>
      <c r="E159">
        <v>79</v>
      </c>
      <c r="F159">
        <v>0.51200000000000001</v>
      </c>
      <c r="G159">
        <v>21</v>
      </c>
      <c r="H159">
        <v>923</v>
      </c>
      <c r="I159">
        <v>906</v>
      </c>
      <c r="J159">
        <v>17</v>
      </c>
    </row>
    <row r="160" spans="1:13" x14ac:dyDescent="0.25">
      <c r="A160">
        <v>8</v>
      </c>
      <c r="B160" t="s">
        <v>32</v>
      </c>
      <c r="C160" t="s">
        <v>24</v>
      </c>
      <c r="D160">
        <v>80</v>
      </c>
      <c r="E160">
        <v>82</v>
      </c>
      <c r="F160">
        <v>0.49399999999999999</v>
      </c>
      <c r="G160">
        <v>33</v>
      </c>
      <c r="H160">
        <v>823</v>
      </c>
      <c r="I160">
        <v>811</v>
      </c>
      <c r="J160">
        <v>12</v>
      </c>
    </row>
    <row r="161" spans="1:13" x14ac:dyDescent="0.25">
      <c r="A161">
        <v>8</v>
      </c>
      <c r="B161" t="s">
        <v>32</v>
      </c>
      <c r="C161" t="s">
        <v>25</v>
      </c>
      <c r="D161">
        <v>79</v>
      </c>
      <c r="E161">
        <v>83</v>
      </c>
      <c r="F161">
        <v>0.48799999999999999</v>
      </c>
      <c r="G161">
        <v>34</v>
      </c>
      <c r="H161">
        <v>814</v>
      </c>
      <c r="I161">
        <v>863</v>
      </c>
      <c r="J161">
        <v>-49</v>
      </c>
    </row>
    <row r="162" spans="1:13" x14ac:dyDescent="0.25">
      <c r="A162">
        <v>8</v>
      </c>
      <c r="B162" t="s">
        <v>32</v>
      </c>
      <c r="C162" t="s">
        <v>26</v>
      </c>
      <c r="D162">
        <v>78</v>
      </c>
      <c r="E162">
        <v>84</v>
      </c>
      <c r="F162">
        <v>0.48099999999999998</v>
      </c>
      <c r="G162">
        <v>35</v>
      </c>
      <c r="H162">
        <v>842</v>
      </c>
      <c r="I162">
        <v>833</v>
      </c>
      <c r="J162">
        <v>9</v>
      </c>
    </row>
    <row r="163" spans="1:13" x14ac:dyDescent="0.25">
      <c r="A163">
        <v>9</v>
      </c>
      <c r="B163" t="s">
        <v>32</v>
      </c>
      <c r="C163" t="s">
        <v>23</v>
      </c>
      <c r="D163">
        <v>106</v>
      </c>
      <c r="E163">
        <v>56</v>
      </c>
      <c r="F163">
        <v>0.65400000000000003</v>
      </c>
      <c r="G163">
        <v>0</v>
      </c>
      <c r="H163">
        <v>1021</v>
      </c>
      <c r="I163">
        <v>722</v>
      </c>
      <c r="J163">
        <v>299</v>
      </c>
      <c r="K163">
        <v>1</v>
      </c>
    </row>
    <row r="164" spans="1:13" x14ac:dyDescent="0.25">
      <c r="A164">
        <v>9</v>
      </c>
      <c r="B164" t="s">
        <v>31</v>
      </c>
      <c r="C164" t="s">
        <v>20</v>
      </c>
      <c r="D164">
        <v>98</v>
      </c>
      <c r="E164">
        <v>64</v>
      </c>
      <c r="F164">
        <v>0.60499999999999998</v>
      </c>
      <c r="G164">
        <v>7</v>
      </c>
      <c r="H164">
        <v>1018</v>
      </c>
      <c r="I164">
        <v>872</v>
      </c>
      <c r="J164">
        <v>146</v>
      </c>
      <c r="M164">
        <v>1</v>
      </c>
    </row>
    <row r="165" spans="1:13" x14ac:dyDescent="0.25">
      <c r="A165">
        <v>9</v>
      </c>
      <c r="B165" t="s">
        <v>31</v>
      </c>
      <c r="C165" t="s">
        <v>19</v>
      </c>
      <c r="D165">
        <v>94</v>
      </c>
      <c r="E165">
        <v>68</v>
      </c>
      <c r="F165">
        <v>0.57999999999999996</v>
      </c>
      <c r="G165">
        <v>11</v>
      </c>
      <c r="H165">
        <v>950</v>
      </c>
      <c r="I165">
        <v>797</v>
      </c>
      <c r="J165">
        <v>153</v>
      </c>
      <c r="M165">
        <v>1</v>
      </c>
    </row>
    <row r="166" spans="1:13" x14ac:dyDescent="0.25">
      <c r="A166">
        <v>9</v>
      </c>
      <c r="B166" t="s">
        <v>29</v>
      </c>
      <c r="C166" t="s">
        <v>10</v>
      </c>
      <c r="D166">
        <v>85</v>
      </c>
      <c r="E166">
        <v>77</v>
      </c>
      <c r="F166">
        <v>0.52500000000000002</v>
      </c>
      <c r="G166">
        <v>14</v>
      </c>
      <c r="H166">
        <v>879</v>
      </c>
      <c r="I166">
        <v>779</v>
      </c>
      <c r="J166">
        <v>100</v>
      </c>
    </row>
    <row r="167" spans="1:13" x14ac:dyDescent="0.25">
      <c r="A167">
        <v>9</v>
      </c>
      <c r="B167" t="s">
        <v>29</v>
      </c>
      <c r="C167" t="s">
        <v>11</v>
      </c>
      <c r="D167">
        <v>83</v>
      </c>
      <c r="E167">
        <v>79</v>
      </c>
      <c r="F167">
        <v>0.51200000000000001</v>
      </c>
      <c r="G167">
        <v>16</v>
      </c>
      <c r="H167">
        <v>927</v>
      </c>
      <c r="I167">
        <v>811</v>
      </c>
      <c r="J167">
        <v>116</v>
      </c>
    </row>
    <row r="168" spans="1:13" x14ac:dyDescent="0.25">
      <c r="A168">
        <v>9</v>
      </c>
      <c r="B168" t="s">
        <v>30</v>
      </c>
      <c r="C168" t="s">
        <v>15</v>
      </c>
      <c r="D168">
        <v>75</v>
      </c>
      <c r="E168">
        <v>87</v>
      </c>
      <c r="F168">
        <v>0.46300000000000002</v>
      </c>
      <c r="G168">
        <v>40</v>
      </c>
      <c r="H168">
        <v>1058</v>
      </c>
      <c r="I168">
        <v>1114</v>
      </c>
      <c r="J168">
        <v>-56</v>
      </c>
    </row>
    <row r="169" spans="1:13" x14ac:dyDescent="0.25">
      <c r="A169">
        <v>9</v>
      </c>
      <c r="B169" t="s">
        <v>32</v>
      </c>
      <c r="C169" t="s">
        <v>26</v>
      </c>
      <c r="D169">
        <v>74</v>
      </c>
      <c r="E169">
        <v>88</v>
      </c>
      <c r="F169">
        <v>0.45700000000000002</v>
      </c>
      <c r="G169">
        <v>32</v>
      </c>
      <c r="H169">
        <v>728</v>
      </c>
      <c r="I169">
        <v>858</v>
      </c>
      <c r="J169">
        <v>-130</v>
      </c>
    </row>
    <row r="170" spans="1:13" x14ac:dyDescent="0.25">
      <c r="A170">
        <v>9</v>
      </c>
      <c r="B170" t="s">
        <v>29</v>
      </c>
      <c r="C170" t="s">
        <v>12</v>
      </c>
      <c r="D170">
        <v>73</v>
      </c>
      <c r="E170">
        <v>89</v>
      </c>
      <c r="F170">
        <v>0.45100000000000001</v>
      </c>
      <c r="G170">
        <v>26</v>
      </c>
      <c r="H170">
        <v>770</v>
      </c>
      <c r="I170">
        <v>899</v>
      </c>
      <c r="J170">
        <v>-129</v>
      </c>
    </row>
    <row r="171" spans="1:13" x14ac:dyDescent="0.25">
      <c r="A171">
        <v>9</v>
      </c>
      <c r="B171" t="s">
        <v>32</v>
      </c>
      <c r="C171" t="s">
        <v>27</v>
      </c>
      <c r="D171">
        <v>64</v>
      </c>
      <c r="E171">
        <v>98</v>
      </c>
      <c r="F171">
        <v>0.39500000000000002</v>
      </c>
      <c r="G171">
        <v>42</v>
      </c>
      <c r="H171">
        <v>748</v>
      </c>
      <c r="I171">
        <v>900</v>
      </c>
      <c r="J171">
        <v>-152</v>
      </c>
    </row>
    <row r="172" spans="1:13" x14ac:dyDescent="0.25">
      <c r="A172">
        <v>9</v>
      </c>
      <c r="B172" t="s">
        <v>31</v>
      </c>
      <c r="C172" t="s">
        <v>21</v>
      </c>
      <c r="D172">
        <v>62</v>
      </c>
      <c r="E172">
        <v>100</v>
      </c>
      <c r="F172">
        <v>0.38300000000000001</v>
      </c>
      <c r="G172">
        <v>43</v>
      </c>
      <c r="H172">
        <v>795</v>
      </c>
      <c r="I172">
        <v>982</v>
      </c>
      <c r="J172">
        <v>-187</v>
      </c>
    </row>
    <row r="173" spans="1:13" x14ac:dyDescent="0.25">
      <c r="A173">
        <v>9</v>
      </c>
      <c r="B173" t="s">
        <v>30</v>
      </c>
      <c r="C173" t="s">
        <v>16</v>
      </c>
      <c r="D173">
        <v>59</v>
      </c>
      <c r="E173">
        <v>103</v>
      </c>
      <c r="F173">
        <v>0.36399999999999999</v>
      </c>
      <c r="G173">
        <v>56</v>
      </c>
      <c r="H173">
        <v>813</v>
      </c>
      <c r="I173">
        <v>1010</v>
      </c>
      <c r="J173">
        <v>-197</v>
      </c>
    </row>
    <row r="174" spans="1:13" x14ac:dyDescent="0.25">
      <c r="A174">
        <v>9</v>
      </c>
      <c r="B174" t="s">
        <v>31</v>
      </c>
      <c r="C174" t="s">
        <v>22</v>
      </c>
      <c r="D174">
        <v>56</v>
      </c>
      <c r="E174">
        <v>106</v>
      </c>
      <c r="F174">
        <v>0.34599999999999997</v>
      </c>
      <c r="G174">
        <v>49</v>
      </c>
      <c r="H174">
        <v>755</v>
      </c>
      <c r="I174">
        <v>1038</v>
      </c>
      <c r="J174">
        <v>-283</v>
      </c>
    </row>
    <row r="175" spans="1:13" x14ac:dyDescent="0.25">
      <c r="A175">
        <v>9</v>
      </c>
      <c r="B175" t="s">
        <v>30</v>
      </c>
      <c r="C175" t="s">
        <v>17</v>
      </c>
      <c r="D175">
        <v>49</v>
      </c>
      <c r="E175">
        <v>113</v>
      </c>
      <c r="F175">
        <v>0.30199999999999999</v>
      </c>
      <c r="G175">
        <v>66</v>
      </c>
      <c r="H175">
        <v>665</v>
      </c>
      <c r="I175">
        <v>1054</v>
      </c>
      <c r="J175">
        <v>-389</v>
      </c>
    </row>
    <row r="176" spans="1:13" x14ac:dyDescent="0.25">
      <c r="A176">
        <v>9</v>
      </c>
      <c r="B176" t="s">
        <v>31</v>
      </c>
      <c r="C176" t="s">
        <v>18</v>
      </c>
      <c r="D176">
        <v>105</v>
      </c>
      <c r="E176">
        <v>57</v>
      </c>
      <c r="F176">
        <v>0.64800000000000002</v>
      </c>
      <c r="G176">
        <v>0</v>
      </c>
      <c r="H176">
        <v>1059</v>
      </c>
      <c r="I176">
        <v>785</v>
      </c>
      <c r="J176">
        <v>274</v>
      </c>
      <c r="L176">
        <v>1</v>
      </c>
    </row>
    <row r="177" spans="1:13" x14ac:dyDescent="0.25">
      <c r="A177">
        <v>9</v>
      </c>
      <c r="B177" t="s">
        <v>29</v>
      </c>
      <c r="C177" t="s">
        <v>8</v>
      </c>
      <c r="D177">
        <v>99</v>
      </c>
      <c r="E177">
        <v>63</v>
      </c>
      <c r="F177">
        <v>0.61099999999999999</v>
      </c>
      <c r="G177">
        <v>0</v>
      </c>
      <c r="H177">
        <v>916</v>
      </c>
      <c r="I177">
        <v>682</v>
      </c>
      <c r="J177">
        <v>234</v>
      </c>
      <c r="L177">
        <v>1</v>
      </c>
    </row>
    <row r="178" spans="1:13" x14ac:dyDescent="0.25">
      <c r="A178">
        <v>9</v>
      </c>
      <c r="B178" t="s">
        <v>29</v>
      </c>
      <c r="C178" t="s">
        <v>9</v>
      </c>
      <c r="D178">
        <v>74</v>
      </c>
      <c r="E178">
        <v>88</v>
      </c>
      <c r="F178">
        <v>0.45700000000000002</v>
      </c>
      <c r="G178">
        <v>25</v>
      </c>
      <c r="H178">
        <v>831</v>
      </c>
      <c r="I178">
        <v>927</v>
      </c>
      <c r="J178">
        <v>-96</v>
      </c>
    </row>
    <row r="179" spans="1:13" x14ac:dyDescent="0.25">
      <c r="A179">
        <v>9</v>
      </c>
      <c r="B179" t="s">
        <v>30</v>
      </c>
      <c r="C179" t="s">
        <v>14</v>
      </c>
      <c r="D179">
        <v>74</v>
      </c>
      <c r="E179">
        <v>88</v>
      </c>
      <c r="F179">
        <v>0.45700000000000002</v>
      </c>
      <c r="G179">
        <v>41</v>
      </c>
      <c r="H179">
        <v>797</v>
      </c>
      <c r="I179">
        <v>861</v>
      </c>
      <c r="J179">
        <v>-64</v>
      </c>
    </row>
    <row r="180" spans="1:13" x14ac:dyDescent="0.25">
      <c r="A180">
        <v>9</v>
      </c>
      <c r="B180" t="s">
        <v>32</v>
      </c>
      <c r="C180" t="s">
        <v>24</v>
      </c>
      <c r="D180">
        <v>88</v>
      </c>
      <c r="E180">
        <v>74</v>
      </c>
      <c r="F180">
        <v>0.54300000000000004</v>
      </c>
      <c r="G180">
        <v>18</v>
      </c>
      <c r="H180">
        <v>836</v>
      </c>
      <c r="I180">
        <v>779</v>
      </c>
      <c r="J180">
        <v>57</v>
      </c>
    </row>
    <row r="181" spans="1:13" x14ac:dyDescent="0.25">
      <c r="A181">
        <v>9</v>
      </c>
      <c r="B181" t="s">
        <v>32</v>
      </c>
      <c r="C181" t="s">
        <v>25</v>
      </c>
      <c r="D181">
        <v>87</v>
      </c>
      <c r="E181">
        <v>75</v>
      </c>
      <c r="F181">
        <v>0.53700000000000003</v>
      </c>
      <c r="G181">
        <v>19</v>
      </c>
      <c r="H181">
        <v>783</v>
      </c>
      <c r="I181">
        <v>805</v>
      </c>
      <c r="J181">
        <v>-22</v>
      </c>
    </row>
    <row r="182" spans="1:13" x14ac:dyDescent="0.25">
      <c r="A182">
        <v>9</v>
      </c>
      <c r="B182" t="s">
        <v>30</v>
      </c>
      <c r="C182" t="s">
        <v>13</v>
      </c>
      <c r="D182">
        <v>115</v>
      </c>
      <c r="E182">
        <v>47</v>
      </c>
      <c r="F182">
        <v>0.71</v>
      </c>
      <c r="G182">
        <v>0</v>
      </c>
      <c r="H182">
        <v>1002</v>
      </c>
      <c r="I182">
        <v>676</v>
      </c>
      <c r="J182">
        <v>326</v>
      </c>
      <c r="K182">
        <v>1</v>
      </c>
    </row>
    <row r="183" spans="1:13" x14ac:dyDescent="0.25">
      <c r="A183">
        <v>10</v>
      </c>
      <c r="B183" t="s">
        <v>31</v>
      </c>
      <c r="C183" t="s">
        <v>19</v>
      </c>
      <c r="D183">
        <v>100</v>
      </c>
      <c r="E183">
        <v>62</v>
      </c>
      <c r="F183">
        <v>0.61699999999999999</v>
      </c>
      <c r="G183">
        <v>17</v>
      </c>
      <c r="H183">
        <v>1059</v>
      </c>
      <c r="I183">
        <v>783</v>
      </c>
      <c r="J183">
        <v>276</v>
      </c>
      <c r="M183">
        <v>1</v>
      </c>
    </row>
    <row r="184" spans="1:13" x14ac:dyDescent="0.25">
      <c r="A184">
        <v>10</v>
      </c>
      <c r="B184" t="s">
        <v>29</v>
      </c>
      <c r="C184" t="s">
        <v>10</v>
      </c>
      <c r="D184">
        <v>87</v>
      </c>
      <c r="E184">
        <v>75</v>
      </c>
      <c r="F184">
        <v>0.53700000000000003</v>
      </c>
      <c r="G184">
        <v>8</v>
      </c>
      <c r="H184">
        <v>934</v>
      </c>
      <c r="I184">
        <v>827</v>
      </c>
      <c r="J184">
        <v>107</v>
      </c>
    </row>
    <row r="185" spans="1:13" x14ac:dyDescent="0.25">
      <c r="A185">
        <v>10</v>
      </c>
      <c r="B185" t="s">
        <v>32</v>
      </c>
      <c r="C185" t="s">
        <v>25</v>
      </c>
      <c r="D185">
        <v>80</v>
      </c>
      <c r="E185">
        <v>82</v>
      </c>
      <c r="F185">
        <v>0.49399999999999999</v>
      </c>
      <c r="G185">
        <v>24</v>
      </c>
      <c r="H185">
        <v>811</v>
      </c>
      <c r="I185">
        <v>840</v>
      </c>
      <c r="J185">
        <v>-29</v>
      </c>
    </row>
    <row r="186" spans="1:13" x14ac:dyDescent="0.25">
      <c r="A186">
        <v>10</v>
      </c>
      <c r="B186" t="s">
        <v>31</v>
      </c>
      <c r="C186" t="s">
        <v>20</v>
      </c>
      <c r="D186">
        <v>76</v>
      </c>
      <c r="E186">
        <v>86</v>
      </c>
      <c r="F186">
        <v>0.46899999999999997</v>
      </c>
      <c r="G186">
        <v>41</v>
      </c>
      <c r="H186">
        <v>912</v>
      </c>
      <c r="I186">
        <v>982</v>
      </c>
      <c r="J186">
        <v>-70</v>
      </c>
    </row>
    <row r="187" spans="1:13" x14ac:dyDescent="0.25">
      <c r="A187">
        <v>10</v>
      </c>
      <c r="B187" t="s">
        <v>32</v>
      </c>
      <c r="C187" t="s">
        <v>24</v>
      </c>
      <c r="D187">
        <v>73</v>
      </c>
      <c r="E187">
        <v>89</v>
      </c>
      <c r="F187">
        <v>0.45100000000000001</v>
      </c>
      <c r="G187">
        <v>31</v>
      </c>
      <c r="H187">
        <v>788</v>
      </c>
      <c r="I187">
        <v>844</v>
      </c>
      <c r="J187">
        <v>-56</v>
      </c>
    </row>
    <row r="188" spans="1:13" x14ac:dyDescent="0.25">
      <c r="A188">
        <v>10</v>
      </c>
      <c r="B188" t="s">
        <v>31</v>
      </c>
      <c r="C188" t="s">
        <v>21</v>
      </c>
      <c r="D188">
        <v>58</v>
      </c>
      <c r="E188">
        <v>104</v>
      </c>
      <c r="F188">
        <v>0.35799999999999998</v>
      </c>
      <c r="G188">
        <v>59</v>
      </c>
      <c r="H188">
        <v>766</v>
      </c>
      <c r="I188">
        <v>1007</v>
      </c>
      <c r="J188">
        <v>-241</v>
      </c>
    </row>
    <row r="189" spans="1:13" x14ac:dyDescent="0.25">
      <c r="A189">
        <v>10</v>
      </c>
      <c r="B189" t="s">
        <v>32</v>
      </c>
      <c r="C189" t="s">
        <v>23</v>
      </c>
      <c r="D189">
        <v>104</v>
      </c>
      <c r="E189">
        <v>58</v>
      </c>
      <c r="F189">
        <v>0.64200000000000002</v>
      </c>
      <c r="G189">
        <v>0</v>
      </c>
      <c r="H189">
        <v>922</v>
      </c>
      <c r="I189">
        <v>718</v>
      </c>
      <c r="J189">
        <v>204</v>
      </c>
      <c r="L189">
        <v>1</v>
      </c>
    </row>
    <row r="190" spans="1:13" x14ac:dyDescent="0.25">
      <c r="A190">
        <v>10</v>
      </c>
      <c r="B190" t="s">
        <v>30</v>
      </c>
      <c r="C190" t="s">
        <v>14</v>
      </c>
      <c r="D190">
        <v>75</v>
      </c>
      <c r="E190">
        <v>87</v>
      </c>
      <c r="F190">
        <v>0.46300000000000002</v>
      </c>
      <c r="G190">
        <v>41</v>
      </c>
      <c r="H190">
        <v>836</v>
      </c>
      <c r="I190">
        <v>858</v>
      </c>
      <c r="J190">
        <v>-22</v>
      </c>
    </row>
    <row r="191" spans="1:13" x14ac:dyDescent="0.25">
      <c r="A191">
        <v>10</v>
      </c>
      <c r="B191" t="s">
        <v>29</v>
      </c>
      <c r="C191" t="s">
        <v>12</v>
      </c>
      <c r="D191">
        <v>72</v>
      </c>
      <c r="E191">
        <v>90</v>
      </c>
      <c r="F191">
        <v>0.44400000000000001</v>
      </c>
      <c r="G191">
        <v>23</v>
      </c>
      <c r="H191">
        <v>809</v>
      </c>
      <c r="I191">
        <v>911</v>
      </c>
      <c r="J191">
        <v>-102</v>
      </c>
    </row>
    <row r="192" spans="1:13" x14ac:dyDescent="0.25">
      <c r="A192">
        <v>10</v>
      </c>
      <c r="B192" t="s">
        <v>30</v>
      </c>
      <c r="C192" t="s">
        <v>16</v>
      </c>
      <c r="D192">
        <v>67</v>
      </c>
      <c r="E192">
        <v>95</v>
      </c>
      <c r="F192">
        <v>0.41399999999999998</v>
      </c>
      <c r="G192">
        <v>49</v>
      </c>
      <c r="H192">
        <v>800</v>
      </c>
      <c r="I192">
        <v>993</v>
      </c>
      <c r="J192">
        <v>-193</v>
      </c>
    </row>
    <row r="193" spans="1:13" x14ac:dyDescent="0.25">
      <c r="A193">
        <v>10</v>
      </c>
      <c r="B193" t="s">
        <v>31</v>
      </c>
      <c r="C193" t="s">
        <v>22</v>
      </c>
      <c r="D193">
        <v>60</v>
      </c>
      <c r="E193">
        <v>102</v>
      </c>
      <c r="F193">
        <v>0.37</v>
      </c>
      <c r="G193">
        <v>57</v>
      </c>
      <c r="H193">
        <v>814</v>
      </c>
      <c r="I193">
        <v>1052</v>
      </c>
      <c r="J193">
        <v>-238</v>
      </c>
    </row>
    <row r="194" spans="1:13" x14ac:dyDescent="0.25">
      <c r="A194">
        <v>10</v>
      </c>
      <c r="B194" t="s">
        <v>30</v>
      </c>
      <c r="C194" t="s">
        <v>17</v>
      </c>
      <c r="D194">
        <v>44</v>
      </c>
      <c r="E194">
        <v>118</v>
      </c>
      <c r="F194">
        <v>0.27200000000000002</v>
      </c>
      <c r="G194">
        <v>72</v>
      </c>
      <c r="H194">
        <v>572</v>
      </c>
      <c r="I194">
        <v>987</v>
      </c>
      <c r="J194">
        <v>-415</v>
      </c>
    </row>
    <row r="195" spans="1:13" x14ac:dyDescent="0.25">
      <c r="A195">
        <v>10</v>
      </c>
      <c r="B195" t="s">
        <v>29</v>
      </c>
      <c r="C195" t="s">
        <v>8</v>
      </c>
      <c r="D195">
        <v>92</v>
      </c>
      <c r="E195">
        <v>70</v>
      </c>
      <c r="F195">
        <v>0.56799999999999995</v>
      </c>
      <c r="G195">
        <v>3</v>
      </c>
      <c r="H195">
        <v>805</v>
      </c>
      <c r="I195">
        <v>695</v>
      </c>
      <c r="J195">
        <v>110</v>
      </c>
      <c r="M195">
        <v>1</v>
      </c>
    </row>
    <row r="196" spans="1:13" x14ac:dyDescent="0.25">
      <c r="A196">
        <v>10</v>
      </c>
      <c r="B196" t="s">
        <v>32</v>
      </c>
      <c r="C196" t="s">
        <v>27</v>
      </c>
      <c r="D196">
        <v>77</v>
      </c>
      <c r="E196">
        <v>85</v>
      </c>
      <c r="F196">
        <v>0.47499999999999998</v>
      </c>
      <c r="G196">
        <v>27</v>
      </c>
      <c r="H196">
        <v>810</v>
      </c>
      <c r="I196">
        <v>812</v>
      </c>
      <c r="J196">
        <v>-2</v>
      </c>
    </row>
    <row r="197" spans="1:13" x14ac:dyDescent="0.25">
      <c r="A197">
        <v>10</v>
      </c>
      <c r="B197" t="s">
        <v>30</v>
      </c>
      <c r="C197" t="s">
        <v>15</v>
      </c>
      <c r="D197">
        <v>64</v>
      </c>
      <c r="E197">
        <v>98</v>
      </c>
      <c r="F197">
        <v>0.39500000000000002</v>
      </c>
      <c r="G197">
        <v>52</v>
      </c>
      <c r="H197">
        <v>979</v>
      </c>
      <c r="I197">
        <v>1191</v>
      </c>
      <c r="J197">
        <v>-212</v>
      </c>
    </row>
    <row r="198" spans="1:13" x14ac:dyDescent="0.25">
      <c r="A198">
        <v>10</v>
      </c>
      <c r="B198" t="s">
        <v>29</v>
      </c>
      <c r="C198" t="s">
        <v>9</v>
      </c>
      <c r="D198">
        <v>95</v>
      </c>
      <c r="E198">
        <v>67</v>
      </c>
      <c r="F198">
        <v>0.58599999999999997</v>
      </c>
      <c r="G198">
        <v>0</v>
      </c>
      <c r="H198">
        <v>998</v>
      </c>
      <c r="I198">
        <v>841</v>
      </c>
      <c r="J198">
        <v>157</v>
      </c>
      <c r="L198">
        <v>1</v>
      </c>
    </row>
    <row r="199" spans="1:13" x14ac:dyDescent="0.25">
      <c r="A199">
        <v>10</v>
      </c>
      <c r="B199" t="s">
        <v>29</v>
      </c>
      <c r="C199" t="s">
        <v>11</v>
      </c>
      <c r="D199">
        <v>91</v>
      </c>
      <c r="E199">
        <v>71</v>
      </c>
      <c r="F199">
        <v>0.56200000000000006</v>
      </c>
      <c r="G199">
        <v>4</v>
      </c>
      <c r="H199">
        <v>869</v>
      </c>
      <c r="I199">
        <v>744</v>
      </c>
      <c r="J199">
        <v>125</v>
      </c>
    </row>
    <row r="200" spans="1:13" x14ac:dyDescent="0.25">
      <c r="A200">
        <v>10</v>
      </c>
      <c r="B200" t="s">
        <v>32</v>
      </c>
      <c r="C200" t="s">
        <v>26</v>
      </c>
      <c r="D200">
        <v>72</v>
      </c>
      <c r="E200">
        <v>90</v>
      </c>
      <c r="F200">
        <v>0.44400000000000001</v>
      </c>
      <c r="G200">
        <v>32</v>
      </c>
      <c r="H200">
        <v>782</v>
      </c>
      <c r="I200">
        <v>878</v>
      </c>
      <c r="J200">
        <v>-96</v>
      </c>
    </row>
    <row r="201" spans="1:13" x14ac:dyDescent="0.25">
      <c r="A201">
        <v>10</v>
      </c>
      <c r="B201" t="s">
        <v>31</v>
      </c>
      <c r="C201" t="s">
        <v>18</v>
      </c>
      <c r="D201">
        <v>117</v>
      </c>
      <c r="E201">
        <v>45</v>
      </c>
      <c r="F201">
        <v>0.72199999999999998</v>
      </c>
      <c r="G201">
        <v>0</v>
      </c>
      <c r="H201">
        <v>1052</v>
      </c>
      <c r="I201">
        <v>693</v>
      </c>
      <c r="J201">
        <v>359</v>
      </c>
      <c r="K201">
        <v>1</v>
      </c>
    </row>
    <row r="202" spans="1:13" x14ac:dyDescent="0.25">
      <c r="A202">
        <v>10</v>
      </c>
      <c r="B202" t="s">
        <v>30</v>
      </c>
      <c r="C202" t="s">
        <v>13</v>
      </c>
      <c r="D202">
        <v>116</v>
      </c>
      <c r="E202">
        <v>46</v>
      </c>
      <c r="F202">
        <v>0.71599999999999997</v>
      </c>
      <c r="G202">
        <v>0</v>
      </c>
      <c r="H202">
        <v>1033</v>
      </c>
      <c r="I202">
        <v>695</v>
      </c>
      <c r="J202">
        <v>338</v>
      </c>
      <c r="K202">
        <v>1</v>
      </c>
    </row>
    <row r="203" spans="1:13" x14ac:dyDescent="0.25">
      <c r="A203">
        <v>11</v>
      </c>
      <c r="B203" t="s">
        <v>30</v>
      </c>
      <c r="C203" t="s">
        <v>13</v>
      </c>
      <c r="D203">
        <v>108</v>
      </c>
      <c r="E203">
        <v>54</v>
      </c>
      <c r="F203">
        <v>0.66700000000000004</v>
      </c>
      <c r="G203">
        <v>0</v>
      </c>
      <c r="H203">
        <v>1013</v>
      </c>
      <c r="I203">
        <v>735</v>
      </c>
      <c r="J203">
        <v>278</v>
      </c>
      <c r="K203">
        <v>1</v>
      </c>
    </row>
    <row r="204" spans="1:13" x14ac:dyDescent="0.25">
      <c r="A204">
        <v>11</v>
      </c>
      <c r="B204" t="s">
        <v>29</v>
      </c>
      <c r="C204" t="s">
        <v>11</v>
      </c>
      <c r="D204">
        <v>96</v>
      </c>
      <c r="E204">
        <v>66</v>
      </c>
      <c r="F204">
        <v>0.59299999999999997</v>
      </c>
      <c r="G204">
        <v>0</v>
      </c>
      <c r="H204">
        <v>917</v>
      </c>
      <c r="I204">
        <v>788</v>
      </c>
      <c r="J204">
        <v>129</v>
      </c>
      <c r="L204">
        <v>0.5</v>
      </c>
      <c r="M204">
        <v>0.5</v>
      </c>
    </row>
    <row r="205" spans="1:13" x14ac:dyDescent="0.25">
      <c r="A205">
        <v>11</v>
      </c>
      <c r="B205" t="s">
        <v>30</v>
      </c>
      <c r="C205" t="s">
        <v>15</v>
      </c>
      <c r="D205">
        <v>77</v>
      </c>
      <c r="E205">
        <v>85</v>
      </c>
      <c r="F205">
        <v>0.47499999999999998</v>
      </c>
      <c r="G205">
        <v>31</v>
      </c>
      <c r="H205">
        <v>975</v>
      </c>
      <c r="I205">
        <v>1093</v>
      </c>
      <c r="J205">
        <v>-118</v>
      </c>
    </row>
    <row r="206" spans="1:13" x14ac:dyDescent="0.25">
      <c r="A206">
        <v>11</v>
      </c>
      <c r="B206" t="s">
        <v>32</v>
      </c>
      <c r="C206" t="s">
        <v>27</v>
      </c>
      <c r="D206">
        <v>74</v>
      </c>
      <c r="E206">
        <v>88</v>
      </c>
      <c r="F206">
        <v>0.45700000000000002</v>
      </c>
      <c r="G206">
        <v>24</v>
      </c>
      <c r="H206">
        <v>799</v>
      </c>
      <c r="I206">
        <v>838</v>
      </c>
      <c r="J206">
        <v>-39</v>
      </c>
    </row>
    <row r="207" spans="1:13" x14ac:dyDescent="0.25">
      <c r="A207">
        <v>11</v>
      </c>
      <c r="B207" t="s">
        <v>32</v>
      </c>
      <c r="C207" t="s">
        <v>25</v>
      </c>
      <c r="D207">
        <v>64</v>
      </c>
      <c r="E207">
        <v>98</v>
      </c>
      <c r="F207">
        <v>0.39500000000000002</v>
      </c>
      <c r="G207">
        <v>34</v>
      </c>
      <c r="H207">
        <v>758</v>
      </c>
      <c r="I207">
        <v>926</v>
      </c>
      <c r="J207">
        <v>-168</v>
      </c>
    </row>
    <row r="208" spans="1:13" x14ac:dyDescent="0.25">
      <c r="A208">
        <v>11</v>
      </c>
      <c r="B208" t="s">
        <v>31</v>
      </c>
      <c r="C208" t="s">
        <v>21</v>
      </c>
      <c r="D208">
        <v>56</v>
      </c>
      <c r="E208">
        <v>106</v>
      </c>
      <c r="F208">
        <v>0.34599999999999997</v>
      </c>
      <c r="G208">
        <v>45</v>
      </c>
      <c r="H208">
        <v>790</v>
      </c>
      <c r="I208">
        <v>1000</v>
      </c>
      <c r="J208">
        <v>-210</v>
      </c>
    </row>
    <row r="209" spans="1:13" x14ac:dyDescent="0.25">
      <c r="A209">
        <v>11</v>
      </c>
      <c r="B209" t="s">
        <v>31</v>
      </c>
      <c r="C209" t="s">
        <v>22</v>
      </c>
      <c r="D209">
        <v>54</v>
      </c>
      <c r="E209">
        <v>108</v>
      </c>
      <c r="F209">
        <v>0.33300000000000002</v>
      </c>
      <c r="G209">
        <v>47</v>
      </c>
      <c r="H209">
        <v>773</v>
      </c>
      <c r="I209">
        <v>1061</v>
      </c>
      <c r="J209">
        <v>-288</v>
      </c>
    </row>
    <row r="210" spans="1:13" x14ac:dyDescent="0.25">
      <c r="A210">
        <v>11</v>
      </c>
      <c r="B210" t="s">
        <v>32</v>
      </c>
      <c r="C210" t="s">
        <v>24</v>
      </c>
      <c r="D210">
        <v>98</v>
      </c>
      <c r="E210">
        <v>64</v>
      </c>
      <c r="F210">
        <v>0.60499999999999998</v>
      </c>
      <c r="G210">
        <v>0</v>
      </c>
      <c r="H210">
        <v>902</v>
      </c>
      <c r="I210">
        <v>772</v>
      </c>
      <c r="J210">
        <v>130</v>
      </c>
      <c r="L210">
        <v>1</v>
      </c>
    </row>
    <row r="211" spans="1:13" x14ac:dyDescent="0.25">
      <c r="A211">
        <v>11</v>
      </c>
      <c r="B211" t="s">
        <v>29</v>
      </c>
      <c r="C211" t="s">
        <v>10</v>
      </c>
      <c r="D211">
        <v>96</v>
      </c>
      <c r="E211">
        <v>66</v>
      </c>
      <c r="F211">
        <v>0.59299999999999997</v>
      </c>
      <c r="G211">
        <v>0</v>
      </c>
      <c r="H211">
        <v>1037</v>
      </c>
      <c r="I211">
        <v>861</v>
      </c>
      <c r="J211">
        <v>176</v>
      </c>
      <c r="L211">
        <v>0.5</v>
      </c>
      <c r="M211">
        <v>0.5</v>
      </c>
    </row>
    <row r="212" spans="1:13" x14ac:dyDescent="0.25">
      <c r="A212">
        <v>11</v>
      </c>
      <c r="B212" t="s">
        <v>30</v>
      </c>
      <c r="C212" t="s">
        <v>16</v>
      </c>
      <c r="D212">
        <v>72</v>
      </c>
      <c r="E212">
        <v>90</v>
      </c>
      <c r="F212">
        <v>0.44400000000000001</v>
      </c>
      <c r="G212">
        <v>36</v>
      </c>
      <c r="H212">
        <v>882</v>
      </c>
      <c r="I212">
        <v>867</v>
      </c>
      <c r="J212">
        <v>15</v>
      </c>
    </row>
    <row r="213" spans="1:13" x14ac:dyDescent="0.25">
      <c r="A213">
        <v>11</v>
      </c>
      <c r="B213" t="s">
        <v>32</v>
      </c>
      <c r="C213" t="s">
        <v>26</v>
      </c>
      <c r="D213">
        <v>68</v>
      </c>
      <c r="E213">
        <v>94</v>
      </c>
      <c r="F213">
        <v>0.42</v>
      </c>
      <c r="G213">
        <v>30</v>
      </c>
      <c r="H213">
        <v>694</v>
      </c>
      <c r="I213">
        <v>872</v>
      </c>
      <c r="J213">
        <v>-178</v>
      </c>
    </row>
    <row r="214" spans="1:13" x14ac:dyDescent="0.25">
      <c r="A214">
        <v>11</v>
      </c>
      <c r="B214" t="s">
        <v>29</v>
      </c>
      <c r="C214" t="s">
        <v>12</v>
      </c>
      <c r="D214">
        <v>92</v>
      </c>
      <c r="E214">
        <v>70</v>
      </c>
      <c r="F214">
        <v>0.56799999999999995</v>
      </c>
      <c r="G214">
        <v>4</v>
      </c>
      <c r="H214">
        <v>877</v>
      </c>
      <c r="I214">
        <v>831</v>
      </c>
      <c r="J214">
        <v>46</v>
      </c>
    </row>
    <row r="215" spans="1:13" x14ac:dyDescent="0.25">
      <c r="A215">
        <v>11</v>
      </c>
      <c r="B215" t="s">
        <v>30</v>
      </c>
      <c r="C215" t="s">
        <v>17</v>
      </c>
      <c r="D215">
        <v>45</v>
      </c>
      <c r="E215">
        <v>117</v>
      </c>
      <c r="F215">
        <v>0.27800000000000002</v>
      </c>
      <c r="G215">
        <v>63</v>
      </c>
      <c r="H215">
        <v>632</v>
      </c>
      <c r="I215">
        <v>1064</v>
      </c>
      <c r="J215">
        <v>-432</v>
      </c>
    </row>
    <row r="216" spans="1:13" x14ac:dyDescent="0.25">
      <c r="A216">
        <v>11</v>
      </c>
      <c r="B216" t="s">
        <v>31</v>
      </c>
      <c r="C216" t="s">
        <v>19</v>
      </c>
      <c r="D216">
        <v>101</v>
      </c>
      <c r="E216">
        <v>61</v>
      </c>
      <c r="F216">
        <v>0.623</v>
      </c>
      <c r="G216">
        <v>0</v>
      </c>
      <c r="H216">
        <v>955</v>
      </c>
      <c r="I216">
        <v>794</v>
      </c>
      <c r="J216">
        <v>161</v>
      </c>
      <c r="K216">
        <v>1</v>
      </c>
    </row>
    <row r="217" spans="1:13" x14ac:dyDescent="0.25">
      <c r="A217">
        <v>11</v>
      </c>
      <c r="B217" t="s">
        <v>31</v>
      </c>
      <c r="C217" t="s">
        <v>18</v>
      </c>
      <c r="D217">
        <v>99</v>
      </c>
      <c r="E217">
        <v>63</v>
      </c>
      <c r="F217">
        <v>0.61099999999999999</v>
      </c>
      <c r="G217">
        <v>2</v>
      </c>
      <c r="H217">
        <v>932</v>
      </c>
      <c r="I217">
        <v>768</v>
      </c>
      <c r="J217">
        <v>164</v>
      </c>
      <c r="M217">
        <v>1</v>
      </c>
    </row>
    <row r="218" spans="1:13" x14ac:dyDescent="0.25">
      <c r="A218">
        <v>11</v>
      </c>
      <c r="B218" t="s">
        <v>29</v>
      </c>
      <c r="C218" t="s">
        <v>9</v>
      </c>
      <c r="D218">
        <v>91</v>
      </c>
      <c r="E218">
        <v>71</v>
      </c>
      <c r="F218">
        <v>0.56200000000000006</v>
      </c>
      <c r="G218">
        <v>5</v>
      </c>
      <c r="H218">
        <v>984</v>
      </c>
      <c r="I218">
        <v>815</v>
      </c>
      <c r="J218">
        <v>169</v>
      </c>
    </row>
    <row r="219" spans="1:13" x14ac:dyDescent="0.25">
      <c r="A219">
        <v>11</v>
      </c>
      <c r="B219" t="s">
        <v>32</v>
      </c>
      <c r="C219" t="s">
        <v>23</v>
      </c>
      <c r="D219">
        <v>89</v>
      </c>
      <c r="E219">
        <v>73</v>
      </c>
      <c r="F219">
        <v>0.54900000000000004</v>
      </c>
      <c r="G219">
        <v>9</v>
      </c>
      <c r="H219">
        <v>869</v>
      </c>
      <c r="I219">
        <v>767</v>
      </c>
      <c r="J219">
        <v>102</v>
      </c>
    </row>
    <row r="220" spans="1:13" x14ac:dyDescent="0.25">
      <c r="A220">
        <v>11</v>
      </c>
      <c r="B220" t="s">
        <v>29</v>
      </c>
      <c r="C220" t="s">
        <v>8</v>
      </c>
      <c r="D220">
        <v>85</v>
      </c>
      <c r="E220">
        <v>77</v>
      </c>
      <c r="F220">
        <v>0.52500000000000002</v>
      </c>
      <c r="G220">
        <v>11</v>
      </c>
      <c r="H220">
        <v>833</v>
      </c>
      <c r="I220">
        <v>726</v>
      </c>
      <c r="J220">
        <v>107</v>
      </c>
    </row>
    <row r="221" spans="1:13" x14ac:dyDescent="0.25">
      <c r="A221">
        <v>11</v>
      </c>
      <c r="B221" t="s">
        <v>31</v>
      </c>
      <c r="C221" t="s">
        <v>20</v>
      </c>
      <c r="D221">
        <v>84</v>
      </c>
      <c r="E221">
        <v>78</v>
      </c>
      <c r="F221">
        <v>0.51900000000000002</v>
      </c>
      <c r="G221">
        <v>17</v>
      </c>
      <c r="H221">
        <v>995</v>
      </c>
      <c r="I221">
        <v>945</v>
      </c>
      <c r="J221">
        <v>50</v>
      </c>
    </row>
    <row r="222" spans="1:13" x14ac:dyDescent="0.25">
      <c r="A222">
        <v>11</v>
      </c>
      <c r="B222" t="s">
        <v>30</v>
      </c>
      <c r="C222" t="s">
        <v>14</v>
      </c>
      <c r="D222">
        <v>71</v>
      </c>
      <c r="E222">
        <v>91</v>
      </c>
      <c r="F222">
        <v>0.438</v>
      </c>
      <c r="G222">
        <v>37</v>
      </c>
      <c r="H222">
        <v>784</v>
      </c>
      <c r="I222">
        <v>878</v>
      </c>
      <c r="J222">
        <v>-94</v>
      </c>
    </row>
    <row r="223" spans="1:13" x14ac:dyDescent="0.25">
      <c r="A223">
        <v>12</v>
      </c>
      <c r="B223" t="s">
        <v>29</v>
      </c>
      <c r="C223" t="s">
        <v>8</v>
      </c>
      <c r="D223">
        <v>94</v>
      </c>
      <c r="E223">
        <v>68</v>
      </c>
      <c r="F223">
        <v>0.57999999999999996</v>
      </c>
      <c r="G223">
        <v>0</v>
      </c>
      <c r="H223">
        <v>801</v>
      </c>
      <c r="I223">
        <v>637</v>
      </c>
      <c r="J223">
        <v>164</v>
      </c>
      <c r="L223">
        <v>1</v>
      </c>
    </row>
    <row r="224" spans="1:13" x14ac:dyDescent="0.25">
      <c r="A224">
        <v>12</v>
      </c>
      <c r="B224" t="s">
        <v>32</v>
      </c>
      <c r="C224" t="s">
        <v>23</v>
      </c>
      <c r="D224">
        <v>90</v>
      </c>
      <c r="E224">
        <v>72</v>
      </c>
      <c r="F224">
        <v>0.55600000000000005</v>
      </c>
      <c r="G224">
        <v>0</v>
      </c>
      <c r="H224">
        <v>896</v>
      </c>
      <c r="I224">
        <v>834</v>
      </c>
      <c r="J224">
        <v>62</v>
      </c>
      <c r="L224">
        <v>1</v>
      </c>
    </row>
    <row r="225" spans="1:13" x14ac:dyDescent="0.25">
      <c r="A225">
        <v>12</v>
      </c>
      <c r="B225" t="s">
        <v>30</v>
      </c>
      <c r="C225" t="s">
        <v>16</v>
      </c>
      <c r="D225">
        <v>59</v>
      </c>
      <c r="E225">
        <v>103</v>
      </c>
      <c r="F225">
        <v>0.36399999999999999</v>
      </c>
      <c r="G225">
        <v>51</v>
      </c>
      <c r="H225">
        <v>853</v>
      </c>
      <c r="I225">
        <v>1008</v>
      </c>
      <c r="J225">
        <v>-155</v>
      </c>
    </row>
    <row r="226" spans="1:13" x14ac:dyDescent="0.25">
      <c r="A226">
        <v>12</v>
      </c>
      <c r="B226" t="s">
        <v>31</v>
      </c>
      <c r="C226" t="s">
        <v>22</v>
      </c>
      <c r="D226">
        <v>57</v>
      </c>
      <c r="E226">
        <v>105</v>
      </c>
      <c r="F226">
        <v>0.35199999999999998</v>
      </c>
      <c r="G226">
        <v>59</v>
      </c>
      <c r="H226">
        <v>793</v>
      </c>
      <c r="I226">
        <v>1043</v>
      </c>
      <c r="J226">
        <v>-250</v>
      </c>
    </row>
    <row r="227" spans="1:13" x14ac:dyDescent="0.25">
      <c r="A227">
        <v>12</v>
      </c>
      <c r="B227" t="s">
        <v>30</v>
      </c>
      <c r="C227" t="s">
        <v>15</v>
      </c>
      <c r="D227">
        <v>71</v>
      </c>
      <c r="E227">
        <v>91</v>
      </c>
      <c r="F227">
        <v>0.438</v>
      </c>
      <c r="G227">
        <v>39</v>
      </c>
      <c r="H227">
        <v>1056</v>
      </c>
      <c r="I227">
        <v>1213</v>
      </c>
      <c r="J227">
        <v>-157</v>
      </c>
    </row>
    <row r="228" spans="1:13" x14ac:dyDescent="0.25">
      <c r="A228">
        <v>12</v>
      </c>
      <c r="B228" t="s">
        <v>32</v>
      </c>
      <c r="C228" t="s">
        <v>27</v>
      </c>
      <c r="D228">
        <v>70</v>
      </c>
      <c r="E228">
        <v>92</v>
      </c>
      <c r="F228">
        <v>0.432</v>
      </c>
      <c r="G228">
        <v>20</v>
      </c>
      <c r="H228">
        <v>876</v>
      </c>
      <c r="I228">
        <v>914</v>
      </c>
      <c r="J228">
        <v>-38</v>
      </c>
    </row>
    <row r="229" spans="1:13" x14ac:dyDescent="0.25">
      <c r="A229">
        <v>12</v>
      </c>
      <c r="B229" t="s">
        <v>31</v>
      </c>
      <c r="C229" t="s">
        <v>19</v>
      </c>
      <c r="D229">
        <v>99</v>
      </c>
      <c r="E229">
        <v>63</v>
      </c>
      <c r="F229">
        <v>0.61099999999999999</v>
      </c>
      <c r="G229">
        <v>17</v>
      </c>
      <c r="H229">
        <v>979</v>
      </c>
      <c r="I229">
        <v>773</v>
      </c>
      <c r="J229">
        <v>206</v>
      </c>
      <c r="M229">
        <v>1</v>
      </c>
    </row>
    <row r="230" spans="1:13" x14ac:dyDescent="0.25">
      <c r="A230">
        <v>12</v>
      </c>
      <c r="B230" t="s">
        <v>30</v>
      </c>
      <c r="C230" t="s">
        <v>14</v>
      </c>
      <c r="D230">
        <v>79</v>
      </c>
      <c r="E230">
        <v>83</v>
      </c>
      <c r="F230">
        <v>0.48799999999999999</v>
      </c>
      <c r="G230">
        <v>31</v>
      </c>
      <c r="H230">
        <v>780</v>
      </c>
      <c r="I230">
        <v>829</v>
      </c>
      <c r="J230">
        <v>-49</v>
      </c>
    </row>
    <row r="231" spans="1:13" x14ac:dyDescent="0.25">
      <c r="A231">
        <v>12</v>
      </c>
      <c r="B231" t="s">
        <v>30</v>
      </c>
      <c r="C231" t="s">
        <v>17</v>
      </c>
      <c r="D231">
        <v>42</v>
      </c>
      <c r="E231">
        <v>120</v>
      </c>
      <c r="F231">
        <v>0.25900000000000001</v>
      </c>
      <c r="G231">
        <v>68</v>
      </c>
      <c r="H231">
        <v>667</v>
      </c>
      <c r="I231">
        <v>1018</v>
      </c>
      <c r="J231">
        <v>-351</v>
      </c>
    </row>
    <row r="232" spans="1:13" x14ac:dyDescent="0.25">
      <c r="A232">
        <v>12</v>
      </c>
      <c r="B232" t="s">
        <v>29</v>
      </c>
      <c r="C232" t="s">
        <v>9</v>
      </c>
      <c r="D232">
        <v>93</v>
      </c>
      <c r="E232">
        <v>69</v>
      </c>
      <c r="F232">
        <v>0.57399999999999995</v>
      </c>
      <c r="G232">
        <v>1</v>
      </c>
      <c r="H232">
        <v>927</v>
      </c>
      <c r="I232">
        <v>872</v>
      </c>
      <c r="J232">
        <v>55</v>
      </c>
      <c r="M232">
        <v>1</v>
      </c>
    </row>
    <row r="233" spans="1:13" x14ac:dyDescent="0.25">
      <c r="A233">
        <v>12</v>
      </c>
      <c r="B233" t="s">
        <v>29</v>
      </c>
      <c r="C233" t="s">
        <v>10</v>
      </c>
      <c r="D233">
        <v>89</v>
      </c>
      <c r="E233">
        <v>73</v>
      </c>
      <c r="F233">
        <v>0.54900000000000004</v>
      </c>
      <c r="G233">
        <v>5</v>
      </c>
      <c r="H233">
        <v>1007</v>
      </c>
      <c r="I233">
        <v>835</v>
      </c>
      <c r="J233">
        <v>172</v>
      </c>
    </row>
    <row r="234" spans="1:13" x14ac:dyDescent="0.25">
      <c r="A234">
        <v>12</v>
      </c>
      <c r="B234" t="s">
        <v>31</v>
      </c>
      <c r="C234" t="s">
        <v>20</v>
      </c>
      <c r="D234">
        <v>84</v>
      </c>
      <c r="E234">
        <v>78</v>
      </c>
      <c r="F234">
        <v>0.51900000000000002</v>
      </c>
      <c r="G234">
        <v>32</v>
      </c>
      <c r="H234">
        <v>973</v>
      </c>
      <c r="I234">
        <v>943</v>
      </c>
      <c r="J234">
        <v>30</v>
      </c>
    </row>
    <row r="235" spans="1:13" x14ac:dyDescent="0.25">
      <c r="A235">
        <v>12</v>
      </c>
      <c r="B235" t="s">
        <v>29</v>
      </c>
      <c r="C235" t="s">
        <v>11</v>
      </c>
      <c r="D235">
        <v>83</v>
      </c>
      <c r="E235">
        <v>79</v>
      </c>
      <c r="F235">
        <v>0.51200000000000001</v>
      </c>
      <c r="G235">
        <v>11</v>
      </c>
      <c r="H235">
        <v>834</v>
      </c>
      <c r="I235">
        <v>828</v>
      </c>
      <c r="J235">
        <v>6</v>
      </c>
    </row>
    <row r="236" spans="1:13" x14ac:dyDescent="0.25">
      <c r="A236">
        <v>12</v>
      </c>
      <c r="B236" t="s">
        <v>31</v>
      </c>
      <c r="C236" t="s">
        <v>21</v>
      </c>
      <c r="D236">
        <v>83</v>
      </c>
      <c r="E236">
        <v>79</v>
      </c>
      <c r="F236">
        <v>0.51200000000000001</v>
      </c>
      <c r="G236">
        <v>33</v>
      </c>
      <c r="H236">
        <v>831</v>
      </c>
      <c r="I236">
        <v>901</v>
      </c>
      <c r="J236">
        <v>-70</v>
      </c>
    </row>
    <row r="237" spans="1:13" x14ac:dyDescent="0.25">
      <c r="A237">
        <v>12</v>
      </c>
      <c r="B237" t="s">
        <v>32</v>
      </c>
      <c r="C237" t="s">
        <v>24</v>
      </c>
      <c r="D237">
        <v>82</v>
      </c>
      <c r="E237">
        <v>80</v>
      </c>
      <c r="F237">
        <v>0.50600000000000001</v>
      </c>
      <c r="G237">
        <v>8</v>
      </c>
      <c r="H237">
        <v>834</v>
      </c>
      <c r="I237">
        <v>839</v>
      </c>
      <c r="J237">
        <v>-5</v>
      </c>
    </row>
    <row r="238" spans="1:13" x14ac:dyDescent="0.25">
      <c r="A238">
        <v>12</v>
      </c>
      <c r="B238" t="s">
        <v>29</v>
      </c>
      <c r="C238" t="s">
        <v>12</v>
      </c>
      <c r="D238">
        <v>73</v>
      </c>
      <c r="E238">
        <v>89</v>
      </c>
      <c r="F238">
        <v>0.45100000000000001</v>
      </c>
      <c r="G238">
        <v>21</v>
      </c>
      <c r="H238">
        <v>751</v>
      </c>
      <c r="I238">
        <v>808</v>
      </c>
      <c r="J238">
        <v>-57</v>
      </c>
    </row>
    <row r="239" spans="1:13" x14ac:dyDescent="0.25">
      <c r="A239">
        <v>12</v>
      </c>
      <c r="B239" t="s">
        <v>32</v>
      </c>
      <c r="C239" t="s">
        <v>25</v>
      </c>
      <c r="D239">
        <v>73</v>
      </c>
      <c r="E239">
        <v>89</v>
      </c>
      <c r="F239">
        <v>0.45100000000000001</v>
      </c>
      <c r="G239">
        <v>17</v>
      </c>
      <c r="H239">
        <v>843</v>
      </c>
      <c r="I239">
        <v>952</v>
      </c>
      <c r="J239">
        <v>-109</v>
      </c>
    </row>
    <row r="240" spans="1:13" x14ac:dyDescent="0.25">
      <c r="A240">
        <v>12</v>
      </c>
      <c r="B240" t="s">
        <v>32</v>
      </c>
      <c r="C240" t="s">
        <v>26</v>
      </c>
      <c r="D240">
        <v>73</v>
      </c>
      <c r="E240">
        <v>89</v>
      </c>
      <c r="F240">
        <v>0.45100000000000001</v>
      </c>
      <c r="G240">
        <v>17</v>
      </c>
      <c r="H240">
        <v>794</v>
      </c>
      <c r="I240">
        <v>850</v>
      </c>
      <c r="J240">
        <v>-56</v>
      </c>
    </row>
    <row r="241" spans="1:13" x14ac:dyDescent="0.25">
      <c r="A241">
        <v>12</v>
      </c>
      <c r="B241" t="s">
        <v>31</v>
      </c>
      <c r="C241" t="s">
        <v>18</v>
      </c>
      <c r="D241">
        <v>116</v>
      </c>
      <c r="E241">
        <v>46</v>
      </c>
      <c r="F241">
        <v>0.71599999999999997</v>
      </c>
      <c r="G241">
        <v>0</v>
      </c>
      <c r="H241">
        <v>1031</v>
      </c>
      <c r="I241">
        <v>747</v>
      </c>
      <c r="J241">
        <v>284</v>
      </c>
      <c r="K241">
        <v>1</v>
      </c>
    </row>
    <row r="242" spans="1:13" x14ac:dyDescent="0.25">
      <c r="A242">
        <v>12</v>
      </c>
      <c r="B242" t="s">
        <v>30</v>
      </c>
      <c r="C242" t="s">
        <v>13</v>
      </c>
      <c r="D242">
        <v>110</v>
      </c>
      <c r="E242">
        <v>52</v>
      </c>
      <c r="F242">
        <v>0.67900000000000005</v>
      </c>
      <c r="G242">
        <v>0</v>
      </c>
      <c r="H242">
        <v>1047</v>
      </c>
      <c r="I242">
        <v>729</v>
      </c>
      <c r="J242">
        <v>318</v>
      </c>
      <c r="K242">
        <v>1</v>
      </c>
    </row>
    <row r="243" spans="1:13" x14ac:dyDescent="0.25">
      <c r="A243">
        <v>13</v>
      </c>
      <c r="B243" t="s">
        <v>30</v>
      </c>
      <c r="C243" t="s">
        <v>13</v>
      </c>
      <c r="D243">
        <v>109</v>
      </c>
      <c r="E243">
        <v>53</v>
      </c>
      <c r="F243">
        <v>0.67300000000000004</v>
      </c>
      <c r="G243">
        <v>0</v>
      </c>
      <c r="H243">
        <v>1021</v>
      </c>
      <c r="I243">
        <v>700</v>
      </c>
      <c r="J243">
        <v>321</v>
      </c>
      <c r="K243">
        <v>1</v>
      </c>
    </row>
    <row r="244" spans="1:13" x14ac:dyDescent="0.25">
      <c r="A244">
        <v>13</v>
      </c>
      <c r="B244" t="s">
        <v>32</v>
      </c>
      <c r="C244" t="s">
        <v>24</v>
      </c>
      <c r="D244">
        <v>102</v>
      </c>
      <c r="E244">
        <v>60</v>
      </c>
      <c r="F244">
        <v>0.63</v>
      </c>
      <c r="G244">
        <v>0</v>
      </c>
      <c r="H244">
        <v>901</v>
      </c>
      <c r="I244">
        <v>740</v>
      </c>
      <c r="J244">
        <v>161</v>
      </c>
      <c r="L244">
        <v>0.5</v>
      </c>
      <c r="M244">
        <v>0.5</v>
      </c>
    </row>
    <row r="245" spans="1:13" x14ac:dyDescent="0.25">
      <c r="A245">
        <v>13</v>
      </c>
      <c r="B245" t="s">
        <v>31</v>
      </c>
      <c r="C245" t="s">
        <v>19</v>
      </c>
      <c r="D245">
        <v>89</v>
      </c>
      <c r="E245">
        <v>73</v>
      </c>
      <c r="F245">
        <v>0.54900000000000004</v>
      </c>
      <c r="G245">
        <v>18</v>
      </c>
      <c r="H245">
        <v>923</v>
      </c>
      <c r="I245">
        <v>865</v>
      </c>
      <c r="J245">
        <v>58</v>
      </c>
    </row>
    <row r="246" spans="1:13" x14ac:dyDescent="0.25">
      <c r="A246">
        <v>13</v>
      </c>
      <c r="B246" t="s">
        <v>30</v>
      </c>
      <c r="C246" t="s">
        <v>15</v>
      </c>
      <c r="D246">
        <v>69</v>
      </c>
      <c r="E246">
        <v>93</v>
      </c>
      <c r="F246">
        <v>0.42599999999999999</v>
      </c>
      <c r="G246">
        <v>40</v>
      </c>
      <c r="H246">
        <v>1007</v>
      </c>
      <c r="I246">
        <v>1194</v>
      </c>
      <c r="J246">
        <v>-187</v>
      </c>
    </row>
    <row r="247" spans="1:13" x14ac:dyDescent="0.25">
      <c r="A247">
        <v>13</v>
      </c>
      <c r="B247" t="s">
        <v>30</v>
      </c>
      <c r="C247" t="s">
        <v>16</v>
      </c>
      <c r="D247">
        <v>58</v>
      </c>
      <c r="E247">
        <v>104</v>
      </c>
      <c r="F247">
        <v>0.35799999999999998</v>
      </c>
      <c r="G247">
        <v>51</v>
      </c>
      <c r="H247">
        <v>829</v>
      </c>
      <c r="I247">
        <v>1018</v>
      </c>
      <c r="J247">
        <v>-189</v>
      </c>
    </row>
    <row r="248" spans="1:13" x14ac:dyDescent="0.25">
      <c r="A248">
        <v>13</v>
      </c>
      <c r="B248" t="s">
        <v>31</v>
      </c>
      <c r="C248" t="s">
        <v>18</v>
      </c>
      <c r="D248">
        <v>107</v>
      </c>
      <c r="E248">
        <v>55</v>
      </c>
      <c r="F248">
        <v>0.66</v>
      </c>
      <c r="G248">
        <v>0</v>
      </c>
      <c r="H248">
        <v>1051</v>
      </c>
      <c r="I248">
        <v>775</v>
      </c>
      <c r="J248">
        <v>276</v>
      </c>
      <c r="K248">
        <v>1</v>
      </c>
    </row>
    <row r="249" spans="1:13" x14ac:dyDescent="0.25">
      <c r="A249">
        <v>13</v>
      </c>
      <c r="B249" t="s">
        <v>29</v>
      </c>
      <c r="C249" t="s">
        <v>10</v>
      </c>
      <c r="D249">
        <v>102</v>
      </c>
      <c r="E249">
        <v>60</v>
      </c>
      <c r="F249">
        <v>0.63</v>
      </c>
      <c r="G249">
        <v>0</v>
      </c>
      <c r="H249">
        <v>931</v>
      </c>
      <c r="I249">
        <v>791</v>
      </c>
      <c r="J249">
        <v>140</v>
      </c>
      <c r="L249">
        <v>1</v>
      </c>
    </row>
    <row r="250" spans="1:13" x14ac:dyDescent="0.25">
      <c r="A250">
        <v>13</v>
      </c>
      <c r="B250" t="s">
        <v>32</v>
      </c>
      <c r="C250" t="s">
        <v>23</v>
      </c>
      <c r="D250">
        <v>102</v>
      </c>
      <c r="E250">
        <v>60</v>
      </c>
      <c r="F250">
        <v>0.63</v>
      </c>
      <c r="G250">
        <v>0</v>
      </c>
      <c r="H250">
        <v>896</v>
      </c>
      <c r="I250">
        <v>713</v>
      </c>
      <c r="J250">
        <v>183</v>
      </c>
      <c r="L250">
        <v>0.5</v>
      </c>
      <c r="M250">
        <v>0.5</v>
      </c>
    </row>
    <row r="251" spans="1:13" x14ac:dyDescent="0.25">
      <c r="A251">
        <v>13</v>
      </c>
      <c r="B251" t="s">
        <v>31</v>
      </c>
      <c r="C251" t="s">
        <v>21</v>
      </c>
      <c r="D251">
        <v>72</v>
      </c>
      <c r="E251">
        <v>90</v>
      </c>
      <c r="F251">
        <v>0.44400000000000001</v>
      </c>
      <c r="G251">
        <v>35</v>
      </c>
      <c r="H251">
        <v>893</v>
      </c>
      <c r="I251">
        <v>960</v>
      </c>
      <c r="J251">
        <v>-67</v>
      </c>
    </row>
    <row r="252" spans="1:13" x14ac:dyDescent="0.25">
      <c r="A252">
        <v>13</v>
      </c>
      <c r="B252" t="s">
        <v>32</v>
      </c>
      <c r="C252" t="s">
        <v>26</v>
      </c>
      <c r="D252">
        <v>72</v>
      </c>
      <c r="E252">
        <v>90</v>
      </c>
      <c r="F252">
        <v>0.44400000000000001</v>
      </c>
      <c r="G252">
        <v>30</v>
      </c>
      <c r="H252">
        <v>751</v>
      </c>
      <c r="I252">
        <v>838</v>
      </c>
      <c r="J252">
        <v>-87</v>
      </c>
    </row>
    <row r="253" spans="1:13" x14ac:dyDescent="0.25">
      <c r="A253">
        <v>13</v>
      </c>
      <c r="B253" t="s">
        <v>30</v>
      </c>
      <c r="C253" t="s">
        <v>14</v>
      </c>
      <c r="D253">
        <v>66</v>
      </c>
      <c r="E253">
        <v>96</v>
      </c>
      <c r="F253">
        <v>0.40699999999999997</v>
      </c>
      <c r="G253">
        <v>43</v>
      </c>
      <c r="H253">
        <v>748</v>
      </c>
      <c r="I253">
        <v>838</v>
      </c>
      <c r="J253">
        <v>-90</v>
      </c>
    </row>
    <row r="254" spans="1:13" x14ac:dyDescent="0.25">
      <c r="A254">
        <v>13</v>
      </c>
      <c r="B254" t="s">
        <v>30</v>
      </c>
      <c r="C254" t="s">
        <v>17</v>
      </c>
      <c r="D254">
        <v>43</v>
      </c>
      <c r="E254">
        <v>119</v>
      </c>
      <c r="F254">
        <v>0.26500000000000001</v>
      </c>
      <c r="G254">
        <v>66</v>
      </c>
      <c r="H254">
        <v>689</v>
      </c>
      <c r="I254">
        <v>1078</v>
      </c>
      <c r="J254">
        <v>-389</v>
      </c>
    </row>
    <row r="255" spans="1:13" x14ac:dyDescent="0.25">
      <c r="A255">
        <v>13</v>
      </c>
      <c r="B255" t="s">
        <v>29</v>
      </c>
      <c r="C255" t="s">
        <v>8</v>
      </c>
      <c r="D255">
        <v>99</v>
      </c>
      <c r="E255">
        <v>63</v>
      </c>
      <c r="F255">
        <v>0.61099999999999999</v>
      </c>
      <c r="G255">
        <v>3</v>
      </c>
      <c r="H255">
        <v>823</v>
      </c>
      <c r="I255">
        <v>633</v>
      </c>
      <c r="J255">
        <v>190</v>
      </c>
      <c r="M255">
        <v>1</v>
      </c>
    </row>
    <row r="256" spans="1:13" x14ac:dyDescent="0.25">
      <c r="A256">
        <v>13</v>
      </c>
      <c r="B256" t="s">
        <v>32</v>
      </c>
      <c r="C256" t="s">
        <v>25</v>
      </c>
      <c r="D256">
        <v>75</v>
      </c>
      <c r="E256">
        <v>87</v>
      </c>
      <c r="F256">
        <v>0.46300000000000002</v>
      </c>
      <c r="G256">
        <v>27</v>
      </c>
      <c r="H256">
        <v>763</v>
      </c>
      <c r="I256">
        <v>841</v>
      </c>
      <c r="J256">
        <v>-78</v>
      </c>
    </row>
    <row r="257" spans="1:13" x14ac:dyDescent="0.25">
      <c r="A257">
        <v>13</v>
      </c>
      <c r="B257" t="s">
        <v>32</v>
      </c>
      <c r="C257" t="s">
        <v>27</v>
      </c>
      <c r="D257">
        <v>63</v>
      </c>
      <c r="E257">
        <v>99</v>
      </c>
      <c r="F257">
        <v>0.38900000000000001</v>
      </c>
      <c r="G257">
        <v>39</v>
      </c>
      <c r="H257">
        <v>708</v>
      </c>
      <c r="I257">
        <v>894</v>
      </c>
      <c r="J257">
        <v>-186</v>
      </c>
    </row>
    <row r="258" spans="1:13" x14ac:dyDescent="0.25">
      <c r="A258">
        <v>13</v>
      </c>
      <c r="B258" t="s">
        <v>31</v>
      </c>
      <c r="C258" t="s">
        <v>22</v>
      </c>
      <c r="D258">
        <v>57</v>
      </c>
      <c r="E258">
        <v>105</v>
      </c>
      <c r="F258">
        <v>0.35199999999999998</v>
      </c>
      <c r="G258">
        <v>50</v>
      </c>
      <c r="H258">
        <v>760</v>
      </c>
      <c r="I258">
        <v>1034</v>
      </c>
      <c r="J258">
        <v>-274</v>
      </c>
    </row>
    <row r="259" spans="1:13" x14ac:dyDescent="0.25">
      <c r="A259">
        <v>13</v>
      </c>
      <c r="B259" t="s">
        <v>31</v>
      </c>
      <c r="C259" t="s">
        <v>20</v>
      </c>
      <c r="D259">
        <v>93</v>
      </c>
      <c r="E259">
        <v>69</v>
      </c>
      <c r="F259">
        <v>0.57399999999999995</v>
      </c>
      <c r="G259">
        <v>14</v>
      </c>
      <c r="H259">
        <v>995</v>
      </c>
      <c r="I259">
        <v>926</v>
      </c>
      <c r="J259">
        <v>69</v>
      </c>
    </row>
    <row r="260" spans="1:13" x14ac:dyDescent="0.25">
      <c r="A260">
        <v>13</v>
      </c>
      <c r="B260" t="s">
        <v>29</v>
      </c>
      <c r="C260" t="s">
        <v>9</v>
      </c>
      <c r="D260">
        <v>86</v>
      </c>
      <c r="E260">
        <v>76</v>
      </c>
      <c r="F260">
        <v>0.53100000000000003</v>
      </c>
      <c r="G260">
        <v>16</v>
      </c>
      <c r="H260">
        <v>977</v>
      </c>
      <c r="I260">
        <v>854</v>
      </c>
      <c r="J260">
        <v>123</v>
      </c>
    </row>
    <row r="261" spans="1:13" x14ac:dyDescent="0.25">
      <c r="A261">
        <v>13</v>
      </c>
      <c r="B261" t="s">
        <v>29</v>
      </c>
      <c r="C261" t="s">
        <v>11</v>
      </c>
      <c r="D261">
        <v>85</v>
      </c>
      <c r="E261">
        <v>77</v>
      </c>
      <c r="F261">
        <v>0.52500000000000002</v>
      </c>
      <c r="G261">
        <v>17</v>
      </c>
      <c r="H261">
        <v>807</v>
      </c>
      <c r="I261">
        <v>710</v>
      </c>
      <c r="J261">
        <v>97</v>
      </c>
    </row>
    <row r="262" spans="1:13" x14ac:dyDescent="0.25">
      <c r="A262">
        <v>13</v>
      </c>
      <c r="B262" t="s">
        <v>29</v>
      </c>
      <c r="C262" t="s">
        <v>12</v>
      </c>
      <c r="D262">
        <v>71</v>
      </c>
      <c r="E262">
        <v>91</v>
      </c>
      <c r="F262">
        <v>0.438</v>
      </c>
      <c r="G262">
        <v>31</v>
      </c>
      <c r="H262">
        <v>753</v>
      </c>
      <c r="I262">
        <v>824</v>
      </c>
      <c r="J262">
        <v>-71</v>
      </c>
    </row>
    <row r="263" spans="1:13" x14ac:dyDescent="0.25">
      <c r="A263">
        <v>14</v>
      </c>
      <c r="B263" t="s">
        <v>31</v>
      </c>
      <c r="C263" t="s">
        <v>19</v>
      </c>
      <c r="D263">
        <v>106</v>
      </c>
      <c r="E263">
        <v>56</v>
      </c>
      <c r="F263">
        <v>0.65400000000000003</v>
      </c>
      <c r="G263">
        <v>5</v>
      </c>
      <c r="H263">
        <v>1059</v>
      </c>
      <c r="I263">
        <v>765</v>
      </c>
      <c r="J263">
        <v>294</v>
      </c>
      <c r="M263">
        <v>1</v>
      </c>
    </row>
    <row r="264" spans="1:13" x14ac:dyDescent="0.25">
      <c r="A264">
        <v>14</v>
      </c>
      <c r="B264" t="s">
        <v>32</v>
      </c>
      <c r="C264" t="s">
        <v>23</v>
      </c>
      <c r="D264">
        <v>98</v>
      </c>
      <c r="E264">
        <v>64</v>
      </c>
      <c r="F264">
        <v>0.60499999999999998</v>
      </c>
      <c r="G264">
        <v>0</v>
      </c>
      <c r="H264">
        <v>907</v>
      </c>
      <c r="I264">
        <v>755</v>
      </c>
      <c r="J264">
        <v>152</v>
      </c>
      <c r="L264">
        <v>1</v>
      </c>
    </row>
    <row r="265" spans="1:13" x14ac:dyDescent="0.25">
      <c r="A265">
        <v>14</v>
      </c>
      <c r="B265" t="s">
        <v>32</v>
      </c>
      <c r="C265" t="s">
        <v>25</v>
      </c>
      <c r="D265">
        <v>75</v>
      </c>
      <c r="E265">
        <v>87</v>
      </c>
      <c r="F265">
        <v>0.46300000000000002</v>
      </c>
      <c r="G265">
        <v>23</v>
      </c>
      <c r="H265">
        <v>722</v>
      </c>
      <c r="I265">
        <v>868</v>
      </c>
      <c r="J265">
        <v>-146</v>
      </c>
    </row>
    <row r="266" spans="1:13" x14ac:dyDescent="0.25">
      <c r="A266">
        <v>14</v>
      </c>
      <c r="B266" t="s">
        <v>31</v>
      </c>
      <c r="C266" t="s">
        <v>21</v>
      </c>
      <c r="D266">
        <v>62</v>
      </c>
      <c r="E266">
        <v>100</v>
      </c>
      <c r="F266">
        <v>0.38300000000000001</v>
      </c>
      <c r="G266">
        <v>49</v>
      </c>
      <c r="H266">
        <v>801</v>
      </c>
      <c r="I266">
        <v>938</v>
      </c>
      <c r="J266">
        <v>-137</v>
      </c>
    </row>
    <row r="267" spans="1:13" x14ac:dyDescent="0.25">
      <c r="A267">
        <v>14</v>
      </c>
      <c r="B267" t="s">
        <v>30</v>
      </c>
      <c r="C267" t="s">
        <v>17</v>
      </c>
      <c r="D267">
        <v>49</v>
      </c>
      <c r="E267">
        <v>113</v>
      </c>
      <c r="F267">
        <v>0.30199999999999999</v>
      </c>
      <c r="G267">
        <v>53</v>
      </c>
      <c r="H267">
        <v>674</v>
      </c>
      <c r="I267">
        <v>998</v>
      </c>
      <c r="J267">
        <v>-324</v>
      </c>
    </row>
    <row r="268" spans="1:13" x14ac:dyDescent="0.25">
      <c r="A268">
        <v>14</v>
      </c>
      <c r="B268" t="s">
        <v>32</v>
      </c>
      <c r="C268" t="s">
        <v>26</v>
      </c>
      <c r="D268">
        <v>57</v>
      </c>
      <c r="E268">
        <v>105</v>
      </c>
      <c r="F268">
        <v>0.35199999999999998</v>
      </c>
      <c r="G268">
        <v>41</v>
      </c>
      <c r="H268">
        <v>721</v>
      </c>
      <c r="I268">
        <v>883</v>
      </c>
      <c r="J268">
        <v>-162</v>
      </c>
    </row>
    <row r="269" spans="1:13" x14ac:dyDescent="0.25">
      <c r="A269">
        <v>14</v>
      </c>
      <c r="B269" t="s">
        <v>29</v>
      </c>
      <c r="C269" t="s">
        <v>8</v>
      </c>
      <c r="D269">
        <v>105</v>
      </c>
      <c r="E269">
        <v>57</v>
      </c>
      <c r="F269">
        <v>0.64800000000000002</v>
      </c>
      <c r="G269">
        <v>0</v>
      </c>
      <c r="H269">
        <v>889</v>
      </c>
      <c r="I269">
        <v>661</v>
      </c>
      <c r="J269">
        <v>228</v>
      </c>
      <c r="K269">
        <v>1</v>
      </c>
    </row>
    <row r="270" spans="1:13" x14ac:dyDescent="0.25">
      <c r="A270">
        <v>14</v>
      </c>
      <c r="B270" t="s">
        <v>32</v>
      </c>
      <c r="C270" t="s">
        <v>27</v>
      </c>
      <c r="D270">
        <v>66</v>
      </c>
      <c r="E270">
        <v>96</v>
      </c>
      <c r="F270">
        <v>0.40699999999999997</v>
      </c>
      <c r="G270">
        <v>32</v>
      </c>
      <c r="H270">
        <v>763</v>
      </c>
      <c r="I270">
        <v>933</v>
      </c>
      <c r="J270">
        <v>-170</v>
      </c>
    </row>
    <row r="271" spans="1:13" x14ac:dyDescent="0.25">
      <c r="A271">
        <v>14</v>
      </c>
      <c r="B271" t="s">
        <v>30</v>
      </c>
      <c r="C271" t="s">
        <v>15</v>
      </c>
      <c r="D271">
        <v>65</v>
      </c>
      <c r="E271">
        <v>97</v>
      </c>
      <c r="F271">
        <v>0.40100000000000002</v>
      </c>
      <c r="G271">
        <v>37</v>
      </c>
      <c r="H271">
        <v>1043</v>
      </c>
      <c r="I271">
        <v>1154</v>
      </c>
      <c r="J271">
        <v>-111</v>
      </c>
    </row>
    <row r="272" spans="1:13" x14ac:dyDescent="0.25">
      <c r="A272">
        <v>14</v>
      </c>
      <c r="B272" t="s">
        <v>30</v>
      </c>
      <c r="C272" t="s">
        <v>16</v>
      </c>
      <c r="D272">
        <v>63</v>
      </c>
      <c r="E272">
        <v>99</v>
      </c>
      <c r="F272">
        <v>0.38900000000000001</v>
      </c>
      <c r="G272">
        <v>39</v>
      </c>
      <c r="H272">
        <v>869</v>
      </c>
      <c r="I272">
        <v>1006</v>
      </c>
      <c r="J272">
        <v>-137</v>
      </c>
    </row>
    <row r="273" spans="1:13" x14ac:dyDescent="0.25">
      <c r="A273">
        <v>14</v>
      </c>
      <c r="B273" t="s">
        <v>31</v>
      </c>
      <c r="C273" t="s">
        <v>22</v>
      </c>
      <c r="D273">
        <v>61</v>
      </c>
      <c r="E273">
        <v>101</v>
      </c>
      <c r="F273">
        <v>0.377</v>
      </c>
      <c r="G273">
        <v>50</v>
      </c>
      <c r="H273">
        <v>732</v>
      </c>
      <c r="I273">
        <v>969</v>
      </c>
      <c r="J273">
        <v>-237</v>
      </c>
    </row>
    <row r="274" spans="1:13" x14ac:dyDescent="0.25">
      <c r="A274">
        <v>14</v>
      </c>
      <c r="B274" t="s">
        <v>30</v>
      </c>
      <c r="C274" t="s">
        <v>13</v>
      </c>
      <c r="D274">
        <v>102</v>
      </c>
      <c r="E274">
        <v>60</v>
      </c>
      <c r="F274">
        <v>0.63</v>
      </c>
      <c r="G274">
        <v>0</v>
      </c>
      <c r="H274">
        <v>1008</v>
      </c>
      <c r="I274">
        <v>760</v>
      </c>
      <c r="J274">
        <v>248</v>
      </c>
      <c r="L274">
        <v>1</v>
      </c>
    </row>
    <row r="275" spans="1:13" x14ac:dyDescent="0.25">
      <c r="A275">
        <v>14</v>
      </c>
      <c r="B275" t="s">
        <v>29</v>
      </c>
      <c r="C275" t="s">
        <v>10</v>
      </c>
      <c r="D275">
        <v>95</v>
      </c>
      <c r="E275">
        <v>67</v>
      </c>
      <c r="F275">
        <v>0.58599999999999997</v>
      </c>
      <c r="G275">
        <v>10</v>
      </c>
      <c r="H275">
        <v>948</v>
      </c>
      <c r="I275">
        <v>870</v>
      </c>
      <c r="J275">
        <v>78</v>
      </c>
      <c r="M275">
        <v>1</v>
      </c>
    </row>
    <row r="276" spans="1:13" x14ac:dyDescent="0.25">
      <c r="A276">
        <v>14</v>
      </c>
      <c r="B276" t="s">
        <v>29</v>
      </c>
      <c r="C276" t="s">
        <v>11</v>
      </c>
      <c r="D276">
        <v>89</v>
      </c>
      <c r="E276">
        <v>73</v>
      </c>
      <c r="F276">
        <v>0.54900000000000004</v>
      </c>
      <c r="G276">
        <v>16</v>
      </c>
      <c r="H276">
        <v>918</v>
      </c>
      <c r="I276">
        <v>819</v>
      </c>
      <c r="J276">
        <v>99</v>
      </c>
    </row>
    <row r="277" spans="1:13" x14ac:dyDescent="0.25">
      <c r="A277">
        <v>14</v>
      </c>
      <c r="B277" t="s">
        <v>29</v>
      </c>
      <c r="C277" t="s">
        <v>9</v>
      </c>
      <c r="D277">
        <v>88</v>
      </c>
      <c r="E277">
        <v>74</v>
      </c>
      <c r="F277">
        <v>0.54300000000000004</v>
      </c>
      <c r="G277">
        <v>17</v>
      </c>
      <c r="H277">
        <v>897</v>
      </c>
      <c r="I277">
        <v>806</v>
      </c>
      <c r="J277">
        <v>91</v>
      </c>
    </row>
    <row r="278" spans="1:13" x14ac:dyDescent="0.25">
      <c r="A278">
        <v>14</v>
      </c>
      <c r="B278" t="s">
        <v>32</v>
      </c>
      <c r="C278" t="s">
        <v>24</v>
      </c>
      <c r="D278">
        <v>87</v>
      </c>
      <c r="E278">
        <v>75</v>
      </c>
      <c r="F278">
        <v>0.53700000000000003</v>
      </c>
      <c r="G278">
        <v>11</v>
      </c>
      <c r="H278">
        <v>822</v>
      </c>
      <c r="I278">
        <v>765</v>
      </c>
      <c r="J278">
        <v>57</v>
      </c>
    </row>
    <row r="279" spans="1:13" x14ac:dyDescent="0.25">
      <c r="A279">
        <v>14</v>
      </c>
      <c r="B279" t="s">
        <v>31</v>
      </c>
      <c r="C279" t="s">
        <v>20</v>
      </c>
      <c r="D279">
        <v>84</v>
      </c>
      <c r="E279">
        <v>78</v>
      </c>
      <c r="F279">
        <v>0.51900000000000002</v>
      </c>
      <c r="G279">
        <v>27</v>
      </c>
      <c r="H279">
        <v>893</v>
      </c>
      <c r="I279">
        <v>895</v>
      </c>
      <c r="J279">
        <v>-2</v>
      </c>
    </row>
    <row r="280" spans="1:13" x14ac:dyDescent="0.25">
      <c r="A280">
        <v>14</v>
      </c>
      <c r="B280" t="s">
        <v>29</v>
      </c>
      <c r="C280" t="s">
        <v>12</v>
      </c>
      <c r="D280">
        <v>83</v>
      </c>
      <c r="E280">
        <v>79</v>
      </c>
      <c r="F280">
        <v>0.51200000000000001</v>
      </c>
      <c r="G280">
        <v>22</v>
      </c>
      <c r="H280">
        <v>792</v>
      </c>
      <c r="I280">
        <v>849</v>
      </c>
      <c r="J280">
        <v>-57</v>
      </c>
    </row>
    <row r="281" spans="1:13" x14ac:dyDescent="0.25">
      <c r="A281">
        <v>14</v>
      </c>
      <c r="B281" t="s">
        <v>30</v>
      </c>
      <c r="C281" t="s">
        <v>14</v>
      </c>
      <c r="D281">
        <v>74</v>
      </c>
      <c r="E281">
        <v>88</v>
      </c>
      <c r="F281">
        <v>0.45700000000000002</v>
      </c>
      <c r="G281">
        <v>28</v>
      </c>
      <c r="H281">
        <v>729</v>
      </c>
      <c r="I281">
        <v>791</v>
      </c>
      <c r="J281">
        <v>-62</v>
      </c>
    </row>
    <row r="282" spans="1:13" x14ac:dyDescent="0.25">
      <c r="A282">
        <v>14</v>
      </c>
      <c r="B282" t="s">
        <v>31</v>
      </c>
      <c r="C282" t="s">
        <v>18</v>
      </c>
      <c r="D282">
        <v>111</v>
      </c>
      <c r="E282">
        <v>51</v>
      </c>
      <c r="F282">
        <v>0.68500000000000005</v>
      </c>
      <c r="G282">
        <v>0</v>
      </c>
      <c r="H282">
        <v>999</v>
      </c>
      <c r="I282">
        <v>701</v>
      </c>
      <c r="J282">
        <v>298</v>
      </c>
      <c r="K282">
        <v>1</v>
      </c>
    </row>
    <row r="283" spans="1:13" x14ac:dyDescent="0.25">
      <c r="A283">
        <v>15</v>
      </c>
      <c r="B283" t="s">
        <v>29</v>
      </c>
      <c r="C283" t="s">
        <v>10</v>
      </c>
      <c r="D283">
        <v>104</v>
      </c>
      <c r="E283">
        <v>58</v>
      </c>
      <c r="F283">
        <v>0.64200000000000002</v>
      </c>
      <c r="G283">
        <v>0</v>
      </c>
      <c r="H283">
        <v>1024</v>
      </c>
      <c r="I283">
        <v>784</v>
      </c>
      <c r="J283">
        <v>240</v>
      </c>
      <c r="L283">
        <v>1</v>
      </c>
    </row>
    <row r="284" spans="1:13" x14ac:dyDescent="0.25">
      <c r="A284">
        <v>15</v>
      </c>
      <c r="B284" t="s">
        <v>29</v>
      </c>
      <c r="C284" t="s">
        <v>11</v>
      </c>
      <c r="D284">
        <v>89</v>
      </c>
      <c r="E284">
        <v>73</v>
      </c>
      <c r="F284">
        <v>0.54900000000000004</v>
      </c>
      <c r="G284">
        <v>15</v>
      </c>
      <c r="H284">
        <v>845</v>
      </c>
      <c r="I284">
        <v>818</v>
      </c>
      <c r="J284">
        <v>27</v>
      </c>
    </row>
    <row r="285" spans="1:13" x14ac:dyDescent="0.25">
      <c r="A285">
        <v>15</v>
      </c>
      <c r="B285" t="s">
        <v>29</v>
      </c>
      <c r="C285" t="s">
        <v>9</v>
      </c>
      <c r="D285">
        <v>82</v>
      </c>
      <c r="E285">
        <v>80</v>
      </c>
      <c r="F285">
        <v>0.50600000000000001</v>
      </c>
      <c r="G285">
        <v>22</v>
      </c>
      <c r="H285">
        <v>889</v>
      </c>
      <c r="I285">
        <v>863</v>
      </c>
      <c r="J285">
        <v>26</v>
      </c>
    </row>
    <row r="286" spans="1:13" x14ac:dyDescent="0.25">
      <c r="A286">
        <v>15</v>
      </c>
      <c r="B286" t="s">
        <v>32</v>
      </c>
      <c r="C286" t="s">
        <v>24</v>
      </c>
      <c r="D286">
        <v>78</v>
      </c>
      <c r="E286">
        <v>84</v>
      </c>
      <c r="F286">
        <v>0.48099999999999998</v>
      </c>
      <c r="G286">
        <v>28</v>
      </c>
      <c r="H286">
        <v>799</v>
      </c>
      <c r="I286">
        <v>790</v>
      </c>
      <c r="J286">
        <v>9</v>
      </c>
    </row>
    <row r="287" spans="1:13" x14ac:dyDescent="0.25">
      <c r="A287">
        <v>15</v>
      </c>
      <c r="B287" t="s">
        <v>31</v>
      </c>
      <c r="C287" t="s">
        <v>22</v>
      </c>
      <c r="D287">
        <v>57</v>
      </c>
      <c r="E287">
        <v>105</v>
      </c>
      <c r="F287">
        <v>0.35199999999999998</v>
      </c>
      <c r="G287">
        <v>50</v>
      </c>
      <c r="H287">
        <v>808</v>
      </c>
      <c r="I287">
        <v>1065</v>
      </c>
      <c r="J287">
        <v>-257</v>
      </c>
    </row>
    <row r="288" spans="1:13" x14ac:dyDescent="0.25">
      <c r="A288">
        <v>15</v>
      </c>
      <c r="B288" t="s">
        <v>30</v>
      </c>
      <c r="C288" t="s">
        <v>13</v>
      </c>
      <c r="D288">
        <v>108</v>
      </c>
      <c r="E288">
        <v>54</v>
      </c>
      <c r="F288">
        <v>0.66700000000000004</v>
      </c>
      <c r="G288">
        <v>0</v>
      </c>
      <c r="H288">
        <v>1006</v>
      </c>
      <c r="I288">
        <v>691</v>
      </c>
      <c r="J288">
        <v>315</v>
      </c>
      <c r="K288">
        <v>1</v>
      </c>
    </row>
    <row r="289" spans="1:13" x14ac:dyDescent="0.25">
      <c r="A289">
        <v>15</v>
      </c>
      <c r="B289" t="s">
        <v>32</v>
      </c>
      <c r="C289" t="s">
        <v>23</v>
      </c>
      <c r="D289">
        <v>106</v>
      </c>
      <c r="E289">
        <v>56</v>
      </c>
      <c r="F289">
        <v>0.65400000000000003</v>
      </c>
      <c r="G289">
        <v>0</v>
      </c>
      <c r="H289">
        <v>973</v>
      </c>
      <c r="I289">
        <v>701</v>
      </c>
      <c r="J289">
        <v>272</v>
      </c>
      <c r="L289">
        <v>1</v>
      </c>
    </row>
    <row r="290" spans="1:13" x14ac:dyDescent="0.25">
      <c r="A290">
        <v>15</v>
      </c>
      <c r="B290" t="s">
        <v>31</v>
      </c>
      <c r="C290" t="s">
        <v>19</v>
      </c>
      <c r="D290">
        <v>96</v>
      </c>
      <c r="E290">
        <v>66</v>
      </c>
      <c r="F290">
        <v>0.59299999999999997</v>
      </c>
      <c r="G290">
        <v>11</v>
      </c>
      <c r="H290">
        <v>988</v>
      </c>
      <c r="I290">
        <v>845</v>
      </c>
      <c r="J290">
        <v>143</v>
      </c>
      <c r="M290">
        <v>1</v>
      </c>
    </row>
    <row r="291" spans="1:13" x14ac:dyDescent="0.25">
      <c r="A291">
        <v>15</v>
      </c>
      <c r="B291" t="s">
        <v>30</v>
      </c>
      <c r="C291" t="s">
        <v>15</v>
      </c>
      <c r="D291">
        <v>69</v>
      </c>
      <c r="E291">
        <v>93</v>
      </c>
      <c r="F291">
        <v>0.42599999999999999</v>
      </c>
      <c r="G291">
        <v>39</v>
      </c>
      <c r="H291">
        <v>991</v>
      </c>
      <c r="I291">
        <v>1171</v>
      </c>
      <c r="J291">
        <v>-180</v>
      </c>
    </row>
    <row r="292" spans="1:13" x14ac:dyDescent="0.25">
      <c r="A292">
        <v>15</v>
      </c>
      <c r="B292" t="s">
        <v>31</v>
      </c>
      <c r="C292" t="s">
        <v>21</v>
      </c>
      <c r="D292">
        <v>69</v>
      </c>
      <c r="E292">
        <v>93</v>
      </c>
      <c r="F292">
        <v>0.42599999999999999</v>
      </c>
      <c r="G292">
        <v>38</v>
      </c>
      <c r="H292">
        <v>896</v>
      </c>
      <c r="I292">
        <v>975</v>
      </c>
      <c r="J292">
        <v>-79</v>
      </c>
    </row>
    <row r="293" spans="1:13" x14ac:dyDescent="0.25">
      <c r="A293">
        <v>15</v>
      </c>
      <c r="B293" t="s">
        <v>32</v>
      </c>
      <c r="C293" t="s">
        <v>27</v>
      </c>
      <c r="D293">
        <v>61</v>
      </c>
      <c r="E293">
        <v>101</v>
      </c>
      <c r="F293">
        <v>0.377</v>
      </c>
      <c r="G293">
        <v>45</v>
      </c>
      <c r="H293">
        <v>720</v>
      </c>
      <c r="I293">
        <v>932</v>
      </c>
      <c r="J293">
        <v>-212</v>
      </c>
    </row>
    <row r="294" spans="1:13" x14ac:dyDescent="0.25">
      <c r="A294">
        <v>15</v>
      </c>
      <c r="B294" t="s">
        <v>30</v>
      </c>
      <c r="C294" t="s">
        <v>17</v>
      </c>
      <c r="D294">
        <v>46</v>
      </c>
      <c r="E294">
        <v>116</v>
      </c>
      <c r="F294">
        <v>0.28399999999999997</v>
      </c>
      <c r="G294">
        <v>62</v>
      </c>
      <c r="H294">
        <v>698</v>
      </c>
      <c r="I294">
        <v>1105</v>
      </c>
      <c r="J294">
        <v>-407</v>
      </c>
    </row>
    <row r="295" spans="1:13" x14ac:dyDescent="0.25">
      <c r="A295">
        <v>15</v>
      </c>
      <c r="B295" t="s">
        <v>29</v>
      </c>
      <c r="C295" t="s">
        <v>12</v>
      </c>
      <c r="D295">
        <v>84</v>
      </c>
      <c r="E295">
        <v>78</v>
      </c>
      <c r="F295">
        <v>0.51900000000000002</v>
      </c>
      <c r="G295">
        <v>20</v>
      </c>
      <c r="H295">
        <v>815</v>
      </c>
      <c r="I295">
        <v>832</v>
      </c>
      <c r="J295">
        <v>-17</v>
      </c>
    </row>
    <row r="296" spans="1:13" x14ac:dyDescent="0.25">
      <c r="A296">
        <v>15</v>
      </c>
      <c r="B296" t="s">
        <v>30</v>
      </c>
      <c r="C296" t="s">
        <v>14</v>
      </c>
      <c r="D296">
        <v>77</v>
      </c>
      <c r="E296">
        <v>85</v>
      </c>
      <c r="F296">
        <v>0.47499999999999998</v>
      </c>
      <c r="G296">
        <v>31</v>
      </c>
      <c r="H296">
        <v>791</v>
      </c>
      <c r="I296">
        <v>805</v>
      </c>
      <c r="J296">
        <v>-14</v>
      </c>
    </row>
    <row r="297" spans="1:13" x14ac:dyDescent="0.25">
      <c r="A297">
        <v>15</v>
      </c>
      <c r="B297" t="s">
        <v>30</v>
      </c>
      <c r="C297" t="s">
        <v>16</v>
      </c>
      <c r="D297">
        <v>50</v>
      </c>
      <c r="E297">
        <v>112</v>
      </c>
      <c r="F297">
        <v>0.309</v>
      </c>
      <c r="G297">
        <v>58</v>
      </c>
      <c r="H297">
        <v>777</v>
      </c>
      <c r="I297">
        <v>1036</v>
      </c>
      <c r="J297">
        <v>-259</v>
      </c>
    </row>
    <row r="298" spans="1:13" x14ac:dyDescent="0.25">
      <c r="A298">
        <v>15</v>
      </c>
      <c r="B298" t="s">
        <v>29</v>
      </c>
      <c r="C298" t="s">
        <v>8</v>
      </c>
      <c r="D298">
        <v>92</v>
      </c>
      <c r="E298">
        <v>70</v>
      </c>
      <c r="F298">
        <v>0.56799999999999995</v>
      </c>
      <c r="G298">
        <v>12</v>
      </c>
      <c r="H298">
        <v>825</v>
      </c>
      <c r="I298">
        <v>712</v>
      </c>
      <c r="J298">
        <v>113</v>
      </c>
      <c r="M298">
        <v>0.5</v>
      </c>
    </row>
    <row r="299" spans="1:13" x14ac:dyDescent="0.25">
      <c r="A299">
        <v>15</v>
      </c>
      <c r="B299" t="s">
        <v>31</v>
      </c>
      <c r="C299" t="s">
        <v>20</v>
      </c>
      <c r="D299">
        <v>92</v>
      </c>
      <c r="E299">
        <v>70</v>
      </c>
      <c r="F299">
        <v>0.56799999999999995</v>
      </c>
      <c r="G299">
        <v>15</v>
      </c>
      <c r="H299">
        <v>981</v>
      </c>
      <c r="I299">
        <v>843</v>
      </c>
      <c r="J299">
        <v>138</v>
      </c>
      <c r="M299">
        <v>0.5</v>
      </c>
    </row>
    <row r="300" spans="1:13" x14ac:dyDescent="0.25">
      <c r="A300">
        <v>15</v>
      </c>
      <c r="B300" t="s">
        <v>32</v>
      </c>
      <c r="C300" t="s">
        <v>25</v>
      </c>
      <c r="D300">
        <v>83</v>
      </c>
      <c r="E300">
        <v>79</v>
      </c>
      <c r="F300">
        <v>0.51200000000000001</v>
      </c>
      <c r="G300">
        <v>23</v>
      </c>
      <c r="H300">
        <v>882</v>
      </c>
      <c r="I300">
        <v>831</v>
      </c>
      <c r="J300">
        <v>51</v>
      </c>
    </row>
    <row r="301" spans="1:13" x14ac:dyDescent="0.25">
      <c r="A301">
        <v>15</v>
      </c>
      <c r="B301" t="s">
        <v>32</v>
      </c>
      <c r="C301" t="s">
        <v>26</v>
      </c>
      <c r="D301">
        <v>70</v>
      </c>
      <c r="E301">
        <v>92</v>
      </c>
      <c r="F301">
        <v>0.432</v>
      </c>
      <c r="G301">
        <v>36</v>
      </c>
      <c r="H301">
        <v>757</v>
      </c>
      <c r="I301">
        <v>882</v>
      </c>
      <c r="J301">
        <v>-125</v>
      </c>
    </row>
    <row r="302" spans="1:13" x14ac:dyDescent="0.25">
      <c r="A302">
        <v>15</v>
      </c>
      <c r="B302" t="s">
        <v>31</v>
      </c>
      <c r="C302" t="s">
        <v>18</v>
      </c>
      <c r="D302">
        <v>107</v>
      </c>
      <c r="E302">
        <v>55</v>
      </c>
      <c r="F302">
        <v>0.66</v>
      </c>
      <c r="G302">
        <v>0</v>
      </c>
      <c r="H302">
        <v>1033</v>
      </c>
      <c r="I302">
        <v>817</v>
      </c>
      <c r="J302">
        <v>216</v>
      </c>
      <c r="K302">
        <v>1</v>
      </c>
    </row>
    <row r="303" spans="1:13" x14ac:dyDescent="0.25">
      <c r="A303">
        <v>16</v>
      </c>
      <c r="B303" t="s">
        <v>31</v>
      </c>
      <c r="C303" t="s">
        <v>18</v>
      </c>
      <c r="D303">
        <v>99</v>
      </c>
      <c r="E303">
        <v>63</v>
      </c>
      <c r="F303">
        <v>0.61099999999999999</v>
      </c>
      <c r="G303">
        <v>0</v>
      </c>
      <c r="H303">
        <v>982</v>
      </c>
      <c r="I303">
        <v>779</v>
      </c>
      <c r="J303">
        <v>203</v>
      </c>
      <c r="K303">
        <v>1</v>
      </c>
    </row>
    <row r="304" spans="1:13" x14ac:dyDescent="0.25">
      <c r="A304">
        <v>16</v>
      </c>
      <c r="B304" t="s">
        <v>32</v>
      </c>
      <c r="C304" t="s">
        <v>25</v>
      </c>
      <c r="D304">
        <v>79</v>
      </c>
      <c r="E304">
        <v>83</v>
      </c>
      <c r="F304">
        <v>0.48799999999999999</v>
      </c>
      <c r="G304">
        <v>14</v>
      </c>
      <c r="H304">
        <v>792</v>
      </c>
      <c r="I304">
        <v>832</v>
      </c>
      <c r="J304">
        <v>-40</v>
      </c>
    </row>
    <row r="305" spans="1:13" x14ac:dyDescent="0.25">
      <c r="A305">
        <v>16</v>
      </c>
      <c r="B305" t="s">
        <v>31</v>
      </c>
      <c r="C305" t="s">
        <v>21</v>
      </c>
      <c r="D305">
        <v>78</v>
      </c>
      <c r="E305">
        <v>84</v>
      </c>
      <c r="F305">
        <v>0.48099999999999998</v>
      </c>
      <c r="G305">
        <v>21</v>
      </c>
      <c r="H305">
        <v>863</v>
      </c>
      <c r="I305">
        <v>960</v>
      </c>
      <c r="J305">
        <v>-97</v>
      </c>
    </row>
    <row r="306" spans="1:13" x14ac:dyDescent="0.25">
      <c r="A306">
        <v>16</v>
      </c>
      <c r="B306" t="s">
        <v>29</v>
      </c>
      <c r="C306" t="s">
        <v>12</v>
      </c>
      <c r="D306">
        <v>75</v>
      </c>
      <c r="E306">
        <v>87</v>
      </c>
      <c r="F306">
        <v>0.46300000000000002</v>
      </c>
      <c r="G306">
        <v>20</v>
      </c>
      <c r="H306">
        <v>779</v>
      </c>
      <c r="I306">
        <v>827</v>
      </c>
      <c r="J306">
        <v>-48</v>
      </c>
    </row>
    <row r="307" spans="1:13" x14ac:dyDescent="0.25">
      <c r="A307">
        <v>16</v>
      </c>
      <c r="B307" t="s">
        <v>32</v>
      </c>
      <c r="C307" t="s">
        <v>26</v>
      </c>
      <c r="D307">
        <v>73</v>
      </c>
      <c r="E307">
        <v>89</v>
      </c>
      <c r="F307">
        <v>0.45100000000000001</v>
      </c>
      <c r="G307">
        <v>20</v>
      </c>
      <c r="H307">
        <v>767</v>
      </c>
      <c r="I307">
        <v>927</v>
      </c>
      <c r="J307">
        <v>-160</v>
      </c>
    </row>
    <row r="308" spans="1:13" x14ac:dyDescent="0.25">
      <c r="A308">
        <v>16</v>
      </c>
      <c r="B308" t="s">
        <v>30</v>
      </c>
      <c r="C308" t="s">
        <v>17</v>
      </c>
      <c r="D308">
        <v>44</v>
      </c>
      <c r="E308">
        <v>118</v>
      </c>
      <c r="F308">
        <v>0.27200000000000002</v>
      </c>
      <c r="G308">
        <v>56</v>
      </c>
      <c r="H308">
        <v>607</v>
      </c>
      <c r="I308">
        <v>1034</v>
      </c>
      <c r="J308">
        <v>-427</v>
      </c>
    </row>
    <row r="309" spans="1:13" x14ac:dyDescent="0.25">
      <c r="A309">
        <v>16</v>
      </c>
      <c r="B309" t="s">
        <v>30</v>
      </c>
      <c r="C309" t="s">
        <v>13</v>
      </c>
      <c r="D309">
        <v>100</v>
      </c>
      <c r="E309">
        <v>62</v>
      </c>
      <c r="F309">
        <v>0.61699999999999999</v>
      </c>
      <c r="G309">
        <v>0</v>
      </c>
      <c r="H309">
        <v>1027</v>
      </c>
      <c r="I309">
        <v>723</v>
      </c>
      <c r="J309">
        <v>304</v>
      </c>
      <c r="K309">
        <v>1</v>
      </c>
    </row>
    <row r="310" spans="1:13" x14ac:dyDescent="0.25">
      <c r="A310">
        <v>16</v>
      </c>
      <c r="B310" t="s">
        <v>30</v>
      </c>
      <c r="C310" t="s">
        <v>16</v>
      </c>
      <c r="D310">
        <v>71</v>
      </c>
      <c r="E310">
        <v>91</v>
      </c>
      <c r="F310">
        <v>0.438</v>
      </c>
      <c r="G310">
        <v>29</v>
      </c>
      <c r="H310">
        <v>829</v>
      </c>
      <c r="I310">
        <v>1021</v>
      </c>
      <c r="J310">
        <v>-192</v>
      </c>
    </row>
    <row r="311" spans="1:13" x14ac:dyDescent="0.25">
      <c r="A311">
        <v>16</v>
      </c>
      <c r="B311" t="s">
        <v>30</v>
      </c>
      <c r="C311" t="s">
        <v>14</v>
      </c>
      <c r="D311">
        <v>63</v>
      </c>
      <c r="E311">
        <v>99</v>
      </c>
      <c r="F311">
        <v>0.38900000000000001</v>
      </c>
      <c r="G311">
        <v>37</v>
      </c>
      <c r="H311">
        <v>754</v>
      </c>
      <c r="I311">
        <v>865</v>
      </c>
      <c r="J311">
        <v>-111</v>
      </c>
    </row>
    <row r="312" spans="1:13" x14ac:dyDescent="0.25">
      <c r="A312">
        <v>16</v>
      </c>
      <c r="B312" t="s">
        <v>29</v>
      </c>
      <c r="C312" t="s">
        <v>10</v>
      </c>
      <c r="D312">
        <v>91</v>
      </c>
      <c r="E312">
        <v>71</v>
      </c>
      <c r="F312">
        <v>0.56200000000000006</v>
      </c>
      <c r="G312">
        <v>4</v>
      </c>
      <c r="H312">
        <v>1005</v>
      </c>
      <c r="I312">
        <v>845</v>
      </c>
      <c r="J312">
        <v>160</v>
      </c>
      <c r="M312">
        <f>2/3</f>
        <v>0.66666666666666663</v>
      </c>
    </row>
    <row r="313" spans="1:13" x14ac:dyDescent="0.25">
      <c r="A313">
        <v>16</v>
      </c>
      <c r="B313" t="s">
        <v>31</v>
      </c>
      <c r="C313" t="s">
        <v>20</v>
      </c>
      <c r="D313">
        <v>91</v>
      </c>
      <c r="E313">
        <v>71</v>
      </c>
      <c r="F313">
        <v>0.56200000000000006</v>
      </c>
      <c r="G313">
        <v>8</v>
      </c>
      <c r="H313">
        <v>986</v>
      </c>
      <c r="I313">
        <v>897</v>
      </c>
      <c r="J313">
        <v>89</v>
      </c>
      <c r="M313">
        <f>2/3</f>
        <v>0.66666666666666663</v>
      </c>
    </row>
    <row r="314" spans="1:13" x14ac:dyDescent="0.25">
      <c r="A314">
        <v>16</v>
      </c>
      <c r="B314" t="s">
        <v>30</v>
      </c>
      <c r="C314" t="s">
        <v>15</v>
      </c>
      <c r="D314">
        <v>83</v>
      </c>
      <c r="E314">
        <v>79</v>
      </c>
      <c r="F314">
        <v>0.51200000000000001</v>
      </c>
      <c r="G314">
        <v>17</v>
      </c>
      <c r="H314">
        <v>1075</v>
      </c>
      <c r="I314">
        <v>1111</v>
      </c>
      <c r="J314">
        <v>-36</v>
      </c>
    </row>
    <row r="315" spans="1:13" x14ac:dyDescent="0.25">
      <c r="A315">
        <v>16</v>
      </c>
      <c r="B315" t="s">
        <v>31</v>
      </c>
      <c r="C315" t="s">
        <v>22</v>
      </c>
      <c r="D315">
        <v>66</v>
      </c>
      <c r="E315">
        <v>96</v>
      </c>
      <c r="F315">
        <v>0.40699999999999997</v>
      </c>
      <c r="G315">
        <v>33</v>
      </c>
      <c r="H315">
        <v>843</v>
      </c>
      <c r="I315">
        <v>977</v>
      </c>
      <c r="J315">
        <v>-134</v>
      </c>
    </row>
    <row r="316" spans="1:13" x14ac:dyDescent="0.25">
      <c r="A316">
        <v>16</v>
      </c>
      <c r="B316" t="s">
        <v>32</v>
      </c>
      <c r="C316" t="s">
        <v>27</v>
      </c>
      <c r="D316">
        <v>65</v>
      </c>
      <c r="E316">
        <v>97</v>
      </c>
      <c r="F316">
        <v>0.40100000000000002</v>
      </c>
      <c r="G316">
        <v>28</v>
      </c>
      <c r="H316">
        <v>783</v>
      </c>
      <c r="I316">
        <v>972</v>
      </c>
      <c r="J316">
        <v>-189</v>
      </c>
    </row>
    <row r="317" spans="1:13" x14ac:dyDescent="0.25">
      <c r="A317">
        <v>16</v>
      </c>
      <c r="B317" t="s">
        <v>29</v>
      </c>
      <c r="C317" t="s">
        <v>9</v>
      </c>
      <c r="D317">
        <v>95</v>
      </c>
      <c r="E317">
        <v>67</v>
      </c>
      <c r="F317">
        <v>0.58599999999999997</v>
      </c>
      <c r="G317">
        <v>0</v>
      </c>
      <c r="H317">
        <v>945</v>
      </c>
      <c r="I317">
        <v>840</v>
      </c>
      <c r="J317">
        <v>105</v>
      </c>
      <c r="L317">
        <v>1</v>
      </c>
    </row>
    <row r="318" spans="1:13" x14ac:dyDescent="0.25">
      <c r="A318">
        <v>16</v>
      </c>
      <c r="B318" t="s">
        <v>32</v>
      </c>
      <c r="C318" t="s">
        <v>23</v>
      </c>
      <c r="D318">
        <v>93</v>
      </c>
      <c r="E318">
        <v>69</v>
      </c>
      <c r="F318">
        <v>0.57399999999999995</v>
      </c>
      <c r="G318">
        <v>0</v>
      </c>
      <c r="H318">
        <v>930</v>
      </c>
      <c r="I318">
        <v>715</v>
      </c>
      <c r="J318">
        <v>215</v>
      </c>
      <c r="L318">
        <v>1</v>
      </c>
    </row>
    <row r="319" spans="1:13" x14ac:dyDescent="0.25">
      <c r="A319">
        <v>16</v>
      </c>
      <c r="B319" t="s">
        <v>31</v>
      </c>
      <c r="C319" t="s">
        <v>19</v>
      </c>
      <c r="D319">
        <v>91</v>
      </c>
      <c r="E319">
        <v>71</v>
      </c>
      <c r="F319">
        <v>0.56200000000000006</v>
      </c>
      <c r="G319">
        <v>8</v>
      </c>
      <c r="H319">
        <v>894</v>
      </c>
      <c r="I319">
        <v>733</v>
      </c>
      <c r="J319">
        <v>161</v>
      </c>
      <c r="M319">
        <f>2/3</f>
        <v>0.66666666666666663</v>
      </c>
    </row>
    <row r="320" spans="1:13" x14ac:dyDescent="0.25">
      <c r="A320">
        <v>16</v>
      </c>
      <c r="B320" t="s">
        <v>29</v>
      </c>
      <c r="C320" t="s">
        <v>8</v>
      </c>
      <c r="D320">
        <v>90</v>
      </c>
      <c r="E320">
        <v>72</v>
      </c>
      <c r="F320">
        <v>0.55600000000000005</v>
      </c>
      <c r="G320">
        <v>5</v>
      </c>
      <c r="H320">
        <v>851</v>
      </c>
      <c r="I320">
        <v>738</v>
      </c>
      <c r="J320">
        <v>113</v>
      </c>
    </row>
    <row r="321" spans="1:12" x14ac:dyDescent="0.25">
      <c r="A321">
        <v>16</v>
      </c>
      <c r="B321" t="s">
        <v>32</v>
      </c>
      <c r="C321" t="s">
        <v>24</v>
      </c>
      <c r="D321">
        <v>89</v>
      </c>
      <c r="E321">
        <v>73</v>
      </c>
      <c r="F321">
        <v>0.54900000000000004</v>
      </c>
      <c r="G321">
        <v>4</v>
      </c>
      <c r="H321">
        <v>831</v>
      </c>
      <c r="I321">
        <v>834</v>
      </c>
      <c r="J321">
        <v>-3</v>
      </c>
    </row>
    <row r="322" spans="1:12" x14ac:dyDescent="0.25">
      <c r="A322">
        <v>16</v>
      </c>
      <c r="B322" t="s">
        <v>29</v>
      </c>
      <c r="C322" t="s">
        <v>11</v>
      </c>
      <c r="D322">
        <v>84</v>
      </c>
      <c r="E322">
        <v>78</v>
      </c>
      <c r="F322">
        <v>0.51900000000000002</v>
      </c>
      <c r="G322">
        <v>11</v>
      </c>
      <c r="H322">
        <v>875</v>
      </c>
      <c r="I322">
        <v>788</v>
      </c>
      <c r="J322">
        <v>87</v>
      </c>
    </row>
    <row r="323" spans="1:12" x14ac:dyDescent="0.25">
      <c r="A323">
        <v>17</v>
      </c>
      <c r="B323" t="s">
        <v>31</v>
      </c>
      <c r="C323" t="s">
        <v>18</v>
      </c>
      <c r="D323">
        <v>110</v>
      </c>
      <c r="E323">
        <v>52</v>
      </c>
      <c r="F323">
        <v>0.67900000000000005</v>
      </c>
      <c r="G323">
        <v>0</v>
      </c>
      <c r="H323">
        <v>1002</v>
      </c>
      <c r="I323">
        <v>731</v>
      </c>
      <c r="J323">
        <v>271</v>
      </c>
      <c r="K323">
        <v>1</v>
      </c>
    </row>
    <row r="324" spans="1:12" x14ac:dyDescent="0.25">
      <c r="A324">
        <v>17</v>
      </c>
      <c r="B324" t="s">
        <v>31</v>
      </c>
      <c r="C324" t="s">
        <v>19</v>
      </c>
      <c r="D324">
        <v>88</v>
      </c>
      <c r="E324">
        <v>74</v>
      </c>
      <c r="F324">
        <v>0.54300000000000004</v>
      </c>
      <c r="G324">
        <v>22</v>
      </c>
      <c r="H324">
        <v>925</v>
      </c>
      <c r="I324">
        <v>923</v>
      </c>
      <c r="J324">
        <v>2</v>
      </c>
    </row>
    <row r="325" spans="1:12" x14ac:dyDescent="0.25">
      <c r="A325">
        <v>17</v>
      </c>
      <c r="B325" t="s">
        <v>31</v>
      </c>
      <c r="C325" t="s">
        <v>22</v>
      </c>
      <c r="D325">
        <v>58</v>
      </c>
      <c r="E325">
        <v>104</v>
      </c>
      <c r="F325">
        <v>0.35799999999999998</v>
      </c>
      <c r="G325">
        <v>52</v>
      </c>
      <c r="H325">
        <v>765</v>
      </c>
      <c r="I325">
        <v>1115</v>
      </c>
      <c r="J325">
        <v>-350</v>
      </c>
    </row>
    <row r="326" spans="1:12" x14ac:dyDescent="0.25">
      <c r="A326">
        <v>17</v>
      </c>
      <c r="B326" t="s">
        <v>32</v>
      </c>
      <c r="C326" t="s">
        <v>26</v>
      </c>
      <c r="D326">
        <v>56</v>
      </c>
      <c r="E326">
        <v>106</v>
      </c>
      <c r="F326">
        <v>0.34599999999999997</v>
      </c>
      <c r="G326">
        <v>47</v>
      </c>
      <c r="H326">
        <v>678</v>
      </c>
      <c r="I326">
        <v>897</v>
      </c>
      <c r="J326">
        <v>-219</v>
      </c>
    </row>
    <row r="327" spans="1:12" x14ac:dyDescent="0.25">
      <c r="A327">
        <v>17</v>
      </c>
      <c r="B327" t="s">
        <v>32</v>
      </c>
      <c r="C327" t="s">
        <v>25</v>
      </c>
      <c r="D327">
        <v>73</v>
      </c>
      <c r="E327">
        <v>89</v>
      </c>
      <c r="F327">
        <v>0.45100000000000001</v>
      </c>
      <c r="G327">
        <v>30</v>
      </c>
      <c r="H327">
        <v>830</v>
      </c>
      <c r="I327">
        <v>936</v>
      </c>
      <c r="J327">
        <v>-106</v>
      </c>
    </row>
    <row r="328" spans="1:12" x14ac:dyDescent="0.25">
      <c r="A328">
        <v>17</v>
      </c>
      <c r="B328" t="s">
        <v>31</v>
      </c>
      <c r="C328" t="s">
        <v>21</v>
      </c>
      <c r="D328">
        <v>71</v>
      </c>
      <c r="E328">
        <v>91</v>
      </c>
      <c r="F328">
        <v>0.438</v>
      </c>
      <c r="G328">
        <v>39</v>
      </c>
      <c r="H328">
        <v>846</v>
      </c>
      <c r="I328">
        <v>948</v>
      </c>
      <c r="J328">
        <v>-102</v>
      </c>
    </row>
    <row r="329" spans="1:12" x14ac:dyDescent="0.25">
      <c r="A329">
        <v>17</v>
      </c>
      <c r="B329" t="s">
        <v>30</v>
      </c>
      <c r="C329" t="s">
        <v>16</v>
      </c>
      <c r="D329">
        <v>61</v>
      </c>
      <c r="E329">
        <v>101</v>
      </c>
      <c r="F329">
        <v>0.377</v>
      </c>
      <c r="G329">
        <v>53</v>
      </c>
      <c r="H329">
        <v>864</v>
      </c>
      <c r="I329">
        <v>1002</v>
      </c>
      <c r="J329">
        <v>-138</v>
      </c>
    </row>
    <row r="330" spans="1:12" x14ac:dyDescent="0.25">
      <c r="A330">
        <v>17</v>
      </c>
      <c r="B330" t="s">
        <v>30</v>
      </c>
      <c r="C330" t="s">
        <v>17</v>
      </c>
      <c r="D330">
        <v>49</v>
      </c>
      <c r="E330">
        <v>113</v>
      </c>
      <c r="F330">
        <v>0.30199999999999999</v>
      </c>
      <c r="G330">
        <v>65</v>
      </c>
      <c r="H330">
        <v>712</v>
      </c>
      <c r="I330">
        <v>1087</v>
      </c>
      <c r="J330">
        <v>-375</v>
      </c>
    </row>
    <row r="331" spans="1:12" x14ac:dyDescent="0.25">
      <c r="A331">
        <v>17</v>
      </c>
      <c r="B331" t="s">
        <v>30</v>
      </c>
      <c r="C331" t="s">
        <v>13</v>
      </c>
      <c r="D331">
        <v>114</v>
      </c>
      <c r="E331">
        <v>48</v>
      </c>
      <c r="F331">
        <v>0.70399999999999996</v>
      </c>
      <c r="G331">
        <v>0</v>
      </c>
      <c r="H331">
        <v>1014</v>
      </c>
      <c r="I331">
        <v>699</v>
      </c>
      <c r="J331">
        <v>315</v>
      </c>
      <c r="K331">
        <v>1</v>
      </c>
    </row>
    <row r="332" spans="1:12" x14ac:dyDescent="0.25">
      <c r="A332">
        <v>17</v>
      </c>
      <c r="B332" t="s">
        <v>29</v>
      </c>
      <c r="C332" t="s">
        <v>9</v>
      </c>
      <c r="D332">
        <v>96</v>
      </c>
      <c r="E332">
        <v>66</v>
      </c>
      <c r="F332">
        <v>0.59299999999999997</v>
      </c>
      <c r="G332">
        <v>0</v>
      </c>
      <c r="H332">
        <v>941</v>
      </c>
      <c r="I332">
        <v>793</v>
      </c>
      <c r="J332">
        <v>148</v>
      </c>
      <c r="L332">
        <v>1</v>
      </c>
    </row>
    <row r="333" spans="1:12" x14ac:dyDescent="0.25">
      <c r="A333">
        <v>17</v>
      </c>
      <c r="B333" t="s">
        <v>30</v>
      </c>
      <c r="C333" t="s">
        <v>14</v>
      </c>
      <c r="D333">
        <v>81</v>
      </c>
      <c r="E333">
        <v>81</v>
      </c>
      <c r="F333">
        <v>0.5</v>
      </c>
      <c r="G333">
        <v>33</v>
      </c>
      <c r="H333">
        <v>811</v>
      </c>
      <c r="I333">
        <v>803</v>
      </c>
      <c r="J333">
        <v>8</v>
      </c>
    </row>
    <row r="334" spans="1:12" x14ac:dyDescent="0.25">
      <c r="A334">
        <v>17</v>
      </c>
      <c r="B334" t="s">
        <v>32</v>
      </c>
      <c r="C334" t="s">
        <v>27</v>
      </c>
      <c r="D334">
        <v>79</v>
      </c>
      <c r="E334">
        <v>83</v>
      </c>
      <c r="F334">
        <v>0.48799999999999999</v>
      </c>
      <c r="G334">
        <v>24</v>
      </c>
      <c r="H334">
        <v>855</v>
      </c>
      <c r="I334">
        <v>870</v>
      </c>
      <c r="J334">
        <v>-15</v>
      </c>
    </row>
    <row r="335" spans="1:12" x14ac:dyDescent="0.25">
      <c r="A335">
        <v>17</v>
      </c>
      <c r="B335" t="s">
        <v>30</v>
      </c>
      <c r="C335" t="s">
        <v>15</v>
      </c>
      <c r="D335">
        <v>66</v>
      </c>
      <c r="E335">
        <v>96</v>
      </c>
      <c r="F335">
        <v>0.40699999999999997</v>
      </c>
      <c r="G335">
        <v>48</v>
      </c>
      <c r="H335">
        <v>943</v>
      </c>
      <c r="I335">
        <v>1119</v>
      </c>
      <c r="J335">
        <v>-176</v>
      </c>
    </row>
    <row r="336" spans="1:12" x14ac:dyDescent="0.25">
      <c r="A336">
        <v>17</v>
      </c>
      <c r="B336" t="s">
        <v>32</v>
      </c>
      <c r="C336" t="s">
        <v>23</v>
      </c>
      <c r="D336">
        <v>103</v>
      </c>
      <c r="E336">
        <v>59</v>
      </c>
      <c r="F336">
        <v>0.63600000000000001</v>
      </c>
      <c r="G336">
        <v>0</v>
      </c>
      <c r="H336">
        <v>967</v>
      </c>
      <c r="I336">
        <v>699</v>
      </c>
      <c r="J336">
        <v>268</v>
      </c>
      <c r="L336">
        <v>1</v>
      </c>
    </row>
    <row r="337" spans="1:13" x14ac:dyDescent="0.25">
      <c r="A337">
        <v>17</v>
      </c>
      <c r="B337" t="s">
        <v>29</v>
      </c>
      <c r="C337" t="s">
        <v>10</v>
      </c>
      <c r="D337">
        <v>92</v>
      </c>
      <c r="E337">
        <v>70</v>
      </c>
      <c r="F337">
        <v>0.56799999999999995</v>
      </c>
      <c r="G337">
        <v>4</v>
      </c>
      <c r="H337">
        <v>976</v>
      </c>
      <c r="I337">
        <v>836</v>
      </c>
      <c r="J337">
        <v>140</v>
      </c>
      <c r="M337">
        <v>1</v>
      </c>
    </row>
    <row r="338" spans="1:13" x14ac:dyDescent="0.25">
      <c r="A338">
        <v>17</v>
      </c>
      <c r="B338" t="s">
        <v>31</v>
      </c>
      <c r="C338" t="s">
        <v>20</v>
      </c>
      <c r="D338">
        <v>91</v>
      </c>
      <c r="E338">
        <v>71</v>
      </c>
      <c r="F338">
        <v>0.56200000000000006</v>
      </c>
      <c r="G338">
        <v>19</v>
      </c>
      <c r="H338">
        <v>927</v>
      </c>
      <c r="I338">
        <v>872</v>
      </c>
      <c r="J338">
        <v>55</v>
      </c>
      <c r="M338">
        <v>1</v>
      </c>
    </row>
    <row r="339" spans="1:13" x14ac:dyDescent="0.25">
      <c r="A339">
        <v>17</v>
      </c>
      <c r="B339" t="s">
        <v>29</v>
      </c>
      <c r="C339" t="s">
        <v>11</v>
      </c>
      <c r="D339">
        <v>89</v>
      </c>
      <c r="E339">
        <v>73</v>
      </c>
      <c r="F339">
        <v>0.54900000000000004</v>
      </c>
      <c r="G339">
        <v>7</v>
      </c>
      <c r="H339">
        <v>922</v>
      </c>
      <c r="I339">
        <v>802</v>
      </c>
      <c r="J339">
        <v>120</v>
      </c>
    </row>
    <row r="340" spans="1:13" x14ac:dyDescent="0.25">
      <c r="A340">
        <v>17</v>
      </c>
      <c r="B340" t="s">
        <v>32</v>
      </c>
      <c r="C340" t="s">
        <v>24</v>
      </c>
      <c r="D340">
        <v>84</v>
      </c>
      <c r="E340">
        <v>78</v>
      </c>
      <c r="F340">
        <v>0.51900000000000002</v>
      </c>
      <c r="G340">
        <v>19</v>
      </c>
      <c r="H340">
        <v>862</v>
      </c>
      <c r="I340">
        <v>809</v>
      </c>
      <c r="J340">
        <v>53</v>
      </c>
    </row>
    <row r="341" spans="1:13" x14ac:dyDescent="0.25">
      <c r="A341">
        <v>17</v>
      </c>
      <c r="B341" t="s">
        <v>29</v>
      </c>
      <c r="C341" t="s">
        <v>8</v>
      </c>
      <c r="D341">
        <v>83</v>
      </c>
      <c r="E341">
        <v>79</v>
      </c>
      <c r="F341">
        <v>0.51200000000000001</v>
      </c>
      <c r="G341">
        <v>13</v>
      </c>
      <c r="H341">
        <v>804</v>
      </c>
      <c r="I341">
        <v>720</v>
      </c>
      <c r="J341">
        <v>84</v>
      </c>
    </row>
    <row r="342" spans="1:13" x14ac:dyDescent="0.25">
      <c r="A342">
        <v>17</v>
      </c>
      <c r="B342" t="s">
        <v>29</v>
      </c>
      <c r="C342" t="s">
        <v>12</v>
      </c>
      <c r="D342">
        <v>76</v>
      </c>
      <c r="E342">
        <v>86</v>
      </c>
      <c r="F342">
        <v>0.46899999999999997</v>
      </c>
      <c r="G342">
        <v>20</v>
      </c>
      <c r="H342">
        <v>838</v>
      </c>
      <c r="I342">
        <v>821</v>
      </c>
      <c r="J342">
        <v>17</v>
      </c>
    </row>
    <row r="343" spans="1:13" x14ac:dyDescent="0.25">
      <c r="A343">
        <v>18</v>
      </c>
      <c r="B343" t="s">
        <v>32</v>
      </c>
      <c r="C343" t="s">
        <v>23</v>
      </c>
      <c r="D343">
        <v>103</v>
      </c>
      <c r="E343">
        <v>59</v>
      </c>
      <c r="F343">
        <v>0.63600000000000001</v>
      </c>
      <c r="G343">
        <v>0</v>
      </c>
      <c r="H343">
        <v>924</v>
      </c>
      <c r="I343">
        <v>699</v>
      </c>
      <c r="J343">
        <v>225</v>
      </c>
      <c r="L343">
        <v>1</v>
      </c>
    </row>
    <row r="344" spans="1:13" x14ac:dyDescent="0.25">
      <c r="A344">
        <v>18</v>
      </c>
      <c r="B344" t="s">
        <v>31</v>
      </c>
      <c r="C344" t="s">
        <v>19</v>
      </c>
      <c r="D344">
        <v>89</v>
      </c>
      <c r="E344">
        <v>73</v>
      </c>
      <c r="F344">
        <v>0.54900000000000004</v>
      </c>
      <c r="G344">
        <v>22</v>
      </c>
      <c r="H344">
        <v>905</v>
      </c>
      <c r="I344">
        <v>804</v>
      </c>
      <c r="J344">
        <v>101</v>
      </c>
      <c r="M344">
        <v>0.5</v>
      </c>
    </row>
    <row r="345" spans="1:13" x14ac:dyDescent="0.25">
      <c r="A345">
        <v>18</v>
      </c>
      <c r="B345" t="s">
        <v>30</v>
      </c>
      <c r="C345" t="s">
        <v>16</v>
      </c>
      <c r="D345">
        <v>72</v>
      </c>
      <c r="E345">
        <v>90</v>
      </c>
      <c r="F345">
        <v>0.44400000000000001</v>
      </c>
      <c r="G345">
        <v>43</v>
      </c>
      <c r="H345">
        <v>881</v>
      </c>
      <c r="I345">
        <v>1037</v>
      </c>
      <c r="J345">
        <v>-156</v>
      </c>
    </row>
    <row r="346" spans="1:13" x14ac:dyDescent="0.25">
      <c r="A346">
        <v>18</v>
      </c>
      <c r="B346" t="s">
        <v>29</v>
      </c>
      <c r="C346" t="s">
        <v>10</v>
      </c>
      <c r="D346">
        <v>102</v>
      </c>
      <c r="E346">
        <v>60</v>
      </c>
      <c r="F346">
        <v>0.63</v>
      </c>
      <c r="G346">
        <v>0</v>
      </c>
      <c r="H346">
        <v>1063</v>
      </c>
      <c r="I346">
        <v>861</v>
      </c>
      <c r="J346">
        <v>202</v>
      </c>
      <c r="L346">
        <v>1</v>
      </c>
    </row>
    <row r="347" spans="1:13" x14ac:dyDescent="0.25">
      <c r="A347">
        <v>18</v>
      </c>
      <c r="B347" t="s">
        <v>30</v>
      </c>
      <c r="C347" t="s">
        <v>14</v>
      </c>
      <c r="D347">
        <v>77</v>
      </c>
      <c r="E347">
        <v>85</v>
      </c>
      <c r="F347">
        <v>0.47499999999999998</v>
      </c>
      <c r="G347">
        <v>38</v>
      </c>
      <c r="H347">
        <v>806</v>
      </c>
      <c r="I347">
        <v>826</v>
      </c>
      <c r="J347">
        <v>-20</v>
      </c>
    </row>
    <row r="348" spans="1:13" x14ac:dyDescent="0.25">
      <c r="A348">
        <v>18</v>
      </c>
      <c r="B348" t="s">
        <v>29</v>
      </c>
      <c r="C348" t="s">
        <v>12</v>
      </c>
      <c r="D348">
        <v>71</v>
      </c>
      <c r="E348">
        <v>91</v>
      </c>
      <c r="F348">
        <v>0.438</v>
      </c>
      <c r="G348">
        <v>31</v>
      </c>
      <c r="H348">
        <v>821</v>
      </c>
      <c r="I348">
        <v>916</v>
      </c>
      <c r="J348">
        <v>-95</v>
      </c>
    </row>
    <row r="349" spans="1:13" x14ac:dyDescent="0.25">
      <c r="A349">
        <v>18</v>
      </c>
      <c r="B349" t="s">
        <v>31</v>
      </c>
      <c r="C349" t="s">
        <v>21</v>
      </c>
      <c r="D349">
        <v>50</v>
      </c>
      <c r="E349">
        <v>112</v>
      </c>
      <c r="F349">
        <v>0.309</v>
      </c>
      <c r="G349">
        <v>61</v>
      </c>
      <c r="H349">
        <v>798</v>
      </c>
      <c r="I349">
        <v>1080</v>
      </c>
      <c r="J349">
        <v>-282</v>
      </c>
    </row>
    <row r="350" spans="1:13" x14ac:dyDescent="0.25">
      <c r="A350">
        <v>18</v>
      </c>
      <c r="B350" t="s">
        <v>31</v>
      </c>
      <c r="C350" t="s">
        <v>20</v>
      </c>
      <c r="D350">
        <v>86</v>
      </c>
      <c r="E350">
        <v>76</v>
      </c>
      <c r="F350">
        <v>0.53100000000000003</v>
      </c>
      <c r="G350">
        <v>25</v>
      </c>
      <c r="H350">
        <v>991</v>
      </c>
      <c r="I350">
        <v>909</v>
      </c>
      <c r="J350">
        <v>82</v>
      </c>
    </row>
    <row r="351" spans="1:13" x14ac:dyDescent="0.25">
      <c r="A351">
        <v>18</v>
      </c>
      <c r="B351" t="s">
        <v>32</v>
      </c>
      <c r="C351" t="s">
        <v>26</v>
      </c>
      <c r="D351">
        <v>82</v>
      </c>
      <c r="E351">
        <v>80</v>
      </c>
      <c r="F351">
        <v>0.50600000000000001</v>
      </c>
      <c r="G351">
        <v>21</v>
      </c>
      <c r="H351">
        <v>829</v>
      </c>
      <c r="I351">
        <v>838</v>
      </c>
      <c r="J351">
        <v>-9</v>
      </c>
    </row>
    <row r="352" spans="1:13" x14ac:dyDescent="0.25">
      <c r="A352">
        <v>18</v>
      </c>
      <c r="B352" t="s">
        <v>32</v>
      </c>
      <c r="C352" t="s">
        <v>27</v>
      </c>
      <c r="D352">
        <v>80</v>
      </c>
      <c r="E352">
        <v>82</v>
      </c>
      <c r="F352">
        <v>0.49399999999999999</v>
      </c>
      <c r="G352">
        <v>23</v>
      </c>
      <c r="H352">
        <v>815</v>
      </c>
      <c r="I352">
        <v>904</v>
      </c>
      <c r="J352">
        <v>-89</v>
      </c>
    </row>
    <row r="353" spans="1:13" x14ac:dyDescent="0.25">
      <c r="A353">
        <v>18</v>
      </c>
      <c r="B353" t="s">
        <v>32</v>
      </c>
      <c r="C353" t="s">
        <v>25</v>
      </c>
      <c r="D353">
        <v>65</v>
      </c>
      <c r="E353">
        <v>97</v>
      </c>
      <c r="F353">
        <v>0.40100000000000002</v>
      </c>
      <c r="G353">
        <v>38</v>
      </c>
      <c r="H353">
        <v>755</v>
      </c>
      <c r="I353">
        <v>902</v>
      </c>
      <c r="J353">
        <v>-147</v>
      </c>
    </row>
    <row r="354" spans="1:13" x14ac:dyDescent="0.25">
      <c r="A354">
        <v>18</v>
      </c>
      <c r="B354" t="s">
        <v>31</v>
      </c>
      <c r="C354" t="s">
        <v>22</v>
      </c>
      <c r="D354">
        <v>49</v>
      </c>
      <c r="E354">
        <v>113</v>
      </c>
      <c r="F354">
        <v>0.30199999999999999</v>
      </c>
      <c r="G354">
        <v>62</v>
      </c>
      <c r="H354">
        <v>774</v>
      </c>
      <c r="I354">
        <v>1096</v>
      </c>
      <c r="J354">
        <v>-322</v>
      </c>
    </row>
    <row r="355" spans="1:13" x14ac:dyDescent="0.25">
      <c r="A355">
        <v>18</v>
      </c>
      <c r="B355" t="s">
        <v>30</v>
      </c>
      <c r="C355" t="s">
        <v>17</v>
      </c>
      <c r="D355">
        <v>41</v>
      </c>
      <c r="E355">
        <v>121</v>
      </c>
      <c r="F355">
        <v>0.253</v>
      </c>
      <c r="G355">
        <v>74</v>
      </c>
      <c r="H355">
        <v>648</v>
      </c>
      <c r="I355">
        <v>1015</v>
      </c>
      <c r="J355">
        <v>-367</v>
      </c>
    </row>
    <row r="356" spans="1:13" x14ac:dyDescent="0.25">
      <c r="A356">
        <v>18</v>
      </c>
      <c r="B356" t="s">
        <v>29</v>
      </c>
      <c r="C356" t="s">
        <v>8</v>
      </c>
      <c r="D356">
        <v>96</v>
      </c>
      <c r="E356">
        <v>66</v>
      </c>
      <c r="F356">
        <v>0.59299999999999997</v>
      </c>
      <c r="G356">
        <v>6</v>
      </c>
      <c r="H356">
        <v>887</v>
      </c>
      <c r="I356">
        <v>704</v>
      </c>
      <c r="J356">
        <v>183</v>
      </c>
      <c r="M356">
        <v>1</v>
      </c>
    </row>
    <row r="357" spans="1:13" x14ac:dyDescent="0.25">
      <c r="A357">
        <v>18</v>
      </c>
      <c r="B357" t="s">
        <v>29</v>
      </c>
      <c r="C357" t="s">
        <v>11</v>
      </c>
      <c r="D357">
        <v>89</v>
      </c>
      <c r="E357">
        <v>73</v>
      </c>
      <c r="F357">
        <v>0.54900000000000004</v>
      </c>
      <c r="G357">
        <v>13</v>
      </c>
      <c r="H357">
        <v>821</v>
      </c>
      <c r="I357">
        <v>780</v>
      </c>
      <c r="J357">
        <v>41</v>
      </c>
      <c r="M357">
        <v>0.5</v>
      </c>
    </row>
    <row r="358" spans="1:13" x14ac:dyDescent="0.25">
      <c r="A358">
        <v>18</v>
      </c>
      <c r="B358" t="s">
        <v>29</v>
      </c>
      <c r="C358" t="s">
        <v>9</v>
      </c>
      <c r="D358">
        <v>87</v>
      </c>
      <c r="E358">
        <v>75</v>
      </c>
      <c r="F358">
        <v>0.53700000000000003</v>
      </c>
      <c r="G358">
        <v>15</v>
      </c>
      <c r="H358">
        <v>977</v>
      </c>
      <c r="I358">
        <v>891</v>
      </c>
      <c r="J358">
        <v>86</v>
      </c>
    </row>
    <row r="359" spans="1:13" x14ac:dyDescent="0.25">
      <c r="A359">
        <v>18</v>
      </c>
      <c r="B359" t="s">
        <v>32</v>
      </c>
      <c r="C359" t="s">
        <v>24</v>
      </c>
      <c r="D359">
        <v>81</v>
      </c>
      <c r="E359">
        <v>81</v>
      </c>
      <c r="F359">
        <v>0.5</v>
      </c>
      <c r="G359">
        <v>22</v>
      </c>
      <c r="H359">
        <v>865</v>
      </c>
      <c r="I359">
        <v>846</v>
      </c>
      <c r="J359">
        <v>19</v>
      </c>
    </row>
    <row r="360" spans="1:13" x14ac:dyDescent="0.25">
      <c r="A360">
        <v>18</v>
      </c>
      <c r="B360" t="s">
        <v>30</v>
      </c>
      <c r="C360" t="s">
        <v>15</v>
      </c>
      <c r="D360">
        <v>74</v>
      </c>
      <c r="E360">
        <v>88</v>
      </c>
      <c r="F360">
        <v>0.45700000000000002</v>
      </c>
      <c r="G360">
        <v>41</v>
      </c>
      <c r="H360">
        <v>1004</v>
      </c>
      <c r="I360">
        <v>1075</v>
      </c>
      <c r="J360">
        <v>-71</v>
      </c>
    </row>
    <row r="361" spans="1:13" x14ac:dyDescent="0.25">
      <c r="A361">
        <v>18</v>
      </c>
      <c r="B361" t="s">
        <v>30</v>
      </c>
      <c r="C361" t="s">
        <v>13</v>
      </c>
      <c r="D361">
        <v>115</v>
      </c>
      <c r="E361">
        <v>47</v>
      </c>
      <c r="F361">
        <v>0.71</v>
      </c>
      <c r="G361">
        <v>0</v>
      </c>
      <c r="H361">
        <v>1041</v>
      </c>
      <c r="I361">
        <v>741</v>
      </c>
      <c r="J361">
        <v>300</v>
      </c>
      <c r="K361">
        <v>1</v>
      </c>
    </row>
    <row r="362" spans="1:13" x14ac:dyDescent="0.25">
      <c r="A362">
        <v>18</v>
      </c>
      <c r="B362" t="s">
        <v>31</v>
      </c>
      <c r="C362" t="s">
        <v>18</v>
      </c>
      <c r="D362">
        <v>111</v>
      </c>
      <c r="E362">
        <v>51</v>
      </c>
      <c r="F362">
        <v>0.68500000000000005</v>
      </c>
      <c r="G362">
        <v>0</v>
      </c>
      <c r="H362">
        <v>1058</v>
      </c>
      <c r="I362">
        <v>739</v>
      </c>
      <c r="J362">
        <v>319</v>
      </c>
      <c r="K362">
        <v>1</v>
      </c>
    </row>
    <row r="363" spans="1:13" x14ac:dyDescent="0.25">
      <c r="A363">
        <v>19</v>
      </c>
      <c r="B363" t="s">
        <v>32</v>
      </c>
      <c r="C363" t="s">
        <v>27</v>
      </c>
      <c r="D363">
        <v>62</v>
      </c>
      <c r="E363">
        <v>100</v>
      </c>
      <c r="F363">
        <v>0.38300000000000001</v>
      </c>
      <c r="G363">
        <v>54</v>
      </c>
      <c r="H363">
        <v>779</v>
      </c>
      <c r="I363">
        <v>945</v>
      </c>
      <c r="J363">
        <v>-166</v>
      </c>
    </row>
    <row r="364" spans="1:13" x14ac:dyDescent="0.25">
      <c r="A364">
        <v>19</v>
      </c>
      <c r="B364" t="s">
        <v>31</v>
      </c>
      <c r="C364" t="s">
        <v>21</v>
      </c>
      <c r="D364">
        <v>60</v>
      </c>
      <c r="E364">
        <v>102</v>
      </c>
      <c r="F364">
        <v>0.37</v>
      </c>
      <c r="G364">
        <v>56</v>
      </c>
      <c r="H364">
        <v>875</v>
      </c>
      <c r="I364">
        <v>1072</v>
      </c>
      <c r="J364">
        <v>-197</v>
      </c>
    </row>
    <row r="365" spans="1:13" x14ac:dyDescent="0.25">
      <c r="A365">
        <v>19</v>
      </c>
      <c r="B365" t="s">
        <v>32</v>
      </c>
      <c r="C365" t="s">
        <v>26</v>
      </c>
      <c r="D365">
        <v>70</v>
      </c>
      <c r="E365">
        <v>92</v>
      </c>
      <c r="F365">
        <v>0.432</v>
      </c>
      <c r="G365">
        <v>46</v>
      </c>
      <c r="H365">
        <v>755</v>
      </c>
      <c r="I365">
        <v>874</v>
      </c>
      <c r="J365">
        <v>-119</v>
      </c>
    </row>
    <row r="366" spans="1:13" x14ac:dyDescent="0.25">
      <c r="A366">
        <v>19</v>
      </c>
      <c r="B366" t="s">
        <v>30</v>
      </c>
      <c r="C366" t="s">
        <v>15</v>
      </c>
      <c r="D366">
        <v>67</v>
      </c>
      <c r="E366">
        <v>95</v>
      </c>
      <c r="F366">
        <v>0.41399999999999998</v>
      </c>
      <c r="G366">
        <v>50</v>
      </c>
      <c r="H366">
        <v>1031</v>
      </c>
      <c r="I366">
        <v>1226</v>
      </c>
      <c r="J366">
        <v>-195</v>
      </c>
    </row>
    <row r="367" spans="1:13" x14ac:dyDescent="0.25">
      <c r="A367">
        <v>19</v>
      </c>
      <c r="B367" t="s">
        <v>29</v>
      </c>
      <c r="C367" t="s">
        <v>10</v>
      </c>
      <c r="D367">
        <v>97</v>
      </c>
      <c r="E367">
        <v>65</v>
      </c>
      <c r="F367">
        <v>0.59899999999999998</v>
      </c>
      <c r="G367">
        <v>0</v>
      </c>
      <c r="H367">
        <v>930</v>
      </c>
      <c r="I367">
        <v>845</v>
      </c>
      <c r="J367">
        <v>85</v>
      </c>
      <c r="L367">
        <v>1</v>
      </c>
    </row>
    <row r="368" spans="1:13" x14ac:dyDescent="0.25">
      <c r="A368">
        <v>19</v>
      </c>
      <c r="B368" t="s">
        <v>30</v>
      </c>
      <c r="C368" t="s">
        <v>14</v>
      </c>
      <c r="D368">
        <v>80</v>
      </c>
      <c r="E368">
        <v>82</v>
      </c>
      <c r="F368">
        <v>0.49399999999999999</v>
      </c>
      <c r="G368">
        <v>37</v>
      </c>
      <c r="H368">
        <v>822</v>
      </c>
      <c r="I368">
        <v>873</v>
      </c>
      <c r="J368">
        <v>-51</v>
      </c>
    </row>
    <row r="369" spans="1:13" x14ac:dyDescent="0.25">
      <c r="A369">
        <v>19</v>
      </c>
      <c r="B369" t="s">
        <v>32</v>
      </c>
      <c r="C369" t="s">
        <v>25</v>
      </c>
      <c r="D369">
        <v>69</v>
      </c>
      <c r="E369">
        <v>93</v>
      </c>
      <c r="F369">
        <v>0.42599999999999999</v>
      </c>
      <c r="G369">
        <v>47</v>
      </c>
      <c r="H369">
        <v>800</v>
      </c>
      <c r="I369">
        <v>866</v>
      </c>
      <c r="J369">
        <v>-66</v>
      </c>
    </row>
    <row r="370" spans="1:13" x14ac:dyDescent="0.25">
      <c r="A370">
        <v>19</v>
      </c>
      <c r="B370" t="s">
        <v>30</v>
      </c>
      <c r="C370" t="s">
        <v>16</v>
      </c>
      <c r="D370">
        <v>65</v>
      </c>
      <c r="E370">
        <v>97</v>
      </c>
      <c r="F370">
        <v>0.40100000000000002</v>
      </c>
      <c r="G370">
        <v>52</v>
      </c>
      <c r="H370">
        <v>820</v>
      </c>
      <c r="I370">
        <v>1010</v>
      </c>
      <c r="J370">
        <v>-190</v>
      </c>
    </row>
    <row r="371" spans="1:13" x14ac:dyDescent="0.25">
      <c r="A371">
        <v>19</v>
      </c>
      <c r="B371" t="s">
        <v>31</v>
      </c>
      <c r="C371" t="s">
        <v>22</v>
      </c>
      <c r="D371">
        <v>50</v>
      </c>
      <c r="E371">
        <v>112</v>
      </c>
      <c r="F371">
        <v>0.309</v>
      </c>
      <c r="G371">
        <v>66</v>
      </c>
      <c r="H371">
        <v>760</v>
      </c>
      <c r="I371">
        <v>1149</v>
      </c>
      <c r="J371">
        <v>-389</v>
      </c>
    </row>
    <row r="372" spans="1:13" x14ac:dyDescent="0.25">
      <c r="A372">
        <v>19</v>
      </c>
      <c r="B372" t="s">
        <v>30</v>
      </c>
      <c r="C372" t="s">
        <v>17</v>
      </c>
      <c r="D372">
        <v>46</v>
      </c>
      <c r="E372">
        <v>116</v>
      </c>
      <c r="F372">
        <v>0.28399999999999997</v>
      </c>
      <c r="G372">
        <v>71</v>
      </c>
      <c r="H372">
        <v>620</v>
      </c>
      <c r="I372">
        <v>959</v>
      </c>
      <c r="J372">
        <v>-339</v>
      </c>
    </row>
    <row r="373" spans="1:13" x14ac:dyDescent="0.25">
      <c r="A373">
        <v>19</v>
      </c>
      <c r="B373" t="s">
        <v>31</v>
      </c>
      <c r="C373" t="s">
        <v>19</v>
      </c>
      <c r="D373">
        <v>91</v>
      </c>
      <c r="E373">
        <v>71</v>
      </c>
      <c r="F373">
        <v>0.56200000000000006</v>
      </c>
      <c r="G373">
        <v>25</v>
      </c>
      <c r="H373">
        <v>974</v>
      </c>
      <c r="I373">
        <v>845</v>
      </c>
      <c r="J373">
        <v>129</v>
      </c>
      <c r="M373">
        <v>1</v>
      </c>
    </row>
    <row r="374" spans="1:13" x14ac:dyDescent="0.25">
      <c r="A374">
        <v>19</v>
      </c>
      <c r="B374" t="s">
        <v>32</v>
      </c>
      <c r="C374" t="s">
        <v>24</v>
      </c>
      <c r="D374">
        <v>91</v>
      </c>
      <c r="E374">
        <v>71</v>
      </c>
      <c r="F374">
        <v>0.56200000000000006</v>
      </c>
      <c r="G374">
        <v>25</v>
      </c>
      <c r="H374">
        <v>867</v>
      </c>
      <c r="I374">
        <v>815</v>
      </c>
      <c r="J374">
        <v>52</v>
      </c>
      <c r="M374">
        <v>1</v>
      </c>
    </row>
    <row r="375" spans="1:13" x14ac:dyDescent="0.25">
      <c r="A375">
        <v>19</v>
      </c>
      <c r="B375" t="s">
        <v>29</v>
      </c>
      <c r="C375" t="s">
        <v>11</v>
      </c>
      <c r="D375">
        <v>88</v>
      </c>
      <c r="E375">
        <v>74</v>
      </c>
      <c r="F375">
        <v>0.54300000000000004</v>
      </c>
      <c r="G375">
        <v>9</v>
      </c>
      <c r="H375">
        <v>957</v>
      </c>
      <c r="I375">
        <v>824</v>
      </c>
      <c r="J375">
        <v>133</v>
      </c>
    </row>
    <row r="376" spans="1:13" x14ac:dyDescent="0.25">
      <c r="A376">
        <v>19</v>
      </c>
      <c r="B376" t="s">
        <v>29</v>
      </c>
      <c r="C376" t="s">
        <v>8</v>
      </c>
      <c r="D376">
        <v>87</v>
      </c>
      <c r="E376">
        <v>75</v>
      </c>
      <c r="F376">
        <v>0.53700000000000003</v>
      </c>
      <c r="G376">
        <v>10</v>
      </c>
      <c r="H376">
        <v>840</v>
      </c>
      <c r="I376">
        <v>682</v>
      </c>
      <c r="J376">
        <v>158</v>
      </c>
    </row>
    <row r="377" spans="1:13" x14ac:dyDescent="0.25">
      <c r="A377">
        <v>19</v>
      </c>
      <c r="B377" t="s">
        <v>29</v>
      </c>
      <c r="C377" t="s">
        <v>9</v>
      </c>
      <c r="D377">
        <v>86</v>
      </c>
      <c r="E377">
        <v>76</v>
      </c>
      <c r="F377">
        <v>0.53100000000000003</v>
      </c>
      <c r="G377">
        <v>11</v>
      </c>
      <c r="H377">
        <v>856</v>
      </c>
      <c r="I377">
        <v>795</v>
      </c>
      <c r="J377">
        <v>61</v>
      </c>
    </row>
    <row r="378" spans="1:13" x14ac:dyDescent="0.25">
      <c r="A378">
        <v>19</v>
      </c>
      <c r="B378" t="s">
        <v>31</v>
      </c>
      <c r="C378" t="s">
        <v>20</v>
      </c>
      <c r="D378">
        <v>82</v>
      </c>
      <c r="E378">
        <v>80</v>
      </c>
      <c r="F378">
        <v>0.50600000000000001</v>
      </c>
      <c r="G378">
        <v>34</v>
      </c>
      <c r="H378">
        <v>964</v>
      </c>
      <c r="I378">
        <v>865</v>
      </c>
      <c r="J378">
        <v>99</v>
      </c>
    </row>
    <row r="379" spans="1:13" x14ac:dyDescent="0.25">
      <c r="A379">
        <v>19</v>
      </c>
      <c r="B379" t="s">
        <v>29</v>
      </c>
      <c r="C379" t="s">
        <v>12</v>
      </c>
      <c r="D379">
        <v>80</v>
      </c>
      <c r="E379">
        <v>82</v>
      </c>
      <c r="F379">
        <v>0.49399999999999999</v>
      </c>
      <c r="G379">
        <v>17</v>
      </c>
      <c r="H379">
        <v>821</v>
      </c>
      <c r="I379">
        <v>858</v>
      </c>
      <c r="J379">
        <v>-37</v>
      </c>
    </row>
    <row r="380" spans="1:13" x14ac:dyDescent="0.25">
      <c r="A380">
        <v>19</v>
      </c>
      <c r="B380" t="s">
        <v>30</v>
      </c>
      <c r="C380" t="s">
        <v>13</v>
      </c>
      <c r="D380">
        <v>117</v>
      </c>
      <c r="E380">
        <v>45</v>
      </c>
      <c r="F380">
        <v>0.72199999999999998</v>
      </c>
      <c r="G380">
        <v>0</v>
      </c>
      <c r="H380">
        <v>983</v>
      </c>
      <c r="I380">
        <v>637</v>
      </c>
      <c r="J380">
        <v>346</v>
      </c>
      <c r="K380">
        <v>1</v>
      </c>
    </row>
    <row r="381" spans="1:13" x14ac:dyDescent="0.25">
      <c r="A381">
        <v>19</v>
      </c>
      <c r="B381" t="s">
        <v>31</v>
      </c>
      <c r="C381" t="s">
        <v>18</v>
      </c>
      <c r="D381">
        <v>116</v>
      </c>
      <c r="E381">
        <v>46</v>
      </c>
      <c r="F381">
        <v>0.71599999999999997</v>
      </c>
      <c r="G381">
        <v>0</v>
      </c>
      <c r="H381">
        <v>1141</v>
      </c>
      <c r="I381">
        <v>762</v>
      </c>
      <c r="J381">
        <v>379</v>
      </c>
      <c r="K381">
        <v>0.5</v>
      </c>
      <c r="L381">
        <v>0.5</v>
      </c>
    </row>
    <row r="382" spans="1:13" x14ac:dyDescent="0.25">
      <c r="A382">
        <v>19</v>
      </c>
      <c r="B382" t="s">
        <v>32</v>
      </c>
      <c r="C382" t="s">
        <v>23</v>
      </c>
      <c r="D382">
        <v>116</v>
      </c>
      <c r="E382">
        <v>46</v>
      </c>
      <c r="F382">
        <v>0.71599999999999997</v>
      </c>
      <c r="G382">
        <v>0</v>
      </c>
      <c r="H382">
        <v>1015</v>
      </c>
      <c r="I382">
        <v>708</v>
      </c>
      <c r="J382">
        <v>307</v>
      </c>
      <c r="K382">
        <v>0.5</v>
      </c>
      <c r="L382">
        <v>0.5</v>
      </c>
    </row>
    <row r="383" spans="1:13" x14ac:dyDescent="0.25">
      <c r="A383">
        <v>20</v>
      </c>
      <c r="B383" t="s">
        <v>29</v>
      </c>
      <c r="C383" t="s">
        <v>11</v>
      </c>
      <c r="D383">
        <v>88</v>
      </c>
      <c r="E383">
        <v>74</v>
      </c>
      <c r="F383">
        <v>0.54300000000000004</v>
      </c>
      <c r="G383">
        <v>10</v>
      </c>
      <c r="H383">
        <v>865</v>
      </c>
      <c r="I383">
        <v>821</v>
      </c>
      <c r="J383">
        <v>44</v>
      </c>
    </row>
    <row r="384" spans="1:13" x14ac:dyDescent="0.25">
      <c r="A384">
        <v>20</v>
      </c>
      <c r="B384" t="s">
        <v>32</v>
      </c>
      <c r="C384" t="s">
        <v>25</v>
      </c>
      <c r="D384">
        <v>64</v>
      </c>
      <c r="E384">
        <v>98</v>
      </c>
      <c r="F384">
        <v>0.39500000000000002</v>
      </c>
      <c r="G384">
        <v>47</v>
      </c>
      <c r="H384">
        <v>783</v>
      </c>
      <c r="I384">
        <v>893</v>
      </c>
      <c r="J384">
        <v>-110</v>
      </c>
    </row>
    <row r="385" spans="1:13" x14ac:dyDescent="0.25">
      <c r="A385">
        <v>20</v>
      </c>
      <c r="B385" t="s">
        <v>30</v>
      </c>
      <c r="C385" t="s">
        <v>16</v>
      </c>
      <c r="D385">
        <v>63</v>
      </c>
      <c r="E385">
        <v>99</v>
      </c>
      <c r="F385">
        <v>0.38900000000000001</v>
      </c>
      <c r="G385">
        <v>39</v>
      </c>
      <c r="H385">
        <v>776</v>
      </c>
      <c r="I385">
        <v>944</v>
      </c>
      <c r="J385">
        <v>-168</v>
      </c>
    </row>
    <row r="386" spans="1:13" x14ac:dyDescent="0.25">
      <c r="A386">
        <v>20</v>
      </c>
      <c r="B386" t="s">
        <v>31</v>
      </c>
      <c r="C386" t="s">
        <v>22</v>
      </c>
      <c r="D386">
        <v>56</v>
      </c>
      <c r="E386">
        <v>106</v>
      </c>
      <c r="F386">
        <v>0.34599999999999997</v>
      </c>
      <c r="G386">
        <v>52</v>
      </c>
      <c r="H386">
        <v>818</v>
      </c>
      <c r="I386">
        <v>1068</v>
      </c>
      <c r="J386">
        <v>-250</v>
      </c>
    </row>
    <row r="387" spans="1:13" x14ac:dyDescent="0.25">
      <c r="A387">
        <v>20</v>
      </c>
      <c r="B387" t="s">
        <v>29</v>
      </c>
      <c r="C387" t="s">
        <v>9</v>
      </c>
      <c r="D387">
        <v>98</v>
      </c>
      <c r="E387">
        <v>64</v>
      </c>
      <c r="F387">
        <v>0.60499999999999998</v>
      </c>
      <c r="G387">
        <v>0</v>
      </c>
      <c r="H387">
        <v>930</v>
      </c>
      <c r="I387">
        <v>764</v>
      </c>
      <c r="J387">
        <v>166</v>
      </c>
      <c r="L387">
        <v>1</v>
      </c>
    </row>
    <row r="388" spans="1:13" x14ac:dyDescent="0.25">
      <c r="A388">
        <v>20</v>
      </c>
      <c r="B388" t="s">
        <v>32</v>
      </c>
      <c r="C388" t="s">
        <v>27</v>
      </c>
      <c r="D388">
        <v>76</v>
      </c>
      <c r="E388">
        <v>86</v>
      </c>
      <c r="F388">
        <v>0.46899999999999997</v>
      </c>
      <c r="G388">
        <v>35</v>
      </c>
      <c r="H388">
        <v>830</v>
      </c>
      <c r="I388">
        <v>899</v>
      </c>
      <c r="J388">
        <v>-69</v>
      </c>
    </row>
    <row r="389" spans="1:13" x14ac:dyDescent="0.25">
      <c r="A389">
        <v>20</v>
      </c>
      <c r="B389" t="s">
        <v>30</v>
      </c>
      <c r="C389" t="s">
        <v>14</v>
      </c>
      <c r="D389">
        <v>72</v>
      </c>
      <c r="E389">
        <v>90</v>
      </c>
      <c r="F389">
        <v>0.44400000000000001</v>
      </c>
      <c r="G389">
        <v>30</v>
      </c>
      <c r="H389">
        <v>773</v>
      </c>
      <c r="I389">
        <v>893</v>
      </c>
      <c r="J389">
        <v>-120</v>
      </c>
    </row>
    <row r="390" spans="1:13" x14ac:dyDescent="0.25">
      <c r="A390">
        <v>20</v>
      </c>
      <c r="B390" t="s">
        <v>31</v>
      </c>
      <c r="C390" t="s">
        <v>20</v>
      </c>
      <c r="D390">
        <v>72</v>
      </c>
      <c r="E390">
        <v>90</v>
      </c>
      <c r="F390">
        <v>0.44400000000000001</v>
      </c>
      <c r="G390">
        <v>36</v>
      </c>
      <c r="H390">
        <v>872</v>
      </c>
      <c r="I390">
        <v>957</v>
      </c>
      <c r="J390">
        <v>-85</v>
      </c>
    </row>
    <row r="391" spans="1:13" x14ac:dyDescent="0.25">
      <c r="A391">
        <v>20</v>
      </c>
      <c r="B391" t="s">
        <v>30</v>
      </c>
      <c r="C391" t="s">
        <v>17</v>
      </c>
      <c r="D391">
        <v>47</v>
      </c>
      <c r="E391">
        <v>115</v>
      </c>
      <c r="F391">
        <v>0.28999999999999998</v>
      </c>
      <c r="G391">
        <v>55</v>
      </c>
      <c r="H391">
        <v>670</v>
      </c>
      <c r="I391">
        <v>1090</v>
      </c>
      <c r="J391">
        <v>-420</v>
      </c>
    </row>
    <row r="392" spans="1:13" x14ac:dyDescent="0.25">
      <c r="A392">
        <v>20</v>
      </c>
      <c r="B392" t="s">
        <v>30</v>
      </c>
      <c r="C392" t="s">
        <v>13</v>
      </c>
      <c r="D392">
        <v>102</v>
      </c>
      <c r="E392">
        <v>60</v>
      </c>
      <c r="F392">
        <v>0.63</v>
      </c>
      <c r="G392">
        <v>0</v>
      </c>
      <c r="H392">
        <v>864</v>
      </c>
      <c r="I392">
        <v>609</v>
      </c>
      <c r="J392">
        <v>255</v>
      </c>
      <c r="L392">
        <v>1</v>
      </c>
    </row>
    <row r="393" spans="1:13" x14ac:dyDescent="0.25">
      <c r="A393">
        <v>20</v>
      </c>
      <c r="B393" t="s">
        <v>29</v>
      </c>
      <c r="C393" t="s">
        <v>8</v>
      </c>
      <c r="D393">
        <v>96</v>
      </c>
      <c r="E393">
        <v>66</v>
      </c>
      <c r="F393">
        <v>0.59299999999999997</v>
      </c>
      <c r="G393">
        <v>2</v>
      </c>
      <c r="H393">
        <v>829</v>
      </c>
      <c r="I393">
        <v>675</v>
      </c>
      <c r="J393">
        <v>154</v>
      </c>
      <c r="M393">
        <v>1</v>
      </c>
    </row>
    <row r="394" spans="1:13" x14ac:dyDescent="0.25">
      <c r="A394">
        <v>20</v>
      </c>
      <c r="B394" t="s">
        <v>31</v>
      </c>
      <c r="C394" t="s">
        <v>19</v>
      </c>
      <c r="D394">
        <v>95</v>
      </c>
      <c r="E394">
        <v>67</v>
      </c>
      <c r="F394">
        <v>0.58599999999999997</v>
      </c>
      <c r="G394">
        <v>13</v>
      </c>
      <c r="H394">
        <v>946</v>
      </c>
      <c r="I394">
        <v>822</v>
      </c>
      <c r="J394">
        <v>124</v>
      </c>
      <c r="M394">
        <v>1</v>
      </c>
    </row>
    <row r="395" spans="1:13" x14ac:dyDescent="0.25">
      <c r="A395">
        <v>20</v>
      </c>
      <c r="B395" t="s">
        <v>29</v>
      </c>
      <c r="C395" t="s">
        <v>10</v>
      </c>
      <c r="D395">
        <v>91</v>
      </c>
      <c r="E395">
        <v>71</v>
      </c>
      <c r="F395">
        <v>0.56200000000000006</v>
      </c>
      <c r="G395">
        <v>7</v>
      </c>
      <c r="H395">
        <v>935</v>
      </c>
      <c r="I395">
        <v>766</v>
      </c>
      <c r="J395">
        <v>169</v>
      </c>
    </row>
    <row r="396" spans="1:13" x14ac:dyDescent="0.25">
      <c r="A396">
        <v>20</v>
      </c>
      <c r="B396" t="s">
        <v>32</v>
      </c>
      <c r="C396" t="s">
        <v>24</v>
      </c>
      <c r="D396">
        <v>86</v>
      </c>
      <c r="E396">
        <v>76</v>
      </c>
      <c r="F396">
        <v>0.53100000000000003</v>
      </c>
      <c r="G396">
        <v>25</v>
      </c>
      <c r="H396">
        <v>830</v>
      </c>
      <c r="I396">
        <v>783</v>
      </c>
      <c r="J396">
        <v>47</v>
      </c>
    </row>
    <row r="397" spans="1:13" x14ac:dyDescent="0.25">
      <c r="A397">
        <v>20</v>
      </c>
      <c r="B397" t="s">
        <v>31</v>
      </c>
      <c r="C397" t="s">
        <v>21</v>
      </c>
      <c r="D397">
        <v>78</v>
      </c>
      <c r="E397">
        <v>84</v>
      </c>
      <c r="F397">
        <v>0.48099999999999998</v>
      </c>
      <c r="G397">
        <v>30</v>
      </c>
      <c r="H397">
        <v>816</v>
      </c>
      <c r="I397">
        <v>886</v>
      </c>
      <c r="J397">
        <v>-70</v>
      </c>
    </row>
    <row r="398" spans="1:13" x14ac:dyDescent="0.25">
      <c r="A398">
        <v>20</v>
      </c>
      <c r="B398" t="s">
        <v>29</v>
      </c>
      <c r="C398" t="s">
        <v>12</v>
      </c>
      <c r="D398">
        <v>76</v>
      </c>
      <c r="E398">
        <v>86</v>
      </c>
      <c r="F398">
        <v>0.46899999999999997</v>
      </c>
      <c r="G398">
        <v>22</v>
      </c>
      <c r="H398">
        <v>786</v>
      </c>
      <c r="I398">
        <v>772</v>
      </c>
      <c r="J398">
        <v>14</v>
      </c>
    </row>
    <row r="399" spans="1:13" x14ac:dyDescent="0.25">
      <c r="A399">
        <v>20</v>
      </c>
      <c r="B399" t="s">
        <v>30</v>
      </c>
      <c r="C399" t="s">
        <v>15</v>
      </c>
      <c r="D399">
        <v>74</v>
      </c>
      <c r="E399">
        <v>88</v>
      </c>
      <c r="F399">
        <v>0.45700000000000002</v>
      </c>
      <c r="G399">
        <v>28</v>
      </c>
      <c r="H399">
        <v>1040</v>
      </c>
      <c r="I399">
        <v>1103</v>
      </c>
      <c r="J399">
        <v>-63</v>
      </c>
    </row>
    <row r="400" spans="1:13" x14ac:dyDescent="0.25">
      <c r="A400">
        <v>20</v>
      </c>
      <c r="B400" t="s">
        <v>32</v>
      </c>
      <c r="C400" t="s">
        <v>26</v>
      </c>
      <c r="D400">
        <v>67</v>
      </c>
      <c r="E400">
        <v>95</v>
      </c>
      <c r="F400">
        <v>0.41399999999999998</v>
      </c>
      <c r="G400">
        <v>44</v>
      </c>
      <c r="H400">
        <v>686</v>
      </c>
      <c r="I400">
        <v>865</v>
      </c>
      <c r="J400">
        <v>-179</v>
      </c>
    </row>
    <row r="401" spans="1:13" x14ac:dyDescent="0.25">
      <c r="A401">
        <v>20</v>
      </c>
      <c r="B401" t="s">
        <v>32</v>
      </c>
      <c r="C401" t="s">
        <v>23</v>
      </c>
      <c r="D401">
        <v>111</v>
      </c>
      <c r="E401">
        <v>51</v>
      </c>
      <c r="F401">
        <v>0.68500000000000005</v>
      </c>
      <c r="G401">
        <v>0</v>
      </c>
      <c r="H401">
        <v>973</v>
      </c>
      <c r="I401">
        <v>662</v>
      </c>
      <c r="J401">
        <v>311</v>
      </c>
      <c r="K401">
        <v>1</v>
      </c>
    </row>
    <row r="402" spans="1:13" x14ac:dyDescent="0.25">
      <c r="A402">
        <v>20</v>
      </c>
      <c r="B402" t="s">
        <v>31</v>
      </c>
      <c r="C402" t="s">
        <v>18</v>
      </c>
      <c r="D402">
        <v>108</v>
      </c>
      <c r="E402">
        <v>54</v>
      </c>
      <c r="F402">
        <v>0.66700000000000004</v>
      </c>
      <c r="G402">
        <v>0</v>
      </c>
      <c r="H402">
        <v>1047</v>
      </c>
      <c r="I402">
        <v>797</v>
      </c>
      <c r="J402">
        <v>250</v>
      </c>
      <c r="K402">
        <v>1</v>
      </c>
    </row>
    <row r="403" spans="1:13" x14ac:dyDescent="0.25">
      <c r="A403">
        <v>21</v>
      </c>
      <c r="B403" t="s">
        <v>31</v>
      </c>
      <c r="C403" t="s">
        <v>19</v>
      </c>
      <c r="D403">
        <v>95</v>
      </c>
      <c r="E403">
        <v>67</v>
      </c>
      <c r="F403">
        <v>0.58599999999999997</v>
      </c>
      <c r="G403">
        <v>8</v>
      </c>
      <c r="H403">
        <v>924</v>
      </c>
      <c r="I403">
        <v>804</v>
      </c>
      <c r="J403">
        <v>120</v>
      </c>
      <c r="M403">
        <v>1</v>
      </c>
    </row>
    <row r="404" spans="1:13" x14ac:dyDescent="0.25">
      <c r="A404">
        <v>21</v>
      </c>
      <c r="B404" t="s">
        <v>29</v>
      </c>
      <c r="C404" t="s">
        <v>9</v>
      </c>
      <c r="D404">
        <v>94</v>
      </c>
      <c r="E404">
        <v>68</v>
      </c>
      <c r="F404">
        <v>0.57999999999999996</v>
      </c>
      <c r="G404">
        <v>4</v>
      </c>
      <c r="H404">
        <v>1008</v>
      </c>
      <c r="I404">
        <v>839</v>
      </c>
      <c r="J404">
        <v>169</v>
      </c>
      <c r="M404">
        <v>1</v>
      </c>
    </row>
    <row r="405" spans="1:13" x14ac:dyDescent="0.25">
      <c r="A405">
        <v>21</v>
      </c>
      <c r="B405" t="s">
        <v>32</v>
      </c>
      <c r="C405" t="s">
        <v>26</v>
      </c>
      <c r="D405">
        <v>82</v>
      </c>
      <c r="E405">
        <v>80</v>
      </c>
      <c r="F405">
        <v>0.50600000000000001</v>
      </c>
      <c r="G405">
        <v>6</v>
      </c>
      <c r="H405">
        <v>772</v>
      </c>
      <c r="I405">
        <v>879</v>
      </c>
      <c r="J405">
        <v>-107</v>
      </c>
    </row>
    <row r="406" spans="1:13" x14ac:dyDescent="0.25">
      <c r="A406">
        <v>21</v>
      </c>
      <c r="B406" t="s">
        <v>30</v>
      </c>
      <c r="C406" t="s">
        <v>14</v>
      </c>
      <c r="D406">
        <v>71</v>
      </c>
      <c r="E406">
        <v>91</v>
      </c>
      <c r="F406">
        <v>0.438</v>
      </c>
      <c r="G406">
        <v>35</v>
      </c>
      <c r="H406">
        <v>752</v>
      </c>
      <c r="I406">
        <v>855</v>
      </c>
      <c r="J406">
        <v>-103</v>
      </c>
    </row>
    <row r="407" spans="1:13" x14ac:dyDescent="0.25">
      <c r="A407">
        <v>21</v>
      </c>
      <c r="B407" t="s">
        <v>30</v>
      </c>
      <c r="C407" t="s">
        <v>16</v>
      </c>
      <c r="D407">
        <v>53</v>
      </c>
      <c r="E407">
        <v>109</v>
      </c>
      <c r="F407">
        <v>0.32700000000000001</v>
      </c>
      <c r="G407">
        <v>53</v>
      </c>
      <c r="H407">
        <v>764</v>
      </c>
      <c r="I407">
        <v>989</v>
      </c>
      <c r="J407">
        <v>-225</v>
      </c>
    </row>
    <row r="408" spans="1:13" x14ac:dyDescent="0.25">
      <c r="A408">
        <v>21</v>
      </c>
      <c r="B408" t="s">
        <v>31</v>
      </c>
      <c r="C408" t="s">
        <v>22</v>
      </c>
      <c r="D408">
        <v>60</v>
      </c>
      <c r="E408">
        <v>102</v>
      </c>
      <c r="F408">
        <v>0.37</v>
      </c>
      <c r="G408">
        <v>43</v>
      </c>
      <c r="H408">
        <v>877</v>
      </c>
      <c r="I408">
        <v>1083</v>
      </c>
      <c r="J408">
        <v>-206</v>
      </c>
    </row>
    <row r="409" spans="1:13" x14ac:dyDescent="0.25">
      <c r="A409">
        <v>21</v>
      </c>
      <c r="B409" t="s">
        <v>31</v>
      </c>
      <c r="C409" t="s">
        <v>18</v>
      </c>
      <c r="D409">
        <v>103</v>
      </c>
      <c r="E409">
        <v>59</v>
      </c>
      <c r="F409">
        <v>0.63600000000000001</v>
      </c>
      <c r="G409">
        <v>0</v>
      </c>
      <c r="H409">
        <v>1032</v>
      </c>
      <c r="I409">
        <v>805</v>
      </c>
      <c r="J409">
        <v>227</v>
      </c>
      <c r="K409">
        <v>1</v>
      </c>
    </row>
    <row r="410" spans="1:13" x14ac:dyDescent="0.25">
      <c r="A410">
        <v>21</v>
      </c>
      <c r="B410" t="s">
        <v>29</v>
      </c>
      <c r="C410" t="s">
        <v>10</v>
      </c>
      <c r="D410">
        <v>98</v>
      </c>
      <c r="E410">
        <v>64</v>
      </c>
      <c r="F410">
        <v>0.60499999999999998</v>
      </c>
      <c r="G410">
        <v>0</v>
      </c>
      <c r="H410">
        <v>981</v>
      </c>
      <c r="I410">
        <v>806</v>
      </c>
      <c r="J410">
        <v>175</v>
      </c>
      <c r="L410">
        <v>1</v>
      </c>
    </row>
    <row r="411" spans="1:13" x14ac:dyDescent="0.25">
      <c r="A411">
        <v>21</v>
      </c>
      <c r="B411" t="s">
        <v>29</v>
      </c>
      <c r="C411" t="s">
        <v>12</v>
      </c>
      <c r="D411">
        <v>89</v>
      </c>
      <c r="E411">
        <v>73</v>
      </c>
      <c r="F411">
        <v>0.54900000000000004</v>
      </c>
      <c r="G411">
        <v>9</v>
      </c>
      <c r="H411">
        <v>889</v>
      </c>
      <c r="I411">
        <v>847</v>
      </c>
      <c r="J411">
        <v>42</v>
      </c>
    </row>
    <row r="412" spans="1:13" x14ac:dyDescent="0.25">
      <c r="A412">
        <v>21</v>
      </c>
      <c r="B412" t="s">
        <v>31</v>
      </c>
      <c r="C412" t="s">
        <v>21</v>
      </c>
      <c r="D412">
        <v>68</v>
      </c>
      <c r="E412">
        <v>94</v>
      </c>
      <c r="F412">
        <v>0.42</v>
      </c>
      <c r="G412">
        <v>35</v>
      </c>
      <c r="H412">
        <v>809</v>
      </c>
      <c r="I412">
        <v>991</v>
      </c>
      <c r="J412">
        <v>-182</v>
      </c>
    </row>
    <row r="413" spans="1:13" x14ac:dyDescent="0.25">
      <c r="A413">
        <v>21</v>
      </c>
      <c r="B413" t="s">
        <v>32</v>
      </c>
      <c r="C413" t="s">
        <v>25</v>
      </c>
      <c r="D413">
        <v>68</v>
      </c>
      <c r="E413">
        <v>94</v>
      </c>
      <c r="F413">
        <v>0.42</v>
      </c>
      <c r="G413">
        <v>20</v>
      </c>
      <c r="H413">
        <v>793</v>
      </c>
      <c r="I413">
        <v>873</v>
      </c>
      <c r="J413">
        <v>-80</v>
      </c>
    </row>
    <row r="414" spans="1:13" x14ac:dyDescent="0.25">
      <c r="A414">
        <v>21</v>
      </c>
      <c r="B414" t="s">
        <v>30</v>
      </c>
      <c r="C414" t="s">
        <v>17</v>
      </c>
      <c r="D414">
        <v>43</v>
      </c>
      <c r="E414">
        <v>119</v>
      </c>
      <c r="F414">
        <v>0.26500000000000001</v>
      </c>
      <c r="G414">
        <v>63</v>
      </c>
      <c r="H414">
        <v>636</v>
      </c>
      <c r="I414">
        <v>1087</v>
      </c>
      <c r="J414">
        <v>-451</v>
      </c>
    </row>
    <row r="415" spans="1:13" x14ac:dyDescent="0.25">
      <c r="A415">
        <v>21</v>
      </c>
      <c r="B415" t="s">
        <v>29</v>
      </c>
      <c r="C415" t="s">
        <v>8</v>
      </c>
      <c r="D415">
        <v>92</v>
      </c>
      <c r="E415">
        <v>70</v>
      </c>
      <c r="F415">
        <v>0.56799999999999995</v>
      </c>
      <c r="G415">
        <v>6</v>
      </c>
      <c r="H415">
        <v>869</v>
      </c>
      <c r="I415">
        <v>714</v>
      </c>
      <c r="J415">
        <v>155</v>
      </c>
    </row>
    <row r="416" spans="1:13" x14ac:dyDescent="0.25">
      <c r="A416">
        <v>21</v>
      </c>
      <c r="B416" t="s">
        <v>31</v>
      </c>
      <c r="C416" t="s">
        <v>20</v>
      </c>
      <c r="D416">
        <v>90</v>
      </c>
      <c r="E416">
        <v>72</v>
      </c>
      <c r="F416">
        <v>0.55600000000000005</v>
      </c>
      <c r="G416">
        <v>13</v>
      </c>
      <c r="H416">
        <v>979</v>
      </c>
      <c r="I416">
        <v>859</v>
      </c>
      <c r="J416">
        <v>120</v>
      </c>
    </row>
    <row r="417" spans="1:13" x14ac:dyDescent="0.25">
      <c r="A417">
        <v>21</v>
      </c>
      <c r="B417" t="s">
        <v>32</v>
      </c>
      <c r="C417" t="s">
        <v>23</v>
      </c>
      <c r="D417">
        <v>88</v>
      </c>
      <c r="E417">
        <v>74</v>
      </c>
      <c r="F417">
        <v>0.54300000000000004</v>
      </c>
      <c r="G417">
        <v>0</v>
      </c>
      <c r="H417">
        <v>927</v>
      </c>
      <c r="I417">
        <v>782</v>
      </c>
      <c r="J417">
        <v>145</v>
      </c>
      <c r="L417">
        <v>1</v>
      </c>
    </row>
    <row r="418" spans="1:13" x14ac:dyDescent="0.25">
      <c r="A418">
        <v>21</v>
      </c>
      <c r="B418" t="s">
        <v>29</v>
      </c>
      <c r="C418" t="s">
        <v>11</v>
      </c>
      <c r="D418">
        <v>84</v>
      </c>
      <c r="E418">
        <v>78</v>
      </c>
      <c r="F418">
        <v>0.51900000000000002</v>
      </c>
      <c r="G418">
        <v>14</v>
      </c>
      <c r="H418">
        <v>857</v>
      </c>
      <c r="I418">
        <v>801</v>
      </c>
      <c r="J418">
        <v>56</v>
      </c>
    </row>
    <row r="419" spans="1:13" x14ac:dyDescent="0.25">
      <c r="A419">
        <v>21</v>
      </c>
      <c r="B419" t="s">
        <v>32</v>
      </c>
      <c r="C419" t="s">
        <v>24</v>
      </c>
      <c r="D419">
        <v>82</v>
      </c>
      <c r="E419">
        <v>80</v>
      </c>
      <c r="F419">
        <v>0.50600000000000001</v>
      </c>
      <c r="G419">
        <v>6</v>
      </c>
      <c r="H419">
        <v>822</v>
      </c>
      <c r="I419">
        <v>806</v>
      </c>
      <c r="J419">
        <v>16</v>
      </c>
    </row>
    <row r="420" spans="1:13" x14ac:dyDescent="0.25">
      <c r="A420">
        <v>21</v>
      </c>
      <c r="B420" t="s">
        <v>30</v>
      </c>
      <c r="C420" t="s">
        <v>15</v>
      </c>
      <c r="D420">
        <v>81</v>
      </c>
      <c r="E420">
        <v>81</v>
      </c>
      <c r="F420">
        <v>0.5</v>
      </c>
      <c r="G420">
        <v>25</v>
      </c>
      <c r="H420">
        <v>1007</v>
      </c>
      <c r="I420">
        <v>1090</v>
      </c>
      <c r="J420">
        <v>-83</v>
      </c>
    </row>
    <row r="421" spans="1:13" x14ac:dyDescent="0.25">
      <c r="A421">
        <v>21</v>
      </c>
      <c r="B421" t="s">
        <v>32</v>
      </c>
      <c r="C421" t="s">
        <v>27</v>
      </c>
      <c r="D421">
        <v>73</v>
      </c>
      <c r="E421">
        <v>89</v>
      </c>
      <c r="F421">
        <v>0.45100000000000001</v>
      </c>
      <c r="G421">
        <v>15</v>
      </c>
      <c r="H421">
        <v>786</v>
      </c>
      <c r="I421">
        <v>846</v>
      </c>
      <c r="J421">
        <v>-60</v>
      </c>
    </row>
    <row r="422" spans="1:13" x14ac:dyDescent="0.25">
      <c r="A422">
        <v>21</v>
      </c>
      <c r="B422" t="s">
        <v>30</v>
      </c>
      <c r="C422" t="s">
        <v>13</v>
      </c>
      <c r="D422">
        <v>106</v>
      </c>
      <c r="E422">
        <v>56</v>
      </c>
      <c r="F422">
        <v>0.65400000000000003</v>
      </c>
      <c r="G422">
        <v>0</v>
      </c>
      <c r="H422">
        <v>913</v>
      </c>
      <c r="I422">
        <v>641</v>
      </c>
      <c r="J422">
        <v>272</v>
      </c>
      <c r="K422">
        <v>1</v>
      </c>
    </row>
    <row r="423" spans="1:13" x14ac:dyDescent="0.25">
      <c r="A423">
        <v>22</v>
      </c>
      <c r="B423" t="s">
        <v>31</v>
      </c>
      <c r="C423" t="s">
        <v>18</v>
      </c>
      <c r="D423">
        <v>117</v>
      </c>
      <c r="E423">
        <v>45</v>
      </c>
      <c r="F423">
        <v>0.72199999999999998</v>
      </c>
      <c r="G423">
        <v>0</v>
      </c>
      <c r="H423">
        <v>1117</v>
      </c>
      <c r="I423">
        <v>736</v>
      </c>
      <c r="J423">
        <v>381</v>
      </c>
      <c r="K423">
        <v>1</v>
      </c>
    </row>
    <row r="424" spans="1:13" x14ac:dyDescent="0.25">
      <c r="A424">
        <v>22</v>
      </c>
      <c r="B424" t="s">
        <v>31</v>
      </c>
      <c r="C424" t="s">
        <v>19</v>
      </c>
      <c r="D424">
        <v>95</v>
      </c>
      <c r="E424">
        <v>67</v>
      </c>
      <c r="F424">
        <v>0.58599999999999997</v>
      </c>
      <c r="G424">
        <v>22</v>
      </c>
      <c r="H424">
        <v>981</v>
      </c>
      <c r="I424">
        <v>824</v>
      </c>
      <c r="J424">
        <v>157</v>
      </c>
      <c r="M424">
        <v>1</v>
      </c>
    </row>
    <row r="425" spans="1:13" x14ac:dyDescent="0.25">
      <c r="A425">
        <v>22</v>
      </c>
      <c r="B425" t="s">
        <v>31</v>
      </c>
      <c r="C425" t="s">
        <v>20</v>
      </c>
      <c r="D425">
        <v>94</v>
      </c>
      <c r="E425">
        <v>68</v>
      </c>
      <c r="F425">
        <v>0.57999999999999996</v>
      </c>
      <c r="G425">
        <v>23</v>
      </c>
      <c r="H425">
        <v>955</v>
      </c>
      <c r="I425">
        <v>850</v>
      </c>
      <c r="J425">
        <v>105</v>
      </c>
    </row>
    <row r="426" spans="1:13" x14ac:dyDescent="0.25">
      <c r="A426">
        <v>22</v>
      </c>
      <c r="B426" t="s">
        <v>31</v>
      </c>
      <c r="C426" t="s">
        <v>21</v>
      </c>
      <c r="D426">
        <v>64</v>
      </c>
      <c r="E426">
        <v>98</v>
      </c>
      <c r="F426">
        <v>0.39500000000000002</v>
      </c>
      <c r="G426">
        <v>53</v>
      </c>
      <c r="H426">
        <v>797</v>
      </c>
      <c r="I426">
        <v>929</v>
      </c>
      <c r="J426">
        <v>-132</v>
      </c>
    </row>
    <row r="427" spans="1:13" x14ac:dyDescent="0.25">
      <c r="A427">
        <v>22</v>
      </c>
      <c r="B427" t="s">
        <v>31</v>
      </c>
      <c r="C427" t="s">
        <v>22</v>
      </c>
      <c r="D427">
        <v>54</v>
      </c>
      <c r="E427">
        <v>108</v>
      </c>
      <c r="F427">
        <v>0.33300000000000002</v>
      </c>
      <c r="G427">
        <v>63</v>
      </c>
      <c r="H427">
        <v>753</v>
      </c>
      <c r="I427">
        <v>1035</v>
      </c>
      <c r="J427">
        <v>-282</v>
      </c>
    </row>
    <row r="428" spans="1:13" x14ac:dyDescent="0.25">
      <c r="A428">
        <v>22</v>
      </c>
      <c r="B428" t="s">
        <v>30</v>
      </c>
      <c r="C428" t="s">
        <v>13</v>
      </c>
      <c r="D428">
        <v>115</v>
      </c>
      <c r="E428">
        <v>47</v>
      </c>
      <c r="F428">
        <v>0.71</v>
      </c>
      <c r="G428">
        <v>0</v>
      </c>
      <c r="H428">
        <v>1000</v>
      </c>
      <c r="I428">
        <v>641</v>
      </c>
      <c r="J428">
        <v>359</v>
      </c>
      <c r="K428">
        <v>1</v>
      </c>
    </row>
    <row r="429" spans="1:13" x14ac:dyDescent="0.25">
      <c r="A429">
        <v>22</v>
      </c>
      <c r="B429" t="s">
        <v>30</v>
      </c>
      <c r="C429" t="s">
        <v>15</v>
      </c>
      <c r="D429">
        <v>79</v>
      </c>
      <c r="E429">
        <v>83</v>
      </c>
      <c r="F429">
        <v>0.48799999999999999</v>
      </c>
      <c r="G429">
        <v>36</v>
      </c>
      <c r="H429">
        <v>1073</v>
      </c>
      <c r="I429">
        <v>1121</v>
      </c>
      <c r="J429">
        <v>-48</v>
      </c>
    </row>
    <row r="430" spans="1:13" x14ac:dyDescent="0.25">
      <c r="A430">
        <v>22</v>
      </c>
      <c r="B430" t="s">
        <v>30</v>
      </c>
      <c r="C430" t="s">
        <v>14</v>
      </c>
      <c r="D430">
        <v>71</v>
      </c>
      <c r="E430">
        <v>91</v>
      </c>
      <c r="F430">
        <v>0.438</v>
      </c>
      <c r="G430">
        <v>44</v>
      </c>
      <c r="H430">
        <v>788</v>
      </c>
      <c r="I430">
        <v>834</v>
      </c>
      <c r="J430">
        <v>-46</v>
      </c>
    </row>
    <row r="431" spans="1:13" x14ac:dyDescent="0.25">
      <c r="A431">
        <v>22</v>
      </c>
      <c r="B431" t="s">
        <v>30</v>
      </c>
      <c r="C431" t="s">
        <v>16</v>
      </c>
      <c r="D431">
        <v>62</v>
      </c>
      <c r="E431">
        <v>100</v>
      </c>
      <c r="F431">
        <v>0.38300000000000001</v>
      </c>
      <c r="G431">
        <v>53</v>
      </c>
      <c r="H431">
        <v>820</v>
      </c>
      <c r="I431">
        <v>1075</v>
      </c>
      <c r="J431">
        <v>-255</v>
      </c>
    </row>
    <row r="432" spans="1:13" x14ac:dyDescent="0.25">
      <c r="A432">
        <v>22</v>
      </c>
      <c r="B432" t="s">
        <v>30</v>
      </c>
      <c r="C432" t="s">
        <v>17</v>
      </c>
      <c r="D432">
        <v>44</v>
      </c>
      <c r="E432">
        <v>118</v>
      </c>
      <c r="F432">
        <v>0.27200000000000002</v>
      </c>
      <c r="G432">
        <v>71</v>
      </c>
      <c r="H432">
        <v>625</v>
      </c>
      <c r="I432">
        <v>1115</v>
      </c>
      <c r="J432">
        <v>-490</v>
      </c>
    </row>
    <row r="433" spans="1:13" x14ac:dyDescent="0.25">
      <c r="A433">
        <v>22</v>
      </c>
      <c r="B433" t="s">
        <v>32</v>
      </c>
      <c r="C433" t="s">
        <v>23</v>
      </c>
      <c r="D433">
        <v>107</v>
      </c>
      <c r="E433">
        <v>55</v>
      </c>
      <c r="F433">
        <v>0.66</v>
      </c>
      <c r="G433">
        <v>0</v>
      </c>
      <c r="H433">
        <v>991</v>
      </c>
      <c r="I433">
        <v>697</v>
      </c>
      <c r="J433">
        <v>294</v>
      </c>
      <c r="L433">
        <v>1</v>
      </c>
    </row>
    <row r="434" spans="1:13" x14ac:dyDescent="0.25">
      <c r="A434">
        <v>22</v>
      </c>
      <c r="B434" t="s">
        <v>32</v>
      </c>
      <c r="C434" t="s">
        <v>24</v>
      </c>
      <c r="D434">
        <v>85</v>
      </c>
      <c r="E434">
        <v>77</v>
      </c>
      <c r="F434">
        <v>0.52500000000000002</v>
      </c>
      <c r="G434">
        <v>22</v>
      </c>
      <c r="H434">
        <v>808</v>
      </c>
      <c r="I434">
        <v>773</v>
      </c>
      <c r="J434">
        <v>35</v>
      </c>
    </row>
    <row r="435" spans="1:13" x14ac:dyDescent="0.25">
      <c r="A435">
        <v>22</v>
      </c>
      <c r="B435" t="s">
        <v>32</v>
      </c>
      <c r="C435" t="s">
        <v>25</v>
      </c>
      <c r="D435">
        <v>72</v>
      </c>
      <c r="E435">
        <v>90</v>
      </c>
      <c r="F435">
        <v>0.44400000000000001</v>
      </c>
      <c r="G435">
        <v>35</v>
      </c>
      <c r="H435">
        <v>794</v>
      </c>
      <c r="I435">
        <v>936</v>
      </c>
      <c r="J435">
        <v>-142</v>
      </c>
    </row>
    <row r="436" spans="1:13" x14ac:dyDescent="0.25">
      <c r="A436">
        <v>22</v>
      </c>
      <c r="B436" t="s">
        <v>32</v>
      </c>
      <c r="C436" t="s">
        <v>26</v>
      </c>
      <c r="D436">
        <v>68</v>
      </c>
      <c r="E436">
        <v>94</v>
      </c>
      <c r="F436">
        <v>0.42</v>
      </c>
      <c r="G436">
        <v>39</v>
      </c>
      <c r="H436">
        <v>773</v>
      </c>
      <c r="I436">
        <v>906</v>
      </c>
      <c r="J436">
        <v>-133</v>
      </c>
    </row>
    <row r="437" spans="1:13" x14ac:dyDescent="0.25">
      <c r="A437">
        <v>22</v>
      </c>
      <c r="B437" t="s">
        <v>32</v>
      </c>
      <c r="C437" t="s">
        <v>27</v>
      </c>
      <c r="D437">
        <v>54</v>
      </c>
      <c r="E437">
        <v>108</v>
      </c>
      <c r="F437">
        <v>0.33300000000000002</v>
      </c>
      <c r="G437">
        <v>53</v>
      </c>
      <c r="H437">
        <v>734</v>
      </c>
      <c r="I437">
        <v>967</v>
      </c>
      <c r="J437">
        <v>-233</v>
      </c>
    </row>
    <row r="438" spans="1:13" x14ac:dyDescent="0.25">
      <c r="A438">
        <v>22</v>
      </c>
      <c r="B438" t="s">
        <v>29</v>
      </c>
      <c r="C438" t="s">
        <v>8</v>
      </c>
      <c r="D438">
        <v>98</v>
      </c>
      <c r="E438">
        <v>64</v>
      </c>
      <c r="F438">
        <v>0.60499999999999998</v>
      </c>
      <c r="G438">
        <v>0</v>
      </c>
      <c r="H438">
        <v>876</v>
      </c>
      <c r="I438">
        <v>669</v>
      </c>
      <c r="J438">
        <v>207</v>
      </c>
      <c r="L438">
        <v>1</v>
      </c>
    </row>
    <row r="439" spans="1:13" x14ac:dyDescent="0.25">
      <c r="A439">
        <v>22</v>
      </c>
      <c r="B439" t="s">
        <v>29</v>
      </c>
      <c r="C439" t="s">
        <v>10</v>
      </c>
      <c r="D439">
        <v>96</v>
      </c>
      <c r="E439">
        <v>66</v>
      </c>
      <c r="F439">
        <v>0.59299999999999997</v>
      </c>
      <c r="G439">
        <v>2</v>
      </c>
      <c r="H439">
        <v>968</v>
      </c>
      <c r="I439">
        <v>861</v>
      </c>
      <c r="J439">
        <v>107</v>
      </c>
      <c r="M439">
        <v>1</v>
      </c>
    </row>
    <row r="440" spans="1:13" x14ac:dyDescent="0.25">
      <c r="A440">
        <v>22</v>
      </c>
      <c r="B440" t="s">
        <v>29</v>
      </c>
      <c r="C440" t="s">
        <v>9</v>
      </c>
      <c r="D440">
        <v>93</v>
      </c>
      <c r="E440">
        <v>69</v>
      </c>
      <c r="F440">
        <v>0.57399999999999995</v>
      </c>
      <c r="G440">
        <v>5</v>
      </c>
      <c r="H440">
        <v>1002</v>
      </c>
      <c r="I440">
        <v>850</v>
      </c>
      <c r="J440">
        <v>152</v>
      </c>
    </row>
    <row r="441" spans="1:13" x14ac:dyDescent="0.25">
      <c r="A441">
        <v>22</v>
      </c>
      <c r="B441" t="s">
        <v>29</v>
      </c>
      <c r="C441" t="s">
        <v>11</v>
      </c>
      <c r="D441">
        <v>77</v>
      </c>
      <c r="E441">
        <v>85</v>
      </c>
      <c r="F441">
        <v>0.47499999999999998</v>
      </c>
      <c r="G441">
        <v>21</v>
      </c>
      <c r="H441">
        <v>826</v>
      </c>
      <c r="I441">
        <v>811</v>
      </c>
      <c r="J441">
        <v>15</v>
      </c>
    </row>
    <row r="442" spans="1:13" x14ac:dyDescent="0.25">
      <c r="A442">
        <v>22</v>
      </c>
      <c r="B442" t="s">
        <v>29</v>
      </c>
      <c r="C442" t="s">
        <v>12</v>
      </c>
      <c r="D442">
        <v>75</v>
      </c>
      <c r="E442">
        <v>87</v>
      </c>
      <c r="F442">
        <v>0.46300000000000002</v>
      </c>
      <c r="G442">
        <v>23</v>
      </c>
      <c r="H442">
        <v>786</v>
      </c>
      <c r="I442">
        <v>837</v>
      </c>
      <c r="J442">
        <v>-51</v>
      </c>
    </row>
    <row r="443" spans="1:13" x14ac:dyDescent="0.25">
      <c r="A443">
        <v>23</v>
      </c>
      <c r="B443" t="s">
        <v>31</v>
      </c>
      <c r="C443" t="s">
        <v>18</v>
      </c>
      <c r="D443">
        <v>124</v>
      </c>
      <c r="E443">
        <v>38</v>
      </c>
      <c r="F443">
        <v>0.76500000000000001</v>
      </c>
      <c r="G443">
        <v>0</v>
      </c>
      <c r="H443">
        <v>1055</v>
      </c>
      <c r="I443">
        <v>683</v>
      </c>
      <c r="J443">
        <v>372</v>
      </c>
      <c r="K443">
        <v>1</v>
      </c>
    </row>
    <row r="444" spans="1:13" x14ac:dyDescent="0.25">
      <c r="A444">
        <v>23</v>
      </c>
      <c r="B444" t="s">
        <v>31</v>
      </c>
      <c r="C444" t="s">
        <v>19</v>
      </c>
      <c r="D444">
        <v>95</v>
      </c>
      <c r="E444">
        <v>67</v>
      </c>
      <c r="F444">
        <v>0.58599999999999997</v>
      </c>
      <c r="G444">
        <v>29</v>
      </c>
      <c r="H444">
        <v>982</v>
      </c>
      <c r="I444">
        <v>804</v>
      </c>
      <c r="J444">
        <v>178</v>
      </c>
      <c r="M444">
        <v>1</v>
      </c>
    </row>
    <row r="445" spans="1:13" x14ac:dyDescent="0.25">
      <c r="A445">
        <v>23</v>
      </c>
      <c r="B445" t="s">
        <v>31</v>
      </c>
      <c r="C445" t="s">
        <v>20</v>
      </c>
      <c r="D445">
        <v>84</v>
      </c>
      <c r="E445">
        <v>78</v>
      </c>
      <c r="F445">
        <v>0.51900000000000002</v>
      </c>
      <c r="G445">
        <v>40</v>
      </c>
      <c r="H445">
        <v>994</v>
      </c>
      <c r="I445">
        <v>901</v>
      </c>
      <c r="J445">
        <v>93</v>
      </c>
    </row>
    <row r="446" spans="1:13" x14ac:dyDescent="0.25">
      <c r="A446">
        <v>23</v>
      </c>
      <c r="B446" t="s">
        <v>31</v>
      </c>
      <c r="C446" t="s">
        <v>21</v>
      </c>
      <c r="D446">
        <v>74</v>
      </c>
      <c r="E446">
        <v>88</v>
      </c>
      <c r="F446">
        <v>0.45700000000000002</v>
      </c>
      <c r="G446">
        <v>50</v>
      </c>
      <c r="H446">
        <v>837</v>
      </c>
      <c r="I446">
        <v>984</v>
      </c>
      <c r="J446">
        <v>-147</v>
      </c>
    </row>
    <row r="447" spans="1:13" x14ac:dyDescent="0.25">
      <c r="A447">
        <v>23</v>
      </c>
      <c r="B447" t="s">
        <v>31</v>
      </c>
      <c r="C447" t="s">
        <v>22</v>
      </c>
      <c r="D447">
        <v>63</v>
      </c>
      <c r="E447">
        <v>99</v>
      </c>
      <c r="F447">
        <v>0.38900000000000001</v>
      </c>
      <c r="G447">
        <v>61</v>
      </c>
      <c r="H447">
        <v>781</v>
      </c>
      <c r="I447">
        <v>1061</v>
      </c>
      <c r="J447">
        <v>-280</v>
      </c>
    </row>
    <row r="448" spans="1:13" x14ac:dyDescent="0.25">
      <c r="A448">
        <v>23</v>
      </c>
      <c r="B448" t="s">
        <v>30</v>
      </c>
      <c r="C448" t="s">
        <v>13</v>
      </c>
      <c r="D448">
        <v>109</v>
      </c>
      <c r="E448">
        <v>53</v>
      </c>
      <c r="F448">
        <v>0.67300000000000004</v>
      </c>
      <c r="G448">
        <v>0</v>
      </c>
      <c r="H448">
        <v>961</v>
      </c>
      <c r="I448">
        <v>718</v>
      </c>
      <c r="J448">
        <v>243</v>
      </c>
      <c r="K448">
        <v>1</v>
      </c>
    </row>
    <row r="449" spans="1:13" x14ac:dyDescent="0.25">
      <c r="A449">
        <v>23</v>
      </c>
      <c r="B449" t="s">
        <v>30</v>
      </c>
      <c r="C449" t="s">
        <v>15</v>
      </c>
      <c r="D449">
        <v>72</v>
      </c>
      <c r="E449">
        <v>90</v>
      </c>
      <c r="F449">
        <v>0.44400000000000001</v>
      </c>
      <c r="G449">
        <v>37</v>
      </c>
      <c r="H449">
        <v>1069</v>
      </c>
      <c r="I449">
        <v>1193</v>
      </c>
      <c r="J449">
        <v>-124</v>
      </c>
    </row>
    <row r="450" spans="1:13" x14ac:dyDescent="0.25">
      <c r="A450">
        <v>23</v>
      </c>
      <c r="B450" t="s">
        <v>30</v>
      </c>
      <c r="C450" t="s">
        <v>14</v>
      </c>
      <c r="D450">
        <v>71</v>
      </c>
      <c r="E450">
        <v>91</v>
      </c>
      <c r="F450">
        <v>0.438</v>
      </c>
      <c r="G450">
        <v>38</v>
      </c>
      <c r="H450">
        <v>753</v>
      </c>
      <c r="I450">
        <v>917</v>
      </c>
      <c r="J450">
        <v>-164</v>
      </c>
    </row>
    <row r="451" spans="1:13" x14ac:dyDescent="0.25">
      <c r="A451">
        <v>23</v>
      </c>
      <c r="B451" t="s">
        <v>30</v>
      </c>
      <c r="C451" t="s">
        <v>16</v>
      </c>
      <c r="D451">
        <v>59</v>
      </c>
      <c r="E451">
        <v>103</v>
      </c>
      <c r="F451">
        <v>0.36399999999999999</v>
      </c>
      <c r="G451">
        <v>50</v>
      </c>
      <c r="H451">
        <v>866</v>
      </c>
      <c r="I451">
        <v>1001</v>
      </c>
      <c r="J451">
        <v>-135</v>
      </c>
    </row>
    <row r="452" spans="1:13" x14ac:dyDescent="0.25">
      <c r="A452">
        <v>23</v>
      </c>
      <c r="B452" t="s">
        <v>30</v>
      </c>
      <c r="C452" t="s">
        <v>17</v>
      </c>
      <c r="D452">
        <v>40</v>
      </c>
      <c r="E452">
        <v>122</v>
      </c>
      <c r="F452">
        <v>0.247</v>
      </c>
      <c r="G452">
        <v>69</v>
      </c>
      <c r="H452">
        <v>599</v>
      </c>
      <c r="I452">
        <v>1014</v>
      </c>
      <c r="J452">
        <v>-415</v>
      </c>
    </row>
    <row r="453" spans="1:13" x14ac:dyDescent="0.25">
      <c r="A453">
        <v>23</v>
      </c>
      <c r="B453" t="s">
        <v>32</v>
      </c>
      <c r="C453" t="s">
        <v>23</v>
      </c>
      <c r="D453">
        <v>100</v>
      </c>
      <c r="E453">
        <v>62</v>
      </c>
      <c r="F453">
        <v>0.61699999999999999</v>
      </c>
      <c r="G453">
        <v>0</v>
      </c>
      <c r="H453">
        <v>902</v>
      </c>
      <c r="I453">
        <v>700</v>
      </c>
      <c r="J453">
        <v>202</v>
      </c>
      <c r="L453">
        <v>1</v>
      </c>
    </row>
    <row r="454" spans="1:13" x14ac:dyDescent="0.25">
      <c r="A454">
        <v>23</v>
      </c>
      <c r="B454" t="s">
        <v>32</v>
      </c>
      <c r="C454" t="s">
        <v>24</v>
      </c>
      <c r="D454">
        <v>94</v>
      </c>
      <c r="E454">
        <v>68</v>
      </c>
      <c r="F454">
        <v>0.57999999999999996</v>
      </c>
      <c r="G454">
        <v>6</v>
      </c>
      <c r="H454">
        <v>801</v>
      </c>
      <c r="I454">
        <v>743</v>
      </c>
      <c r="J454">
        <v>58</v>
      </c>
      <c r="M454">
        <v>1</v>
      </c>
    </row>
    <row r="455" spans="1:13" x14ac:dyDescent="0.25">
      <c r="A455">
        <v>23</v>
      </c>
      <c r="B455" t="s">
        <v>32</v>
      </c>
      <c r="C455" t="s">
        <v>25</v>
      </c>
      <c r="D455">
        <v>72</v>
      </c>
      <c r="E455">
        <v>90</v>
      </c>
      <c r="F455">
        <v>0.44400000000000001</v>
      </c>
      <c r="G455">
        <v>28</v>
      </c>
      <c r="H455">
        <v>814</v>
      </c>
      <c r="I455">
        <v>870</v>
      </c>
      <c r="J455">
        <v>-56</v>
      </c>
    </row>
    <row r="456" spans="1:13" x14ac:dyDescent="0.25">
      <c r="A456">
        <v>23</v>
      </c>
      <c r="B456" t="s">
        <v>32</v>
      </c>
      <c r="C456" t="s">
        <v>26</v>
      </c>
      <c r="D456">
        <v>69</v>
      </c>
      <c r="E456">
        <v>93</v>
      </c>
      <c r="F456">
        <v>0.42599999999999999</v>
      </c>
      <c r="G456">
        <v>31</v>
      </c>
      <c r="H456">
        <v>731</v>
      </c>
      <c r="I456">
        <v>801</v>
      </c>
      <c r="J456">
        <v>-70</v>
      </c>
    </row>
    <row r="457" spans="1:13" x14ac:dyDescent="0.25">
      <c r="A457">
        <v>23</v>
      </c>
      <c r="B457" t="s">
        <v>32</v>
      </c>
      <c r="C457" t="s">
        <v>27</v>
      </c>
      <c r="D457">
        <v>63</v>
      </c>
      <c r="E457">
        <v>99</v>
      </c>
      <c r="F457">
        <v>0.38900000000000001</v>
      </c>
      <c r="G457">
        <v>37</v>
      </c>
      <c r="H457">
        <v>708</v>
      </c>
      <c r="I457">
        <v>857</v>
      </c>
      <c r="J457">
        <v>-149</v>
      </c>
    </row>
    <row r="458" spans="1:13" x14ac:dyDescent="0.25">
      <c r="A458">
        <v>23</v>
      </c>
      <c r="B458" t="s">
        <v>29</v>
      </c>
      <c r="C458" t="s">
        <v>10</v>
      </c>
      <c r="D458">
        <v>95</v>
      </c>
      <c r="E458">
        <v>67</v>
      </c>
      <c r="F458">
        <v>0.58599999999999997</v>
      </c>
      <c r="G458">
        <v>0</v>
      </c>
      <c r="H458">
        <v>984</v>
      </c>
      <c r="I458">
        <v>814</v>
      </c>
      <c r="J458">
        <v>170</v>
      </c>
      <c r="L458">
        <v>1</v>
      </c>
    </row>
    <row r="459" spans="1:13" x14ac:dyDescent="0.25">
      <c r="A459">
        <v>23</v>
      </c>
      <c r="B459" t="s">
        <v>29</v>
      </c>
      <c r="C459" t="s">
        <v>8</v>
      </c>
      <c r="D459">
        <v>93</v>
      </c>
      <c r="E459">
        <v>69</v>
      </c>
      <c r="F459">
        <v>0.57399999999999995</v>
      </c>
      <c r="G459">
        <v>2</v>
      </c>
      <c r="H459">
        <v>807</v>
      </c>
      <c r="I459">
        <v>672</v>
      </c>
      <c r="J459">
        <v>135</v>
      </c>
    </row>
    <row r="460" spans="1:13" x14ac:dyDescent="0.25">
      <c r="A460">
        <v>23</v>
      </c>
      <c r="B460" t="s">
        <v>29</v>
      </c>
      <c r="C460" t="s">
        <v>11</v>
      </c>
      <c r="D460">
        <v>93</v>
      </c>
      <c r="E460">
        <v>69</v>
      </c>
      <c r="F460">
        <v>0.57399999999999995</v>
      </c>
      <c r="G460">
        <v>2</v>
      </c>
      <c r="H460">
        <v>934</v>
      </c>
      <c r="I460">
        <v>792</v>
      </c>
      <c r="J460">
        <v>142</v>
      </c>
    </row>
    <row r="461" spans="1:13" x14ac:dyDescent="0.25">
      <c r="A461">
        <v>23</v>
      </c>
      <c r="B461" t="s">
        <v>29</v>
      </c>
      <c r="C461" t="s">
        <v>9</v>
      </c>
      <c r="D461">
        <v>75</v>
      </c>
      <c r="E461">
        <v>87</v>
      </c>
      <c r="F461">
        <v>0.46300000000000002</v>
      </c>
      <c r="G461">
        <v>20</v>
      </c>
      <c r="H461">
        <v>925</v>
      </c>
      <c r="I461">
        <v>941</v>
      </c>
      <c r="J461">
        <v>-16</v>
      </c>
    </row>
    <row r="462" spans="1:13" x14ac:dyDescent="0.25">
      <c r="A462">
        <v>23</v>
      </c>
      <c r="B462" t="s">
        <v>29</v>
      </c>
      <c r="C462" t="s">
        <v>12</v>
      </c>
      <c r="D462">
        <v>75</v>
      </c>
      <c r="E462">
        <v>87</v>
      </c>
      <c r="F462">
        <v>0.46300000000000002</v>
      </c>
      <c r="G462">
        <v>20</v>
      </c>
      <c r="H462">
        <v>836</v>
      </c>
      <c r="I462">
        <v>873</v>
      </c>
      <c r="J462">
        <v>-37</v>
      </c>
    </row>
    <row r="463" spans="1:13" x14ac:dyDescent="0.25">
      <c r="A463">
        <v>24</v>
      </c>
      <c r="B463" t="s">
        <v>31</v>
      </c>
      <c r="C463" t="s">
        <v>18</v>
      </c>
      <c r="D463">
        <v>97</v>
      </c>
      <c r="E463">
        <v>65</v>
      </c>
      <c r="F463">
        <v>0.59899999999999998</v>
      </c>
      <c r="G463">
        <v>0</v>
      </c>
      <c r="H463">
        <v>983</v>
      </c>
      <c r="I463">
        <v>741</v>
      </c>
      <c r="J463">
        <v>242</v>
      </c>
      <c r="L463">
        <v>1</v>
      </c>
    </row>
    <row r="464" spans="1:13" x14ac:dyDescent="0.25">
      <c r="A464">
        <v>24</v>
      </c>
      <c r="B464" t="s">
        <v>31</v>
      </c>
      <c r="C464" t="s">
        <v>19</v>
      </c>
      <c r="D464">
        <v>96</v>
      </c>
      <c r="E464">
        <v>66</v>
      </c>
      <c r="F464">
        <v>0.59299999999999997</v>
      </c>
      <c r="G464">
        <v>1</v>
      </c>
      <c r="H464">
        <v>1003</v>
      </c>
      <c r="I464">
        <v>777</v>
      </c>
      <c r="J464">
        <v>226</v>
      </c>
      <c r="M464">
        <v>1</v>
      </c>
    </row>
    <row r="465" spans="1:13" x14ac:dyDescent="0.25">
      <c r="A465">
        <v>24</v>
      </c>
      <c r="B465" t="s">
        <v>31</v>
      </c>
      <c r="C465" t="s">
        <v>20</v>
      </c>
      <c r="D465">
        <v>87</v>
      </c>
      <c r="E465">
        <v>75</v>
      </c>
      <c r="F465">
        <v>0.53700000000000003</v>
      </c>
      <c r="G465">
        <v>10</v>
      </c>
      <c r="H465">
        <v>945</v>
      </c>
      <c r="I465">
        <v>905</v>
      </c>
      <c r="J465">
        <v>40</v>
      </c>
    </row>
    <row r="466" spans="1:13" x14ac:dyDescent="0.25">
      <c r="A466">
        <v>24</v>
      </c>
      <c r="B466" t="s">
        <v>31</v>
      </c>
      <c r="C466" t="s">
        <v>21</v>
      </c>
      <c r="D466">
        <v>68</v>
      </c>
      <c r="E466">
        <v>94</v>
      </c>
      <c r="F466">
        <v>0.42</v>
      </c>
      <c r="G466">
        <v>29</v>
      </c>
      <c r="H466">
        <v>864</v>
      </c>
      <c r="I466">
        <v>1084</v>
      </c>
      <c r="J466">
        <v>-220</v>
      </c>
    </row>
    <row r="467" spans="1:13" x14ac:dyDescent="0.25">
      <c r="A467">
        <v>24</v>
      </c>
      <c r="B467" t="s">
        <v>31</v>
      </c>
      <c r="C467" t="s">
        <v>22</v>
      </c>
      <c r="D467">
        <v>59</v>
      </c>
      <c r="E467">
        <v>103</v>
      </c>
      <c r="F467">
        <v>0.36399999999999999</v>
      </c>
      <c r="G467">
        <v>38</v>
      </c>
      <c r="H467">
        <v>748</v>
      </c>
      <c r="I467">
        <v>1008</v>
      </c>
      <c r="J467">
        <v>-260</v>
      </c>
    </row>
    <row r="468" spans="1:13" x14ac:dyDescent="0.25">
      <c r="A468">
        <v>24</v>
      </c>
      <c r="B468" t="s">
        <v>30</v>
      </c>
      <c r="C468" t="s">
        <v>13</v>
      </c>
      <c r="D468">
        <v>126</v>
      </c>
      <c r="E468">
        <v>36</v>
      </c>
      <c r="F468">
        <v>0.77800000000000002</v>
      </c>
      <c r="G468">
        <v>0</v>
      </c>
      <c r="H468">
        <v>991</v>
      </c>
      <c r="I468">
        <v>632</v>
      </c>
      <c r="J468">
        <v>359</v>
      </c>
      <c r="K468">
        <v>1</v>
      </c>
    </row>
    <row r="469" spans="1:13" x14ac:dyDescent="0.25">
      <c r="A469">
        <v>24</v>
      </c>
      <c r="B469" t="s">
        <v>30</v>
      </c>
      <c r="C469" t="s">
        <v>14</v>
      </c>
      <c r="D469">
        <v>72</v>
      </c>
      <c r="E469">
        <v>90</v>
      </c>
      <c r="F469">
        <v>0.44400000000000001</v>
      </c>
      <c r="G469">
        <v>54</v>
      </c>
      <c r="H469">
        <v>822</v>
      </c>
      <c r="I469">
        <v>839</v>
      </c>
      <c r="J469">
        <v>-17</v>
      </c>
    </row>
    <row r="470" spans="1:13" x14ac:dyDescent="0.25">
      <c r="A470">
        <v>24</v>
      </c>
      <c r="B470" t="s">
        <v>30</v>
      </c>
      <c r="C470" t="s">
        <v>15</v>
      </c>
      <c r="D470">
        <v>65</v>
      </c>
      <c r="E470">
        <v>97</v>
      </c>
      <c r="F470">
        <v>0.40100000000000002</v>
      </c>
      <c r="G470">
        <v>61</v>
      </c>
      <c r="H470">
        <v>926</v>
      </c>
      <c r="I470">
        <v>1129</v>
      </c>
      <c r="J470">
        <v>-203</v>
      </c>
    </row>
    <row r="471" spans="1:13" x14ac:dyDescent="0.25">
      <c r="A471">
        <v>24</v>
      </c>
      <c r="B471" t="s">
        <v>30</v>
      </c>
      <c r="C471" t="s">
        <v>16</v>
      </c>
      <c r="D471">
        <v>61</v>
      </c>
      <c r="E471">
        <v>101</v>
      </c>
      <c r="F471">
        <v>0.377</v>
      </c>
      <c r="G471">
        <v>65</v>
      </c>
      <c r="H471">
        <v>800</v>
      </c>
      <c r="I471">
        <v>1028</v>
      </c>
      <c r="J471">
        <v>-228</v>
      </c>
    </row>
    <row r="472" spans="1:13" x14ac:dyDescent="0.25">
      <c r="A472">
        <v>24</v>
      </c>
      <c r="B472" t="s">
        <v>30</v>
      </c>
      <c r="C472" t="s">
        <v>17</v>
      </c>
      <c r="D472">
        <v>39</v>
      </c>
      <c r="E472">
        <v>123</v>
      </c>
      <c r="F472">
        <v>0.24099999999999999</v>
      </c>
      <c r="G472">
        <v>87</v>
      </c>
      <c r="H472">
        <v>659</v>
      </c>
      <c r="I472">
        <v>1132</v>
      </c>
      <c r="J472">
        <v>-473</v>
      </c>
    </row>
    <row r="473" spans="1:13" x14ac:dyDescent="0.25">
      <c r="A473">
        <v>24</v>
      </c>
      <c r="B473" t="s">
        <v>32</v>
      </c>
      <c r="C473" t="s">
        <v>23</v>
      </c>
      <c r="D473">
        <v>109</v>
      </c>
      <c r="E473">
        <v>53</v>
      </c>
      <c r="F473">
        <v>0.67300000000000004</v>
      </c>
      <c r="G473">
        <v>0</v>
      </c>
      <c r="H473">
        <v>980</v>
      </c>
      <c r="I473">
        <v>694</v>
      </c>
      <c r="J473">
        <v>286</v>
      </c>
      <c r="K473">
        <v>1</v>
      </c>
    </row>
    <row r="474" spans="1:13" x14ac:dyDescent="0.25">
      <c r="A474">
        <v>24</v>
      </c>
      <c r="B474" t="s">
        <v>32</v>
      </c>
      <c r="C474" t="s">
        <v>24</v>
      </c>
      <c r="D474">
        <v>82</v>
      </c>
      <c r="E474">
        <v>80</v>
      </c>
      <c r="F474">
        <v>0.50600000000000001</v>
      </c>
      <c r="G474">
        <v>27</v>
      </c>
      <c r="H474">
        <v>929</v>
      </c>
      <c r="I474">
        <v>857</v>
      </c>
      <c r="J474">
        <v>72</v>
      </c>
    </row>
    <row r="475" spans="1:13" x14ac:dyDescent="0.25">
      <c r="A475">
        <v>24</v>
      </c>
      <c r="B475" t="s">
        <v>32</v>
      </c>
      <c r="C475" t="s">
        <v>27</v>
      </c>
      <c r="D475">
        <v>77</v>
      </c>
      <c r="E475">
        <v>85</v>
      </c>
      <c r="F475">
        <v>0.47499999999999998</v>
      </c>
      <c r="G475">
        <v>32</v>
      </c>
      <c r="H475">
        <v>779</v>
      </c>
      <c r="I475">
        <v>835</v>
      </c>
      <c r="J475">
        <v>-56</v>
      </c>
    </row>
    <row r="476" spans="1:13" x14ac:dyDescent="0.25">
      <c r="A476">
        <v>24</v>
      </c>
      <c r="B476" t="s">
        <v>32</v>
      </c>
      <c r="C476" t="s">
        <v>25</v>
      </c>
      <c r="D476">
        <v>75</v>
      </c>
      <c r="E476">
        <v>87</v>
      </c>
      <c r="F476">
        <v>0.46300000000000002</v>
      </c>
      <c r="G476">
        <v>34</v>
      </c>
      <c r="H476">
        <v>862</v>
      </c>
      <c r="I476">
        <v>891</v>
      </c>
      <c r="J476">
        <v>-29</v>
      </c>
    </row>
    <row r="477" spans="1:13" x14ac:dyDescent="0.25">
      <c r="A477">
        <v>24</v>
      </c>
      <c r="B477" t="s">
        <v>32</v>
      </c>
      <c r="C477" t="s">
        <v>26</v>
      </c>
      <c r="D477">
        <v>63</v>
      </c>
      <c r="E477">
        <v>99</v>
      </c>
      <c r="F477">
        <v>0.38900000000000001</v>
      </c>
      <c r="G477">
        <v>46</v>
      </c>
      <c r="H477">
        <v>672</v>
      </c>
      <c r="I477">
        <v>859</v>
      </c>
      <c r="J477">
        <v>-187</v>
      </c>
    </row>
    <row r="478" spans="1:13" x14ac:dyDescent="0.25">
      <c r="A478">
        <v>24</v>
      </c>
      <c r="B478" t="s">
        <v>29</v>
      </c>
      <c r="C478" t="s">
        <v>10</v>
      </c>
      <c r="D478">
        <v>101</v>
      </c>
      <c r="E478">
        <v>61</v>
      </c>
      <c r="F478">
        <v>0.623</v>
      </c>
      <c r="G478">
        <v>0</v>
      </c>
      <c r="H478">
        <v>1054</v>
      </c>
      <c r="I478">
        <v>843</v>
      </c>
      <c r="J478">
        <v>211</v>
      </c>
      <c r="L478">
        <v>1</v>
      </c>
    </row>
    <row r="479" spans="1:13" x14ac:dyDescent="0.25">
      <c r="A479">
        <v>24</v>
      </c>
      <c r="B479" t="s">
        <v>29</v>
      </c>
      <c r="C479" t="s">
        <v>8</v>
      </c>
      <c r="D479">
        <v>95</v>
      </c>
      <c r="E479">
        <v>67</v>
      </c>
      <c r="F479">
        <v>0.58599999999999997</v>
      </c>
      <c r="G479">
        <v>6</v>
      </c>
      <c r="H479">
        <v>835</v>
      </c>
      <c r="I479">
        <v>717</v>
      </c>
      <c r="J479">
        <v>118</v>
      </c>
      <c r="M479">
        <v>1</v>
      </c>
    </row>
    <row r="480" spans="1:13" x14ac:dyDescent="0.25">
      <c r="A480">
        <v>24</v>
      </c>
      <c r="B480" t="s">
        <v>29</v>
      </c>
      <c r="C480" t="s">
        <v>11</v>
      </c>
      <c r="D480">
        <v>88</v>
      </c>
      <c r="E480">
        <v>74</v>
      </c>
      <c r="F480">
        <v>0.54300000000000004</v>
      </c>
      <c r="G480">
        <v>13</v>
      </c>
      <c r="H480">
        <v>868</v>
      </c>
      <c r="I480">
        <v>785</v>
      </c>
      <c r="J480">
        <v>83</v>
      </c>
    </row>
    <row r="481" spans="1:13" x14ac:dyDescent="0.25">
      <c r="A481">
        <v>24</v>
      </c>
      <c r="B481" t="s">
        <v>29</v>
      </c>
      <c r="C481" t="s">
        <v>9</v>
      </c>
      <c r="D481">
        <v>83</v>
      </c>
      <c r="E481">
        <v>79</v>
      </c>
      <c r="F481">
        <v>0.51200000000000001</v>
      </c>
      <c r="G481">
        <v>18</v>
      </c>
      <c r="H481">
        <v>969</v>
      </c>
      <c r="I481">
        <v>882</v>
      </c>
      <c r="J481">
        <v>87</v>
      </c>
    </row>
    <row r="482" spans="1:13" x14ac:dyDescent="0.25">
      <c r="A482">
        <v>24</v>
      </c>
      <c r="B482" t="s">
        <v>29</v>
      </c>
      <c r="C482" t="s">
        <v>12</v>
      </c>
      <c r="D482">
        <v>77</v>
      </c>
      <c r="E482">
        <v>85</v>
      </c>
      <c r="F482">
        <v>0.47499999999999998</v>
      </c>
      <c r="G482">
        <v>24</v>
      </c>
      <c r="H482">
        <v>832</v>
      </c>
      <c r="I482">
        <v>883</v>
      </c>
      <c r="J482">
        <v>-51</v>
      </c>
    </row>
    <row r="483" spans="1:13" x14ac:dyDescent="0.25">
      <c r="A483">
        <v>25</v>
      </c>
      <c r="B483" t="s">
        <v>31</v>
      </c>
      <c r="C483" t="s">
        <v>19</v>
      </c>
      <c r="D483">
        <v>106</v>
      </c>
      <c r="E483">
        <v>56</v>
      </c>
      <c r="F483">
        <v>0.65400000000000003</v>
      </c>
      <c r="G483">
        <v>0</v>
      </c>
      <c r="H483">
        <v>983</v>
      </c>
      <c r="I483">
        <v>740</v>
      </c>
      <c r="J483">
        <v>243</v>
      </c>
      <c r="K483">
        <v>1</v>
      </c>
    </row>
    <row r="484" spans="1:13" x14ac:dyDescent="0.25">
      <c r="A484">
        <v>25</v>
      </c>
      <c r="B484" t="s">
        <v>31</v>
      </c>
      <c r="C484" t="s">
        <v>18</v>
      </c>
      <c r="D484">
        <v>104</v>
      </c>
      <c r="E484">
        <v>58</v>
      </c>
      <c r="F484">
        <v>0.64200000000000002</v>
      </c>
      <c r="G484">
        <v>2</v>
      </c>
      <c r="H484">
        <v>1031</v>
      </c>
      <c r="I484">
        <v>804</v>
      </c>
      <c r="J484">
        <v>227</v>
      </c>
      <c r="M484">
        <v>1</v>
      </c>
    </row>
    <row r="485" spans="1:13" x14ac:dyDescent="0.25">
      <c r="A485">
        <v>25</v>
      </c>
      <c r="B485" t="s">
        <v>31</v>
      </c>
      <c r="C485" t="s">
        <v>20</v>
      </c>
      <c r="D485">
        <v>90</v>
      </c>
      <c r="E485">
        <v>72</v>
      </c>
      <c r="F485">
        <v>0.55600000000000005</v>
      </c>
      <c r="G485">
        <v>16</v>
      </c>
      <c r="H485">
        <v>1009</v>
      </c>
      <c r="I485">
        <v>923</v>
      </c>
      <c r="J485">
        <v>86</v>
      </c>
    </row>
    <row r="486" spans="1:13" x14ac:dyDescent="0.25">
      <c r="A486">
        <v>25</v>
      </c>
      <c r="B486" t="s">
        <v>31</v>
      </c>
      <c r="C486" t="s">
        <v>21</v>
      </c>
      <c r="D486">
        <v>76</v>
      </c>
      <c r="E486">
        <v>86</v>
      </c>
      <c r="F486">
        <v>0.46899999999999997</v>
      </c>
      <c r="G486">
        <v>30</v>
      </c>
      <c r="H486">
        <v>875</v>
      </c>
      <c r="I486">
        <v>994</v>
      </c>
      <c r="J486">
        <v>-119</v>
      </c>
    </row>
    <row r="487" spans="1:13" x14ac:dyDescent="0.25">
      <c r="A487">
        <v>25</v>
      </c>
      <c r="B487" t="s">
        <v>31</v>
      </c>
      <c r="C487" t="s">
        <v>22</v>
      </c>
      <c r="D487">
        <v>64</v>
      </c>
      <c r="E487">
        <v>98</v>
      </c>
      <c r="F487">
        <v>0.39500000000000002</v>
      </c>
      <c r="G487">
        <v>42</v>
      </c>
      <c r="H487">
        <v>857</v>
      </c>
      <c r="I487">
        <v>1084</v>
      </c>
      <c r="J487">
        <v>-227</v>
      </c>
    </row>
    <row r="488" spans="1:13" x14ac:dyDescent="0.25">
      <c r="A488">
        <v>25</v>
      </c>
      <c r="B488" t="s">
        <v>30</v>
      </c>
      <c r="C488" t="s">
        <v>13</v>
      </c>
      <c r="D488">
        <v>104</v>
      </c>
      <c r="E488">
        <v>58</v>
      </c>
      <c r="F488">
        <v>0.64200000000000002</v>
      </c>
      <c r="G488">
        <v>0</v>
      </c>
      <c r="H488">
        <v>926</v>
      </c>
      <c r="I488">
        <v>672</v>
      </c>
      <c r="J488">
        <v>254</v>
      </c>
      <c r="L488">
        <v>1</v>
      </c>
    </row>
    <row r="489" spans="1:13" x14ac:dyDescent="0.25">
      <c r="A489">
        <v>25</v>
      </c>
      <c r="B489" t="s">
        <v>30</v>
      </c>
      <c r="C489" t="s">
        <v>14</v>
      </c>
      <c r="D489">
        <v>77</v>
      </c>
      <c r="E489">
        <v>85</v>
      </c>
      <c r="F489">
        <v>0.47499999999999998</v>
      </c>
      <c r="G489">
        <v>27</v>
      </c>
      <c r="H489">
        <v>818</v>
      </c>
      <c r="I489">
        <v>879</v>
      </c>
      <c r="J489">
        <v>-61</v>
      </c>
    </row>
    <row r="490" spans="1:13" x14ac:dyDescent="0.25">
      <c r="A490">
        <v>25</v>
      </c>
      <c r="B490" t="s">
        <v>30</v>
      </c>
      <c r="C490" t="s">
        <v>15</v>
      </c>
      <c r="D490">
        <v>69</v>
      </c>
      <c r="E490">
        <v>93</v>
      </c>
      <c r="F490">
        <v>0.42599999999999999</v>
      </c>
      <c r="G490">
        <v>35</v>
      </c>
      <c r="H490">
        <v>1009</v>
      </c>
      <c r="I490">
        <v>1155</v>
      </c>
      <c r="J490">
        <v>-146</v>
      </c>
    </row>
    <row r="491" spans="1:13" x14ac:dyDescent="0.25">
      <c r="A491">
        <v>25</v>
      </c>
      <c r="B491" t="s">
        <v>30</v>
      </c>
      <c r="C491" t="s">
        <v>16</v>
      </c>
      <c r="D491">
        <v>63</v>
      </c>
      <c r="E491">
        <v>99</v>
      </c>
      <c r="F491">
        <v>0.38900000000000001</v>
      </c>
      <c r="G491">
        <v>41</v>
      </c>
      <c r="H491">
        <v>797</v>
      </c>
      <c r="I491">
        <v>987</v>
      </c>
      <c r="J491">
        <v>-190</v>
      </c>
    </row>
    <row r="492" spans="1:13" x14ac:dyDescent="0.25">
      <c r="A492">
        <v>25</v>
      </c>
      <c r="B492" t="s">
        <v>30</v>
      </c>
      <c r="C492" t="s">
        <v>17</v>
      </c>
      <c r="D492">
        <v>39</v>
      </c>
      <c r="E492">
        <v>123</v>
      </c>
      <c r="F492">
        <v>0.24099999999999999</v>
      </c>
      <c r="G492">
        <v>65</v>
      </c>
      <c r="H492">
        <v>624</v>
      </c>
      <c r="I492">
        <v>1039</v>
      </c>
      <c r="J492">
        <v>-415</v>
      </c>
    </row>
    <row r="493" spans="1:13" x14ac:dyDescent="0.25">
      <c r="A493">
        <v>25</v>
      </c>
      <c r="B493" t="s">
        <v>32</v>
      </c>
      <c r="C493" t="s">
        <v>23</v>
      </c>
      <c r="D493">
        <v>112</v>
      </c>
      <c r="E493">
        <v>50</v>
      </c>
      <c r="F493">
        <v>0.69099999999999995</v>
      </c>
      <c r="G493">
        <v>0</v>
      </c>
      <c r="H493">
        <v>1001</v>
      </c>
      <c r="I493">
        <v>681</v>
      </c>
      <c r="J493">
        <v>320</v>
      </c>
      <c r="K493">
        <v>1</v>
      </c>
    </row>
    <row r="494" spans="1:13" x14ac:dyDescent="0.25">
      <c r="A494">
        <v>25</v>
      </c>
      <c r="B494" t="s">
        <v>32</v>
      </c>
      <c r="C494" t="s">
        <v>24</v>
      </c>
      <c r="D494">
        <v>94</v>
      </c>
      <c r="E494">
        <v>68</v>
      </c>
      <c r="F494">
        <v>0.57999999999999996</v>
      </c>
      <c r="G494">
        <v>18</v>
      </c>
      <c r="H494">
        <v>885</v>
      </c>
      <c r="I494">
        <v>788</v>
      </c>
      <c r="J494">
        <v>97</v>
      </c>
      <c r="M494">
        <v>1</v>
      </c>
    </row>
    <row r="495" spans="1:13" x14ac:dyDescent="0.25">
      <c r="A495">
        <v>25</v>
      </c>
      <c r="B495" t="s">
        <v>32</v>
      </c>
      <c r="C495" t="s">
        <v>26</v>
      </c>
      <c r="D495">
        <v>71</v>
      </c>
      <c r="E495">
        <v>91</v>
      </c>
      <c r="F495">
        <v>0.438</v>
      </c>
      <c r="G495">
        <v>41</v>
      </c>
      <c r="H495">
        <v>796</v>
      </c>
      <c r="I495">
        <v>902</v>
      </c>
      <c r="J495">
        <v>-106</v>
      </c>
    </row>
    <row r="496" spans="1:13" x14ac:dyDescent="0.25">
      <c r="A496">
        <v>25</v>
      </c>
      <c r="B496" t="s">
        <v>32</v>
      </c>
      <c r="C496" t="s">
        <v>25</v>
      </c>
      <c r="D496">
        <v>66</v>
      </c>
      <c r="E496">
        <v>96</v>
      </c>
      <c r="F496">
        <v>0.40699999999999997</v>
      </c>
      <c r="G496">
        <v>46</v>
      </c>
      <c r="H496">
        <v>754</v>
      </c>
      <c r="I496">
        <v>866</v>
      </c>
      <c r="J496">
        <v>-112</v>
      </c>
    </row>
    <row r="497" spans="1:13" x14ac:dyDescent="0.25">
      <c r="A497">
        <v>25</v>
      </c>
      <c r="B497" t="s">
        <v>32</v>
      </c>
      <c r="C497" t="s">
        <v>27</v>
      </c>
      <c r="D497">
        <v>58</v>
      </c>
      <c r="E497">
        <v>104</v>
      </c>
      <c r="F497">
        <v>0.35799999999999998</v>
      </c>
      <c r="G497">
        <v>54</v>
      </c>
      <c r="H497">
        <v>738</v>
      </c>
      <c r="I497">
        <v>907</v>
      </c>
      <c r="J497">
        <v>-169</v>
      </c>
    </row>
    <row r="498" spans="1:13" x14ac:dyDescent="0.25">
      <c r="A498">
        <v>25</v>
      </c>
      <c r="B498" t="s">
        <v>29</v>
      </c>
      <c r="C498" t="s">
        <v>10</v>
      </c>
      <c r="D498">
        <v>98</v>
      </c>
      <c r="E498">
        <v>64</v>
      </c>
      <c r="F498">
        <v>0.60499999999999998</v>
      </c>
      <c r="G498">
        <v>0</v>
      </c>
      <c r="H498">
        <v>1001</v>
      </c>
      <c r="I498">
        <v>880</v>
      </c>
      <c r="J498">
        <v>121</v>
      </c>
      <c r="L498">
        <v>1</v>
      </c>
    </row>
    <row r="499" spans="1:13" x14ac:dyDescent="0.25">
      <c r="A499">
        <v>25</v>
      </c>
      <c r="B499" t="s">
        <v>29</v>
      </c>
      <c r="C499" t="s">
        <v>8</v>
      </c>
      <c r="D499">
        <v>92</v>
      </c>
      <c r="E499">
        <v>70</v>
      </c>
      <c r="F499">
        <v>0.56799999999999995</v>
      </c>
      <c r="G499">
        <v>6</v>
      </c>
      <c r="H499">
        <v>823</v>
      </c>
      <c r="I499">
        <v>704</v>
      </c>
      <c r="J499">
        <v>119</v>
      </c>
    </row>
    <row r="500" spans="1:13" x14ac:dyDescent="0.25">
      <c r="A500">
        <v>25</v>
      </c>
      <c r="B500" t="s">
        <v>29</v>
      </c>
      <c r="C500" t="s">
        <v>9</v>
      </c>
      <c r="D500">
        <v>82</v>
      </c>
      <c r="E500">
        <v>80</v>
      </c>
      <c r="F500">
        <v>0.50600000000000001</v>
      </c>
      <c r="G500">
        <v>16</v>
      </c>
      <c r="H500">
        <v>954</v>
      </c>
      <c r="I500">
        <v>876</v>
      </c>
      <c r="J500">
        <v>78</v>
      </c>
    </row>
    <row r="501" spans="1:13" x14ac:dyDescent="0.25">
      <c r="A501">
        <v>25</v>
      </c>
      <c r="B501" t="s">
        <v>29</v>
      </c>
      <c r="C501" t="s">
        <v>12</v>
      </c>
      <c r="D501">
        <v>79</v>
      </c>
      <c r="E501">
        <v>83</v>
      </c>
      <c r="F501">
        <v>0.48799999999999999</v>
      </c>
      <c r="G501">
        <v>19</v>
      </c>
      <c r="H501">
        <v>842</v>
      </c>
      <c r="I501">
        <v>843</v>
      </c>
      <c r="J501">
        <v>-1</v>
      </c>
    </row>
    <row r="502" spans="1:13" x14ac:dyDescent="0.25">
      <c r="A502">
        <v>25</v>
      </c>
      <c r="B502" t="s">
        <v>29</v>
      </c>
      <c r="C502" t="s">
        <v>11</v>
      </c>
      <c r="D502">
        <v>76</v>
      </c>
      <c r="E502">
        <v>86</v>
      </c>
      <c r="F502">
        <v>0.46899999999999997</v>
      </c>
      <c r="G502">
        <v>22</v>
      </c>
      <c r="H502">
        <v>822</v>
      </c>
      <c r="I502">
        <v>821</v>
      </c>
      <c r="J502">
        <v>1</v>
      </c>
    </row>
    <row r="503" spans="1:13" x14ac:dyDescent="0.25">
      <c r="A503">
        <v>26</v>
      </c>
      <c r="B503" t="s">
        <v>31</v>
      </c>
      <c r="C503" t="s">
        <v>18</v>
      </c>
      <c r="D503">
        <v>104</v>
      </c>
      <c r="E503">
        <v>58</v>
      </c>
      <c r="F503">
        <v>0.64200000000000002</v>
      </c>
      <c r="G503">
        <v>0</v>
      </c>
      <c r="H503">
        <v>941</v>
      </c>
      <c r="I503">
        <v>746</v>
      </c>
      <c r="J503">
        <v>195</v>
      </c>
      <c r="L503">
        <v>1</v>
      </c>
    </row>
    <row r="504" spans="1:13" x14ac:dyDescent="0.25">
      <c r="A504">
        <v>26</v>
      </c>
      <c r="B504" t="s">
        <v>31</v>
      </c>
      <c r="C504" t="s">
        <v>19</v>
      </c>
      <c r="D504">
        <v>95</v>
      </c>
      <c r="E504">
        <v>67</v>
      </c>
      <c r="F504">
        <v>0.58599999999999997</v>
      </c>
      <c r="G504">
        <v>9</v>
      </c>
      <c r="H504">
        <v>891</v>
      </c>
      <c r="I504">
        <v>797</v>
      </c>
      <c r="J504">
        <v>94</v>
      </c>
      <c r="M504">
        <v>1</v>
      </c>
    </row>
    <row r="505" spans="1:13" x14ac:dyDescent="0.25">
      <c r="A505">
        <v>26</v>
      </c>
      <c r="B505" t="s">
        <v>31</v>
      </c>
      <c r="C505" t="s">
        <v>20</v>
      </c>
      <c r="D505">
        <v>91</v>
      </c>
      <c r="E505">
        <v>71</v>
      </c>
      <c r="F505">
        <v>0.56200000000000006</v>
      </c>
      <c r="G505">
        <v>13</v>
      </c>
      <c r="H505">
        <v>973</v>
      </c>
      <c r="I505">
        <v>885</v>
      </c>
      <c r="J505">
        <v>88</v>
      </c>
    </row>
    <row r="506" spans="1:13" x14ac:dyDescent="0.25">
      <c r="A506">
        <v>26</v>
      </c>
      <c r="B506" t="s">
        <v>31</v>
      </c>
      <c r="C506" t="s">
        <v>21</v>
      </c>
      <c r="D506">
        <v>65</v>
      </c>
      <c r="E506">
        <v>97</v>
      </c>
      <c r="F506">
        <v>0.40100000000000002</v>
      </c>
      <c r="G506">
        <v>39</v>
      </c>
      <c r="H506">
        <v>781</v>
      </c>
      <c r="I506">
        <v>980</v>
      </c>
      <c r="J506">
        <v>-199</v>
      </c>
    </row>
    <row r="507" spans="1:13" x14ac:dyDescent="0.25">
      <c r="A507">
        <v>26</v>
      </c>
      <c r="B507" t="s">
        <v>31</v>
      </c>
      <c r="C507" t="s">
        <v>22</v>
      </c>
      <c r="D507">
        <v>56</v>
      </c>
      <c r="E507">
        <v>106</v>
      </c>
      <c r="F507">
        <v>0.34599999999999997</v>
      </c>
      <c r="G507">
        <v>48</v>
      </c>
      <c r="H507">
        <v>764</v>
      </c>
      <c r="I507">
        <v>1052</v>
      </c>
      <c r="J507">
        <v>-288</v>
      </c>
    </row>
    <row r="508" spans="1:13" x14ac:dyDescent="0.25">
      <c r="A508">
        <v>26</v>
      </c>
      <c r="B508" t="s">
        <v>30</v>
      </c>
      <c r="C508" t="s">
        <v>13</v>
      </c>
      <c r="D508">
        <v>109</v>
      </c>
      <c r="E508">
        <v>53</v>
      </c>
      <c r="F508">
        <v>0.67300000000000004</v>
      </c>
      <c r="G508">
        <v>0</v>
      </c>
      <c r="H508">
        <v>993</v>
      </c>
      <c r="I508">
        <v>681</v>
      </c>
      <c r="J508">
        <v>312</v>
      </c>
      <c r="K508">
        <v>1</v>
      </c>
    </row>
    <row r="509" spans="1:13" x14ac:dyDescent="0.25">
      <c r="A509">
        <v>26</v>
      </c>
      <c r="B509" t="s">
        <v>30</v>
      </c>
      <c r="C509" t="s">
        <v>15</v>
      </c>
      <c r="D509">
        <v>74</v>
      </c>
      <c r="E509">
        <v>88</v>
      </c>
      <c r="F509">
        <v>0.45700000000000002</v>
      </c>
      <c r="G509">
        <v>35</v>
      </c>
      <c r="H509">
        <v>990</v>
      </c>
      <c r="I509">
        <v>1090</v>
      </c>
      <c r="J509">
        <v>-100</v>
      </c>
    </row>
    <row r="510" spans="1:13" x14ac:dyDescent="0.25">
      <c r="A510">
        <v>26</v>
      </c>
      <c r="B510" t="s">
        <v>30</v>
      </c>
      <c r="C510" t="s">
        <v>16</v>
      </c>
      <c r="D510">
        <v>66</v>
      </c>
      <c r="E510">
        <v>96</v>
      </c>
      <c r="F510">
        <v>0.40699999999999997</v>
      </c>
      <c r="G510">
        <v>43</v>
      </c>
      <c r="H510">
        <v>816</v>
      </c>
      <c r="I510">
        <v>950</v>
      </c>
      <c r="J510">
        <v>-134</v>
      </c>
    </row>
    <row r="511" spans="1:13" x14ac:dyDescent="0.25">
      <c r="A511">
        <v>26</v>
      </c>
      <c r="B511" t="s">
        <v>30</v>
      </c>
      <c r="C511" t="s">
        <v>14</v>
      </c>
      <c r="D511">
        <v>66</v>
      </c>
      <c r="E511">
        <v>96</v>
      </c>
      <c r="F511">
        <v>0.40699999999999997</v>
      </c>
      <c r="G511">
        <v>43</v>
      </c>
      <c r="H511">
        <v>751</v>
      </c>
      <c r="I511">
        <v>898</v>
      </c>
      <c r="J511">
        <v>-147</v>
      </c>
    </row>
    <row r="512" spans="1:13" x14ac:dyDescent="0.25">
      <c r="A512">
        <v>26</v>
      </c>
      <c r="B512" t="s">
        <v>30</v>
      </c>
      <c r="C512" t="s">
        <v>17</v>
      </c>
      <c r="D512">
        <v>53</v>
      </c>
      <c r="E512">
        <v>109</v>
      </c>
      <c r="F512">
        <v>0.32700000000000001</v>
      </c>
      <c r="G512">
        <v>56</v>
      </c>
      <c r="H512">
        <v>666</v>
      </c>
      <c r="I512">
        <v>993</v>
      </c>
      <c r="J512">
        <v>-327</v>
      </c>
    </row>
    <row r="513" spans="1:13" x14ac:dyDescent="0.25">
      <c r="A513">
        <v>26</v>
      </c>
      <c r="B513" t="s">
        <v>32</v>
      </c>
      <c r="C513" t="s">
        <v>23</v>
      </c>
      <c r="D513">
        <v>103</v>
      </c>
      <c r="E513">
        <v>59</v>
      </c>
      <c r="F513">
        <v>0.63600000000000001</v>
      </c>
      <c r="G513">
        <v>0</v>
      </c>
      <c r="H513">
        <v>955</v>
      </c>
      <c r="I513">
        <v>720</v>
      </c>
      <c r="J513">
        <v>235</v>
      </c>
      <c r="L513">
        <v>1</v>
      </c>
    </row>
    <row r="514" spans="1:13" x14ac:dyDescent="0.25">
      <c r="A514">
        <v>26</v>
      </c>
      <c r="B514" t="s">
        <v>32</v>
      </c>
      <c r="C514" t="s">
        <v>24</v>
      </c>
      <c r="D514">
        <v>84</v>
      </c>
      <c r="E514">
        <v>78</v>
      </c>
      <c r="F514">
        <v>0.51900000000000002</v>
      </c>
      <c r="G514">
        <v>19</v>
      </c>
      <c r="H514">
        <v>792</v>
      </c>
      <c r="I514">
        <v>766</v>
      </c>
      <c r="J514">
        <v>26</v>
      </c>
    </row>
    <row r="515" spans="1:13" x14ac:dyDescent="0.25">
      <c r="A515">
        <v>26</v>
      </c>
      <c r="B515" t="s">
        <v>32</v>
      </c>
      <c r="C515" t="s">
        <v>26</v>
      </c>
      <c r="D515">
        <v>79</v>
      </c>
      <c r="E515">
        <v>83</v>
      </c>
      <c r="F515">
        <v>0.48799999999999999</v>
      </c>
      <c r="G515">
        <v>24</v>
      </c>
      <c r="H515">
        <v>755</v>
      </c>
      <c r="I515">
        <v>817</v>
      </c>
      <c r="J515">
        <v>-62</v>
      </c>
    </row>
    <row r="516" spans="1:13" x14ac:dyDescent="0.25">
      <c r="A516">
        <v>26</v>
      </c>
      <c r="B516" t="s">
        <v>32</v>
      </c>
      <c r="C516" t="s">
        <v>25</v>
      </c>
      <c r="D516">
        <v>64</v>
      </c>
      <c r="E516">
        <v>98</v>
      </c>
      <c r="F516">
        <v>0.39500000000000002</v>
      </c>
      <c r="G516">
        <v>39</v>
      </c>
      <c r="H516">
        <v>746</v>
      </c>
      <c r="I516">
        <v>850</v>
      </c>
      <c r="J516">
        <v>-104</v>
      </c>
    </row>
    <row r="517" spans="1:13" x14ac:dyDescent="0.25">
      <c r="A517">
        <v>26</v>
      </c>
      <c r="B517" t="s">
        <v>32</v>
      </c>
      <c r="C517" t="s">
        <v>27</v>
      </c>
      <c r="D517">
        <v>60</v>
      </c>
      <c r="E517">
        <v>102</v>
      </c>
      <c r="F517">
        <v>0.37</v>
      </c>
      <c r="G517">
        <v>43</v>
      </c>
      <c r="H517">
        <v>755</v>
      </c>
      <c r="I517">
        <v>894</v>
      </c>
      <c r="J517">
        <v>-139</v>
      </c>
    </row>
    <row r="518" spans="1:13" x14ac:dyDescent="0.25">
      <c r="A518">
        <v>26</v>
      </c>
      <c r="B518" t="s">
        <v>29</v>
      </c>
      <c r="C518" t="s">
        <v>8</v>
      </c>
      <c r="D518">
        <v>107</v>
      </c>
      <c r="E518">
        <v>55</v>
      </c>
      <c r="F518">
        <v>0.66</v>
      </c>
      <c r="G518">
        <v>0</v>
      </c>
      <c r="H518">
        <v>862</v>
      </c>
      <c r="I518">
        <v>612</v>
      </c>
      <c r="J518">
        <v>250</v>
      </c>
      <c r="K518">
        <v>1</v>
      </c>
    </row>
    <row r="519" spans="1:13" x14ac:dyDescent="0.25">
      <c r="A519">
        <v>26</v>
      </c>
      <c r="B519" t="s">
        <v>29</v>
      </c>
      <c r="C519" t="s">
        <v>9</v>
      </c>
      <c r="D519">
        <v>94</v>
      </c>
      <c r="E519">
        <v>68</v>
      </c>
      <c r="F519">
        <v>0.57999999999999996</v>
      </c>
      <c r="G519">
        <v>13</v>
      </c>
      <c r="H519">
        <v>955</v>
      </c>
      <c r="I519">
        <v>830</v>
      </c>
      <c r="J519">
        <v>125</v>
      </c>
      <c r="M519">
        <v>1</v>
      </c>
    </row>
    <row r="520" spans="1:13" x14ac:dyDescent="0.25">
      <c r="A520">
        <v>26</v>
      </c>
      <c r="B520" t="s">
        <v>29</v>
      </c>
      <c r="C520" t="s">
        <v>11</v>
      </c>
      <c r="D520">
        <v>89</v>
      </c>
      <c r="E520">
        <v>73</v>
      </c>
      <c r="F520">
        <v>0.54900000000000004</v>
      </c>
      <c r="G520">
        <v>18</v>
      </c>
      <c r="H520">
        <v>836</v>
      </c>
      <c r="I520">
        <v>736</v>
      </c>
      <c r="J520">
        <v>100</v>
      </c>
    </row>
    <row r="521" spans="1:13" x14ac:dyDescent="0.25">
      <c r="A521">
        <v>26</v>
      </c>
      <c r="B521" t="s">
        <v>29</v>
      </c>
      <c r="C521" t="s">
        <v>10</v>
      </c>
      <c r="D521">
        <v>87</v>
      </c>
      <c r="E521">
        <v>75</v>
      </c>
      <c r="F521">
        <v>0.53700000000000003</v>
      </c>
      <c r="G521">
        <v>20</v>
      </c>
      <c r="H521">
        <v>970</v>
      </c>
      <c r="I521">
        <v>816</v>
      </c>
      <c r="J521">
        <v>154</v>
      </c>
    </row>
    <row r="522" spans="1:13" x14ac:dyDescent="0.25">
      <c r="A522">
        <v>26</v>
      </c>
      <c r="B522" t="s">
        <v>29</v>
      </c>
      <c r="C522" t="s">
        <v>12</v>
      </c>
      <c r="D522">
        <v>74</v>
      </c>
      <c r="E522">
        <v>88</v>
      </c>
      <c r="F522">
        <v>0.45700000000000002</v>
      </c>
      <c r="G522">
        <v>33</v>
      </c>
      <c r="H522">
        <v>827</v>
      </c>
      <c r="I522">
        <v>906</v>
      </c>
      <c r="J522">
        <v>-79</v>
      </c>
    </row>
    <row r="523" spans="1:13" x14ac:dyDescent="0.25">
      <c r="A523">
        <v>27</v>
      </c>
      <c r="B523" t="s">
        <v>31</v>
      </c>
      <c r="C523" t="s">
        <v>18</v>
      </c>
      <c r="D523">
        <v>105</v>
      </c>
      <c r="E523">
        <v>57</v>
      </c>
      <c r="F523">
        <v>0.64800000000000002</v>
      </c>
      <c r="G523">
        <v>0</v>
      </c>
      <c r="H523">
        <v>1126</v>
      </c>
      <c r="I523">
        <v>818</v>
      </c>
      <c r="J523">
        <v>308</v>
      </c>
      <c r="L523">
        <v>1</v>
      </c>
    </row>
    <row r="524" spans="1:13" x14ac:dyDescent="0.25">
      <c r="A524">
        <v>27</v>
      </c>
      <c r="B524" t="s">
        <v>31</v>
      </c>
      <c r="C524" t="s">
        <v>19</v>
      </c>
      <c r="D524">
        <v>98</v>
      </c>
      <c r="E524">
        <v>64</v>
      </c>
      <c r="F524">
        <v>0.60499999999999998</v>
      </c>
      <c r="G524">
        <v>7</v>
      </c>
      <c r="H524">
        <v>960</v>
      </c>
      <c r="I524">
        <v>791</v>
      </c>
      <c r="J524">
        <v>169</v>
      </c>
      <c r="M524">
        <v>1</v>
      </c>
    </row>
    <row r="525" spans="1:13" x14ac:dyDescent="0.25">
      <c r="A525">
        <v>27</v>
      </c>
      <c r="B525" t="s">
        <v>31</v>
      </c>
      <c r="C525" t="s">
        <v>20</v>
      </c>
      <c r="D525">
        <v>93</v>
      </c>
      <c r="E525">
        <v>69</v>
      </c>
      <c r="F525">
        <v>0.57399999999999995</v>
      </c>
      <c r="G525">
        <v>12</v>
      </c>
      <c r="H525">
        <v>981</v>
      </c>
      <c r="I525">
        <v>928</v>
      </c>
      <c r="J525">
        <v>53</v>
      </c>
      <c r="M525">
        <v>0.5</v>
      </c>
    </row>
    <row r="526" spans="1:13" x14ac:dyDescent="0.25">
      <c r="A526">
        <v>27</v>
      </c>
      <c r="B526" t="s">
        <v>31</v>
      </c>
      <c r="C526" t="s">
        <v>21</v>
      </c>
      <c r="D526">
        <v>66</v>
      </c>
      <c r="E526">
        <v>96</v>
      </c>
      <c r="F526">
        <v>0.40699999999999997</v>
      </c>
      <c r="G526">
        <v>39</v>
      </c>
      <c r="H526">
        <v>879</v>
      </c>
      <c r="I526">
        <v>1042</v>
      </c>
      <c r="J526">
        <v>-163</v>
      </c>
    </row>
    <row r="527" spans="1:13" x14ac:dyDescent="0.25">
      <c r="A527">
        <v>27</v>
      </c>
      <c r="B527" t="s">
        <v>31</v>
      </c>
      <c r="C527" t="s">
        <v>22</v>
      </c>
      <c r="D527">
        <v>56</v>
      </c>
      <c r="E527">
        <v>106</v>
      </c>
      <c r="F527">
        <v>0.34599999999999997</v>
      </c>
      <c r="G527">
        <v>49</v>
      </c>
      <c r="H527">
        <v>828</v>
      </c>
      <c r="I527">
        <v>1102</v>
      </c>
      <c r="J527">
        <v>-274</v>
      </c>
    </row>
    <row r="528" spans="1:13" x14ac:dyDescent="0.25">
      <c r="A528">
        <v>27</v>
      </c>
      <c r="B528" t="s">
        <v>30</v>
      </c>
      <c r="C528" t="s">
        <v>13</v>
      </c>
      <c r="D528">
        <v>107</v>
      </c>
      <c r="E528">
        <v>55</v>
      </c>
      <c r="F528">
        <v>0.66</v>
      </c>
      <c r="G528">
        <v>0</v>
      </c>
      <c r="H528">
        <v>996</v>
      </c>
      <c r="I528">
        <v>728</v>
      </c>
      <c r="J528">
        <v>268</v>
      </c>
      <c r="K528">
        <v>1</v>
      </c>
    </row>
    <row r="529" spans="1:13" x14ac:dyDescent="0.25">
      <c r="A529">
        <v>27</v>
      </c>
      <c r="B529" t="s">
        <v>30</v>
      </c>
      <c r="C529" t="s">
        <v>15</v>
      </c>
      <c r="D529">
        <v>67</v>
      </c>
      <c r="E529">
        <v>95</v>
      </c>
      <c r="F529">
        <v>0.41399999999999998</v>
      </c>
      <c r="G529">
        <v>40</v>
      </c>
      <c r="H529">
        <v>1021</v>
      </c>
      <c r="I529">
        <v>1197</v>
      </c>
      <c r="J529">
        <v>-176</v>
      </c>
    </row>
    <row r="530" spans="1:13" x14ac:dyDescent="0.25">
      <c r="A530">
        <v>27</v>
      </c>
      <c r="B530" t="s">
        <v>30</v>
      </c>
      <c r="C530" t="s">
        <v>14</v>
      </c>
      <c r="D530">
        <v>66</v>
      </c>
      <c r="E530">
        <v>96</v>
      </c>
      <c r="F530">
        <v>0.40699999999999997</v>
      </c>
      <c r="G530">
        <v>41</v>
      </c>
      <c r="H530">
        <v>722</v>
      </c>
      <c r="I530">
        <v>832</v>
      </c>
      <c r="J530">
        <v>-110</v>
      </c>
    </row>
    <row r="531" spans="1:13" x14ac:dyDescent="0.25">
      <c r="A531">
        <v>27</v>
      </c>
      <c r="B531" t="s">
        <v>30</v>
      </c>
      <c r="C531" t="s">
        <v>16</v>
      </c>
      <c r="D531">
        <v>58</v>
      </c>
      <c r="E531">
        <v>104</v>
      </c>
      <c r="F531">
        <v>0.35799999999999998</v>
      </c>
      <c r="G531">
        <v>49</v>
      </c>
      <c r="H531">
        <v>787</v>
      </c>
      <c r="I531">
        <v>935</v>
      </c>
      <c r="J531">
        <v>-148</v>
      </c>
    </row>
    <row r="532" spans="1:13" x14ac:dyDescent="0.25">
      <c r="A532">
        <v>27</v>
      </c>
      <c r="B532" t="s">
        <v>30</v>
      </c>
      <c r="C532" t="s">
        <v>17</v>
      </c>
      <c r="D532">
        <v>49</v>
      </c>
      <c r="E532">
        <v>113</v>
      </c>
      <c r="F532">
        <v>0.30199999999999999</v>
      </c>
      <c r="G532">
        <v>58</v>
      </c>
      <c r="H532">
        <v>699</v>
      </c>
      <c r="I532">
        <v>1082</v>
      </c>
      <c r="J532">
        <v>-383</v>
      </c>
    </row>
    <row r="533" spans="1:13" x14ac:dyDescent="0.25">
      <c r="A533">
        <v>27</v>
      </c>
      <c r="B533" t="s">
        <v>32</v>
      </c>
      <c r="C533" t="s">
        <v>23</v>
      </c>
      <c r="D533">
        <v>107</v>
      </c>
      <c r="E533">
        <v>55</v>
      </c>
      <c r="F533">
        <v>0.66</v>
      </c>
      <c r="G533">
        <v>0</v>
      </c>
      <c r="H533">
        <v>977</v>
      </c>
      <c r="I533">
        <v>714</v>
      </c>
      <c r="J533">
        <v>263</v>
      </c>
      <c r="K533">
        <v>1</v>
      </c>
    </row>
    <row r="534" spans="1:13" x14ac:dyDescent="0.25">
      <c r="A534">
        <v>27</v>
      </c>
      <c r="B534" t="s">
        <v>32</v>
      </c>
      <c r="C534" t="s">
        <v>25</v>
      </c>
      <c r="D534">
        <v>82</v>
      </c>
      <c r="E534">
        <v>80</v>
      </c>
      <c r="F534">
        <v>0.50600000000000001</v>
      </c>
      <c r="G534">
        <v>25</v>
      </c>
      <c r="H534">
        <v>823</v>
      </c>
      <c r="I534">
        <v>862</v>
      </c>
      <c r="J534">
        <v>-39</v>
      </c>
    </row>
    <row r="535" spans="1:13" x14ac:dyDescent="0.25">
      <c r="A535">
        <v>27</v>
      </c>
      <c r="B535" t="s">
        <v>32</v>
      </c>
      <c r="C535" t="s">
        <v>24</v>
      </c>
      <c r="D535">
        <v>82</v>
      </c>
      <c r="E535">
        <v>80</v>
      </c>
      <c r="F535">
        <v>0.50600000000000001</v>
      </c>
      <c r="G535">
        <v>25</v>
      </c>
      <c r="H535">
        <v>848</v>
      </c>
      <c r="I535">
        <v>813</v>
      </c>
      <c r="J535">
        <v>35</v>
      </c>
    </row>
    <row r="536" spans="1:13" x14ac:dyDescent="0.25">
      <c r="A536">
        <v>27</v>
      </c>
      <c r="B536" t="s">
        <v>32</v>
      </c>
      <c r="C536" t="s">
        <v>27</v>
      </c>
      <c r="D536">
        <v>76</v>
      </c>
      <c r="E536">
        <v>86</v>
      </c>
      <c r="F536">
        <v>0.46899999999999997</v>
      </c>
      <c r="G536">
        <v>31</v>
      </c>
      <c r="H536">
        <v>798</v>
      </c>
      <c r="I536">
        <v>902</v>
      </c>
      <c r="J536">
        <v>-104</v>
      </c>
    </row>
    <row r="537" spans="1:13" x14ac:dyDescent="0.25">
      <c r="A537">
        <v>27</v>
      </c>
      <c r="B537" t="s">
        <v>32</v>
      </c>
      <c r="C537" t="s">
        <v>26</v>
      </c>
      <c r="D537">
        <v>68</v>
      </c>
      <c r="E537">
        <v>94</v>
      </c>
      <c r="F537">
        <v>0.42</v>
      </c>
      <c r="G537">
        <v>39</v>
      </c>
      <c r="H537">
        <v>750</v>
      </c>
      <c r="I537">
        <v>849</v>
      </c>
      <c r="J537">
        <v>-99</v>
      </c>
    </row>
    <row r="538" spans="1:13" x14ac:dyDescent="0.25">
      <c r="A538">
        <v>27</v>
      </c>
      <c r="B538" t="s">
        <v>29</v>
      </c>
      <c r="C538" t="s">
        <v>9</v>
      </c>
      <c r="D538">
        <v>100</v>
      </c>
      <c r="E538">
        <v>62</v>
      </c>
      <c r="F538">
        <v>0.61699999999999999</v>
      </c>
      <c r="G538">
        <v>0</v>
      </c>
      <c r="H538">
        <v>986</v>
      </c>
      <c r="I538">
        <v>823</v>
      </c>
      <c r="J538">
        <v>163</v>
      </c>
      <c r="L538">
        <v>1</v>
      </c>
    </row>
    <row r="539" spans="1:13" x14ac:dyDescent="0.25">
      <c r="A539">
        <v>27</v>
      </c>
      <c r="B539" t="s">
        <v>29</v>
      </c>
      <c r="C539" t="s">
        <v>10</v>
      </c>
      <c r="D539">
        <v>93</v>
      </c>
      <c r="E539">
        <v>69</v>
      </c>
      <c r="F539">
        <v>0.57399999999999995</v>
      </c>
      <c r="G539">
        <v>7</v>
      </c>
      <c r="H539">
        <v>968</v>
      </c>
      <c r="I539">
        <v>858</v>
      </c>
      <c r="J539">
        <v>110</v>
      </c>
      <c r="M539">
        <v>0.5</v>
      </c>
    </row>
    <row r="540" spans="1:13" x14ac:dyDescent="0.25">
      <c r="A540">
        <v>27</v>
      </c>
      <c r="B540" t="s">
        <v>29</v>
      </c>
      <c r="C540" t="s">
        <v>8</v>
      </c>
      <c r="D540">
        <v>85</v>
      </c>
      <c r="E540">
        <v>77</v>
      </c>
      <c r="F540">
        <v>0.52500000000000002</v>
      </c>
      <c r="G540">
        <v>15</v>
      </c>
      <c r="H540">
        <v>811</v>
      </c>
      <c r="I540">
        <v>719</v>
      </c>
      <c r="J540">
        <v>92</v>
      </c>
    </row>
    <row r="541" spans="1:13" x14ac:dyDescent="0.25">
      <c r="A541">
        <v>27</v>
      </c>
      <c r="B541" t="s">
        <v>29</v>
      </c>
      <c r="C541" t="s">
        <v>11</v>
      </c>
      <c r="D541">
        <v>81</v>
      </c>
      <c r="E541">
        <v>81</v>
      </c>
      <c r="F541">
        <v>0.5</v>
      </c>
      <c r="G541">
        <v>19</v>
      </c>
      <c r="H541">
        <v>852</v>
      </c>
      <c r="I541">
        <v>793</v>
      </c>
      <c r="J541">
        <v>59</v>
      </c>
    </row>
    <row r="542" spans="1:13" x14ac:dyDescent="0.25">
      <c r="A542">
        <v>27</v>
      </c>
      <c r="B542" t="s">
        <v>29</v>
      </c>
      <c r="C542" t="s">
        <v>12</v>
      </c>
      <c r="D542">
        <v>81</v>
      </c>
      <c r="E542">
        <v>81</v>
      </c>
      <c r="F542">
        <v>0.5</v>
      </c>
      <c r="G542">
        <v>19</v>
      </c>
      <c r="H542">
        <v>813</v>
      </c>
      <c r="I542">
        <v>837</v>
      </c>
      <c r="J542">
        <v>-24</v>
      </c>
    </row>
    <row r="543" spans="1:13" x14ac:dyDescent="0.25">
      <c r="A543">
        <v>28</v>
      </c>
      <c r="B543" t="s">
        <v>31</v>
      </c>
      <c r="C543" t="s">
        <v>18</v>
      </c>
      <c r="D543">
        <v>113</v>
      </c>
      <c r="E543">
        <v>49</v>
      </c>
      <c r="F543">
        <v>0.69799999999999995</v>
      </c>
      <c r="G543">
        <v>0</v>
      </c>
      <c r="H543">
        <v>1065</v>
      </c>
      <c r="I543">
        <v>726</v>
      </c>
      <c r="J543">
        <v>339</v>
      </c>
      <c r="K543">
        <v>1</v>
      </c>
    </row>
    <row r="544" spans="1:13" x14ac:dyDescent="0.25">
      <c r="A544">
        <v>28</v>
      </c>
      <c r="B544" t="s">
        <v>31</v>
      </c>
      <c r="C544" t="s">
        <v>19</v>
      </c>
      <c r="D544">
        <v>103</v>
      </c>
      <c r="E544">
        <v>59</v>
      </c>
      <c r="F544">
        <v>0.63600000000000001</v>
      </c>
      <c r="G544">
        <v>10</v>
      </c>
      <c r="H544">
        <v>1034</v>
      </c>
      <c r="I544">
        <v>817</v>
      </c>
      <c r="J544">
        <v>217</v>
      </c>
      <c r="M544">
        <v>1</v>
      </c>
    </row>
    <row r="545" spans="1:13" x14ac:dyDescent="0.25">
      <c r="A545">
        <v>28</v>
      </c>
      <c r="B545" t="s">
        <v>31</v>
      </c>
      <c r="C545" t="s">
        <v>20</v>
      </c>
      <c r="D545">
        <v>80</v>
      </c>
      <c r="E545">
        <v>82</v>
      </c>
      <c r="F545">
        <v>0.49399999999999999</v>
      </c>
      <c r="G545">
        <v>33</v>
      </c>
      <c r="H545">
        <v>908</v>
      </c>
      <c r="I545">
        <v>876</v>
      </c>
      <c r="J545">
        <v>32</v>
      </c>
    </row>
    <row r="546" spans="1:13" x14ac:dyDescent="0.25">
      <c r="A546">
        <v>28</v>
      </c>
      <c r="B546" t="s">
        <v>31</v>
      </c>
      <c r="C546" t="s">
        <v>21</v>
      </c>
      <c r="D546">
        <v>67</v>
      </c>
      <c r="E546">
        <v>95</v>
      </c>
      <c r="F546">
        <v>0.41399999999999998</v>
      </c>
      <c r="G546">
        <v>46</v>
      </c>
      <c r="H546">
        <v>812</v>
      </c>
      <c r="I546">
        <v>1025</v>
      </c>
      <c r="J546">
        <v>-213</v>
      </c>
    </row>
    <row r="547" spans="1:13" x14ac:dyDescent="0.25">
      <c r="A547">
        <v>28</v>
      </c>
      <c r="B547" t="s">
        <v>31</v>
      </c>
      <c r="C547" t="s">
        <v>22</v>
      </c>
      <c r="D547">
        <v>50</v>
      </c>
      <c r="E547">
        <v>112</v>
      </c>
      <c r="F547">
        <v>0.309</v>
      </c>
      <c r="G547">
        <v>63</v>
      </c>
      <c r="H547">
        <v>814</v>
      </c>
      <c r="I547">
        <v>1060</v>
      </c>
      <c r="J547">
        <v>-246</v>
      </c>
    </row>
    <row r="548" spans="1:13" x14ac:dyDescent="0.25">
      <c r="A548">
        <v>28</v>
      </c>
      <c r="B548" t="s">
        <v>30</v>
      </c>
      <c r="C548" t="s">
        <v>13</v>
      </c>
      <c r="D548">
        <v>114</v>
      </c>
      <c r="E548">
        <v>48</v>
      </c>
      <c r="F548">
        <v>0.70399999999999996</v>
      </c>
      <c r="G548">
        <v>0</v>
      </c>
      <c r="H548">
        <v>1015</v>
      </c>
      <c r="I548">
        <v>638</v>
      </c>
      <c r="J548">
        <v>377</v>
      </c>
      <c r="K548">
        <v>1</v>
      </c>
    </row>
    <row r="549" spans="1:13" x14ac:dyDescent="0.25">
      <c r="A549">
        <v>28</v>
      </c>
      <c r="B549" t="s">
        <v>30</v>
      </c>
      <c r="C549" t="s">
        <v>15</v>
      </c>
      <c r="D549">
        <v>77</v>
      </c>
      <c r="E549">
        <v>85</v>
      </c>
      <c r="F549">
        <v>0.47499999999999998</v>
      </c>
      <c r="G549">
        <v>37</v>
      </c>
      <c r="H549">
        <v>1040</v>
      </c>
      <c r="I549">
        <v>1108</v>
      </c>
      <c r="J549">
        <v>-68</v>
      </c>
    </row>
    <row r="550" spans="1:13" x14ac:dyDescent="0.25">
      <c r="A550">
        <v>28</v>
      </c>
      <c r="B550" t="s">
        <v>30</v>
      </c>
      <c r="C550" t="s">
        <v>16</v>
      </c>
      <c r="D550">
        <v>69</v>
      </c>
      <c r="E550">
        <v>93</v>
      </c>
      <c r="F550">
        <v>0.42599999999999999</v>
      </c>
      <c r="G550">
        <v>45</v>
      </c>
      <c r="H550">
        <v>809</v>
      </c>
      <c r="I550">
        <v>968</v>
      </c>
      <c r="J550">
        <v>-159</v>
      </c>
    </row>
    <row r="551" spans="1:13" x14ac:dyDescent="0.25">
      <c r="A551">
        <v>28</v>
      </c>
      <c r="B551" t="s">
        <v>30</v>
      </c>
      <c r="C551" t="s">
        <v>14</v>
      </c>
      <c r="D551">
        <v>68</v>
      </c>
      <c r="E551">
        <v>94</v>
      </c>
      <c r="F551">
        <v>0.42</v>
      </c>
      <c r="G551">
        <v>46</v>
      </c>
      <c r="H551">
        <v>777</v>
      </c>
      <c r="I551">
        <v>834</v>
      </c>
      <c r="J551">
        <v>-57</v>
      </c>
    </row>
    <row r="552" spans="1:13" x14ac:dyDescent="0.25">
      <c r="A552">
        <v>28</v>
      </c>
      <c r="B552" t="s">
        <v>30</v>
      </c>
      <c r="C552" t="s">
        <v>17</v>
      </c>
      <c r="D552">
        <v>47</v>
      </c>
      <c r="E552">
        <v>115</v>
      </c>
      <c r="F552">
        <v>0.28999999999999998</v>
      </c>
      <c r="G552">
        <v>67</v>
      </c>
      <c r="H552">
        <v>648</v>
      </c>
      <c r="I552">
        <v>1050</v>
      </c>
      <c r="J552">
        <v>-402</v>
      </c>
    </row>
    <row r="553" spans="1:13" x14ac:dyDescent="0.25">
      <c r="A553">
        <v>28</v>
      </c>
      <c r="B553" t="s">
        <v>32</v>
      </c>
      <c r="C553" t="s">
        <v>23</v>
      </c>
      <c r="D553">
        <v>108</v>
      </c>
      <c r="E553">
        <v>54</v>
      </c>
      <c r="F553">
        <v>0.66700000000000004</v>
      </c>
      <c r="G553">
        <v>0</v>
      </c>
      <c r="H553">
        <v>968</v>
      </c>
      <c r="I553">
        <v>723</v>
      </c>
      <c r="J553">
        <v>245</v>
      </c>
      <c r="L553">
        <v>1</v>
      </c>
    </row>
    <row r="554" spans="1:13" x14ac:dyDescent="0.25">
      <c r="A554">
        <v>28</v>
      </c>
      <c r="B554" t="s">
        <v>32</v>
      </c>
      <c r="C554" t="s">
        <v>24</v>
      </c>
      <c r="D554">
        <v>83</v>
      </c>
      <c r="E554">
        <v>79</v>
      </c>
      <c r="F554">
        <v>0.51200000000000001</v>
      </c>
      <c r="G554">
        <v>25</v>
      </c>
      <c r="H554">
        <v>858</v>
      </c>
      <c r="I554">
        <v>852</v>
      </c>
      <c r="J554">
        <v>6</v>
      </c>
    </row>
    <row r="555" spans="1:13" x14ac:dyDescent="0.25">
      <c r="A555">
        <v>28</v>
      </c>
      <c r="B555" t="s">
        <v>32</v>
      </c>
      <c r="C555" t="s">
        <v>25</v>
      </c>
      <c r="D555">
        <v>81</v>
      </c>
      <c r="E555">
        <v>81</v>
      </c>
      <c r="F555">
        <v>0.5</v>
      </c>
      <c r="G555">
        <v>27</v>
      </c>
      <c r="H555">
        <v>775</v>
      </c>
      <c r="I555">
        <v>833</v>
      </c>
      <c r="J555">
        <v>-58</v>
      </c>
    </row>
    <row r="556" spans="1:13" x14ac:dyDescent="0.25">
      <c r="A556">
        <v>28</v>
      </c>
      <c r="B556" t="s">
        <v>32</v>
      </c>
      <c r="C556" t="s">
        <v>26</v>
      </c>
      <c r="D556">
        <v>72</v>
      </c>
      <c r="E556">
        <v>90</v>
      </c>
      <c r="F556">
        <v>0.44400000000000001</v>
      </c>
      <c r="G556">
        <v>36</v>
      </c>
      <c r="H556">
        <v>799</v>
      </c>
      <c r="I556">
        <v>935</v>
      </c>
      <c r="J556">
        <v>-136</v>
      </c>
    </row>
    <row r="557" spans="1:13" x14ac:dyDescent="0.25">
      <c r="A557">
        <v>28</v>
      </c>
      <c r="B557" t="s">
        <v>32</v>
      </c>
      <c r="C557" t="s">
        <v>27</v>
      </c>
      <c r="D557">
        <v>49</v>
      </c>
      <c r="E557">
        <v>113</v>
      </c>
      <c r="F557">
        <v>0.30199999999999999</v>
      </c>
      <c r="G557">
        <v>59</v>
      </c>
      <c r="H557">
        <v>761</v>
      </c>
      <c r="I557">
        <v>1107</v>
      </c>
      <c r="J557">
        <v>-346</v>
      </c>
    </row>
    <row r="558" spans="1:13" x14ac:dyDescent="0.25">
      <c r="A558">
        <v>28</v>
      </c>
      <c r="B558" t="s">
        <v>29</v>
      </c>
      <c r="C558" t="s">
        <v>8</v>
      </c>
      <c r="D558">
        <v>107</v>
      </c>
      <c r="E558">
        <v>55</v>
      </c>
      <c r="F558">
        <v>0.66</v>
      </c>
      <c r="G558">
        <v>0</v>
      </c>
      <c r="H558">
        <v>950</v>
      </c>
      <c r="I558">
        <v>702</v>
      </c>
      <c r="J558">
        <v>248</v>
      </c>
      <c r="L558">
        <v>1</v>
      </c>
    </row>
    <row r="559" spans="1:13" x14ac:dyDescent="0.25">
      <c r="A559">
        <v>28</v>
      </c>
      <c r="B559" t="s">
        <v>29</v>
      </c>
      <c r="C559" t="s">
        <v>9</v>
      </c>
      <c r="D559">
        <v>91</v>
      </c>
      <c r="E559">
        <v>71</v>
      </c>
      <c r="F559">
        <v>0.56200000000000006</v>
      </c>
      <c r="G559">
        <v>16</v>
      </c>
      <c r="H559">
        <v>1002</v>
      </c>
      <c r="I559">
        <v>915</v>
      </c>
      <c r="J559">
        <v>87</v>
      </c>
      <c r="M559">
        <v>1</v>
      </c>
    </row>
    <row r="560" spans="1:13" x14ac:dyDescent="0.25">
      <c r="A560">
        <v>28</v>
      </c>
      <c r="B560" t="s">
        <v>29</v>
      </c>
      <c r="C560" t="s">
        <v>11</v>
      </c>
      <c r="D560">
        <v>86</v>
      </c>
      <c r="E560">
        <v>76</v>
      </c>
      <c r="F560">
        <v>0.53100000000000003</v>
      </c>
      <c r="G560">
        <v>21</v>
      </c>
      <c r="H560">
        <v>886</v>
      </c>
      <c r="I560">
        <v>768</v>
      </c>
      <c r="J560">
        <v>118</v>
      </c>
    </row>
    <row r="561" spans="1:13" x14ac:dyDescent="0.25">
      <c r="A561">
        <v>28</v>
      </c>
      <c r="B561" t="s">
        <v>29</v>
      </c>
      <c r="C561" t="s">
        <v>10</v>
      </c>
      <c r="D561">
        <v>84</v>
      </c>
      <c r="E561">
        <v>78</v>
      </c>
      <c r="F561">
        <v>0.51900000000000002</v>
      </c>
      <c r="G561">
        <v>23</v>
      </c>
      <c r="H561">
        <v>935</v>
      </c>
      <c r="I561">
        <v>851</v>
      </c>
      <c r="J561">
        <v>84</v>
      </c>
    </row>
    <row r="562" spans="1:13" x14ac:dyDescent="0.25">
      <c r="A562">
        <v>28</v>
      </c>
      <c r="B562" t="s">
        <v>29</v>
      </c>
      <c r="C562" t="s">
        <v>12</v>
      </c>
      <c r="D562">
        <v>71</v>
      </c>
      <c r="E562">
        <v>91</v>
      </c>
      <c r="F562">
        <v>0.438</v>
      </c>
      <c r="G562">
        <v>36</v>
      </c>
      <c r="H562">
        <v>842</v>
      </c>
      <c r="I562">
        <v>910</v>
      </c>
      <c r="J562">
        <v>-68</v>
      </c>
    </row>
    <row r="563" spans="1:13" x14ac:dyDescent="0.25">
      <c r="A563">
        <v>29</v>
      </c>
      <c r="B563" t="s">
        <v>31</v>
      </c>
      <c r="C563" t="s">
        <v>18</v>
      </c>
      <c r="D563">
        <v>114</v>
      </c>
      <c r="E563">
        <v>48</v>
      </c>
      <c r="F563">
        <v>0.70399999999999996</v>
      </c>
      <c r="G563">
        <v>0</v>
      </c>
      <c r="H563">
        <v>1100</v>
      </c>
      <c r="I563">
        <v>727</v>
      </c>
      <c r="J563">
        <v>373</v>
      </c>
      <c r="K563">
        <v>1</v>
      </c>
    </row>
    <row r="564" spans="1:13" x14ac:dyDescent="0.25">
      <c r="A564">
        <v>29</v>
      </c>
      <c r="B564" t="s">
        <v>31</v>
      </c>
      <c r="C564" t="s">
        <v>19</v>
      </c>
      <c r="D564">
        <v>95</v>
      </c>
      <c r="E564">
        <v>67</v>
      </c>
      <c r="F564">
        <v>0.58599999999999997</v>
      </c>
      <c r="G564">
        <v>19</v>
      </c>
      <c r="H564">
        <v>959</v>
      </c>
      <c r="I564">
        <v>820</v>
      </c>
      <c r="J564">
        <v>139</v>
      </c>
      <c r="M564">
        <v>1</v>
      </c>
    </row>
    <row r="565" spans="1:13" x14ac:dyDescent="0.25">
      <c r="A565">
        <v>29</v>
      </c>
      <c r="B565" t="s">
        <v>31</v>
      </c>
      <c r="C565" t="s">
        <v>20</v>
      </c>
      <c r="D565">
        <v>91</v>
      </c>
      <c r="E565">
        <v>71</v>
      </c>
      <c r="F565">
        <v>0.56200000000000006</v>
      </c>
      <c r="G565">
        <v>23</v>
      </c>
      <c r="H565">
        <v>949</v>
      </c>
      <c r="I565">
        <v>896</v>
      </c>
      <c r="J565">
        <v>53</v>
      </c>
      <c r="M565">
        <v>1</v>
      </c>
    </row>
    <row r="566" spans="1:13" x14ac:dyDescent="0.25">
      <c r="A566">
        <v>29</v>
      </c>
      <c r="B566" t="s">
        <v>31</v>
      </c>
      <c r="C566" t="s">
        <v>21</v>
      </c>
      <c r="D566">
        <v>59</v>
      </c>
      <c r="E566">
        <v>103</v>
      </c>
      <c r="F566">
        <v>0.36399999999999999</v>
      </c>
      <c r="G566">
        <v>55</v>
      </c>
      <c r="H566">
        <v>805</v>
      </c>
      <c r="I566">
        <v>1028</v>
      </c>
      <c r="J566">
        <v>-223</v>
      </c>
    </row>
    <row r="567" spans="1:13" x14ac:dyDescent="0.25">
      <c r="A567">
        <v>29</v>
      </c>
      <c r="B567" t="s">
        <v>31</v>
      </c>
      <c r="C567" t="s">
        <v>22</v>
      </c>
      <c r="D567">
        <v>57</v>
      </c>
      <c r="E567">
        <v>105</v>
      </c>
      <c r="F567">
        <v>0.35199999999999998</v>
      </c>
      <c r="G567">
        <v>57</v>
      </c>
      <c r="H567">
        <v>802</v>
      </c>
      <c r="I567">
        <v>1114</v>
      </c>
      <c r="J567">
        <v>-312</v>
      </c>
    </row>
    <row r="568" spans="1:13" x14ac:dyDescent="0.25">
      <c r="A568">
        <v>29</v>
      </c>
      <c r="B568" t="s">
        <v>30</v>
      </c>
      <c r="C568" t="s">
        <v>13</v>
      </c>
      <c r="D568">
        <v>119</v>
      </c>
      <c r="E568">
        <v>43</v>
      </c>
      <c r="F568">
        <v>0.73499999999999999</v>
      </c>
      <c r="G568">
        <v>0</v>
      </c>
      <c r="H568">
        <v>1030</v>
      </c>
      <c r="I568">
        <v>642</v>
      </c>
      <c r="J568">
        <v>388</v>
      </c>
      <c r="K568">
        <v>1</v>
      </c>
    </row>
    <row r="569" spans="1:13" x14ac:dyDescent="0.25">
      <c r="A569">
        <v>29</v>
      </c>
      <c r="B569" t="s">
        <v>30</v>
      </c>
      <c r="C569" t="s">
        <v>15</v>
      </c>
      <c r="D569">
        <v>79</v>
      </c>
      <c r="E569">
        <v>83</v>
      </c>
      <c r="F569">
        <v>0.48799999999999999</v>
      </c>
      <c r="G569">
        <v>40</v>
      </c>
      <c r="H569">
        <v>1065</v>
      </c>
      <c r="I569">
        <v>1094</v>
      </c>
      <c r="J569">
        <v>-29</v>
      </c>
    </row>
    <row r="570" spans="1:13" x14ac:dyDescent="0.25">
      <c r="A570">
        <v>29</v>
      </c>
      <c r="B570" t="s">
        <v>30</v>
      </c>
      <c r="C570" t="s">
        <v>16</v>
      </c>
      <c r="D570">
        <v>71</v>
      </c>
      <c r="E570">
        <v>91</v>
      </c>
      <c r="F570">
        <v>0.438</v>
      </c>
      <c r="G570">
        <v>48</v>
      </c>
      <c r="H570">
        <v>872</v>
      </c>
      <c r="I570">
        <v>934</v>
      </c>
      <c r="J570">
        <v>-62</v>
      </c>
    </row>
    <row r="571" spans="1:13" x14ac:dyDescent="0.25">
      <c r="A571">
        <v>29</v>
      </c>
      <c r="B571" t="s">
        <v>30</v>
      </c>
      <c r="C571" t="s">
        <v>14</v>
      </c>
      <c r="D571">
        <v>69</v>
      </c>
      <c r="E571">
        <v>93</v>
      </c>
      <c r="F571">
        <v>0.42599999999999999</v>
      </c>
      <c r="G571">
        <v>50</v>
      </c>
      <c r="H571">
        <v>815</v>
      </c>
      <c r="I571">
        <v>968</v>
      </c>
      <c r="J571">
        <v>-153</v>
      </c>
    </row>
    <row r="572" spans="1:13" x14ac:dyDescent="0.25">
      <c r="A572">
        <v>29</v>
      </c>
      <c r="B572" t="s">
        <v>30</v>
      </c>
      <c r="C572" t="s">
        <v>17</v>
      </c>
      <c r="D572">
        <v>47</v>
      </c>
      <c r="E572">
        <v>115</v>
      </c>
      <c r="F572">
        <v>0.28999999999999998</v>
      </c>
      <c r="G572">
        <v>72</v>
      </c>
      <c r="H572">
        <v>693</v>
      </c>
      <c r="I572">
        <v>972</v>
      </c>
      <c r="J572">
        <v>-279</v>
      </c>
    </row>
    <row r="573" spans="1:13" x14ac:dyDescent="0.25">
      <c r="A573">
        <v>29</v>
      </c>
      <c r="B573" t="s">
        <v>32</v>
      </c>
      <c r="C573" t="s">
        <v>23</v>
      </c>
      <c r="D573">
        <v>99</v>
      </c>
      <c r="E573">
        <v>63</v>
      </c>
      <c r="F573">
        <v>0.61099999999999999</v>
      </c>
      <c r="G573">
        <v>0</v>
      </c>
      <c r="H573">
        <v>960</v>
      </c>
      <c r="I573">
        <v>748</v>
      </c>
      <c r="J573">
        <v>212</v>
      </c>
      <c r="L573">
        <v>1</v>
      </c>
    </row>
    <row r="574" spans="1:13" x14ac:dyDescent="0.25">
      <c r="A574">
        <v>29</v>
      </c>
      <c r="B574" t="s">
        <v>32</v>
      </c>
      <c r="C574" t="s">
        <v>24</v>
      </c>
      <c r="D574">
        <v>85</v>
      </c>
      <c r="E574">
        <v>77</v>
      </c>
      <c r="F574">
        <v>0.52500000000000002</v>
      </c>
      <c r="G574">
        <v>14</v>
      </c>
      <c r="H574">
        <v>860</v>
      </c>
      <c r="I574">
        <v>840</v>
      </c>
      <c r="J574">
        <v>20</v>
      </c>
    </row>
    <row r="575" spans="1:13" x14ac:dyDescent="0.25">
      <c r="A575">
        <v>29</v>
      </c>
      <c r="B575" t="s">
        <v>32</v>
      </c>
      <c r="C575" t="s">
        <v>25</v>
      </c>
      <c r="D575">
        <v>75</v>
      </c>
      <c r="E575">
        <v>87</v>
      </c>
      <c r="F575">
        <v>0.46300000000000002</v>
      </c>
      <c r="G575">
        <v>24</v>
      </c>
      <c r="H575">
        <v>821</v>
      </c>
      <c r="I575">
        <v>868</v>
      </c>
      <c r="J575">
        <v>-47</v>
      </c>
    </row>
    <row r="576" spans="1:13" x14ac:dyDescent="0.25">
      <c r="A576">
        <v>29</v>
      </c>
      <c r="B576" t="s">
        <v>32</v>
      </c>
      <c r="C576" t="s">
        <v>26</v>
      </c>
      <c r="D576">
        <v>68</v>
      </c>
      <c r="E576">
        <v>94</v>
      </c>
      <c r="F576">
        <v>0.42</v>
      </c>
      <c r="G576">
        <v>31</v>
      </c>
      <c r="H576">
        <v>762</v>
      </c>
      <c r="I576">
        <v>886</v>
      </c>
      <c r="J576">
        <v>-124</v>
      </c>
    </row>
    <row r="577" spans="1:13" x14ac:dyDescent="0.25">
      <c r="A577">
        <v>29</v>
      </c>
      <c r="B577" t="s">
        <v>32</v>
      </c>
      <c r="C577" t="s">
        <v>27</v>
      </c>
      <c r="D577">
        <v>61</v>
      </c>
      <c r="E577">
        <v>101</v>
      </c>
      <c r="F577">
        <v>0.377</v>
      </c>
      <c r="G577">
        <v>38</v>
      </c>
      <c r="H577">
        <v>793</v>
      </c>
      <c r="I577">
        <v>1032</v>
      </c>
      <c r="J577">
        <v>-239</v>
      </c>
    </row>
    <row r="578" spans="1:13" x14ac:dyDescent="0.25">
      <c r="A578">
        <v>29</v>
      </c>
      <c r="B578" t="s">
        <v>29</v>
      </c>
      <c r="C578" t="s">
        <v>9</v>
      </c>
      <c r="D578">
        <v>95</v>
      </c>
      <c r="E578">
        <v>67</v>
      </c>
      <c r="F578">
        <v>0.58599999999999997</v>
      </c>
      <c r="G578">
        <v>0</v>
      </c>
      <c r="H578">
        <v>978</v>
      </c>
      <c r="I578">
        <v>878</v>
      </c>
      <c r="J578">
        <v>100</v>
      </c>
      <c r="L578">
        <v>1</v>
      </c>
    </row>
    <row r="579" spans="1:13" x14ac:dyDescent="0.25">
      <c r="A579">
        <v>29</v>
      </c>
      <c r="B579" t="s">
        <v>29</v>
      </c>
      <c r="C579" t="s">
        <v>8</v>
      </c>
      <c r="D579">
        <v>89</v>
      </c>
      <c r="E579">
        <v>73</v>
      </c>
      <c r="F579">
        <v>0.54900000000000004</v>
      </c>
      <c r="G579">
        <v>6</v>
      </c>
      <c r="H579">
        <v>875</v>
      </c>
      <c r="I579">
        <v>765</v>
      </c>
      <c r="J579">
        <v>110</v>
      </c>
    </row>
    <row r="580" spans="1:13" x14ac:dyDescent="0.25">
      <c r="A580">
        <v>29</v>
      </c>
      <c r="B580" t="s">
        <v>29</v>
      </c>
      <c r="C580" t="s">
        <v>11</v>
      </c>
      <c r="D580">
        <v>84</v>
      </c>
      <c r="E580">
        <v>78</v>
      </c>
      <c r="F580">
        <v>0.51900000000000002</v>
      </c>
      <c r="G580">
        <v>11</v>
      </c>
      <c r="H580">
        <v>837</v>
      </c>
      <c r="I580">
        <v>827</v>
      </c>
      <c r="J580">
        <v>10</v>
      </c>
    </row>
    <row r="581" spans="1:13" x14ac:dyDescent="0.25">
      <c r="A581">
        <v>29</v>
      </c>
      <c r="B581" t="s">
        <v>29</v>
      </c>
      <c r="C581" t="s">
        <v>10</v>
      </c>
      <c r="D581">
        <v>83</v>
      </c>
      <c r="E581">
        <v>79</v>
      </c>
      <c r="F581">
        <v>0.51200000000000001</v>
      </c>
      <c r="G581">
        <v>12</v>
      </c>
      <c r="H581">
        <v>1008</v>
      </c>
      <c r="I581">
        <v>946</v>
      </c>
      <c r="J581">
        <v>62</v>
      </c>
    </row>
    <row r="582" spans="1:13" x14ac:dyDescent="0.25">
      <c r="A582">
        <v>29</v>
      </c>
      <c r="B582" t="s">
        <v>29</v>
      </c>
      <c r="C582" t="s">
        <v>12</v>
      </c>
      <c r="D582">
        <v>80</v>
      </c>
      <c r="E582">
        <v>82</v>
      </c>
      <c r="F582">
        <v>0.49399999999999999</v>
      </c>
      <c r="G582">
        <v>15</v>
      </c>
      <c r="H582">
        <v>902</v>
      </c>
      <c r="I582">
        <v>901</v>
      </c>
      <c r="J582">
        <v>1</v>
      </c>
    </row>
    <row r="583" spans="1:13" x14ac:dyDescent="0.25">
      <c r="A583">
        <v>30</v>
      </c>
      <c r="B583" t="s">
        <v>31</v>
      </c>
      <c r="C583" t="s">
        <v>19</v>
      </c>
      <c r="D583">
        <v>107</v>
      </c>
      <c r="E583">
        <v>55</v>
      </c>
      <c r="F583">
        <v>0.66</v>
      </c>
      <c r="G583">
        <v>0</v>
      </c>
      <c r="H583">
        <v>1036</v>
      </c>
      <c r="I583">
        <v>800</v>
      </c>
      <c r="J583">
        <v>236</v>
      </c>
      <c r="K583">
        <v>1</v>
      </c>
    </row>
    <row r="584" spans="1:13" x14ac:dyDescent="0.25">
      <c r="A584">
        <v>30</v>
      </c>
      <c r="B584" t="s">
        <v>31</v>
      </c>
      <c r="C584" t="s">
        <v>18</v>
      </c>
      <c r="D584">
        <v>106</v>
      </c>
      <c r="E584">
        <v>56</v>
      </c>
      <c r="F584">
        <v>0.65400000000000003</v>
      </c>
      <c r="G584">
        <v>1</v>
      </c>
      <c r="H584">
        <v>1139</v>
      </c>
      <c r="I584">
        <v>806</v>
      </c>
      <c r="J584">
        <v>333</v>
      </c>
      <c r="M584">
        <v>1</v>
      </c>
    </row>
    <row r="585" spans="1:13" x14ac:dyDescent="0.25">
      <c r="A585">
        <v>30</v>
      </c>
      <c r="B585" t="s">
        <v>31</v>
      </c>
      <c r="C585" t="s">
        <v>20</v>
      </c>
      <c r="D585">
        <v>77</v>
      </c>
      <c r="E585">
        <v>85</v>
      </c>
      <c r="F585">
        <v>0.47499999999999998</v>
      </c>
      <c r="G585">
        <v>30</v>
      </c>
      <c r="H585">
        <v>956</v>
      </c>
      <c r="I585">
        <v>914</v>
      </c>
      <c r="J585">
        <v>42</v>
      </c>
    </row>
    <row r="586" spans="1:13" x14ac:dyDescent="0.25">
      <c r="A586">
        <v>30</v>
      </c>
      <c r="B586" t="s">
        <v>31</v>
      </c>
      <c r="C586" t="s">
        <v>21</v>
      </c>
      <c r="D586">
        <v>66</v>
      </c>
      <c r="E586">
        <v>96</v>
      </c>
      <c r="F586">
        <v>0.40699999999999997</v>
      </c>
      <c r="G586">
        <v>41</v>
      </c>
      <c r="H586">
        <v>834</v>
      </c>
      <c r="I586">
        <v>976</v>
      </c>
      <c r="J586">
        <v>-142</v>
      </c>
    </row>
    <row r="587" spans="1:13" x14ac:dyDescent="0.25">
      <c r="A587">
        <v>30</v>
      </c>
      <c r="B587" t="s">
        <v>31</v>
      </c>
      <c r="C587" t="s">
        <v>22</v>
      </c>
      <c r="D587">
        <v>47</v>
      </c>
      <c r="E587">
        <v>115</v>
      </c>
      <c r="F587">
        <v>0.28999999999999998</v>
      </c>
      <c r="G587">
        <v>60</v>
      </c>
      <c r="H587">
        <v>786</v>
      </c>
      <c r="I587">
        <v>1195</v>
      </c>
      <c r="J587">
        <v>-409</v>
      </c>
    </row>
    <row r="588" spans="1:13" x14ac:dyDescent="0.25">
      <c r="A588">
        <v>30</v>
      </c>
      <c r="B588" t="s">
        <v>30</v>
      </c>
      <c r="C588" t="s">
        <v>13</v>
      </c>
      <c r="D588">
        <v>106</v>
      </c>
      <c r="E588">
        <v>56</v>
      </c>
      <c r="F588">
        <v>0.65400000000000003</v>
      </c>
      <c r="G588">
        <v>0</v>
      </c>
      <c r="H588">
        <v>1043</v>
      </c>
      <c r="I588">
        <v>741</v>
      </c>
      <c r="J588">
        <v>302</v>
      </c>
      <c r="L588">
        <v>1</v>
      </c>
    </row>
    <row r="589" spans="1:13" x14ac:dyDescent="0.25">
      <c r="A589">
        <v>30</v>
      </c>
      <c r="B589" t="s">
        <v>30</v>
      </c>
      <c r="C589" t="s">
        <v>14</v>
      </c>
      <c r="D589">
        <v>77</v>
      </c>
      <c r="E589">
        <v>85</v>
      </c>
      <c r="F589">
        <v>0.47499999999999998</v>
      </c>
      <c r="G589">
        <v>29</v>
      </c>
      <c r="H589">
        <v>764</v>
      </c>
      <c r="I589">
        <v>873</v>
      </c>
      <c r="J589">
        <v>-109</v>
      </c>
    </row>
    <row r="590" spans="1:13" x14ac:dyDescent="0.25">
      <c r="A590">
        <v>30</v>
      </c>
      <c r="B590" t="s">
        <v>30</v>
      </c>
      <c r="C590" t="s">
        <v>15</v>
      </c>
      <c r="D590">
        <v>69</v>
      </c>
      <c r="E590">
        <v>93</v>
      </c>
      <c r="F590">
        <v>0.42599999999999999</v>
      </c>
      <c r="G590">
        <v>37</v>
      </c>
      <c r="H590">
        <v>1024</v>
      </c>
      <c r="I590">
        <v>1196</v>
      </c>
      <c r="J590">
        <v>-172</v>
      </c>
    </row>
    <row r="591" spans="1:13" x14ac:dyDescent="0.25">
      <c r="A591">
        <v>30</v>
      </c>
      <c r="B591" t="s">
        <v>30</v>
      </c>
      <c r="C591" t="s">
        <v>17</v>
      </c>
      <c r="D591">
        <v>61</v>
      </c>
      <c r="E591">
        <v>101</v>
      </c>
      <c r="F591">
        <v>0.377</v>
      </c>
      <c r="G591">
        <v>45</v>
      </c>
      <c r="H591">
        <v>688</v>
      </c>
      <c r="I591">
        <v>962</v>
      </c>
      <c r="J591">
        <v>-274</v>
      </c>
    </row>
    <row r="592" spans="1:13" x14ac:dyDescent="0.25">
      <c r="A592">
        <v>30</v>
      </c>
      <c r="B592" t="s">
        <v>30</v>
      </c>
      <c r="C592" t="s">
        <v>16</v>
      </c>
      <c r="D592">
        <v>54</v>
      </c>
      <c r="E592">
        <v>108</v>
      </c>
      <c r="F592">
        <v>0.33300000000000002</v>
      </c>
      <c r="G592">
        <v>52</v>
      </c>
      <c r="H592">
        <v>818</v>
      </c>
      <c r="I592">
        <v>1081</v>
      </c>
      <c r="J592">
        <v>-263</v>
      </c>
    </row>
    <row r="593" spans="1:13" x14ac:dyDescent="0.25">
      <c r="A593">
        <v>30</v>
      </c>
      <c r="B593" t="s">
        <v>32</v>
      </c>
      <c r="C593" t="s">
        <v>23</v>
      </c>
      <c r="D593">
        <v>115</v>
      </c>
      <c r="E593">
        <v>47</v>
      </c>
      <c r="F593">
        <v>0.71</v>
      </c>
      <c r="G593">
        <v>0</v>
      </c>
      <c r="H593">
        <v>1009</v>
      </c>
      <c r="I593">
        <v>642</v>
      </c>
      <c r="J593">
        <v>367</v>
      </c>
      <c r="K593">
        <v>1</v>
      </c>
    </row>
    <row r="594" spans="1:13" x14ac:dyDescent="0.25">
      <c r="A594">
        <v>30</v>
      </c>
      <c r="B594" t="s">
        <v>32</v>
      </c>
      <c r="C594" t="s">
        <v>24</v>
      </c>
      <c r="D594">
        <v>96</v>
      </c>
      <c r="E594">
        <v>66</v>
      </c>
      <c r="F594">
        <v>0.59299999999999997</v>
      </c>
      <c r="G594">
        <v>19</v>
      </c>
      <c r="H594">
        <v>886</v>
      </c>
      <c r="I594">
        <v>856</v>
      </c>
      <c r="J594">
        <v>30</v>
      </c>
      <c r="M594">
        <v>1</v>
      </c>
    </row>
    <row r="595" spans="1:13" x14ac:dyDescent="0.25">
      <c r="A595">
        <v>30</v>
      </c>
      <c r="B595" t="s">
        <v>32</v>
      </c>
      <c r="C595" t="s">
        <v>25</v>
      </c>
      <c r="D595">
        <v>77</v>
      </c>
      <c r="E595">
        <v>85</v>
      </c>
      <c r="F595">
        <v>0.47499999999999998</v>
      </c>
      <c r="G595">
        <v>38</v>
      </c>
      <c r="H595">
        <v>820</v>
      </c>
      <c r="I595">
        <v>839</v>
      </c>
      <c r="J595">
        <v>-19</v>
      </c>
    </row>
    <row r="596" spans="1:13" x14ac:dyDescent="0.25">
      <c r="A596">
        <v>30</v>
      </c>
      <c r="B596" t="s">
        <v>32</v>
      </c>
      <c r="C596" t="s">
        <v>26</v>
      </c>
      <c r="D596">
        <v>61</v>
      </c>
      <c r="E596">
        <v>101</v>
      </c>
      <c r="F596">
        <v>0.377</v>
      </c>
      <c r="G596">
        <v>54</v>
      </c>
      <c r="H596">
        <v>734</v>
      </c>
      <c r="I596">
        <v>857</v>
      </c>
      <c r="J596">
        <v>-123</v>
      </c>
    </row>
    <row r="597" spans="1:13" x14ac:dyDescent="0.25">
      <c r="A597">
        <v>30</v>
      </c>
      <c r="B597" t="s">
        <v>32</v>
      </c>
      <c r="C597" t="s">
        <v>27</v>
      </c>
      <c r="D597">
        <v>53</v>
      </c>
      <c r="E597">
        <v>109</v>
      </c>
      <c r="F597">
        <v>0.32700000000000001</v>
      </c>
      <c r="G597">
        <v>62</v>
      </c>
      <c r="H597">
        <v>724</v>
      </c>
      <c r="I597">
        <v>988</v>
      </c>
      <c r="J597">
        <v>-264</v>
      </c>
    </row>
    <row r="598" spans="1:13" x14ac:dyDescent="0.25">
      <c r="A598">
        <v>30</v>
      </c>
      <c r="B598" t="s">
        <v>29</v>
      </c>
      <c r="C598" t="s">
        <v>8</v>
      </c>
      <c r="D598">
        <v>95</v>
      </c>
      <c r="E598">
        <v>67</v>
      </c>
      <c r="F598">
        <v>0.58599999999999997</v>
      </c>
      <c r="G598">
        <v>0</v>
      </c>
      <c r="H598">
        <v>884</v>
      </c>
      <c r="I598">
        <v>722</v>
      </c>
      <c r="J598">
        <v>162</v>
      </c>
      <c r="L598">
        <v>1</v>
      </c>
    </row>
    <row r="599" spans="1:13" x14ac:dyDescent="0.25">
      <c r="A599">
        <v>30</v>
      </c>
      <c r="B599" t="s">
        <v>29</v>
      </c>
      <c r="C599" t="s">
        <v>10</v>
      </c>
      <c r="D599">
        <v>93</v>
      </c>
      <c r="E599">
        <v>69</v>
      </c>
      <c r="F599">
        <v>0.57399999999999995</v>
      </c>
      <c r="G599">
        <v>2</v>
      </c>
      <c r="H599">
        <v>1011</v>
      </c>
      <c r="I599">
        <v>849</v>
      </c>
      <c r="J599">
        <v>162</v>
      </c>
    </row>
    <row r="600" spans="1:13" x14ac:dyDescent="0.25">
      <c r="A600">
        <v>30</v>
      </c>
      <c r="B600" t="s">
        <v>29</v>
      </c>
      <c r="C600" t="s">
        <v>9</v>
      </c>
      <c r="D600">
        <v>91</v>
      </c>
      <c r="E600">
        <v>71</v>
      </c>
      <c r="F600">
        <v>0.56200000000000006</v>
      </c>
      <c r="G600">
        <v>4</v>
      </c>
      <c r="H600">
        <v>961</v>
      </c>
      <c r="I600">
        <v>864</v>
      </c>
      <c r="J600">
        <v>97</v>
      </c>
    </row>
    <row r="601" spans="1:13" x14ac:dyDescent="0.25">
      <c r="A601">
        <v>30</v>
      </c>
      <c r="B601" t="s">
        <v>29</v>
      </c>
      <c r="C601" t="s">
        <v>11</v>
      </c>
      <c r="D601">
        <v>91</v>
      </c>
      <c r="E601">
        <v>71</v>
      </c>
      <c r="F601">
        <v>0.56200000000000006</v>
      </c>
      <c r="G601">
        <v>4</v>
      </c>
      <c r="H601">
        <v>862</v>
      </c>
      <c r="I601">
        <v>774</v>
      </c>
      <c r="J601">
        <v>88</v>
      </c>
    </row>
    <row r="602" spans="1:13" x14ac:dyDescent="0.25">
      <c r="A602">
        <v>30</v>
      </c>
      <c r="B602" t="s">
        <v>29</v>
      </c>
      <c r="C602" t="s">
        <v>12</v>
      </c>
      <c r="D602">
        <v>78</v>
      </c>
      <c r="E602">
        <v>84</v>
      </c>
      <c r="F602">
        <v>0.48099999999999998</v>
      </c>
      <c r="G602">
        <v>17</v>
      </c>
      <c r="H602">
        <v>815</v>
      </c>
      <c r="I602">
        <v>859</v>
      </c>
      <c r="J602">
        <v>-44</v>
      </c>
    </row>
    <row r="603" spans="1:13" x14ac:dyDescent="0.25">
      <c r="A603">
        <v>31</v>
      </c>
      <c r="B603" t="s">
        <v>31</v>
      </c>
      <c r="C603" t="s">
        <v>18</v>
      </c>
      <c r="D603">
        <v>120</v>
      </c>
      <c r="E603">
        <v>42</v>
      </c>
      <c r="F603">
        <v>0.74099999999999999</v>
      </c>
      <c r="G603">
        <v>0</v>
      </c>
      <c r="H603">
        <v>1053</v>
      </c>
      <c r="I603">
        <v>704</v>
      </c>
      <c r="J603">
        <v>349</v>
      </c>
      <c r="K603">
        <v>1</v>
      </c>
    </row>
    <row r="604" spans="1:13" x14ac:dyDescent="0.25">
      <c r="A604">
        <v>31</v>
      </c>
      <c r="B604" t="s">
        <v>31</v>
      </c>
      <c r="C604" t="s">
        <v>19</v>
      </c>
      <c r="D604">
        <v>103</v>
      </c>
      <c r="E604">
        <v>59</v>
      </c>
      <c r="F604">
        <v>0.63600000000000001</v>
      </c>
      <c r="G604">
        <v>17</v>
      </c>
      <c r="H604">
        <v>995</v>
      </c>
      <c r="I604">
        <v>802</v>
      </c>
      <c r="J604">
        <v>193</v>
      </c>
      <c r="M604">
        <v>1</v>
      </c>
    </row>
    <row r="605" spans="1:13" x14ac:dyDescent="0.25">
      <c r="A605">
        <v>31</v>
      </c>
      <c r="B605" t="s">
        <v>31</v>
      </c>
      <c r="C605" t="s">
        <v>20</v>
      </c>
      <c r="D605">
        <v>81</v>
      </c>
      <c r="E605">
        <v>81</v>
      </c>
      <c r="F605">
        <v>0.5</v>
      </c>
      <c r="G605">
        <v>39</v>
      </c>
      <c r="H605">
        <v>873</v>
      </c>
      <c r="I605">
        <v>915</v>
      </c>
      <c r="J605">
        <v>-42</v>
      </c>
    </row>
    <row r="606" spans="1:13" x14ac:dyDescent="0.25">
      <c r="A606">
        <v>31</v>
      </c>
      <c r="B606" t="s">
        <v>31</v>
      </c>
      <c r="C606" t="s">
        <v>21</v>
      </c>
      <c r="D606">
        <v>75</v>
      </c>
      <c r="E606">
        <v>87</v>
      </c>
      <c r="F606">
        <v>0.46300000000000002</v>
      </c>
      <c r="G606">
        <v>45</v>
      </c>
      <c r="H606">
        <v>891</v>
      </c>
      <c r="I606">
        <v>942</v>
      </c>
      <c r="J606">
        <v>-51</v>
      </c>
    </row>
    <row r="607" spans="1:13" x14ac:dyDescent="0.25">
      <c r="A607">
        <v>31</v>
      </c>
      <c r="B607" t="s">
        <v>31</v>
      </c>
      <c r="C607" t="s">
        <v>22</v>
      </c>
      <c r="D607">
        <v>51</v>
      </c>
      <c r="E607">
        <v>111</v>
      </c>
      <c r="F607">
        <v>0.315</v>
      </c>
      <c r="G607">
        <v>69</v>
      </c>
      <c r="H607">
        <v>809</v>
      </c>
      <c r="I607">
        <v>1044</v>
      </c>
      <c r="J607">
        <v>-235</v>
      </c>
    </row>
    <row r="608" spans="1:13" x14ac:dyDescent="0.25">
      <c r="A608">
        <v>31</v>
      </c>
      <c r="B608" t="s">
        <v>30</v>
      </c>
      <c r="C608" t="s">
        <v>13</v>
      </c>
      <c r="D608">
        <v>104</v>
      </c>
      <c r="E608">
        <v>58</v>
      </c>
      <c r="F608">
        <v>0.64200000000000002</v>
      </c>
      <c r="G608">
        <v>0</v>
      </c>
      <c r="H608">
        <v>954</v>
      </c>
      <c r="I608">
        <v>698</v>
      </c>
      <c r="J608">
        <v>256</v>
      </c>
      <c r="K608">
        <v>1</v>
      </c>
    </row>
    <row r="609" spans="1:13" x14ac:dyDescent="0.25">
      <c r="A609">
        <v>31</v>
      </c>
      <c r="B609" t="s">
        <v>30</v>
      </c>
      <c r="C609" t="s">
        <v>15</v>
      </c>
      <c r="D609">
        <v>71</v>
      </c>
      <c r="E609">
        <v>91</v>
      </c>
      <c r="F609">
        <v>0.438</v>
      </c>
      <c r="G609">
        <v>33</v>
      </c>
      <c r="H609">
        <v>1077</v>
      </c>
      <c r="I609">
        <v>1226</v>
      </c>
      <c r="J609">
        <v>-149</v>
      </c>
    </row>
    <row r="610" spans="1:13" x14ac:dyDescent="0.25">
      <c r="A610">
        <v>31</v>
      </c>
      <c r="B610" t="s">
        <v>30</v>
      </c>
      <c r="C610" t="s">
        <v>14</v>
      </c>
      <c r="D610">
        <v>70</v>
      </c>
      <c r="E610">
        <v>92</v>
      </c>
      <c r="F610">
        <v>0.432</v>
      </c>
      <c r="G610">
        <v>34</v>
      </c>
      <c r="H610">
        <v>808</v>
      </c>
      <c r="I610">
        <v>908</v>
      </c>
      <c r="J610">
        <v>-100</v>
      </c>
    </row>
    <row r="611" spans="1:13" x14ac:dyDescent="0.25">
      <c r="A611">
        <v>31</v>
      </c>
      <c r="B611" t="s">
        <v>30</v>
      </c>
      <c r="C611" t="s">
        <v>16</v>
      </c>
      <c r="D611">
        <v>67</v>
      </c>
      <c r="E611">
        <v>95</v>
      </c>
      <c r="F611">
        <v>0.41399999999999998</v>
      </c>
      <c r="G611">
        <v>37</v>
      </c>
      <c r="H611">
        <v>783</v>
      </c>
      <c r="I611">
        <v>932</v>
      </c>
      <c r="J611">
        <v>-149</v>
      </c>
    </row>
    <row r="612" spans="1:13" x14ac:dyDescent="0.25">
      <c r="A612">
        <v>31</v>
      </c>
      <c r="B612" t="s">
        <v>30</v>
      </c>
      <c r="C612" t="s">
        <v>17</v>
      </c>
      <c r="D612">
        <v>39</v>
      </c>
      <c r="E612">
        <v>123</v>
      </c>
      <c r="F612">
        <v>0.24099999999999999</v>
      </c>
      <c r="G612">
        <v>65</v>
      </c>
      <c r="H612">
        <v>594</v>
      </c>
      <c r="I612">
        <v>1068</v>
      </c>
      <c r="J612">
        <v>-474</v>
      </c>
    </row>
    <row r="613" spans="1:13" x14ac:dyDescent="0.25">
      <c r="A613">
        <v>31</v>
      </c>
      <c r="B613" t="s">
        <v>32</v>
      </c>
      <c r="C613" t="s">
        <v>23</v>
      </c>
      <c r="D613">
        <v>103</v>
      </c>
      <c r="E613">
        <v>59</v>
      </c>
      <c r="F613">
        <v>0.63600000000000001</v>
      </c>
      <c r="G613">
        <v>0</v>
      </c>
      <c r="H613">
        <v>967</v>
      </c>
      <c r="I613">
        <v>726</v>
      </c>
      <c r="J613">
        <v>241</v>
      </c>
      <c r="L613">
        <v>1</v>
      </c>
    </row>
    <row r="614" spans="1:13" x14ac:dyDescent="0.25">
      <c r="A614">
        <v>31</v>
      </c>
      <c r="B614" t="s">
        <v>32</v>
      </c>
      <c r="C614" t="s">
        <v>24</v>
      </c>
      <c r="D614">
        <v>88</v>
      </c>
      <c r="E614">
        <v>74</v>
      </c>
      <c r="F614">
        <v>0.54300000000000004</v>
      </c>
      <c r="G614">
        <v>15</v>
      </c>
      <c r="H614">
        <v>914</v>
      </c>
      <c r="I614">
        <v>862</v>
      </c>
      <c r="J614">
        <v>52</v>
      </c>
    </row>
    <row r="615" spans="1:13" x14ac:dyDescent="0.25">
      <c r="A615">
        <v>31</v>
      </c>
      <c r="B615" t="s">
        <v>32</v>
      </c>
      <c r="C615" t="s">
        <v>26</v>
      </c>
      <c r="D615">
        <v>75</v>
      </c>
      <c r="E615">
        <v>87</v>
      </c>
      <c r="F615">
        <v>0.46300000000000002</v>
      </c>
      <c r="G615">
        <v>28</v>
      </c>
      <c r="H615">
        <v>808</v>
      </c>
      <c r="I615">
        <v>865</v>
      </c>
      <c r="J615">
        <v>-57</v>
      </c>
    </row>
    <row r="616" spans="1:13" x14ac:dyDescent="0.25">
      <c r="A616">
        <v>31</v>
      </c>
      <c r="B616" t="s">
        <v>32</v>
      </c>
      <c r="C616" t="s">
        <v>25</v>
      </c>
      <c r="D616">
        <v>74</v>
      </c>
      <c r="E616">
        <v>88</v>
      </c>
      <c r="F616">
        <v>0.45700000000000002</v>
      </c>
      <c r="G616">
        <v>29</v>
      </c>
      <c r="H616">
        <v>807</v>
      </c>
      <c r="I616">
        <v>848</v>
      </c>
      <c r="J616">
        <v>-41</v>
      </c>
    </row>
    <row r="617" spans="1:13" x14ac:dyDescent="0.25">
      <c r="A617">
        <v>31</v>
      </c>
      <c r="B617" t="s">
        <v>32</v>
      </c>
      <c r="C617" t="s">
        <v>27</v>
      </c>
      <c r="D617">
        <v>49</v>
      </c>
      <c r="E617">
        <v>113</v>
      </c>
      <c r="F617">
        <v>0.30199999999999999</v>
      </c>
      <c r="G617">
        <v>54</v>
      </c>
      <c r="H617">
        <v>771</v>
      </c>
      <c r="I617">
        <v>1115</v>
      </c>
      <c r="J617">
        <v>-344</v>
      </c>
    </row>
    <row r="618" spans="1:13" x14ac:dyDescent="0.25">
      <c r="A618">
        <v>31</v>
      </c>
      <c r="B618" t="s">
        <v>29</v>
      </c>
      <c r="C618" t="s">
        <v>8</v>
      </c>
      <c r="D618">
        <v>102</v>
      </c>
      <c r="E618">
        <v>60</v>
      </c>
      <c r="F618">
        <v>0.63</v>
      </c>
      <c r="G618">
        <v>0</v>
      </c>
      <c r="H618">
        <v>868</v>
      </c>
      <c r="I618">
        <v>641</v>
      </c>
      <c r="J618">
        <v>227</v>
      </c>
      <c r="L618">
        <v>1</v>
      </c>
    </row>
    <row r="619" spans="1:13" x14ac:dyDescent="0.25">
      <c r="A619">
        <v>31</v>
      </c>
      <c r="B619" t="s">
        <v>29</v>
      </c>
      <c r="C619" t="s">
        <v>9</v>
      </c>
      <c r="D619">
        <v>92</v>
      </c>
      <c r="E619">
        <v>70</v>
      </c>
      <c r="F619">
        <v>0.56799999999999995</v>
      </c>
      <c r="G619">
        <v>10</v>
      </c>
      <c r="H619">
        <v>912</v>
      </c>
      <c r="I619">
        <v>827</v>
      </c>
      <c r="J619">
        <v>85</v>
      </c>
      <c r="M619">
        <v>1</v>
      </c>
    </row>
    <row r="620" spans="1:13" x14ac:dyDescent="0.25">
      <c r="A620">
        <v>31</v>
      </c>
      <c r="B620" t="s">
        <v>29</v>
      </c>
      <c r="C620" t="s">
        <v>11</v>
      </c>
      <c r="D620">
        <v>91</v>
      </c>
      <c r="E620">
        <v>71</v>
      </c>
      <c r="F620">
        <v>0.56200000000000006</v>
      </c>
      <c r="G620">
        <v>11</v>
      </c>
      <c r="H620">
        <v>928</v>
      </c>
      <c r="I620">
        <v>798</v>
      </c>
      <c r="J620">
        <v>130</v>
      </c>
    </row>
    <row r="621" spans="1:13" x14ac:dyDescent="0.25">
      <c r="A621">
        <v>31</v>
      </c>
      <c r="B621" t="s">
        <v>29</v>
      </c>
      <c r="C621" t="s">
        <v>10</v>
      </c>
      <c r="D621">
        <v>89</v>
      </c>
      <c r="E621">
        <v>73</v>
      </c>
      <c r="F621">
        <v>0.54900000000000004</v>
      </c>
      <c r="G621">
        <v>13</v>
      </c>
      <c r="H621">
        <v>1008</v>
      </c>
      <c r="I621">
        <v>844</v>
      </c>
      <c r="J621">
        <v>164</v>
      </c>
    </row>
    <row r="622" spans="1:13" x14ac:dyDescent="0.25">
      <c r="A622">
        <v>31</v>
      </c>
      <c r="B622" t="s">
        <v>29</v>
      </c>
      <c r="C622" t="s">
        <v>12</v>
      </c>
      <c r="D622">
        <v>76</v>
      </c>
      <c r="E622">
        <v>86</v>
      </c>
      <c r="F622">
        <v>0.46899999999999997</v>
      </c>
      <c r="G622">
        <v>26</v>
      </c>
      <c r="H622">
        <v>792</v>
      </c>
      <c r="I622">
        <v>847</v>
      </c>
      <c r="J622">
        <v>-55</v>
      </c>
    </row>
    <row r="623" spans="1:13" x14ac:dyDescent="0.25">
      <c r="A623">
        <v>32</v>
      </c>
      <c r="B623" t="s">
        <v>31</v>
      </c>
      <c r="C623" t="s">
        <v>18</v>
      </c>
      <c r="D623">
        <v>105</v>
      </c>
      <c r="E623">
        <v>57</v>
      </c>
      <c r="F623">
        <v>0.64800000000000002</v>
      </c>
      <c r="G623">
        <v>0</v>
      </c>
      <c r="H623">
        <v>1024</v>
      </c>
      <c r="I623">
        <v>779</v>
      </c>
      <c r="J623">
        <v>245</v>
      </c>
      <c r="K623">
        <v>0.5</v>
      </c>
      <c r="L623">
        <v>0.5</v>
      </c>
    </row>
    <row r="624" spans="1:13" x14ac:dyDescent="0.25">
      <c r="A624">
        <v>32</v>
      </c>
      <c r="B624" t="s">
        <v>31</v>
      </c>
      <c r="C624" t="s">
        <v>19</v>
      </c>
      <c r="D624">
        <v>95</v>
      </c>
      <c r="E624">
        <v>67</v>
      </c>
      <c r="F624">
        <v>0.58599999999999997</v>
      </c>
      <c r="G624">
        <v>10</v>
      </c>
      <c r="H624">
        <v>981</v>
      </c>
      <c r="I624">
        <v>811</v>
      </c>
      <c r="J624">
        <v>170</v>
      </c>
      <c r="M624">
        <f>2/3</f>
        <v>0.66666666666666663</v>
      </c>
    </row>
    <row r="625" spans="1:13" x14ac:dyDescent="0.25">
      <c r="A625">
        <v>32</v>
      </c>
      <c r="B625" t="s">
        <v>31</v>
      </c>
      <c r="C625" t="s">
        <v>20</v>
      </c>
      <c r="D625">
        <v>91</v>
      </c>
      <c r="E625">
        <v>71</v>
      </c>
      <c r="F625">
        <v>0.56200000000000006</v>
      </c>
      <c r="G625">
        <v>14</v>
      </c>
      <c r="H625">
        <v>984</v>
      </c>
      <c r="I625">
        <v>946</v>
      </c>
      <c r="J625">
        <v>38</v>
      </c>
    </row>
    <row r="626" spans="1:13" x14ac:dyDescent="0.25">
      <c r="A626">
        <v>32</v>
      </c>
      <c r="B626" t="s">
        <v>31</v>
      </c>
      <c r="C626" t="s">
        <v>21</v>
      </c>
      <c r="D626">
        <v>66</v>
      </c>
      <c r="E626">
        <v>96</v>
      </c>
      <c r="F626">
        <v>0.40699999999999997</v>
      </c>
      <c r="G626">
        <v>39</v>
      </c>
      <c r="H626">
        <v>818</v>
      </c>
      <c r="I626">
        <v>949</v>
      </c>
      <c r="J626">
        <v>-131</v>
      </c>
    </row>
    <row r="627" spans="1:13" x14ac:dyDescent="0.25">
      <c r="A627">
        <v>32</v>
      </c>
      <c r="B627" t="s">
        <v>31</v>
      </c>
      <c r="C627" t="s">
        <v>22</v>
      </c>
      <c r="D627">
        <v>57</v>
      </c>
      <c r="E627">
        <v>105</v>
      </c>
      <c r="F627">
        <v>0.35199999999999998</v>
      </c>
      <c r="G627">
        <v>48</v>
      </c>
      <c r="H627">
        <v>765</v>
      </c>
      <c r="I627">
        <v>1036</v>
      </c>
      <c r="J627">
        <v>-271</v>
      </c>
    </row>
    <row r="628" spans="1:13" x14ac:dyDescent="0.25">
      <c r="A628">
        <v>32</v>
      </c>
      <c r="B628" t="s">
        <v>30</v>
      </c>
      <c r="C628" t="s">
        <v>13</v>
      </c>
      <c r="D628">
        <v>112</v>
      </c>
      <c r="E628">
        <v>50</v>
      </c>
      <c r="F628">
        <v>0.69099999999999995</v>
      </c>
      <c r="G628">
        <v>0</v>
      </c>
      <c r="H628">
        <v>1059</v>
      </c>
      <c r="I628">
        <v>669</v>
      </c>
      <c r="J628">
        <v>390</v>
      </c>
      <c r="K628">
        <v>1</v>
      </c>
    </row>
    <row r="629" spans="1:13" x14ac:dyDescent="0.25">
      <c r="A629">
        <v>32</v>
      </c>
      <c r="B629" t="s">
        <v>30</v>
      </c>
      <c r="C629" t="s">
        <v>15</v>
      </c>
      <c r="D629">
        <v>78</v>
      </c>
      <c r="E629">
        <v>84</v>
      </c>
      <c r="F629">
        <v>0.48099999999999998</v>
      </c>
      <c r="G629">
        <v>34</v>
      </c>
      <c r="H629">
        <v>1038</v>
      </c>
      <c r="I629">
        <v>1119</v>
      </c>
      <c r="J629">
        <v>-81</v>
      </c>
    </row>
    <row r="630" spans="1:13" x14ac:dyDescent="0.25">
      <c r="A630">
        <v>32</v>
      </c>
      <c r="B630" t="s">
        <v>30</v>
      </c>
      <c r="C630" t="s">
        <v>14</v>
      </c>
      <c r="D630">
        <v>74</v>
      </c>
      <c r="E630">
        <v>88</v>
      </c>
      <c r="F630">
        <v>0.45700000000000002</v>
      </c>
      <c r="G630">
        <v>38</v>
      </c>
      <c r="H630">
        <v>794</v>
      </c>
      <c r="I630">
        <v>886</v>
      </c>
      <c r="J630">
        <v>-92</v>
      </c>
    </row>
    <row r="631" spans="1:13" x14ac:dyDescent="0.25">
      <c r="A631">
        <v>32</v>
      </c>
      <c r="B631" t="s">
        <v>30</v>
      </c>
      <c r="C631" t="s">
        <v>16</v>
      </c>
      <c r="D631">
        <v>63</v>
      </c>
      <c r="E631">
        <v>99</v>
      </c>
      <c r="F631">
        <v>0.38900000000000001</v>
      </c>
      <c r="G631">
        <v>49</v>
      </c>
      <c r="H631">
        <v>790</v>
      </c>
      <c r="I631">
        <v>980</v>
      </c>
      <c r="J631">
        <v>-190</v>
      </c>
    </row>
    <row r="632" spans="1:13" x14ac:dyDescent="0.25">
      <c r="A632">
        <v>32</v>
      </c>
      <c r="B632" t="s">
        <v>30</v>
      </c>
      <c r="C632" t="s">
        <v>17</v>
      </c>
      <c r="D632">
        <v>51</v>
      </c>
      <c r="E632">
        <v>111</v>
      </c>
      <c r="F632">
        <v>0.315</v>
      </c>
      <c r="G632">
        <v>61</v>
      </c>
      <c r="H632">
        <v>699</v>
      </c>
      <c r="I632">
        <v>992</v>
      </c>
      <c r="J632">
        <v>-293</v>
      </c>
    </row>
    <row r="633" spans="1:13" x14ac:dyDescent="0.25">
      <c r="A633">
        <v>32</v>
      </c>
      <c r="B633" t="s">
        <v>32</v>
      </c>
      <c r="C633" t="s">
        <v>23</v>
      </c>
      <c r="D633">
        <v>105</v>
      </c>
      <c r="E633">
        <v>57</v>
      </c>
      <c r="F633">
        <v>0.64800000000000002</v>
      </c>
      <c r="G633">
        <v>0</v>
      </c>
      <c r="H633">
        <v>1029</v>
      </c>
      <c r="I633">
        <v>801</v>
      </c>
      <c r="J633">
        <v>228</v>
      </c>
      <c r="K633">
        <v>0.5</v>
      </c>
      <c r="L633">
        <v>0.5</v>
      </c>
    </row>
    <row r="634" spans="1:13" x14ac:dyDescent="0.25">
      <c r="A634">
        <v>32</v>
      </c>
      <c r="B634" t="s">
        <v>32</v>
      </c>
      <c r="C634" t="s">
        <v>24</v>
      </c>
      <c r="D634">
        <v>95</v>
      </c>
      <c r="E634">
        <v>67</v>
      </c>
      <c r="F634">
        <v>0.58599999999999997</v>
      </c>
      <c r="G634">
        <v>10</v>
      </c>
      <c r="H634">
        <v>810</v>
      </c>
      <c r="I634">
        <v>766</v>
      </c>
      <c r="J634">
        <v>44</v>
      </c>
      <c r="M634">
        <f>2/3</f>
        <v>0.66666666666666663</v>
      </c>
    </row>
    <row r="635" spans="1:13" x14ac:dyDescent="0.25">
      <c r="A635">
        <v>32</v>
      </c>
      <c r="B635" t="s">
        <v>32</v>
      </c>
      <c r="C635" t="s">
        <v>26</v>
      </c>
      <c r="D635">
        <v>74</v>
      </c>
      <c r="E635">
        <v>88</v>
      </c>
      <c r="F635">
        <v>0.45700000000000002</v>
      </c>
      <c r="G635">
        <v>31</v>
      </c>
      <c r="H635">
        <v>751</v>
      </c>
      <c r="I635">
        <v>838</v>
      </c>
      <c r="J635">
        <v>-87</v>
      </c>
    </row>
    <row r="636" spans="1:13" x14ac:dyDescent="0.25">
      <c r="A636">
        <v>32</v>
      </c>
      <c r="B636" t="s">
        <v>32</v>
      </c>
      <c r="C636" t="s">
        <v>25</v>
      </c>
      <c r="D636">
        <v>67</v>
      </c>
      <c r="E636">
        <v>95</v>
      </c>
      <c r="F636">
        <v>0.41399999999999998</v>
      </c>
      <c r="G636">
        <v>38</v>
      </c>
      <c r="H636">
        <v>808</v>
      </c>
      <c r="I636">
        <v>895</v>
      </c>
      <c r="J636">
        <v>-87</v>
      </c>
    </row>
    <row r="637" spans="1:13" x14ac:dyDescent="0.25">
      <c r="A637">
        <v>32</v>
      </c>
      <c r="B637" t="s">
        <v>32</v>
      </c>
      <c r="C637" t="s">
        <v>27</v>
      </c>
      <c r="D637">
        <v>52</v>
      </c>
      <c r="E637">
        <v>110</v>
      </c>
      <c r="F637">
        <v>0.32100000000000001</v>
      </c>
      <c r="G637">
        <v>53</v>
      </c>
      <c r="H637">
        <v>718</v>
      </c>
      <c r="I637">
        <v>1040</v>
      </c>
      <c r="J637">
        <v>-322</v>
      </c>
    </row>
    <row r="638" spans="1:13" x14ac:dyDescent="0.25">
      <c r="A638">
        <v>32</v>
      </c>
      <c r="B638" t="s">
        <v>29</v>
      </c>
      <c r="C638" t="s">
        <v>10</v>
      </c>
      <c r="D638">
        <v>96</v>
      </c>
      <c r="E638">
        <v>66</v>
      </c>
      <c r="F638">
        <v>0.59299999999999997</v>
      </c>
      <c r="G638">
        <v>0</v>
      </c>
      <c r="H638">
        <v>997</v>
      </c>
      <c r="I638">
        <v>836</v>
      </c>
      <c r="J638">
        <v>161</v>
      </c>
      <c r="L638">
        <v>1</v>
      </c>
    </row>
    <row r="639" spans="1:13" x14ac:dyDescent="0.25">
      <c r="A639">
        <v>32</v>
      </c>
      <c r="B639" t="s">
        <v>29</v>
      </c>
      <c r="C639" t="s">
        <v>8</v>
      </c>
      <c r="D639">
        <v>95</v>
      </c>
      <c r="E639">
        <v>67</v>
      </c>
      <c r="F639">
        <v>0.58599999999999997</v>
      </c>
      <c r="G639">
        <v>1</v>
      </c>
      <c r="H639">
        <v>877</v>
      </c>
      <c r="I639">
        <v>676</v>
      </c>
      <c r="J639">
        <v>201</v>
      </c>
      <c r="M639">
        <f>2/3</f>
        <v>0.66666666666666663</v>
      </c>
    </row>
    <row r="640" spans="1:13" x14ac:dyDescent="0.25">
      <c r="A640">
        <v>32</v>
      </c>
      <c r="B640" t="s">
        <v>29</v>
      </c>
      <c r="C640" t="s">
        <v>9</v>
      </c>
      <c r="D640">
        <v>92</v>
      </c>
      <c r="E640">
        <v>70</v>
      </c>
      <c r="F640">
        <v>0.56799999999999995</v>
      </c>
      <c r="G640">
        <v>4</v>
      </c>
      <c r="H640">
        <v>986</v>
      </c>
      <c r="I640">
        <v>921</v>
      </c>
      <c r="J640">
        <v>65</v>
      </c>
    </row>
    <row r="641" spans="1:13" x14ac:dyDescent="0.25">
      <c r="A641">
        <v>32</v>
      </c>
      <c r="B641" t="s">
        <v>29</v>
      </c>
      <c r="C641" t="s">
        <v>11</v>
      </c>
      <c r="D641">
        <v>86</v>
      </c>
      <c r="E641">
        <v>76</v>
      </c>
      <c r="F641">
        <v>0.53100000000000003</v>
      </c>
      <c r="G641">
        <v>10</v>
      </c>
      <c r="H641">
        <v>895</v>
      </c>
      <c r="I641">
        <v>792</v>
      </c>
      <c r="J641">
        <v>103</v>
      </c>
    </row>
    <row r="642" spans="1:13" x14ac:dyDescent="0.25">
      <c r="A642">
        <v>32</v>
      </c>
      <c r="B642" t="s">
        <v>29</v>
      </c>
      <c r="C642" t="s">
        <v>12</v>
      </c>
      <c r="D642">
        <v>66</v>
      </c>
      <c r="E642">
        <v>96</v>
      </c>
      <c r="F642">
        <v>0.40699999999999997</v>
      </c>
      <c r="G642">
        <v>30</v>
      </c>
      <c r="H642">
        <v>774</v>
      </c>
      <c r="I642">
        <v>865</v>
      </c>
      <c r="J642">
        <v>-91</v>
      </c>
    </row>
    <row r="643" spans="1:13" x14ac:dyDescent="0.25">
      <c r="A643">
        <v>33</v>
      </c>
      <c r="B643" t="s">
        <v>31</v>
      </c>
      <c r="C643" t="s">
        <v>18</v>
      </c>
      <c r="D643">
        <v>109</v>
      </c>
      <c r="E643">
        <v>53</v>
      </c>
      <c r="F643">
        <v>0.67300000000000004</v>
      </c>
      <c r="G643">
        <v>0</v>
      </c>
      <c r="H643">
        <v>1066</v>
      </c>
      <c r="I643">
        <v>729</v>
      </c>
      <c r="J643">
        <v>337</v>
      </c>
      <c r="K643">
        <v>1</v>
      </c>
    </row>
    <row r="644" spans="1:13" x14ac:dyDescent="0.25">
      <c r="A644">
        <v>33</v>
      </c>
      <c r="B644" t="s">
        <v>31</v>
      </c>
      <c r="C644" t="s">
        <v>19</v>
      </c>
      <c r="D644">
        <v>89</v>
      </c>
      <c r="E644">
        <v>73</v>
      </c>
      <c r="F644">
        <v>0.54900000000000004</v>
      </c>
      <c r="G644">
        <v>20</v>
      </c>
      <c r="H644">
        <v>926</v>
      </c>
      <c r="I644">
        <v>845</v>
      </c>
      <c r="J644">
        <v>81</v>
      </c>
    </row>
    <row r="645" spans="1:13" x14ac:dyDescent="0.25">
      <c r="A645">
        <v>33</v>
      </c>
      <c r="B645" t="s">
        <v>31</v>
      </c>
      <c r="C645" t="s">
        <v>20</v>
      </c>
      <c r="D645">
        <v>87</v>
      </c>
      <c r="E645">
        <v>75</v>
      </c>
      <c r="F645">
        <v>0.53700000000000003</v>
      </c>
      <c r="G645">
        <v>22</v>
      </c>
      <c r="H645">
        <v>947</v>
      </c>
      <c r="I645">
        <v>909</v>
      </c>
      <c r="J645">
        <v>38</v>
      </c>
    </row>
    <row r="646" spans="1:13" x14ac:dyDescent="0.25">
      <c r="A646">
        <v>33</v>
      </c>
      <c r="B646" t="s">
        <v>31</v>
      </c>
      <c r="C646" t="s">
        <v>21</v>
      </c>
      <c r="D646">
        <v>62</v>
      </c>
      <c r="E646">
        <v>100</v>
      </c>
      <c r="F646">
        <v>0.38300000000000001</v>
      </c>
      <c r="G646">
        <v>47</v>
      </c>
      <c r="H646">
        <v>801</v>
      </c>
      <c r="I646">
        <v>999</v>
      </c>
      <c r="J646">
        <v>-198</v>
      </c>
    </row>
    <row r="647" spans="1:13" x14ac:dyDescent="0.25">
      <c r="A647">
        <v>33</v>
      </c>
      <c r="B647" t="s">
        <v>31</v>
      </c>
      <c r="C647" t="s">
        <v>22</v>
      </c>
      <c r="D647">
        <v>59</v>
      </c>
      <c r="E647">
        <v>103</v>
      </c>
      <c r="F647">
        <v>0.36399999999999999</v>
      </c>
      <c r="G647">
        <v>50</v>
      </c>
      <c r="H647">
        <v>856</v>
      </c>
      <c r="I647">
        <v>1087</v>
      </c>
      <c r="J647">
        <v>-231</v>
      </c>
    </row>
    <row r="648" spans="1:13" x14ac:dyDescent="0.25">
      <c r="A648">
        <v>33</v>
      </c>
      <c r="B648" t="s">
        <v>30</v>
      </c>
      <c r="C648" t="s">
        <v>13</v>
      </c>
      <c r="D648">
        <v>109</v>
      </c>
      <c r="E648">
        <v>53</v>
      </c>
      <c r="F648">
        <v>0.67300000000000004</v>
      </c>
      <c r="G648">
        <v>0</v>
      </c>
      <c r="H648">
        <v>972</v>
      </c>
      <c r="I648">
        <v>679</v>
      </c>
      <c r="J648">
        <v>293</v>
      </c>
      <c r="K648">
        <v>1</v>
      </c>
    </row>
    <row r="649" spans="1:13" x14ac:dyDescent="0.25">
      <c r="A649">
        <v>33</v>
      </c>
      <c r="B649" t="s">
        <v>30</v>
      </c>
      <c r="C649" t="s">
        <v>14</v>
      </c>
      <c r="D649">
        <v>75</v>
      </c>
      <c r="E649">
        <v>87</v>
      </c>
      <c r="F649">
        <v>0.46300000000000002</v>
      </c>
      <c r="G649">
        <v>34</v>
      </c>
      <c r="H649">
        <v>831</v>
      </c>
      <c r="I649">
        <v>930</v>
      </c>
      <c r="J649">
        <v>-99</v>
      </c>
    </row>
    <row r="650" spans="1:13" x14ac:dyDescent="0.25">
      <c r="A650">
        <v>33</v>
      </c>
      <c r="B650" t="s">
        <v>30</v>
      </c>
      <c r="C650" t="s">
        <v>15</v>
      </c>
      <c r="D650">
        <v>71</v>
      </c>
      <c r="E650">
        <v>91</v>
      </c>
      <c r="F650">
        <v>0.438</v>
      </c>
      <c r="G650">
        <v>38</v>
      </c>
      <c r="H650">
        <v>972</v>
      </c>
      <c r="I650">
        <v>1101</v>
      </c>
      <c r="J650">
        <v>-129</v>
      </c>
    </row>
    <row r="651" spans="1:13" x14ac:dyDescent="0.25">
      <c r="A651">
        <v>33</v>
      </c>
      <c r="B651" t="s">
        <v>30</v>
      </c>
      <c r="C651" t="s">
        <v>16</v>
      </c>
      <c r="D651">
        <v>62</v>
      </c>
      <c r="E651">
        <v>100</v>
      </c>
      <c r="F651">
        <v>0.38300000000000001</v>
      </c>
      <c r="G651">
        <v>47</v>
      </c>
      <c r="H651">
        <v>775</v>
      </c>
      <c r="I651">
        <v>952</v>
      </c>
      <c r="J651">
        <v>-177</v>
      </c>
    </row>
    <row r="652" spans="1:13" x14ac:dyDescent="0.25">
      <c r="A652">
        <v>33</v>
      </c>
      <c r="B652" t="s">
        <v>30</v>
      </c>
      <c r="C652" t="s">
        <v>17</v>
      </c>
      <c r="D652">
        <v>44</v>
      </c>
      <c r="E652">
        <v>118</v>
      </c>
      <c r="F652">
        <v>0.27200000000000002</v>
      </c>
      <c r="G652">
        <v>65</v>
      </c>
      <c r="H652">
        <v>650</v>
      </c>
      <c r="I652">
        <v>1058</v>
      </c>
      <c r="J652">
        <v>-408</v>
      </c>
    </row>
    <row r="653" spans="1:13" x14ac:dyDescent="0.25">
      <c r="A653">
        <v>33</v>
      </c>
      <c r="B653" t="s">
        <v>32</v>
      </c>
      <c r="C653" t="s">
        <v>23</v>
      </c>
      <c r="D653">
        <v>107</v>
      </c>
      <c r="E653">
        <v>55</v>
      </c>
      <c r="F653">
        <v>0.66</v>
      </c>
      <c r="G653">
        <v>0</v>
      </c>
      <c r="H653">
        <v>893</v>
      </c>
      <c r="I653">
        <v>668</v>
      </c>
      <c r="J653">
        <v>225</v>
      </c>
      <c r="L653">
        <v>1</v>
      </c>
    </row>
    <row r="654" spans="1:13" x14ac:dyDescent="0.25">
      <c r="A654">
        <v>33</v>
      </c>
      <c r="B654" t="s">
        <v>32</v>
      </c>
      <c r="C654" t="s">
        <v>24</v>
      </c>
      <c r="D654">
        <v>94</v>
      </c>
      <c r="E654">
        <v>68</v>
      </c>
      <c r="F654">
        <v>0.57999999999999996</v>
      </c>
      <c r="G654">
        <v>13</v>
      </c>
      <c r="H654">
        <v>808</v>
      </c>
      <c r="I654">
        <v>751</v>
      </c>
      <c r="J654">
        <v>57</v>
      </c>
      <c r="M654">
        <v>1</v>
      </c>
    </row>
    <row r="655" spans="1:13" x14ac:dyDescent="0.25">
      <c r="A655">
        <v>33</v>
      </c>
      <c r="B655" t="s">
        <v>32</v>
      </c>
      <c r="C655" t="s">
        <v>25</v>
      </c>
      <c r="D655">
        <v>70</v>
      </c>
      <c r="E655">
        <v>92</v>
      </c>
      <c r="F655">
        <v>0.432</v>
      </c>
      <c r="G655">
        <v>37</v>
      </c>
      <c r="H655">
        <v>765</v>
      </c>
      <c r="I655">
        <v>858</v>
      </c>
      <c r="J655">
        <v>-93</v>
      </c>
    </row>
    <row r="656" spans="1:13" x14ac:dyDescent="0.25">
      <c r="A656">
        <v>33</v>
      </c>
      <c r="B656" t="s">
        <v>32</v>
      </c>
      <c r="C656" t="s">
        <v>26</v>
      </c>
      <c r="D656">
        <v>67</v>
      </c>
      <c r="E656">
        <v>95</v>
      </c>
      <c r="F656">
        <v>0.41399999999999998</v>
      </c>
      <c r="G656">
        <v>40</v>
      </c>
      <c r="H656">
        <v>787</v>
      </c>
      <c r="I656">
        <v>891</v>
      </c>
      <c r="J656">
        <v>-104</v>
      </c>
    </row>
    <row r="657" spans="1:13" x14ac:dyDescent="0.25">
      <c r="A657">
        <v>33</v>
      </c>
      <c r="B657" t="s">
        <v>32</v>
      </c>
      <c r="C657" t="s">
        <v>27</v>
      </c>
      <c r="D657">
        <v>54</v>
      </c>
      <c r="E657">
        <v>108</v>
      </c>
      <c r="F657">
        <v>0.33300000000000002</v>
      </c>
      <c r="G657">
        <v>53</v>
      </c>
      <c r="H657">
        <v>820</v>
      </c>
      <c r="I657">
        <v>1063</v>
      </c>
      <c r="J657">
        <v>-243</v>
      </c>
    </row>
    <row r="658" spans="1:13" x14ac:dyDescent="0.25">
      <c r="A658">
        <v>33</v>
      </c>
      <c r="B658" t="s">
        <v>29</v>
      </c>
      <c r="C658" t="s">
        <v>10</v>
      </c>
      <c r="D658">
        <v>106</v>
      </c>
      <c r="E658">
        <v>56</v>
      </c>
      <c r="F658">
        <v>0.65400000000000003</v>
      </c>
      <c r="G658">
        <v>0</v>
      </c>
      <c r="H658">
        <v>1017</v>
      </c>
      <c r="I658">
        <v>799</v>
      </c>
      <c r="J658">
        <v>218</v>
      </c>
      <c r="L658">
        <v>1</v>
      </c>
    </row>
    <row r="659" spans="1:13" x14ac:dyDescent="0.25">
      <c r="A659">
        <v>33</v>
      </c>
      <c r="B659" t="s">
        <v>29</v>
      </c>
      <c r="C659" t="s">
        <v>8</v>
      </c>
      <c r="D659">
        <v>99</v>
      </c>
      <c r="E659">
        <v>63</v>
      </c>
      <c r="F659">
        <v>0.61099999999999999</v>
      </c>
      <c r="G659">
        <v>7</v>
      </c>
      <c r="H659">
        <v>874</v>
      </c>
      <c r="I659">
        <v>683</v>
      </c>
      <c r="J659">
        <v>191</v>
      </c>
      <c r="M659">
        <v>1</v>
      </c>
    </row>
    <row r="660" spans="1:13" x14ac:dyDescent="0.25">
      <c r="A660">
        <v>33</v>
      </c>
      <c r="B660" t="s">
        <v>29</v>
      </c>
      <c r="C660" t="s">
        <v>11</v>
      </c>
      <c r="D660">
        <v>93</v>
      </c>
      <c r="E660">
        <v>69</v>
      </c>
      <c r="F660">
        <v>0.57399999999999995</v>
      </c>
      <c r="G660">
        <v>13</v>
      </c>
      <c r="H660">
        <v>960</v>
      </c>
      <c r="I660">
        <v>788</v>
      </c>
      <c r="J660">
        <v>172</v>
      </c>
    </row>
    <row r="661" spans="1:13" x14ac:dyDescent="0.25">
      <c r="A661">
        <v>33</v>
      </c>
      <c r="B661" t="s">
        <v>29</v>
      </c>
      <c r="C661" t="s">
        <v>9</v>
      </c>
      <c r="D661">
        <v>89</v>
      </c>
      <c r="E661">
        <v>73</v>
      </c>
      <c r="F661">
        <v>0.54900000000000004</v>
      </c>
      <c r="G661">
        <v>17</v>
      </c>
      <c r="H661">
        <v>1014</v>
      </c>
      <c r="I661">
        <v>883</v>
      </c>
      <c r="J661">
        <v>131</v>
      </c>
    </row>
    <row r="662" spans="1:13" x14ac:dyDescent="0.25">
      <c r="A662">
        <v>33</v>
      </c>
      <c r="B662" t="s">
        <v>29</v>
      </c>
      <c r="C662" t="s">
        <v>12</v>
      </c>
      <c r="D662">
        <v>74</v>
      </c>
      <c r="E662">
        <v>88</v>
      </c>
      <c r="F662">
        <v>0.45700000000000002</v>
      </c>
      <c r="G662">
        <v>32</v>
      </c>
      <c r="H662">
        <v>794</v>
      </c>
      <c r="I662">
        <v>855</v>
      </c>
      <c r="J662">
        <v>-61</v>
      </c>
    </row>
    <row r="663" spans="1:13" x14ac:dyDescent="0.25">
      <c r="A663">
        <v>34</v>
      </c>
      <c r="B663" t="s">
        <v>31</v>
      </c>
      <c r="C663" t="s">
        <v>18</v>
      </c>
      <c r="D663">
        <v>112</v>
      </c>
      <c r="E663">
        <v>50</v>
      </c>
      <c r="F663">
        <v>0.69099999999999995</v>
      </c>
      <c r="G663">
        <v>0</v>
      </c>
      <c r="H663">
        <v>1117</v>
      </c>
      <c r="I663">
        <v>766</v>
      </c>
      <c r="J663">
        <v>351</v>
      </c>
      <c r="K663">
        <v>1</v>
      </c>
    </row>
    <row r="664" spans="1:13" x14ac:dyDescent="0.25">
      <c r="A664">
        <v>34</v>
      </c>
      <c r="B664" t="s">
        <v>31</v>
      </c>
      <c r="C664" t="s">
        <v>20</v>
      </c>
      <c r="D664">
        <v>93</v>
      </c>
      <c r="E664">
        <v>69</v>
      </c>
      <c r="F664">
        <v>0.57399999999999995</v>
      </c>
      <c r="G664">
        <v>19</v>
      </c>
      <c r="H664">
        <v>959</v>
      </c>
      <c r="I664">
        <v>825</v>
      </c>
      <c r="J664">
        <v>134</v>
      </c>
    </row>
    <row r="665" spans="1:13" x14ac:dyDescent="0.25">
      <c r="A665">
        <v>34</v>
      </c>
      <c r="B665" t="s">
        <v>31</v>
      </c>
      <c r="C665" t="s">
        <v>19</v>
      </c>
      <c r="D665">
        <v>93</v>
      </c>
      <c r="E665">
        <v>69</v>
      </c>
      <c r="F665">
        <v>0.57399999999999995</v>
      </c>
      <c r="G665">
        <v>19</v>
      </c>
      <c r="H665">
        <v>950</v>
      </c>
      <c r="I665">
        <v>812</v>
      </c>
      <c r="J665">
        <v>138</v>
      </c>
    </row>
    <row r="666" spans="1:13" x14ac:dyDescent="0.25">
      <c r="A666">
        <v>34</v>
      </c>
      <c r="B666" t="s">
        <v>31</v>
      </c>
      <c r="C666" t="s">
        <v>21</v>
      </c>
      <c r="D666">
        <v>64</v>
      </c>
      <c r="E666">
        <v>98</v>
      </c>
      <c r="F666">
        <v>0.39500000000000002</v>
      </c>
      <c r="G666">
        <v>48</v>
      </c>
      <c r="H666">
        <v>772</v>
      </c>
      <c r="I666">
        <v>988</v>
      </c>
      <c r="J666">
        <v>-216</v>
      </c>
    </row>
    <row r="667" spans="1:13" x14ac:dyDescent="0.25">
      <c r="A667">
        <v>34</v>
      </c>
      <c r="B667" t="s">
        <v>31</v>
      </c>
      <c r="C667" t="s">
        <v>22</v>
      </c>
      <c r="D667">
        <v>53</v>
      </c>
      <c r="E667">
        <v>109</v>
      </c>
      <c r="F667">
        <v>0.32700000000000001</v>
      </c>
      <c r="G667">
        <v>59</v>
      </c>
      <c r="H667">
        <v>788</v>
      </c>
      <c r="I667">
        <v>1107</v>
      </c>
      <c r="J667">
        <v>-319</v>
      </c>
    </row>
    <row r="668" spans="1:13" x14ac:dyDescent="0.25">
      <c r="A668">
        <v>34</v>
      </c>
      <c r="B668" t="s">
        <v>30</v>
      </c>
      <c r="C668" t="s">
        <v>13</v>
      </c>
      <c r="D668">
        <v>120</v>
      </c>
      <c r="E668">
        <v>42</v>
      </c>
      <c r="F668">
        <v>0.74099999999999999</v>
      </c>
      <c r="G668">
        <v>0</v>
      </c>
      <c r="H668">
        <v>1021</v>
      </c>
      <c r="I668">
        <v>647</v>
      </c>
      <c r="J668">
        <v>374</v>
      </c>
      <c r="K668">
        <v>1</v>
      </c>
    </row>
    <row r="669" spans="1:13" x14ac:dyDescent="0.25">
      <c r="A669">
        <v>34</v>
      </c>
      <c r="B669" t="s">
        <v>30</v>
      </c>
      <c r="C669" t="s">
        <v>14</v>
      </c>
      <c r="D669">
        <v>74</v>
      </c>
      <c r="E669">
        <v>88</v>
      </c>
      <c r="F669">
        <v>0.45700000000000002</v>
      </c>
      <c r="G669">
        <v>46</v>
      </c>
      <c r="H669">
        <v>777</v>
      </c>
      <c r="I669">
        <v>870</v>
      </c>
      <c r="J669">
        <v>-93</v>
      </c>
    </row>
    <row r="670" spans="1:13" x14ac:dyDescent="0.25">
      <c r="A670">
        <v>34</v>
      </c>
      <c r="B670" t="s">
        <v>30</v>
      </c>
      <c r="C670" t="s">
        <v>16</v>
      </c>
      <c r="D670">
        <v>65</v>
      </c>
      <c r="E670">
        <v>97</v>
      </c>
      <c r="F670">
        <v>0.40100000000000002</v>
      </c>
      <c r="G670">
        <v>55</v>
      </c>
      <c r="H670">
        <v>865</v>
      </c>
      <c r="I670">
        <v>988</v>
      </c>
      <c r="J670">
        <v>-123</v>
      </c>
    </row>
    <row r="671" spans="1:13" x14ac:dyDescent="0.25">
      <c r="A671">
        <v>34</v>
      </c>
      <c r="B671" t="s">
        <v>30</v>
      </c>
      <c r="C671" t="s">
        <v>15</v>
      </c>
      <c r="D671">
        <v>63</v>
      </c>
      <c r="E671">
        <v>99</v>
      </c>
      <c r="F671">
        <v>0.38900000000000001</v>
      </c>
      <c r="G671">
        <v>57</v>
      </c>
      <c r="H671">
        <v>1026</v>
      </c>
      <c r="I671">
        <v>1141</v>
      </c>
      <c r="J671">
        <v>-115</v>
      </c>
    </row>
    <row r="672" spans="1:13" x14ac:dyDescent="0.25">
      <c r="A672">
        <v>34</v>
      </c>
      <c r="B672" t="s">
        <v>30</v>
      </c>
      <c r="C672" t="s">
        <v>17</v>
      </c>
      <c r="D672">
        <v>42</v>
      </c>
      <c r="E672">
        <v>120</v>
      </c>
      <c r="F672">
        <v>0.25900000000000001</v>
      </c>
      <c r="G672">
        <v>78</v>
      </c>
      <c r="H672">
        <v>645</v>
      </c>
      <c r="I672">
        <v>1093</v>
      </c>
      <c r="J672">
        <v>-448</v>
      </c>
    </row>
    <row r="673" spans="1:13" x14ac:dyDescent="0.25">
      <c r="A673">
        <v>34</v>
      </c>
      <c r="B673" t="s">
        <v>32</v>
      </c>
      <c r="C673" t="s">
        <v>23</v>
      </c>
      <c r="D673">
        <v>103</v>
      </c>
      <c r="E673">
        <v>59</v>
      </c>
      <c r="F673">
        <v>0.63600000000000001</v>
      </c>
      <c r="G673">
        <v>0</v>
      </c>
      <c r="H673">
        <v>986</v>
      </c>
      <c r="I673">
        <v>733</v>
      </c>
      <c r="J673">
        <v>253</v>
      </c>
      <c r="L673">
        <v>1</v>
      </c>
    </row>
    <row r="674" spans="1:13" x14ac:dyDescent="0.25">
      <c r="A674">
        <v>34</v>
      </c>
      <c r="B674" t="s">
        <v>32</v>
      </c>
      <c r="C674" t="s">
        <v>24</v>
      </c>
      <c r="D674">
        <v>92</v>
      </c>
      <c r="E674">
        <v>70</v>
      </c>
      <c r="F674">
        <v>0.56799999999999995</v>
      </c>
      <c r="G674">
        <v>11</v>
      </c>
      <c r="H674">
        <v>903</v>
      </c>
      <c r="I674">
        <v>781</v>
      </c>
      <c r="J674">
        <v>122</v>
      </c>
    </row>
    <row r="675" spans="1:13" x14ac:dyDescent="0.25">
      <c r="A675">
        <v>34</v>
      </c>
      <c r="B675" t="s">
        <v>32</v>
      </c>
      <c r="C675" t="s">
        <v>26</v>
      </c>
      <c r="D675">
        <v>79</v>
      </c>
      <c r="E675">
        <v>83</v>
      </c>
      <c r="F675">
        <v>0.48799999999999999</v>
      </c>
      <c r="G675">
        <v>24</v>
      </c>
      <c r="H675">
        <v>846</v>
      </c>
      <c r="I675">
        <v>860</v>
      </c>
      <c r="J675">
        <v>-14</v>
      </c>
    </row>
    <row r="676" spans="1:13" x14ac:dyDescent="0.25">
      <c r="A676">
        <v>34</v>
      </c>
      <c r="B676" t="s">
        <v>32</v>
      </c>
      <c r="C676" t="s">
        <v>25</v>
      </c>
      <c r="D676">
        <v>76</v>
      </c>
      <c r="E676">
        <v>86</v>
      </c>
      <c r="F676">
        <v>0.46899999999999997</v>
      </c>
      <c r="G676">
        <v>27</v>
      </c>
      <c r="H676">
        <v>866</v>
      </c>
      <c r="I676">
        <v>920</v>
      </c>
      <c r="J676">
        <v>-54</v>
      </c>
    </row>
    <row r="677" spans="1:13" x14ac:dyDescent="0.25">
      <c r="A677">
        <v>34</v>
      </c>
      <c r="B677" t="s">
        <v>32</v>
      </c>
      <c r="C677" t="s">
        <v>27</v>
      </c>
      <c r="D677">
        <v>45</v>
      </c>
      <c r="E677">
        <v>117</v>
      </c>
      <c r="F677">
        <v>0.27800000000000002</v>
      </c>
      <c r="G677">
        <v>58</v>
      </c>
      <c r="H677">
        <v>706</v>
      </c>
      <c r="I677">
        <v>1104</v>
      </c>
      <c r="J677">
        <v>-398</v>
      </c>
    </row>
    <row r="678" spans="1:13" x14ac:dyDescent="0.25">
      <c r="A678">
        <v>34</v>
      </c>
      <c r="B678" t="s">
        <v>29</v>
      </c>
      <c r="C678" t="s">
        <v>10</v>
      </c>
      <c r="D678">
        <v>100</v>
      </c>
      <c r="E678">
        <v>62</v>
      </c>
      <c r="F678">
        <v>0.61699999999999999</v>
      </c>
      <c r="G678">
        <v>0</v>
      </c>
      <c r="H678">
        <v>948</v>
      </c>
      <c r="I678">
        <v>787</v>
      </c>
      <c r="J678">
        <v>161</v>
      </c>
      <c r="L678">
        <v>1</v>
      </c>
    </row>
    <row r="679" spans="1:13" x14ac:dyDescent="0.25">
      <c r="A679">
        <v>34</v>
      </c>
      <c r="B679" t="s">
        <v>29</v>
      </c>
      <c r="C679" t="s">
        <v>11</v>
      </c>
      <c r="D679">
        <v>97</v>
      </c>
      <c r="E679">
        <v>65</v>
      </c>
      <c r="F679">
        <v>0.59899999999999998</v>
      </c>
      <c r="G679">
        <v>3</v>
      </c>
      <c r="H679">
        <v>966</v>
      </c>
      <c r="I679">
        <v>790</v>
      </c>
      <c r="J679">
        <v>176</v>
      </c>
      <c r="M679">
        <v>1</v>
      </c>
    </row>
    <row r="680" spans="1:13" x14ac:dyDescent="0.25">
      <c r="A680">
        <v>34</v>
      </c>
      <c r="B680" t="s">
        <v>29</v>
      </c>
      <c r="C680" t="s">
        <v>8</v>
      </c>
      <c r="D680">
        <v>95</v>
      </c>
      <c r="E680">
        <v>67</v>
      </c>
      <c r="F680">
        <v>0.58599999999999997</v>
      </c>
      <c r="G680">
        <v>5</v>
      </c>
      <c r="H680">
        <v>869</v>
      </c>
      <c r="I680">
        <v>736</v>
      </c>
      <c r="J680">
        <v>133</v>
      </c>
      <c r="M680">
        <v>1</v>
      </c>
    </row>
    <row r="681" spans="1:13" x14ac:dyDescent="0.25">
      <c r="A681">
        <v>34</v>
      </c>
      <c r="B681" t="s">
        <v>29</v>
      </c>
      <c r="C681" t="s">
        <v>9</v>
      </c>
      <c r="D681">
        <v>80</v>
      </c>
      <c r="E681">
        <v>82</v>
      </c>
      <c r="F681">
        <v>0.49399999999999999</v>
      </c>
      <c r="G681">
        <v>20</v>
      </c>
      <c r="H681">
        <v>920</v>
      </c>
      <c r="I681">
        <v>904</v>
      </c>
      <c r="J681">
        <v>16</v>
      </c>
    </row>
    <row r="682" spans="1:13" x14ac:dyDescent="0.25">
      <c r="A682">
        <v>34</v>
      </c>
      <c r="B682" t="s">
        <v>29</v>
      </c>
      <c r="C682" t="s">
        <v>12</v>
      </c>
      <c r="D682">
        <v>74</v>
      </c>
      <c r="E682">
        <v>88</v>
      </c>
      <c r="F682">
        <v>0.45700000000000002</v>
      </c>
      <c r="G682">
        <v>26</v>
      </c>
      <c r="H682">
        <v>810</v>
      </c>
      <c r="I682">
        <v>888</v>
      </c>
      <c r="J682">
        <v>-78</v>
      </c>
    </row>
    <row r="683" spans="1:13" x14ac:dyDescent="0.25">
      <c r="A683">
        <v>35</v>
      </c>
      <c r="B683" t="s">
        <v>31</v>
      </c>
      <c r="C683" t="s">
        <v>18</v>
      </c>
      <c r="D683">
        <v>102</v>
      </c>
      <c r="E683">
        <v>60</v>
      </c>
      <c r="F683">
        <v>0.63</v>
      </c>
      <c r="G683">
        <v>0</v>
      </c>
      <c r="H683">
        <v>998</v>
      </c>
      <c r="I683">
        <v>811</v>
      </c>
      <c r="J683">
        <v>187</v>
      </c>
      <c r="K683">
        <f>1/3</f>
        <v>0.33333333333333331</v>
      </c>
      <c r="L683">
        <f>2/3</f>
        <v>0.66666666666666663</v>
      </c>
    </row>
    <row r="684" spans="1:13" x14ac:dyDescent="0.25">
      <c r="A684">
        <v>35</v>
      </c>
      <c r="B684" t="s">
        <v>31</v>
      </c>
      <c r="C684" t="s">
        <v>20</v>
      </c>
      <c r="D684">
        <v>99</v>
      </c>
      <c r="E684">
        <v>63</v>
      </c>
      <c r="F684">
        <v>0.61099999999999999</v>
      </c>
      <c r="G684">
        <v>3</v>
      </c>
      <c r="H684">
        <v>973</v>
      </c>
      <c r="I684">
        <v>835</v>
      </c>
      <c r="J684">
        <v>138</v>
      </c>
      <c r="M684">
        <v>1</v>
      </c>
    </row>
    <row r="685" spans="1:13" x14ac:dyDescent="0.25">
      <c r="A685">
        <v>35</v>
      </c>
      <c r="B685" t="s">
        <v>31</v>
      </c>
      <c r="C685" t="s">
        <v>19</v>
      </c>
      <c r="D685">
        <v>93</v>
      </c>
      <c r="E685">
        <v>69</v>
      </c>
      <c r="F685">
        <v>0.57399999999999995</v>
      </c>
      <c r="G685">
        <v>9</v>
      </c>
      <c r="H685">
        <v>906</v>
      </c>
      <c r="I685">
        <v>802</v>
      </c>
      <c r="J685">
        <v>104</v>
      </c>
      <c r="M685">
        <v>1</v>
      </c>
    </row>
    <row r="686" spans="1:13" x14ac:dyDescent="0.25">
      <c r="A686">
        <v>35</v>
      </c>
      <c r="B686" t="s">
        <v>31</v>
      </c>
      <c r="C686" t="s">
        <v>21</v>
      </c>
      <c r="D686">
        <v>65</v>
      </c>
      <c r="E686">
        <v>97</v>
      </c>
      <c r="F686">
        <v>0.40100000000000002</v>
      </c>
      <c r="G686">
        <v>37</v>
      </c>
      <c r="H686">
        <v>845</v>
      </c>
      <c r="I686">
        <v>1007</v>
      </c>
      <c r="J686">
        <v>-162</v>
      </c>
    </row>
    <row r="687" spans="1:13" x14ac:dyDescent="0.25">
      <c r="A687">
        <v>35</v>
      </c>
      <c r="B687" t="s">
        <v>31</v>
      </c>
      <c r="C687" t="s">
        <v>22</v>
      </c>
      <c r="D687">
        <v>59</v>
      </c>
      <c r="E687">
        <v>103</v>
      </c>
      <c r="F687">
        <v>0.36399999999999999</v>
      </c>
      <c r="G687">
        <v>43</v>
      </c>
      <c r="H687">
        <v>829</v>
      </c>
      <c r="I687">
        <v>1080</v>
      </c>
      <c r="J687">
        <v>-251</v>
      </c>
    </row>
    <row r="688" spans="1:13" x14ac:dyDescent="0.25">
      <c r="A688">
        <v>35</v>
      </c>
      <c r="B688" t="s">
        <v>30</v>
      </c>
      <c r="C688" t="s">
        <v>13</v>
      </c>
      <c r="D688">
        <v>102</v>
      </c>
      <c r="E688">
        <v>60</v>
      </c>
      <c r="F688">
        <v>0.63</v>
      </c>
      <c r="G688">
        <v>0</v>
      </c>
      <c r="H688">
        <v>1012</v>
      </c>
      <c r="I688">
        <v>716</v>
      </c>
      <c r="J688">
        <v>296</v>
      </c>
      <c r="K688">
        <f>1/3</f>
        <v>0.33333333333333331</v>
      </c>
      <c r="L688">
        <f>2/3</f>
        <v>0.66666666666666663</v>
      </c>
    </row>
    <row r="689" spans="1:13" x14ac:dyDescent="0.25">
      <c r="A689">
        <v>35</v>
      </c>
      <c r="B689" t="s">
        <v>30</v>
      </c>
      <c r="C689" t="s">
        <v>14</v>
      </c>
      <c r="D689">
        <v>74</v>
      </c>
      <c r="E689">
        <v>88</v>
      </c>
      <c r="F689">
        <v>0.45700000000000002</v>
      </c>
      <c r="G689">
        <v>28</v>
      </c>
      <c r="H689">
        <v>819</v>
      </c>
      <c r="I689">
        <v>901</v>
      </c>
      <c r="J689">
        <v>-82</v>
      </c>
    </row>
    <row r="690" spans="1:13" x14ac:dyDescent="0.25">
      <c r="A690">
        <v>35</v>
      </c>
      <c r="B690" t="s">
        <v>30</v>
      </c>
      <c r="C690" t="s">
        <v>15</v>
      </c>
      <c r="D690">
        <v>72</v>
      </c>
      <c r="E690">
        <v>90</v>
      </c>
      <c r="F690">
        <v>0.44400000000000001</v>
      </c>
      <c r="G690">
        <v>30</v>
      </c>
      <c r="H690">
        <v>1034</v>
      </c>
      <c r="I690">
        <v>1126</v>
      </c>
      <c r="J690">
        <v>-92</v>
      </c>
    </row>
    <row r="691" spans="1:13" x14ac:dyDescent="0.25">
      <c r="A691">
        <v>35</v>
      </c>
      <c r="B691" t="s">
        <v>30</v>
      </c>
      <c r="C691" t="s">
        <v>16</v>
      </c>
      <c r="D691">
        <v>66</v>
      </c>
      <c r="E691">
        <v>96</v>
      </c>
      <c r="F691">
        <v>0.40699999999999997</v>
      </c>
      <c r="G691">
        <v>36</v>
      </c>
      <c r="H691">
        <v>804</v>
      </c>
      <c r="I691">
        <v>982</v>
      </c>
      <c r="J691">
        <v>-178</v>
      </c>
    </row>
    <row r="692" spans="1:13" x14ac:dyDescent="0.25">
      <c r="A692">
        <v>35</v>
      </c>
      <c r="B692" t="s">
        <v>30</v>
      </c>
      <c r="C692" t="s">
        <v>17</v>
      </c>
      <c r="D692">
        <v>41</v>
      </c>
      <c r="E692">
        <v>121</v>
      </c>
      <c r="F692">
        <v>0.253</v>
      </c>
      <c r="G692">
        <v>61</v>
      </c>
      <c r="H692">
        <v>639</v>
      </c>
      <c r="I692">
        <v>973</v>
      </c>
      <c r="J692">
        <v>-334</v>
      </c>
    </row>
    <row r="693" spans="1:13" x14ac:dyDescent="0.25">
      <c r="A693">
        <v>35</v>
      </c>
      <c r="B693" t="s">
        <v>32</v>
      </c>
      <c r="C693" t="s">
        <v>23</v>
      </c>
      <c r="D693">
        <v>114</v>
      </c>
      <c r="E693">
        <v>48</v>
      </c>
      <c r="F693">
        <v>0.70399999999999996</v>
      </c>
      <c r="G693">
        <v>0</v>
      </c>
      <c r="H693">
        <v>975</v>
      </c>
      <c r="I693">
        <v>673</v>
      </c>
      <c r="J693">
        <v>302</v>
      </c>
      <c r="K693">
        <v>1</v>
      </c>
    </row>
    <row r="694" spans="1:13" x14ac:dyDescent="0.25">
      <c r="A694">
        <v>35</v>
      </c>
      <c r="B694" t="s">
        <v>32</v>
      </c>
      <c r="C694" t="s">
        <v>24</v>
      </c>
      <c r="D694">
        <v>83</v>
      </c>
      <c r="E694">
        <v>79</v>
      </c>
      <c r="F694">
        <v>0.51200000000000001</v>
      </c>
      <c r="G694">
        <v>31</v>
      </c>
      <c r="H694">
        <v>878</v>
      </c>
      <c r="I694">
        <v>831</v>
      </c>
      <c r="J694">
        <v>47</v>
      </c>
    </row>
    <row r="695" spans="1:13" x14ac:dyDescent="0.25">
      <c r="A695">
        <v>35</v>
      </c>
      <c r="B695" t="s">
        <v>32</v>
      </c>
      <c r="C695" t="s">
        <v>26</v>
      </c>
      <c r="D695">
        <v>73</v>
      </c>
      <c r="E695">
        <v>89</v>
      </c>
      <c r="F695">
        <v>0.45100000000000001</v>
      </c>
      <c r="G695">
        <v>41</v>
      </c>
      <c r="H695">
        <v>781</v>
      </c>
      <c r="I695">
        <v>882</v>
      </c>
      <c r="J695">
        <v>-101</v>
      </c>
    </row>
    <row r="696" spans="1:13" x14ac:dyDescent="0.25">
      <c r="A696">
        <v>35</v>
      </c>
      <c r="B696" t="s">
        <v>32</v>
      </c>
      <c r="C696" t="s">
        <v>25</v>
      </c>
      <c r="D696">
        <v>65</v>
      </c>
      <c r="E696">
        <v>97</v>
      </c>
      <c r="F696">
        <v>0.40100000000000002</v>
      </c>
      <c r="G696">
        <v>49</v>
      </c>
      <c r="H696">
        <v>717</v>
      </c>
      <c r="I696">
        <v>881</v>
      </c>
      <c r="J696">
        <v>-164</v>
      </c>
    </row>
    <row r="697" spans="1:13" x14ac:dyDescent="0.25">
      <c r="A697">
        <v>35</v>
      </c>
      <c r="B697" t="s">
        <v>32</v>
      </c>
      <c r="C697" t="s">
        <v>27</v>
      </c>
      <c r="D697">
        <v>56</v>
      </c>
      <c r="E697">
        <v>106</v>
      </c>
      <c r="F697">
        <v>0.34599999999999997</v>
      </c>
      <c r="G697">
        <v>58</v>
      </c>
      <c r="H697">
        <v>817</v>
      </c>
      <c r="I697">
        <v>1058</v>
      </c>
      <c r="J697">
        <v>-241</v>
      </c>
    </row>
    <row r="698" spans="1:13" x14ac:dyDescent="0.25">
      <c r="A698">
        <v>35</v>
      </c>
      <c r="B698" t="s">
        <v>29</v>
      </c>
      <c r="C698" t="s">
        <v>11</v>
      </c>
      <c r="D698">
        <v>102</v>
      </c>
      <c r="E698">
        <v>60</v>
      </c>
      <c r="F698">
        <v>0.63</v>
      </c>
      <c r="G698">
        <v>0</v>
      </c>
      <c r="H698">
        <v>959</v>
      </c>
      <c r="I698">
        <v>774</v>
      </c>
      <c r="J698">
        <v>185</v>
      </c>
      <c r="K698">
        <f>1/3</f>
        <v>0.33333333333333331</v>
      </c>
      <c r="L698">
        <f>2/3</f>
        <v>0.66666666666666663</v>
      </c>
    </row>
    <row r="699" spans="1:13" x14ac:dyDescent="0.25">
      <c r="A699">
        <v>35</v>
      </c>
      <c r="B699" t="s">
        <v>29</v>
      </c>
      <c r="C699" t="s">
        <v>8</v>
      </c>
      <c r="D699">
        <v>90</v>
      </c>
      <c r="E699">
        <v>72</v>
      </c>
      <c r="F699">
        <v>0.55600000000000005</v>
      </c>
      <c r="G699">
        <v>12</v>
      </c>
      <c r="H699">
        <v>872</v>
      </c>
      <c r="I699">
        <v>732</v>
      </c>
      <c r="J699">
        <v>140</v>
      </c>
    </row>
    <row r="700" spans="1:13" x14ac:dyDescent="0.25">
      <c r="A700">
        <v>35</v>
      </c>
      <c r="B700" t="s">
        <v>29</v>
      </c>
      <c r="C700" t="s">
        <v>9</v>
      </c>
      <c r="D700">
        <v>89</v>
      </c>
      <c r="E700">
        <v>73</v>
      </c>
      <c r="F700">
        <v>0.54900000000000004</v>
      </c>
      <c r="G700">
        <v>13</v>
      </c>
      <c r="H700">
        <v>936</v>
      </c>
      <c r="I700">
        <v>866</v>
      </c>
      <c r="J700">
        <v>70</v>
      </c>
    </row>
    <row r="701" spans="1:13" x14ac:dyDescent="0.25">
      <c r="A701">
        <v>35</v>
      </c>
      <c r="B701" t="s">
        <v>29</v>
      </c>
      <c r="C701" t="s">
        <v>10</v>
      </c>
      <c r="D701">
        <v>88</v>
      </c>
      <c r="E701">
        <v>74</v>
      </c>
      <c r="F701">
        <v>0.54300000000000004</v>
      </c>
      <c r="G701">
        <v>14</v>
      </c>
      <c r="H701">
        <v>1008</v>
      </c>
      <c r="I701">
        <v>890</v>
      </c>
      <c r="J701">
        <v>118</v>
      </c>
    </row>
    <row r="702" spans="1:13" x14ac:dyDescent="0.25">
      <c r="A702">
        <v>35</v>
      </c>
      <c r="B702" t="s">
        <v>29</v>
      </c>
      <c r="C702" t="s">
        <v>12</v>
      </c>
      <c r="D702">
        <v>87</v>
      </c>
      <c r="E702">
        <v>75</v>
      </c>
      <c r="F702">
        <v>0.53700000000000003</v>
      </c>
      <c r="G702">
        <v>15</v>
      </c>
      <c r="H702">
        <v>791</v>
      </c>
      <c r="I702">
        <v>773</v>
      </c>
      <c r="J702">
        <v>18</v>
      </c>
    </row>
    <row r="703" spans="1:13" x14ac:dyDescent="0.25">
      <c r="A703">
        <v>36</v>
      </c>
      <c r="B703" t="s">
        <v>31</v>
      </c>
      <c r="C703" t="s">
        <v>18</v>
      </c>
      <c r="D703">
        <v>112</v>
      </c>
      <c r="E703">
        <v>50</v>
      </c>
      <c r="F703">
        <v>0.69099999999999995</v>
      </c>
      <c r="G703">
        <v>0</v>
      </c>
      <c r="H703">
        <v>1077</v>
      </c>
      <c r="I703">
        <v>712</v>
      </c>
      <c r="J703">
        <v>365</v>
      </c>
      <c r="K703">
        <v>1</v>
      </c>
    </row>
    <row r="704" spans="1:13" x14ac:dyDescent="0.25">
      <c r="A704">
        <v>36</v>
      </c>
      <c r="B704" t="s">
        <v>31</v>
      </c>
      <c r="C704" t="s">
        <v>19</v>
      </c>
      <c r="D704">
        <v>103</v>
      </c>
      <c r="E704">
        <v>59</v>
      </c>
      <c r="F704">
        <v>0.63600000000000001</v>
      </c>
      <c r="G704">
        <v>9</v>
      </c>
      <c r="H704">
        <v>981</v>
      </c>
      <c r="I704">
        <v>766</v>
      </c>
      <c r="J704">
        <v>215</v>
      </c>
      <c r="M704">
        <v>1</v>
      </c>
    </row>
    <row r="705" spans="1:13" x14ac:dyDescent="0.25">
      <c r="A705">
        <v>36</v>
      </c>
      <c r="B705" t="s">
        <v>31</v>
      </c>
      <c r="C705" t="s">
        <v>20</v>
      </c>
      <c r="D705">
        <v>84</v>
      </c>
      <c r="E705">
        <v>78</v>
      </c>
      <c r="F705">
        <v>0.51900000000000002</v>
      </c>
      <c r="G705">
        <v>28</v>
      </c>
      <c r="H705">
        <v>950</v>
      </c>
      <c r="I705">
        <v>940</v>
      </c>
      <c r="J705">
        <v>10</v>
      </c>
    </row>
    <row r="706" spans="1:13" x14ac:dyDescent="0.25">
      <c r="A706">
        <v>36</v>
      </c>
      <c r="B706" t="s">
        <v>31</v>
      </c>
      <c r="C706" t="s">
        <v>21</v>
      </c>
      <c r="D706">
        <v>66</v>
      </c>
      <c r="E706">
        <v>96</v>
      </c>
      <c r="F706">
        <v>0.40699999999999997</v>
      </c>
      <c r="G706">
        <v>46</v>
      </c>
      <c r="H706">
        <v>811</v>
      </c>
      <c r="I706">
        <v>969</v>
      </c>
      <c r="J706">
        <v>-158</v>
      </c>
    </row>
    <row r="707" spans="1:13" x14ac:dyDescent="0.25">
      <c r="A707">
        <v>36</v>
      </c>
      <c r="B707" t="s">
        <v>31</v>
      </c>
      <c r="C707" t="s">
        <v>22</v>
      </c>
      <c r="D707">
        <v>56</v>
      </c>
      <c r="E707">
        <v>106</v>
      </c>
      <c r="F707">
        <v>0.34599999999999997</v>
      </c>
      <c r="G707">
        <v>56</v>
      </c>
      <c r="H707">
        <v>776</v>
      </c>
      <c r="I707">
        <v>1085</v>
      </c>
      <c r="J707">
        <v>-309</v>
      </c>
    </row>
    <row r="708" spans="1:13" x14ac:dyDescent="0.25">
      <c r="A708">
        <v>36</v>
      </c>
      <c r="B708" t="s">
        <v>30</v>
      </c>
      <c r="C708" t="s">
        <v>13</v>
      </c>
      <c r="D708">
        <v>110</v>
      </c>
      <c r="E708">
        <v>52</v>
      </c>
      <c r="F708">
        <v>0.67900000000000005</v>
      </c>
      <c r="G708">
        <v>0</v>
      </c>
      <c r="H708">
        <v>1020</v>
      </c>
      <c r="I708">
        <v>715</v>
      </c>
      <c r="J708">
        <v>305</v>
      </c>
      <c r="K708">
        <v>1</v>
      </c>
    </row>
    <row r="709" spans="1:13" x14ac:dyDescent="0.25">
      <c r="A709">
        <v>36</v>
      </c>
      <c r="B709" t="s">
        <v>30</v>
      </c>
      <c r="C709" t="s">
        <v>14</v>
      </c>
      <c r="D709">
        <v>80</v>
      </c>
      <c r="E709">
        <v>82</v>
      </c>
      <c r="F709">
        <v>0.49399999999999999</v>
      </c>
      <c r="G709">
        <v>30</v>
      </c>
      <c r="H709">
        <v>891</v>
      </c>
      <c r="I709">
        <v>879</v>
      </c>
      <c r="J709">
        <v>12</v>
      </c>
    </row>
    <row r="710" spans="1:13" x14ac:dyDescent="0.25">
      <c r="A710">
        <v>36</v>
      </c>
      <c r="B710" t="s">
        <v>30</v>
      </c>
      <c r="C710" t="s">
        <v>15</v>
      </c>
      <c r="D710">
        <v>79</v>
      </c>
      <c r="E710">
        <v>83</v>
      </c>
      <c r="F710">
        <v>0.48799999999999999</v>
      </c>
      <c r="G710">
        <v>31</v>
      </c>
      <c r="H710">
        <v>1005</v>
      </c>
      <c r="I710">
        <v>1051</v>
      </c>
      <c r="J710">
        <v>-46</v>
      </c>
    </row>
    <row r="711" spans="1:13" x14ac:dyDescent="0.25">
      <c r="A711">
        <v>36</v>
      </c>
      <c r="B711" t="s">
        <v>30</v>
      </c>
      <c r="C711" t="s">
        <v>16</v>
      </c>
      <c r="D711">
        <v>63</v>
      </c>
      <c r="E711">
        <v>99</v>
      </c>
      <c r="F711">
        <v>0.38900000000000001</v>
      </c>
      <c r="G711">
        <v>47</v>
      </c>
      <c r="H711">
        <v>875</v>
      </c>
      <c r="I711">
        <v>1048</v>
      </c>
      <c r="J711">
        <v>-173</v>
      </c>
    </row>
    <row r="712" spans="1:13" x14ac:dyDescent="0.25">
      <c r="A712">
        <v>36</v>
      </c>
      <c r="B712" t="s">
        <v>30</v>
      </c>
      <c r="C712" t="s">
        <v>17</v>
      </c>
      <c r="D712">
        <v>45</v>
      </c>
      <c r="E712">
        <v>117</v>
      </c>
      <c r="F712">
        <v>0.27800000000000002</v>
      </c>
      <c r="G712">
        <v>65</v>
      </c>
      <c r="H712">
        <v>664</v>
      </c>
      <c r="I712">
        <v>1057</v>
      </c>
      <c r="J712">
        <v>-393</v>
      </c>
    </row>
    <row r="713" spans="1:13" x14ac:dyDescent="0.25">
      <c r="A713">
        <v>36</v>
      </c>
      <c r="B713" t="s">
        <v>32</v>
      </c>
      <c r="C713" t="s">
        <v>23</v>
      </c>
      <c r="D713">
        <v>107</v>
      </c>
      <c r="E713">
        <v>55</v>
      </c>
      <c r="F713">
        <v>0.66</v>
      </c>
      <c r="G713">
        <v>0</v>
      </c>
      <c r="H713">
        <v>939</v>
      </c>
      <c r="I713">
        <v>667</v>
      </c>
      <c r="J713">
        <v>272</v>
      </c>
      <c r="L713">
        <v>1</v>
      </c>
    </row>
    <row r="714" spans="1:13" x14ac:dyDescent="0.25">
      <c r="A714">
        <v>36</v>
      </c>
      <c r="B714" t="s">
        <v>32</v>
      </c>
      <c r="C714" t="s">
        <v>26</v>
      </c>
      <c r="D714">
        <v>76</v>
      </c>
      <c r="E714">
        <v>86</v>
      </c>
      <c r="F714">
        <v>0.46899999999999997</v>
      </c>
      <c r="G714">
        <v>31</v>
      </c>
      <c r="H714">
        <v>770</v>
      </c>
      <c r="I714">
        <v>867</v>
      </c>
      <c r="J714">
        <v>-97</v>
      </c>
    </row>
    <row r="715" spans="1:13" x14ac:dyDescent="0.25">
      <c r="A715">
        <v>36</v>
      </c>
      <c r="B715" t="s">
        <v>32</v>
      </c>
      <c r="C715" t="s">
        <v>25</v>
      </c>
      <c r="D715">
        <v>68</v>
      </c>
      <c r="E715">
        <v>94</v>
      </c>
      <c r="F715">
        <v>0.42</v>
      </c>
      <c r="G715">
        <v>39</v>
      </c>
      <c r="H715">
        <v>775</v>
      </c>
      <c r="I715">
        <v>888</v>
      </c>
      <c r="J715">
        <v>-113</v>
      </c>
    </row>
    <row r="716" spans="1:13" x14ac:dyDescent="0.25">
      <c r="A716">
        <v>36</v>
      </c>
      <c r="B716" t="s">
        <v>32</v>
      </c>
      <c r="C716" t="s">
        <v>24</v>
      </c>
      <c r="D716">
        <v>67</v>
      </c>
      <c r="E716">
        <v>95</v>
      </c>
      <c r="F716">
        <v>0.41399999999999998</v>
      </c>
      <c r="G716">
        <v>40</v>
      </c>
      <c r="H716">
        <v>758</v>
      </c>
      <c r="I716">
        <v>858</v>
      </c>
      <c r="J716">
        <v>-100</v>
      </c>
    </row>
    <row r="717" spans="1:13" x14ac:dyDescent="0.25">
      <c r="A717">
        <v>36</v>
      </c>
      <c r="B717" t="s">
        <v>32</v>
      </c>
      <c r="C717" t="s">
        <v>27</v>
      </c>
      <c r="D717">
        <v>66</v>
      </c>
      <c r="E717">
        <v>96</v>
      </c>
      <c r="F717">
        <v>0.40699999999999997</v>
      </c>
      <c r="G717">
        <v>41</v>
      </c>
      <c r="H717">
        <v>797</v>
      </c>
      <c r="I717">
        <v>1038</v>
      </c>
      <c r="J717">
        <v>-241</v>
      </c>
    </row>
    <row r="718" spans="1:13" x14ac:dyDescent="0.25">
      <c r="A718">
        <v>36</v>
      </c>
      <c r="B718" t="s">
        <v>29</v>
      </c>
      <c r="C718" t="s">
        <v>8</v>
      </c>
      <c r="D718">
        <v>95</v>
      </c>
      <c r="E718">
        <v>67</v>
      </c>
      <c r="F718">
        <v>0.58599999999999997</v>
      </c>
      <c r="G718">
        <v>0</v>
      </c>
      <c r="H718">
        <v>817</v>
      </c>
      <c r="I718">
        <v>709</v>
      </c>
      <c r="J718">
        <v>108</v>
      </c>
      <c r="L718">
        <v>1</v>
      </c>
    </row>
    <row r="719" spans="1:13" x14ac:dyDescent="0.25">
      <c r="A719">
        <v>36</v>
      </c>
      <c r="B719" t="s">
        <v>29</v>
      </c>
      <c r="C719" t="s">
        <v>9</v>
      </c>
      <c r="D719">
        <v>93</v>
      </c>
      <c r="E719">
        <v>69</v>
      </c>
      <c r="F719">
        <v>0.57399999999999995</v>
      </c>
      <c r="G719">
        <v>2</v>
      </c>
      <c r="H719">
        <v>931</v>
      </c>
      <c r="I719">
        <v>765</v>
      </c>
      <c r="J719">
        <v>166</v>
      </c>
      <c r="M719">
        <v>1</v>
      </c>
    </row>
    <row r="720" spans="1:13" x14ac:dyDescent="0.25">
      <c r="A720">
        <v>36</v>
      </c>
      <c r="B720" t="s">
        <v>29</v>
      </c>
      <c r="C720" t="s">
        <v>11</v>
      </c>
      <c r="D720">
        <v>85</v>
      </c>
      <c r="E720">
        <v>77</v>
      </c>
      <c r="F720">
        <v>0.52500000000000002</v>
      </c>
      <c r="G720">
        <v>10</v>
      </c>
      <c r="H720">
        <v>875</v>
      </c>
      <c r="I720">
        <v>818</v>
      </c>
      <c r="J720">
        <v>57</v>
      </c>
    </row>
    <row r="721" spans="1:13" x14ac:dyDescent="0.25">
      <c r="A721">
        <v>36</v>
      </c>
      <c r="B721" t="s">
        <v>29</v>
      </c>
      <c r="C721" t="s">
        <v>12</v>
      </c>
      <c r="D721">
        <v>83</v>
      </c>
      <c r="E721">
        <v>79</v>
      </c>
      <c r="F721">
        <v>0.51200000000000001</v>
      </c>
      <c r="G721">
        <v>12</v>
      </c>
      <c r="H721">
        <v>836</v>
      </c>
      <c r="I721">
        <v>819</v>
      </c>
      <c r="J721">
        <v>17</v>
      </c>
    </row>
    <row r="722" spans="1:13" x14ac:dyDescent="0.25">
      <c r="A722">
        <v>36</v>
      </c>
      <c r="B722" t="s">
        <v>29</v>
      </c>
      <c r="C722" t="s">
        <v>10</v>
      </c>
      <c r="D722">
        <v>82</v>
      </c>
      <c r="E722">
        <v>80</v>
      </c>
      <c r="F722">
        <v>0.50600000000000001</v>
      </c>
      <c r="G722">
        <v>13</v>
      </c>
      <c r="H722">
        <v>958</v>
      </c>
      <c r="I722">
        <v>855</v>
      </c>
      <c r="J722">
        <v>103</v>
      </c>
    </row>
    <row r="723" spans="1:13" x14ac:dyDescent="0.25">
      <c r="A723">
        <v>37</v>
      </c>
      <c r="B723" t="s">
        <v>31</v>
      </c>
      <c r="C723" t="s">
        <v>18</v>
      </c>
      <c r="D723">
        <v>101</v>
      </c>
      <c r="E723">
        <v>61</v>
      </c>
      <c r="F723">
        <v>0.623</v>
      </c>
      <c r="G723">
        <v>0</v>
      </c>
      <c r="H723">
        <v>1021</v>
      </c>
      <c r="I723">
        <v>739</v>
      </c>
      <c r="J723">
        <v>282</v>
      </c>
      <c r="L723">
        <v>1</v>
      </c>
    </row>
    <row r="724" spans="1:13" x14ac:dyDescent="0.25">
      <c r="A724">
        <v>37</v>
      </c>
      <c r="B724" t="s">
        <v>31</v>
      </c>
      <c r="C724" t="s">
        <v>19</v>
      </c>
      <c r="D724">
        <v>98</v>
      </c>
      <c r="E724">
        <v>64</v>
      </c>
      <c r="F724">
        <v>0.60499999999999998</v>
      </c>
      <c r="G724">
        <v>3</v>
      </c>
      <c r="H724">
        <v>988</v>
      </c>
      <c r="I724">
        <v>859</v>
      </c>
      <c r="J724">
        <v>129</v>
      </c>
      <c r="M724">
        <v>1</v>
      </c>
    </row>
    <row r="725" spans="1:13" x14ac:dyDescent="0.25">
      <c r="A725">
        <v>37</v>
      </c>
      <c r="B725" t="s">
        <v>31</v>
      </c>
      <c r="C725" t="s">
        <v>20</v>
      </c>
      <c r="D725">
        <v>80</v>
      </c>
      <c r="E725">
        <v>82</v>
      </c>
      <c r="F725">
        <v>0.49399999999999999</v>
      </c>
      <c r="G725">
        <v>21</v>
      </c>
      <c r="H725">
        <v>881</v>
      </c>
      <c r="I725">
        <v>890</v>
      </c>
      <c r="J725">
        <v>-9</v>
      </c>
    </row>
    <row r="726" spans="1:13" x14ac:dyDescent="0.25">
      <c r="A726">
        <v>37</v>
      </c>
      <c r="B726" t="s">
        <v>31</v>
      </c>
      <c r="C726" t="s">
        <v>21</v>
      </c>
      <c r="D726">
        <v>80</v>
      </c>
      <c r="E726">
        <v>82</v>
      </c>
      <c r="F726">
        <v>0.49399999999999999</v>
      </c>
      <c r="G726">
        <v>21</v>
      </c>
      <c r="H726">
        <v>897</v>
      </c>
      <c r="I726">
        <v>990</v>
      </c>
      <c r="J726">
        <v>-93</v>
      </c>
    </row>
    <row r="727" spans="1:13" x14ac:dyDescent="0.25">
      <c r="A727">
        <v>37</v>
      </c>
      <c r="B727" t="s">
        <v>31</v>
      </c>
      <c r="C727" t="s">
        <v>22</v>
      </c>
      <c r="D727">
        <v>61</v>
      </c>
      <c r="E727">
        <v>101</v>
      </c>
      <c r="F727">
        <v>0.377</v>
      </c>
      <c r="G727">
        <v>40</v>
      </c>
      <c r="H727">
        <v>821</v>
      </c>
      <c r="I727">
        <v>1040</v>
      </c>
      <c r="J727">
        <v>-219</v>
      </c>
    </row>
    <row r="728" spans="1:13" x14ac:dyDescent="0.25">
      <c r="A728">
        <v>37</v>
      </c>
      <c r="B728" t="s">
        <v>30</v>
      </c>
      <c r="C728" t="s">
        <v>13</v>
      </c>
      <c r="D728">
        <v>100</v>
      </c>
      <c r="E728">
        <v>62</v>
      </c>
      <c r="F728">
        <v>0.61699999999999999</v>
      </c>
      <c r="G728">
        <v>0</v>
      </c>
      <c r="H728">
        <v>969</v>
      </c>
      <c r="I728">
        <v>679</v>
      </c>
      <c r="J728">
        <v>290</v>
      </c>
      <c r="L728">
        <v>1</v>
      </c>
    </row>
    <row r="729" spans="1:13" x14ac:dyDescent="0.25">
      <c r="A729">
        <v>37</v>
      </c>
      <c r="B729" t="s">
        <v>30</v>
      </c>
      <c r="C729" t="s">
        <v>15</v>
      </c>
      <c r="D729">
        <v>69</v>
      </c>
      <c r="E729">
        <v>93</v>
      </c>
      <c r="F729">
        <v>0.42599999999999999</v>
      </c>
      <c r="G729">
        <v>31</v>
      </c>
      <c r="H729">
        <v>1001</v>
      </c>
      <c r="I729">
        <v>1113</v>
      </c>
      <c r="J729">
        <v>-112</v>
      </c>
    </row>
    <row r="730" spans="1:13" x14ac:dyDescent="0.25">
      <c r="A730">
        <v>37</v>
      </c>
      <c r="B730" t="s">
        <v>30</v>
      </c>
      <c r="C730" t="s">
        <v>14</v>
      </c>
      <c r="D730">
        <v>67</v>
      </c>
      <c r="E730">
        <v>95</v>
      </c>
      <c r="F730">
        <v>0.41399999999999998</v>
      </c>
      <c r="G730">
        <v>33</v>
      </c>
      <c r="H730">
        <v>718</v>
      </c>
      <c r="I730">
        <v>876</v>
      </c>
      <c r="J730">
        <v>-158</v>
      </c>
    </row>
    <row r="731" spans="1:13" x14ac:dyDescent="0.25">
      <c r="A731">
        <v>37</v>
      </c>
      <c r="B731" t="s">
        <v>30</v>
      </c>
      <c r="C731" t="s">
        <v>16</v>
      </c>
      <c r="D731">
        <v>55</v>
      </c>
      <c r="E731">
        <v>107</v>
      </c>
      <c r="F731">
        <v>0.34</v>
      </c>
      <c r="G731">
        <v>45</v>
      </c>
      <c r="H731">
        <v>823</v>
      </c>
      <c r="I731">
        <v>1017</v>
      </c>
      <c r="J731">
        <v>-194</v>
      </c>
    </row>
    <row r="732" spans="1:13" x14ac:dyDescent="0.25">
      <c r="A732">
        <v>37</v>
      </c>
      <c r="B732" t="s">
        <v>30</v>
      </c>
      <c r="C732" t="s">
        <v>17</v>
      </c>
      <c r="D732">
        <v>35</v>
      </c>
      <c r="E732">
        <v>127</v>
      </c>
      <c r="F732">
        <v>0.216</v>
      </c>
      <c r="G732">
        <v>65</v>
      </c>
      <c r="H732">
        <v>654</v>
      </c>
      <c r="I732">
        <v>1073</v>
      </c>
      <c r="J732">
        <v>-419</v>
      </c>
    </row>
    <row r="733" spans="1:13" x14ac:dyDescent="0.25">
      <c r="A733">
        <v>37</v>
      </c>
      <c r="B733" t="s">
        <v>32</v>
      </c>
      <c r="C733" t="s">
        <v>23</v>
      </c>
      <c r="D733">
        <v>107</v>
      </c>
      <c r="E733">
        <v>55</v>
      </c>
      <c r="F733">
        <v>0.66</v>
      </c>
      <c r="G733">
        <v>0</v>
      </c>
      <c r="H733">
        <v>942</v>
      </c>
      <c r="I733">
        <v>709</v>
      </c>
      <c r="J733">
        <v>233</v>
      </c>
      <c r="K733">
        <v>1</v>
      </c>
    </row>
    <row r="734" spans="1:13" x14ac:dyDescent="0.25">
      <c r="A734">
        <v>37</v>
      </c>
      <c r="B734" t="s">
        <v>32</v>
      </c>
      <c r="C734" t="s">
        <v>24</v>
      </c>
      <c r="D734">
        <v>95</v>
      </c>
      <c r="E734">
        <v>67</v>
      </c>
      <c r="F734">
        <v>0.58599999999999997</v>
      </c>
      <c r="G734">
        <v>12</v>
      </c>
      <c r="H734">
        <v>851</v>
      </c>
      <c r="I734">
        <v>785</v>
      </c>
      <c r="J734">
        <v>66</v>
      </c>
    </row>
    <row r="735" spans="1:13" x14ac:dyDescent="0.25">
      <c r="A735">
        <v>37</v>
      </c>
      <c r="B735" t="s">
        <v>32</v>
      </c>
      <c r="C735" t="s">
        <v>26</v>
      </c>
      <c r="D735">
        <v>75</v>
      </c>
      <c r="E735">
        <v>87</v>
      </c>
      <c r="F735">
        <v>0.46300000000000002</v>
      </c>
      <c r="G735">
        <v>32</v>
      </c>
      <c r="H735">
        <v>784</v>
      </c>
      <c r="I735">
        <v>806</v>
      </c>
      <c r="J735">
        <v>-22</v>
      </c>
    </row>
    <row r="736" spans="1:13" x14ac:dyDescent="0.25">
      <c r="A736">
        <v>37</v>
      </c>
      <c r="B736" t="s">
        <v>32</v>
      </c>
      <c r="C736" t="s">
        <v>25</v>
      </c>
      <c r="D736">
        <v>70</v>
      </c>
      <c r="E736">
        <v>92</v>
      </c>
      <c r="F736">
        <v>0.432</v>
      </c>
      <c r="G736">
        <v>37</v>
      </c>
      <c r="H736">
        <v>797</v>
      </c>
      <c r="I736">
        <v>884</v>
      </c>
      <c r="J736">
        <v>-87</v>
      </c>
    </row>
    <row r="737" spans="1:13" x14ac:dyDescent="0.25">
      <c r="A737">
        <v>37</v>
      </c>
      <c r="B737" t="s">
        <v>32</v>
      </c>
      <c r="C737" t="s">
        <v>27</v>
      </c>
      <c r="D737">
        <v>54</v>
      </c>
      <c r="E737">
        <v>108</v>
      </c>
      <c r="F737">
        <v>0.33300000000000002</v>
      </c>
      <c r="G737">
        <v>53</v>
      </c>
      <c r="H737">
        <v>759</v>
      </c>
      <c r="I737">
        <v>1025</v>
      </c>
      <c r="J737">
        <v>-266</v>
      </c>
    </row>
    <row r="738" spans="1:13" x14ac:dyDescent="0.25">
      <c r="A738">
        <v>37</v>
      </c>
      <c r="B738" t="s">
        <v>29</v>
      </c>
      <c r="C738" t="s">
        <v>8</v>
      </c>
      <c r="D738">
        <v>111</v>
      </c>
      <c r="E738">
        <v>51</v>
      </c>
      <c r="F738">
        <v>0.68500000000000005</v>
      </c>
      <c r="G738">
        <v>0</v>
      </c>
      <c r="H738">
        <v>882</v>
      </c>
      <c r="I738">
        <v>683</v>
      </c>
      <c r="J738">
        <v>199</v>
      </c>
      <c r="K738">
        <v>1</v>
      </c>
    </row>
    <row r="739" spans="1:13" x14ac:dyDescent="0.25">
      <c r="A739">
        <v>37</v>
      </c>
      <c r="B739" t="s">
        <v>29</v>
      </c>
      <c r="C739" t="s">
        <v>10</v>
      </c>
      <c r="D739">
        <v>103</v>
      </c>
      <c r="E739">
        <v>59</v>
      </c>
      <c r="F739">
        <v>0.63600000000000001</v>
      </c>
      <c r="G739">
        <v>8</v>
      </c>
      <c r="H739">
        <v>1040</v>
      </c>
      <c r="I739">
        <v>850</v>
      </c>
      <c r="J739">
        <v>190</v>
      </c>
      <c r="M739">
        <v>1</v>
      </c>
    </row>
    <row r="740" spans="1:13" x14ac:dyDescent="0.25">
      <c r="A740">
        <v>37</v>
      </c>
      <c r="B740" t="s">
        <v>29</v>
      </c>
      <c r="C740" t="s">
        <v>9</v>
      </c>
      <c r="D740">
        <v>97</v>
      </c>
      <c r="E740">
        <v>65</v>
      </c>
      <c r="F740">
        <v>0.59899999999999998</v>
      </c>
      <c r="G740">
        <v>14</v>
      </c>
      <c r="H740">
        <v>1008</v>
      </c>
      <c r="I740">
        <v>828</v>
      </c>
      <c r="J740">
        <v>180</v>
      </c>
    </row>
    <row r="741" spans="1:13" x14ac:dyDescent="0.25">
      <c r="A741">
        <v>37</v>
      </c>
      <c r="B741" t="s">
        <v>29</v>
      </c>
      <c r="C741" t="s">
        <v>11</v>
      </c>
      <c r="D741">
        <v>93</v>
      </c>
      <c r="E741">
        <v>69</v>
      </c>
      <c r="F741">
        <v>0.57399999999999995</v>
      </c>
      <c r="G741">
        <v>18</v>
      </c>
      <c r="H741">
        <v>883</v>
      </c>
      <c r="I741">
        <v>776</v>
      </c>
      <c r="J741">
        <v>107</v>
      </c>
    </row>
    <row r="742" spans="1:13" x14ac:dyDescent="0.25">
      <c r="A742">
        <v>37</v>
      </c>
      <c r="B742" t="s">
        <v>29</v>
      </c>
      <c r="C742" t="s">
        <v>12</v>
      </c>
      <c r="D742">
        <v>69</v>
      </c>
      <c r="E742">
        <v>93</v>
      </c>
      <c r="F742">
        <v>0.42599999999999999</v>
      </c>
      <c r="G742">
        <v>42</v>
      </c>
      <c r="H742">
        <v>806</v>
      </c>
      <c r="I742">
        <v>903</v>
      </c>
      <c r="J742">
        <v>-97</v>
      </c>
    </row>
    <row r="743" spans="1:13" x14ac:dyDescent="0.25">
      <c r="A743">
        <v>38</v>
      </c>
      <c r="B743" t="s">
        <v>31</v>
      </c>
      <c r="C743" t="s">
        <v>18</v>
      </c>
      <c r="D743">
        <v>109</v>
      </c>
      <c r="E743">
        <v>53</v>
      </c>
      <c r="F743">
        <v>0.67300000000000004</v>
      </c>
      <c r="G743">
        <v>0</v>
      </c>
      <c r="H743">
        <v>1020</v>
      </c>
      <c r="I743">
        <v>704</v>
      </c>
      <c r="J743">
        <v>316</v>
      </c>
      <c r="K743">
        <v>1</v>
      </c>
    </row>
    <row r="744" spans="1:13" x14ac:dyDescent="0.25">
      <c r="A744">
        <v>38</v>
      </c>
      <c r="B744" t="s">
        <v>31</v>
      </c>
      <c r="C744" t="s">
        <v>19</v>
      </c>
      <c r="D744">
        <v>94</v>
      </c>
      <c r="E744">
        <v>68</v>
      </c>
      <c r="F744">
        <v>0.57999999999999996</v>
      </c>
      <c r="G744">
        <v>15</v>
      </c>
      <c r="H744">
        <v>940</v>
      </c>
      <c r="I744">
        <v>817</v>
      </c>
      <c r="J744">
        <v>123</v>
      </c>
      <c r="M744">
        <v>1</v>
      </c>
    </row>
    <row r="745" spans="1:13" x14ac:dyDescent="0.25">
      <c r="A745">
        <v>38</v>
      </c>
      <c r="B745" t="s">
        <v>31</v>
      </c>
      <c r="C745" t="s">
        <v>20</v>
      </c>
      <c r="D745">
        <v>93</v>
      </c>
      <c r="E745">
        <v>69</v>
      </c>
      <c r="F745">
        <v>0.57399999999999995</v>
      </c>
      <c r="G745">
        <v>16</v>
      </c>
      <c r="H745">
        <v>976</v>
      </c>
      <c r="I745">
        <v>867</v>
      </c>
      <c r="J745">
        <v>109</v>
      </c>
      <c r="M745">
        <v>0.5</v>
      </c>
    </row>
    <row r="746" spans="1:13" x14ac:dyDescent="0.25">
      <c r="A746">
        <v>38</v>
      </c>
      <c r="B746" t="s">
        <v>31</v>
      </c>
      <c r="C746" t="s">
        <v>21</v>
      </c>
      <c r="D746">
        <v>66</v>
      </c>
      <c r="E746">
        <v>96</v>
      </c>
      <c r="F746">
        <v>0.40699999999999997</v>
      </c>
      <c r="G746">
        <v>43</v>
      </c>
      <c r="H746">
        <v>834</v>
      </c>
      <c r="I746">
        <v>966</v>
      </c>
      <c r="J746">
        <v>-132</v>
      </c>
    </row>
    <row r="747" spans="1:13" x14ac:dyDescent="0.25">
      <c r="A747">
        <v>38</v>
      </c>
      <c r="B747" t="s">
        <v>31</v>
      </c>
      <c r="C747" t="s">
        <v>22</v>
      </c>
      <c r="D747">
        <v>66</v>
      </c>
      <c r="E747">
        <v>96</v>
      </c>
      <c r="F747">
        <v>0.40699999999999997</v>
      </c>
      <c r="G747">
        <v>43</v>
      </c>
      <c r="H747">
        <v>842</v>
      </c>
      <c r="I747">
        <v>1013</v>
      </c>
      <c r="J747">
        <v>-171</v>
      </c>
    </row>
    <row r="748" spans="1:13" x14ac:dyDescent="0.25">
      <c r="A748">
        <v>38</v>
      </c>
      <c r="B748" t="s">
        <v>30</v>
      </c>
      <c r="C748" t="s">
        <v>13</v>
      </c>
      <c r="D748">
        <v>112</v>
      </c>
      <c r="E748">
        <v>50</v>
      </c>
      <c r="F748">
        <v>0.69099999999999995</v>
      </c>
      <c r="G748">
        <v>0</v>
      </c>
      <c r="H748">
        <v>969</v>
      </c>
      <c r="I748">
        <v>697</v>
      </c>
      <c r="J748">
        <v>272</v>
      </c>
      <c r="K748">
        <v>1</v>
      </c>
    </row>
    <row r="749" spans="1:13" x14ac:dyDescent="0.25">
      <c r="A749">
        <v>38</v>
      </c>
      <c r="B749" t="s">
        <v>30</v>
      </c>
      <c r="C749" t="s">
        <v>15</v>
      </c>
      <c r="D749">
        <v>80</v>
      </c>
      <c r="E749">
        <v>82</v>
      </c>
      <c r="F749">
        <v>0.49399999999999999</v>
      </c>
      <c r="G749">
        <v>32</v>
      </c>
      <c r="H749">
        <v>1032</v>
      </c>
      <c r="I749">
        <v>1097</v>
      </c>
      <c r="J749">
        <v>-65</v>
      </c>
    </row>
    <row r="750" spans="1:13" x14ac:dyDescent="0.25">
      <c r="A750">
        <v>38</v>
      </c>
      <c r="B750" t="s">
        <v>30</v>
      </c>
      <c r="C750" t="s">
        <v>14</v>
      </c>
      <c r="D750">
        <v>69</v>
      </c>
      <c r="E750">
        <v>93</v>
      </c>
      <c r="F750">
        <v>0.42599999999999999</v>
      </c>
      <c r="G750">
        <v>43</v>
      </c>
      <c r="H750">
        <v>735</v>
      </c>
      <c r="I750">
        <v>848</v>
      </c>
      <c r="J750">
        <v>-113</v>
      </c>
    </row>
    <row r="751" spans="1:13" x14ac:dyDescent="0.25">
      <c r="A751">
        <v>38</v>
      </c>
      <c r="B751" t="s">
        <v>30</v>
      </c>
      <c r="C751" t="s">
        <v>16</v>
      </c>
      <c r="D751">
        <v>59</v>
      </c>
      <c r="E751">
        <v>103</v>
      </c>
      <c r="F751">
        <v>0.36399999999999999</v>
      </c>
      <c r="G751">
        <v>53</v>
      </c>
      <c r="H751">
        <v>768</v>
      </c>
      <c r="I751">
        <v>988</v>
      </c>
      <c r="J751">
        <v>-220</v>
      </c>
    </row>
    <row r="752" spans="1:13" x14ac:dyDescent="0.25">
      <c r="A752">
        <v>38</v>
      </c>
      <c r="B752" t="s">
        <v>30</v>
      </c>
      <c r="C752" t="s">
        <v>17</v>
      </c>
      <c r="D752">
        <v>48</v>
      </c>
      <c r="E752">
        <v>114</v>
      </c>
      <c r="F752">
        <v>0.29599999999999999</v>
      </c>
      <c r="G752">
        <v>64</v>
      </c>
      <c r="H752">
        <v>697</v>
      </c>
      <c r="I752">
        <v>1003</v>
      </c>
      <c r="J752">
        <v>-306</v>
      </c>
    </row>
    <row r="753" spans="1:13" x14ac:dyDescent="0.25">
      <c r="A753">
        <v>38</v>
      </c>
      <c r="B753" t="s">
        <v>32</v>
      </c>
      <c r="C753" t="s">
        <v>23</v>
      </c>
      <c r="D753">
        <v>96</v>
      </c>
      <c r="E753">
        <v>66</v>
      </c>
      <c r="F753">
        <v>0.59299999999999997</v>
      </c>
      <c r="G753">
        <v>0</v>
      </c>
      <c r="H753">
        <v>932</v>
      </c>
      <c r="I753">
        <v>772</v>
      </c>
      <c r="J753">
        <v>160</v>
      </c>
      <c r="L753">
        <v>1</v>
      </c>
    </row>
    <row r="754" spans="1:13" x14ac:dyDescent="0.25">
      <c r="A754">
        <v>38</v>
      </c>
      <c r="B754" t="s">
        <v>32</v>
      </c>
      <c r="C754" t="s">
        <v>24</v>
      </c>
      <c r="D754">
        <v>91</v>
      </c>
      <c r="E754">
        <v>71</v>
      </c>
      <c r="F754">
        <v>0.56200000000000006</v>
      </c>
      <c r="G754">
        <v>5</v>
      </c>
      <c r="H754">
        <v>858</v>
      </c>
      <c r="I754">
        <v>808</v>
      </c>
      <c r="J754">
        <v>50</v>
      </c>
    </row>
    <row r="755" spans="1:13" x14ac:dyDescent="0.25">
      <c r="A755">
        <v>38</v>
      </c>
      <c r="B755" t="s">
        <v>32</v>
      </c>
      <c r="C755" t="s">
        <v>26</v>
      </c>
      <c r="D755">
        <v>75</v>
      </c>
      <c r="E755">
        <v>87</v>
      </c>
      <c r="F755">
        <v>0.46300000000000002</v>
      </c>
      <c r="G755">
        <v>21</v>
      </c>
      <c r="H755">
        <v>753</v>
      </c>
      <c r="I755">
        <v>844</v>
      </c>
      <c r="J755">
        <v>-91</v>
      </c>
    </row>
    <row r="756" spans="1:13" x14ac:dyDescent="0.25">
      <c r="A756">
        <v>38</v>
      </c>
      <c r="B756" t="s">
        <v>32</v>
      </c>
      <c r="C756" t="s">
        <v>25</v>
      </c>
      <c r="D756">
        <v>59</v>
      </c>
      <c r="E756">
        <v>103</v>
      </c>
      <c r="F756">
        <v>0.36399999999999999</v>
      </c>
      <c r="G756">
        <v>37</v>
      </c>
      <c r="H756">
        <v>745</v>
      </c>
      <c r="I756">
        <v>944</v>
      </c>
      <c r="J756">
        <v>-199</v>
      </c>
    </row>
    <row r="757" spans="1:13" x14ac:dyDescent="0.25">
      <c r="A757">
        <v>38</v>
      </c>
      <c r="B757" t="s">
        <v>32</v>
      </c>
      <c r="C757" t="s">
        <v>27</v>
      </c>
      <c r="D757">
        <v>52</v>
      </c>
      <c r="E757">
        <v>110</v>
      </c>
      <c r="F757">
        <v>0.32100000000000001</v>
      </c>
      <c r="G757">
        <v>44</v>
      </c>
      <c r="H757">
        <v>749</v>
      </c>
      <c r="I757">
        <v>1026</v>
      </c>
      <c r="J757">
        <v>-277</v>
      </c>
    </row>
    <row r="758" spans="1:13" x14ac:dyDescent="0.25">
      <c r="A758">
        <v>38</v>
      </c>
      <c r="B758" t="s">
        <v>29</v>
      </c>
      <c r="C758" t="s">
        <v>10</v>
      </c>
      <c r="D758">
        <v>102</v>
      </c>
      <c r="E758">
        <v>60</v>
      </c>
      <c r="F758">
        <v>0.63</v>
      </c>
      <c r="G758">
        <v>0</v>
      </c>
      <c r="H758">
        <v>1017</v>
      </c>
      <c r="I758">
        <v>867</v>
      </c>
      <c r="J758">
        <v>150</v>
      </c>
      <c r="L758">
        <v>1</v>
      </c>
    </row>
    <row r="759" spans="1:13" x14ac:dyDescent="0.25">
      <c r="A759">
        <v>38</v>
      </c>
      <c r="B759" t="s">
        <v>29</v>
      </c>
      <c r="C759" t="s">
        <v>8</v>
      </c>
      <c r="D759">
        <v>93</v>
      </c>
      <c r="E759">
        <v>69</v>
      </c>
      <c r="F759">
        <v>0.57399999999999995</v>
      </c>
      <c r="G759">
        <v>9</v>
      </c>
      <c r="H759">
        <v>872</v>
      </c>
      <c r="I759">
        <v>718</v>
      </c>
      <c r="J759">
        <v>154</v>
      </c>
      <c r="M759">
        <v>0.5</v>
      </c>
    </row>
    <row r="760" spans="1:13" x14ac:dyDescent="0.25">
      <c r="A760">
        <v>38</v>
      </c>
      <c r="B760" t="s">
        <v>29</v>
      </c>
      <c r="C760" t="s">
        <v>9</v>
      </c>
      <c r="D760">
        <v>92</v>
      </c>
      <c r="E760">
        <v>70</v>
      </c>
      <c r="F760">
        <v>0.56799999999999995</v>
      </c>
      <c r="G760">
        <v>10</v>
      </c>
      <c r="H760">
        <v>1018</v>
      </c>
      <c r="I760">
        <v>861</v>
      </c>
      <c r="J760">
        <v>157</v>
      </c>
    </row>
    <row r="761" spans="1:13" x14ac:dyDescent="0.25">
      <c r="A761">
        <v>38</v>
      </c>
      <c r="B761" t="s">
        <v>29</v>
      </c>
      <c r="C761" t="s">
        <v>11</v>
      </c>
      <c r="D761">
        <v>84</v>
      </c>
      <c r="E761">
        <v>78</v>
      </c>
      <c r="F761">
        <v>0.51900000000000002</v>
      </c>
      <c r="G761">
        <v>18</v>
      </c>
      <c r="H761">
        <v>818</v>
      </c>
      <c r="I761">
        <v>748</v>
      </c>
      <c r="J761">
        <v>70</v>
      </c>
    </row>
    <row r="762" spans="1:13" x14ac:dyDescent="0.25">
      <c r="A762">
        <v>38</v>
      </c>
      <c r="B762" t="s">
        <v>29</v>
      </c>
      <c r="C762" t="s">
        <v>12</v>
      </c>
      <c r="D762">
        <v>80</v>
      </c>
      <c r="E762">
        <v>82</v>
      </c>
      <c r="F762">
        <v>0.49399999999999999</v>
      </c>
      <c r="G762">
        <v>22</v>
      </c>
      <c r="H762">
        <v>822</v>
      </c>
      <c r="I762">
        <v>809</v>
      </c>
      <c r="J762">
        <v>13</v>
      </c>
    </row>
    <row r="763" spans="1:13" x14ac:dyDescent="0.25">
      <c r="A763">
        <v>39</v>
      </c>
      <c r="B763" t="s">
        <v>31</v>
      </c>
      <c r="C763" t="s">
        <v>18</v>
      </c>
      <c r="D763">
        <v>110</v>
      </c>
      <c r="E763">
        <v>52</v>
      </c>
      <c r="F763">
        <v>0.67900000000000005</v>
      </c>
      <c r="G763">
        <v>0</v>
      </c>
      <c r="H763">
        <v>1023</v>
      </c>
      <c r="I763">
        <v>740</v>
      </c>
      <c r="J763">
        <v>283</v>
      </c>
      <c r="K763">
        <v>1</v>
      </c>
    </row>
    <row r="764" spans="1:13" x14ac:dyDescent="0.25">
      <c r="A764">
        <v>39</v>
      </c>
      <c r="B764" t="s">
        <v>31</v>
      </c>
      <c r="C764" t="s">
        <v>19</v>
      </c>
      <c r="D764">
        <v>87</v>
      </c>
      <c r="E764">
        <v>75</v>
      </c>
      <c r="F764">
        <v>0.53700000000000003</v>
      </c>
      <c r="G764">
        <v>23</v>
      </c>
      <c r="H764">
        <v>887</v>
      </c>
      <c r="I764">
        <v>892</v>
      </c>
      <c r="J764">
        <v>-5</v>
      </c>
    </row>
    <row r="765" spans="1:13" x14ac:dyDescent="0.25">
      <c r="A765">
        <v>39</v>
      </c>
      <c r="B765" t="s">
        <v>31</v>
      </c>
      <c r="C765" t="s">
        <v>20</v>
      </c>
      <c r="D765">
        <v>86</v>
      </c>
      <c r="E765">
        <v>76</v>
      </c>
      <c r="F765">
        <v>0.53100000000000003</v>
      </c>
      <c r="G765">
        <v>24</v>
      </c>
      <c r="H765">
        <v>925</v>
      </c>
      <c r="I765">
        <v>861</v>
      </c>
      <c r="J765">
        <v>64</v>
      </c>
    </row>
    <row r="766" spans="1:13" x14ac:dyDescent="0.25">
      <c r="A766">
        <v>39</v>
      </c>
      <c r="B766" t="s">
        <v>31</v>
      </c>
      <c r="C766" t="s">
        <v>21</v>
      </c>
      <c r="D766">
        <v>64</v>
      </c>
      <c r="E766">
        <v>98</v>
      </c>
      <c r="F766">
        <v>0.39500000000000002</v>
      </c>
      <c r="G766">
        <v>46</v>
      </c>
      <c r="H766">
        <v>803</v>
      </c>
      <c r="I766">
        <v>982</v>
      </c>
      <c r="J766">
        <v>-179</v>
      </c>
    </row>
    <row r="767" spans="1:13" x14ac:dyDescent="0.25">
      <c r="A767">
        <v>39</v>
      </c>
      <c r="B767" t="s">
        <v>31</v>
      </c>
      <c r="C767" t="s">
        <v>22</v>
      </c>
      <c r="D767">
        <v>60</v>
      </c>
      <c r="E767">
        <v>102</v>
      </c>
      <c r="F767">
        <v>0.37</v>
      </c>
      <c r="G767">
        <v>50</v>
      </c>
      <c r="H767">
        <v>795</v>
      </c>
      <c r="I767">
        <v>1056</v>
      </c>
      <c r="J767">
        <v>-261</v>
      </c>
    </row>
    <row r="768" spans="1:13" x14ac:dyDescent="0.25">
      <c r="A768">
        <v>39</v>
      </c>
      <c r="B768" t="s">
        <v>30</v>
      </c>
      <c r="C768" t="s">
        <v>13</v>
      </c>
      <c r="D768">
        <v>111</v>
      </c>
      <c r="E768">
        <v>51</v>
      </c>
      <c r="F768">
        <v>0.68500000000000005</v>
      </c>
      <c r="G768">
        <v>0</v>
      </c>
      <c r="H768">
        <v>1033</v>
      </c>
      <c r="I768">
        <v>679</v>
      </c>
      <c r="J768">
        <v>354</v>
      </c>
      <c r="K768">
        <v>1</v>
      </c>
    </row>
    <row r="769" spans="1:13" x14ac:dyDescent="0.25">
      <c r="A769">
        <v>39</v>
      </c>
      <c r="B769" t="s">
        <v>30</v>
      </c>
      <c r="C769" t="s">
        <v>14</v>
      </c>
      <c r="D769">
        <v>80</v>
      </c>
      <c r="E769">
        <v>82</v>
      </c>
      <c r="F769">
        <v>0.49399999999999999</v>
      </c>
      <c r="G769">
        <v>31</v>
      </c>
      <c r="H769">
        <v>819</v>
      </c>
      <c r="I769">
        <v>890</v>
      </c>
      <c r="J769">
        <v>-71</v>
      </c>
    </row>
    <row r="770" spans="1:13" x14ac:dyDescent="0.25">
      <c r="A770">
        <v>39</v>
      </c>
      <c r="B770" t="s">
        <v>30</v>
      </c>
      <c r="C770" t="s">
        <v>15</v>
      </c>
      <c r="D770">
        <v>73</v>
      </c>
      <c r="E770">
        <v>89</v>
      </c>
      <c r="F770">
        <v>0.45100000000000001</v>
      </c>
      <c r="G770">
        <v>38</v>
      </c>
      <c r="H770">
        <v>1077</v>
      </c>
      <c r="I770">
        <v>1180</v>
      </c>
      <c r="J770">
        <v>-103</v>
      </c>
    </row>
    <row r="771" spans="1:13" x14ac:dyDescent="0.25">
      <c r="A771">
        <v>39</v>
      </c>
      <c r="B771" t="s">
        <v>30</v>
      </c>
      <c r="C771" t="s">
        <v>16</v>
      </c>
      <c r="D771">
        <v>64</v>
      </c>
      <c r="E771">
        <v>98</v>
      </c>
      <c r="F771">
        <v>0.39500000000000002</v>
      </c>
      <c r="G771">
        <v>47</v>
      </c>
      <c r="H771">
        <v>816</v>
      </c>
      <c r="I771">
        <v>979</v>
      </c>
      <c r="J771">
        <v>-163</v>
      </c>
    </row>
    <row r="772" spans="1:13" x14ac:dyDescent="0.25">
      <c r="A772">
        <v>39</v>
      </c>
      <c r="B772" t="s">
        <v>30</v>
      </c>
      <c r="C772" t="s">
        <v>17</v>
      </c>
      <c r="D772">
        <v>41</v>
      </c>
      <c r="E772">
        <v>121</v>
      </c>
      <c r="F772">
        <v>0.253</v>
      </c>
      <c r="G772">
        <v>70</v>
      </c>
      <c r="H772">
        <v>699</v>
      </c>
      <c r="I772">
        <v>1064</v>
      </c>
      <c r="J772">
        <v>-365</v>
      </c>
    </row>
    <row r="773" spans="1:13" x14ac:dyDescent="0.25">
      <c r="A773">
        <v>39</v>
      </c>
      <c r="B773" t="s">
        <v>32</v>
      </c>
      <c r="C773" t="s">
        <v>23</v>
      </c>
      <c r="D773">
        <v>95</v>
      </c>
      <c r="E773">
        <v>67</v>
      </c>
      <c r="F773">
        <v>0.58599999999999997</v>
      </c>
      <c r="G773">
        <v>0</v>
      </c>
      <c r="H773">
        <v>964</v>
      </c>
      <c r="I773">
        <v>749</v>
      </c>
      <c r="J773">
        <v>215</v>
      </c>
      <c r="L773">
        <v>1</v>
      </c>
    </row>
    <row r="774" spans="1:13" x14ac:dyDescent="0.25">
      <c r="A774">
        <v>39</v>
      </c>
      <c r="B774" t="s">
        <v>32</v>
      </c>
      <c r="C774" t="s">
        <v>24</v>
      </c>
      <c r="D774">
        <v>94</v>
      </c>
      <c r="E774">
        <v>68</v>
      </c>
      <c r="F774">
        <v>0.57999999999999996</v>
      </c>
      <c r="G774">
        <v>1</v>
      </c>
      <c r="H774">
        <v>834</v>
      </c>
      <c r="I774">
        <v>797</v>
      </c>
      <c r="J774">
        <v>37</v>
      </c>
    </row>
    <row r="775" spans="1:13" x14ac:dyDescent="0.25">
      <c r="A775">
        <v>39</v>
      </c>
      <c r="B775" t="s">
        <v>32</v>
      </c>
      <c r="C775" t="s">
        <v>25</v>
      </c>
      <c r="D775">
        <v>79</v>
      </c>
      <c r="E775">
        <v>83</v>
      </c>
      <c r="F775">
        <v>0.48799999999999999</v>
      </c>
      <c r="G775">
        <v>16</v>
      </c>
      <c r="H775">
        <v>863</v>
      </c>
      <c r="I775">
        <v>895</v>
      </c>
      <c r="J775">
        <v>-32</v>
      </c>
    </row>
    <row r="776" spans="1:13" x14ac:dyDescent="0.25">
      <c r="A776">
        <v>39</v>
      </c>
      <c r="B776" t="s">
        <v>32</v>
      </c>
      <c r="C776" t="s">
        <v>26</v>
      </c>
      <c r="D776">
        <v>68</v>
      </c>
      <c r="E776">
        <v>94</v>
      </c>
      <c r="F776">
        <v>0.42</v>
      </c>
      <c r="G776">
        <v>27</v>
      </c>
      <c r="H776">
        <v>682</v>
      </c>
      <c r="I776">
        <v>817</v>
      </c>
      <c r="J776">
        <v>-135</v>
      </c>
    </row>
    <row r="777" spans="1:13" x14ac:dyDescent="0.25">
      <c r="A777">
        <v>39</v>
      </c>
      <c r="B777" t="s">
        <v>32</v>
      </c>
      <c r="C777" t="s">
        <v>27</v>
      </c>
      <c r="D777">
        <v>52</v>
      </c>
      <c r="E777">
        <v>110</v>
      </c>
      <c r="F777">
        <v>0.32100000000000001</v>
      </c>
      <c r="G777">
        <v>43</v>
      </c>
      <c r="H777">
        <v>706</v>
      </c>
      <c r="I777">
        <v>1056</v>
      </c>
      <c r="J777">
        <v>-350</v>
      </c>
    </row>
    <row r="778" spans="1:13" x14ac:dyDescent="0.25">
      <c r="A778">
        <v>39</v>
      </c>
      <c r="B778" t="s">
        <v>29</v>
      </c>
      <c r="C778" t="s">
        <v>8</v>
      </c>
      <c r="D778">
        <v>98</v>
      </c>
      <c r="E778">
        <v>64</v>
      </c>
      <c r="F778">
        <v>0.60499999999999998</v>
      </c>
      <c r="G778">
        <v>0</v>
      </c>
      <c r="H778">
        <v>873</v>
      </c>
      <c r="I778">
        <v>627</v>
      </c>
      <c r="J778">
        <v>246</v>
      </c>
      <c r="L778">
        <v>1</v>
      </c>
    </row>
    <row r="779" spans="1:13" x14ac:dyDescent="0.25">
      <c r="A779">
        <v>39</v>
      </c>
      <c r="B779" t="s">
        <v>29</v>
      </c>
      <c r="C779" t="s">
        <v>9</v>
      </c>
      <c r="D779">
        <v>97</v>
      </c>
      <c r="E779">
        <v>65</v>
      </c>
      <c r="F779">
        <v>0.59899999999999998</v>
      </c>
      <c r="G779">
        <v>1</v>
      </c>
      <c r="H779">
        <v>1000</v>
      </c>
      <c r="I779">
        <v>829</v>
      </c>
      <c r="J779">
        <v>171</v>
      </c>
      <c r="M779">
        <v>1</v>
      </c>
    </row>
    <row r="780" spans="1:13" x14ac:dyDescent="0.25">
      <c r="A780">
        <v>39</v>
      </c>
      <c r="B780" t="s">
        <v>29</v>
      </c>
      <c r="C780" t="s">
        <v>10</v>
      </c>
      <c r="D780">
        <v>97</v>
      </c>
      <c r="E780">
        <v>65</v>
      </c>
      <c r="F780">
        <v>0.59899999999999998</v>
      </c>
      <c r="G780">
        <v>1</v>
      </c>
      <c r="H780">
        <v>976</v>
      </c>
      <c r="I780">
        <v>748</v>
      </c>
      <c r="J780">
        <v>228</v>
      </c>
      <c r="M780">
        <v>1</v>
      </c>
    </row>
    <row r="781" spans="1:13" x14ac:dyDescent="0.25">
      <c r="A781">
        <v>39</v>
      </c>
      <c r="B781" t="s">
        <v>29</v>
      </c>
      <c r="C781" t="s">
        <v>11</v>
      </c>
      <c r="D781">
        <v>88</v>
      </c>
      <c r="E781">
        <v>74</v>
      </c>
      <c r="F781">
        <v>0.54300000000000004</v>
      </c>
      <c r="G781">
        <v>10</v>
      </c>
      <c r="H781">
        <v>866</v>
      </c>
      <c r="I781">
        <v>794</v>
      </c>
      <c r="J781">
        <v>72</v>
      </c>
    </row>
    <row r="782" spans="1:13" x14ac:dyDescent="0.25">
      <c r="A782">
        <v>39</v>
      </c>
      <c r="B782" t="s">
        <v>29</v>
      </c>
      <c r="C782" t="s">
        <v>12</v>
      </c>
      <c r="D782">
        <v>76</v>
      </c>
      <c r="E782">
        <v>86</v>
      </c>
      <c r="F782">
        <v>0.46899999999999997</v>
      </c>
      <c r="G782">
        <v>22</v>
      </c>
      <c r="H782">
        <v>831</v>
      </c>
      <c r="I782">
        <v>837</v>
      </c>
      <c r="J782">
        <v>-6</v>
      </c>
    </row>
    <row r="783" spans="1:13" x14ac:dyDescent="0.25">
      <c r="A783">
        <v>40</v>
      </c>
      <c r="B783" t="s">
        <v>31</v>
      </c>
      <c r="C783" t="s">
        <v>18</v>
      </c>
      <c r="D783">
        <v>106</v>
      </c>
      <c r="E783">
        <v>56</v>
      </c>
      <c r="F783">
        <v>0.65400000000000003</v>
      </c>
      <c r="G783">
        <v>0</v>
      </c>
      <c r="H783">
        <v>1070</v>
      </c>
      <c r="I783">
        <v>775</v>
      </c>
      <c r="J783">
        <v>295</v>
      </c>
      <c r="K783">
        <v>1</v>
      </c>
    </row>
    <row r="784" spans="1:13" x14ac:dyDescent="0.25">
      <c r="A784">
        <v>40</v>
      </c>
      <c r="B784" t="s">
        <v>31</v>
      </c>
      <c r="C784" t="s">
        <v>19</v>
      </c>
      <c r="D784">
        <v>105</v>
      </c>
      <c r="E784">
        <v>57</v>
      </c>
      <c r="F784">
        <v>0.64800000000000002</v>
      </c>
      <c r="G784">
        <v>1</v>
      </c>
      <c r="H784">
        <v>1036</v>
      </c>
      <c r="I784">
        <v>804</v>
      </c>
      <c r="J784">
        <v>232</v>
      </c>
      <c r="M784">
        <v>1</v>
      </c>
    </row>
    <row r="785" spans="1:13" x14ac:dyDescent="0.25">
      <c r="A785">
        <v>40</v>
      </c>
      <c r="B785" t="s">
        <v>31</v>
      </c>
      <c r="C785" t="s">
        <v>20</v>
      </c>
      <c r="D785">
        <v>77</v>
      </c>
      <c r="E785">
        <v>85</v>
      </c>
      <c r="F785">
        <v>0.47499999999999998</v>
      </c>
      <c r="G785">
        <v>29</v>
      </c>
      <c r="H785">
        <v>1000</v>
      </c>
      <c r="I785">
        <v>995</v>
      </c>
      <c r="J785">
        <v>5</v>
      </c>
    </row>
    <row r="786" spans="1:13" x14ac:dyDescent="0.25">
      <c r="A786">
        <v>40</v>
      </c>
      <c r="B786" t="s">
        <v>31</v>
      </c>
      <c r="C786" t="s">
        <v>21</v>
      </c>
      <c r="D786">
        <v>76</v>
      </c>
      <c r="E786">
        <v>86</v>
      </c>
      <c r="F786">
        <v>0.46899999999999997</v>
      </c>
      <c r="G786">
        <v>30</v>
      </c>
      <c r="H786">
        <v>855</v>
      </c>
      <c r="I786">
        <v>976</v>
      </c>
      <c r="J786">
        <v>-121</v>
      </c>
    </row>
    <row r="787" spans="1:13" x14ac:dyDescent="0.25">
      <c r="A787">
        <v>40</v>
      </c>
      <c r="B787" t="s">
        <v>31</v>
      </c>
      <c r="C787" t="s">
        <v>22</v>
      </c>
      <c r="D787">
        <v>54</v>
      </c>
      <c r="E787">
        <v>108</v>
      </c>
      <c r="F787">
        <v>0.33300000000000002</v>
      </c>
      <c r="G787">
        <v>52</v>
      </c>
      <c r="H787">
        <v>763</v>
      </c>
      <c r="I787">
        <v>1006</v>
      </c>
      <c r="J787">
        <v>-243</v>
      </c>
    </row>
    <row r="788" spans="1:13" x14ac:dyDescent="0.25">
      <c r="A788">
        <v>40</v>
      </c>
      <c r="B788" t="s">
        <v>30</v>
      </c>
      <c r="C788" t="s">
        <v>13</v>
      </c>
      <c r="D788">
        <v>101</v>
      </c>
      <c r="E788">
        <v>61</v>
      </c>
      <c r="F788">
        <v>0.623</v>
      </c>
      <c r="G788">
        <v>0</v>
      </c>
      <c r="H788">
        <v>959</v>
      </c>
      <c r="I788">
        <v>740</v>
      </c>
      <c r="J788">
        <v>219</v>
      </c>
      <c r="L788">
        <v>1</v>
      </c>
    </row>
    <row r="789" spans="1:13" x14ac:dyDescent="0.25">
      <c r="A789">
        <v>40</v>
      </c>
      <c r="B789" t="s">
        <v>30</v>
      </c>
      <c r="C789" t="s">
        <v>15</v>
      </c>
      <c r="D789">
        <v>74</v>
      </c>
      <c r="E789">
        <v>88</v>
      </c>
      <c r="F789">
        <v>0.45700000000000002</v>
      </c>
      <c r="G789">
        <v>27</v>
      </c>
      <c r="H789">
        <v>1031</v>
      </c>
      <c r="I789">
        <v>1128</v>
      </c>
      <c r="J789">
        <v>-97</v>
      </c>
    </row>
    <row r="790" spans="1:13" x14ac:dyDescent="0.25">
      <c r="A790">
        <v>40</v>
      </c>
      <c r="B790" t="s">
        <v>30</v>
      </c>
      <c r="C790" t="s">
        <v>14</v>
      </c>
      <c r="D790">
        <v>62</v>
      </c>
      <c r="E790">
        <v>100</v>
      </c>
      <c r="F790">
        <v>0.38300000000000001</v>
      </c>
      <c r="G790">
        <v>39</v>
      </c>
      <c r="H790">
        <v>750</v>
      </c>
      <c r="I790">
        <v>903</v>
      </c>
      <c r="J790">
        <v>-153</v>
      </c>
    </row>
    <row r="791" spans="1:13" x14ac:dyDescent="0.25">
      <c r="A791">
        <v>40</v>
      </c>
      <c r="B791" t="s">
        <v>30</v>
      </c>
      <c r="C791" t="s">
        <v>16</v>
      </c>
      <c r="D791">
        <v>62</v>
      </c>
      <c r="E791">
        <v>100</v>
      </c>
      <c r="F791">
        <v>0.38300000000000001</v>
      </c>
      <c r="G791">
        <v>39</v>
      </c>
      <c r="H791">
        <v>825</v>
      </c>
      <c r="I791">
        <v>997</v>
      </c>
      <c r="J791">
        <v>-172</v>
      </c>
    </row>
    <row r="792" spans="1:13" x14ac:dyDescent="0.25">
      <c r="A792">
        <v>40</v>
      </c>
      <c r="B792" t="s">
        <v>30</v>
      </c>
      <c r="C792" t="s">
        <v>17</v>
      </c>
      <c r="D792">
        <v>44</v>
      </c>
      <c r="E792">
        <v>118</v>
      </c>
      <c r="F792">
        <v>0.27200000000000002</v>
      </c>
      <c r="G792">
        <v>57</v>
      </c>
      <c r="H792">
        <v>680</v>
      </c>
      <c r="I792">
        <v>1075</v>
      </c>
      <c r="J792">
        <v>-395</v>
      </c>
    </row>
    <row r="793" spans="1:13" x14ac:dyDescent="0.25">
      <c r="A793">
        <v>40</v>
      </c>
      <c r="B793" t="s">
        <v>32</v>
      </c>
      <c r="C793" t="s">
        <v>23</v>
      </c>
      <c r="D793">
        <v>100</v>
      </c>
      <c r="E793">
        <v>62</v>
      </c>
      <c r="F793">
        <v>0.61699999999999999</v>
      </c>
      <c r="G793">
        <v>0</v>
      </c>
      <c r="H793">
        <v>967</v>
      </c>
      <c r="I793">
        <v>745</v>
      </c>
      <c r="J793">
        <v>222</v>
      </c>
      <c r="L793">
        <v>1</v>
      </c>
    </row>
    <row r="794" spans="1:13" x14ac:dyDescent="0.25">
      <c r="A794">
        <v>40</v>
      </c>
      <c r="B794" t="s">
        <v>32</v>
      </c>
      <c r="C794" t="s">
        <v>24</v>
      </c>
      <c r="D794">
        <v>92</v>
      </c>
      <c r="E794">
        <v>70</v>
      </c>
      <c r="F794">
        <v>0.56799999999999995</v>
      </c>
      <c r="G794">
        <v>8</v>
      </c>
      <c r="H794">
        <v>847</v>
      </c>
      <c r="I794">
        <v>775</v>
      </c>
      <c r="J794">
        <v>72</v>
      </c>
    </row>
    <row r="795" spans="1:13" x14ac:dyDescent="0.25">
      <c r="A795">
        <v>40</v>
      </c>
      <c r="B795" t="s">
        <v>32</v>
      </c>
      <c r="C795" t="s">
        <v>26</v>
      </c>
      <c r="D795">
        <v>75</v>
      </c>
      <c r="E795">
        <v>87</v>
      </c>
      <c r="F795">
        <v>0.46300000000000002</v>
      </c>
      <c r="G795">
        <v>25</v>
      </c>
      <c r="H795">
        <v>779</v>
      </c>
      <c r="I795">
        <v>909</v>
      </c>
      <c r="J795">
        <v>-130</v>
      </c>
    </row>
    <row r="796" spans="1:13" x14ac:dyDescent="0.25">
      <c r="A796">
        <v>40</v>
      </c>
      <c r="B796" t="s">
        <v>32</v>
      </c>
      <c r="C796" t="s">
        <v>25</v>
      </c>
      <c r="D796">
        <v>69</v>
      </c>
      <c r="E796">
        <v>93</v>
      </c>
      <c r="F796">
        <v>0.42599999999999999</v>
      </c>
      <c r="G796">
        <v>31</v>
      </c>
      <c r="H796">
        <v>742</v>
      </c>
      <c r="I796">
        <v>894</v>
      </c>
      <c r="J796">
        <v>-152</v>
      </c>
    </row>
    <row r="797" spans="1:13" x14ac:dyDescent="0.25">
      <c r="A797">
        <v>40</v>
      </c>
      <c r="B797" t="s">
        <v>32</v>
      </c>
      <c r="C797" t="s">
        <v>27</v>
      </c>
      <c r="D797">
        <v>60</v>
      </c>
      <c r="E797">
        <v>102</v>
      </c>
      <c r="F797">
        <v>0.37</v>
      </c>
      <c r="G797">
        <v>40</v>
      </c>
      <c r="H797">
        <v>726</v>
      </c>
      <c r="I797">
        <v>911</v>
      </c>
      <c r="J797">
        <v>-185</v>
      </c>
    </row>
    <row r="798" spans="1:13" x14ac:dyDescent="0.25">
      <c r="A798">
        <v>40</v>
      </c>
      <c r="B798" t="s">
        <v>29</v>
      </c>
      <c r="C798" t="s">
        <v>8</v>
      </c>
      <c r="D798">
        <v>104</v>
      </c>
      <c r="E798">
        <v>58</v>
      </c>
      <c r="F798">
        <v>0.64200000000000002</v>
      </c>
      <c r="G798">
        <v>0</v>
      </c>
      <c r="H798">
        <v>909</v>
      </c>
      <c r="I798">
        <v>662</v>
      </c>
      <c r="J798">
        <v>247</v>
      </c>
      <c r="K798">
        <v>1</v>
      </c>
    </row>
    <row r="799" spans="1:13" x14ac:dyDescent="0.25">
      <c r="A799">
        <v>40</v>
      </c>
      <c r="B799" t="s">
        <v>29</v>
      </c>
      <c r="C799" t="s">
        <v>10</v>
      </c>
      <c r="D799">
        <v>103</v>
      </c>
      <c r="E799">
        <v>59</v>
      </c>
      <c r="F799">
        <v>0.63600000000000001</v>
      </c>
      <c r="G799">
        <v>1</v>
      </c>
      <c r="H799">
        <v>1030</v>
      </c>
      <c r="I799">
        <v>793</v>
      </c>
      <c r="J799">
        <v>237</v>
      </c>
      <c r="M799">
        <v>1</v>
      </c>
    </row>
    <row r="800" spans="1:13" x14ac:dyDescent="0.25">
      <c r="A800">
        <v>40</v>
      </c>
      <c r="B800" t="s">
        <v>29</v>
      </c>
      <c r="C800" t="s">
        <v>11</v>
      </c>
      <c r="D800">
        <v>94</v>
      </c>
      <c r="E800">
        <v>68</v>
      </c>
      <c r="F800">
        <v>0.57999999999999996</v>
      </c>
      <c r="G800">
        <v>10</v>
      </c>
      <c r="H800">
        <v>861</v>
      </c>
      <c r="I800">
        <v>772</v>
      </c>
      <c r="J800">
        <v>89</v>
      </c>
    </row>
    <row r="801" spans="1:10" x14ac:dyDescent="0.25">
      <c r="A801">
        <v>40</v>
      </c>
      <c r="B801" t="s">
        <v>29</v>
      </c>
      <c r="C801" t="s">
        <v>9</v>
      </c>
      <c r="D801">
        <v>84</v>
      </c>
      <c r="E801">
        <v>78</v>
      </c>
      <c r="F801">
        <v>0.51900000000000002</v>
      </c>
      <c r="G801">
        <v>20</v>
      </c>
      <c r="H801">
        <v>976</v>
      </c>
      <c r="I801">
        <v>932</v>
      </c>
      <c r="J801">
        <v>44</v>
      </c>
    </row>
    <row r="802" spans="1:10" x14ac:dyDescent="0.25">
      <c r="A802">
        <v>40</v>
      </c>
      <c r="B802" t="s">
        <v>29</v>
      </c>
      <c r="C802" t="s">
        <v>12</v>
      </c>
      <c r="D802">
        <v>78</v>
      </c>
      <c r="E802">
        <v>84</v>
      </c>
      <c r="F802">
        <v>0.48099999999999998</v>
      </c>
      <c r="G802">
        <v>26</v>
      </c>
      <c r="H802">
        <v>869</v>
      </c>
      <c r="I802">
        <v>883</v>
      </c>
      <c r="J802">
        <v>-14</v>
      </c>
    </row>
  </sheetData>
  <autoFilter ref="A2:M802"/>
  <sortState ref="A3:M802">
    <sortCondition ref="A535"/>
  </sortState>
  <mergeCells count="2">
    <mergeCell ref="Y1:AA1"/>
    <mergeCell ref="K1:M1"/>
  </mergeCells>
  <conditionalFormatting sqref="A3:M802">
    <cfRule type="expression" dxfId="7" priority="1">
      <formula>MOD($A3,2)=0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"/>
  <sheetViews>
    <sheetView topLeftCell="H1" workbookViewId="0">
      <selection activeCell="Z13" sqref="Z13"/>
    </sheetView>
  </sheetViews>
  <sheetFormatPr defaultRowHeight="15" x14ac:dyDescent="0.25"/>
  <cols>
    <col min="3" max="3" width="26.28515625" bestFit="1" customWidth="1"/>
  </cols>
  <sheetData>
    <row r="1" spans="1:10" x14ac:dyDescent="0.25">
      <c r="A1" t="s">
        <v>33</v>
      </c>
      <c r="B1" t="s">
        <v>40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28</v>
      </c>
      <c r="C2" t="s">
        <v>17</v>
      </c>
      <c r="D2">
        <v>47</v>
      </c>
      <c r="E2">
        <v>115</v>
      </c>
      <c r="F2">
        <v>0.28999999999999998</v>
      </c>
      <c r="G2">
        <v>67</v>
      </c>
      <c r="H2">
        <v>648</v>
      </c>
      <c r="I2">
        <v>1050</v>
      </c>
      <c r="J2">
        <v>-402</v>
      </c>
    </row>
    <row r="3" spans="1:10" x14ac:dyDescent="0.25">
      <c r="A3">
        <v>28</v>
      </c>
      <c r="C3" t="s">
        <v>8</v>
      </c>
      <c r="D3">
        <v>107</v>
      </c>
      <c r="E3">
        <v>55</v>
      </c>
      <c r="F3">
        <v>0.66</v>
      </c>
      <c r="G3">
        <v>0</v>
      </c>
      <c r="H3">
        <v>950</v>
      </c>
      <c r="I3">
        <v>702</v>
      </c>
      <c r="J3">
        <v>248</v>
      </c>
    </row>
    <row r="4" spans="1:10" x14ac:dyDescent="0.25">
      <c r="A4">
        <v>28</v>
      </c>
      <c r="C4" t="s">
        <v>9</v>
      </c>
      <c r="D4">
        <v>91</v>
      </c>
      <c r="E4">
        <v>71</v>
      </c>
      <c r="F4">
        <v>0.56200000000000006</v>
      </c>
      <c r="G4">
        <v>16</v>
      </c>
      <c r="H4">
        <v>1002</v>
      </c>
      <c r="I4">
        <v>915</v>
      </c>
      <c r="J4">
        <v>87</v>
      </c>
    </row>
    <row r="5" spans="1:10" x14ac:dyDescent="0.25">
      <c r="A5">
        <v>28</v>
      </c>
      <c r="C5" t="s">
        <v>11</v>
      </c>
      <c r="D5">
        <v>86</v>
      </c>
      <c r="E5">
        <v>76</v>
      </c>
      <c r="F5">
        <v>0.53100000000000003</v>
      </c>
      <c r="G5">
        <v>21</v>
      </c>
      <c r="H5">
        <v>886</v>
      </c>
      <c r="I5">
        <v>768</v>
      </c>
      <c r="J5">
        <v>118</v>
      </c>
    </row>
    <row r="6" spans="1:10" x14ac:dyDescent="0.25">
      <c r="A6">
        <v>28</v>
      </c>
      <c r="C6" t="s">
        <v>10</v>
      </c>
      <c r="D6">
        <v>84</v>
      </c>
      <c r="E6">
        <v>78</v>
      </c>
      <c r="F6">
        <v>0.51900000000000002</v>
      </c>
      <c r="G6">
        <v>23</v>
      </c>
      <c r="H6">
        <v>935</v>
      </c>
      <c r="I6">
        <v>851</v>
      </c>
      <c r="J6">
        <v>84</v>
      </c>
    </row>
    <row r="7" spans="1:10" x14ac:dyDescent="0.25">
      <c r="A7">
        <v>28</v>
      </c>
      <c r="C7" t="s">
        <v>12</v>
      </c>
      <c r="D7">
        <v>71</v>
      </c>
      <c r="E7">
        <v>91</v>
      </c>
      <c r="F7">
        <v>0.438</v>
      </c>
      <c r="G7">
        <v>36</v>
      </c>
      <c r="H7">
        <v>842</v>
      </c>
      <c r="I7">
        <v>910</v>
      </c>
      <c r="J7">
        <v>-68</v>
      </c>
    </row>
    <row r="8" spans="1:10" x14ac:dyDescent="0.25">
      <c r="A8">
        <v>28</v>
      </c>
      <c r="C8" t="s">
        <v>13</v>
      </c>
      <c r="D8">
        <v>114</v>
      </c>
      <c r="E8">
        <v>48</v>
      </c>
      <c r="F8">
        <v>0.70399999999999996</v>
      </c>
      <c r="G8">
        <v>0</v>
      </c>
      <c r="H8">
        <v>1015</v>
      </c>
      <c r="I8">
        <v>638</v>
      </c>
      <c r="J8">
        <v>377</v>
      </c>
    </row>
    <row r="9" spans="1:10" x14ac:dyDescent="0.25">
      <c r="A9">
        <v>28</v>
      </c>
      <c r="C9" t="s">
        <v>15</v>
      </c>
      <c r="D9">
        <v>77</v>
      </c>
      <c r="E9">
        <v>85</v>
      </c>
      <c r="F9">
        <v>0.47499999999999998</v>
      </c>
      <c r="G9">
        <v>37</v>
      </c>
      <c r="H9">
        <v>1040</v>
      </c>
      <c r="I9">
        <v>1108</v>
      </c>
      <c r="J9">
        <v>-68</v>
      </c>
    </row>
    <row r="10" spans="1:10" x14ac:dyDescent="0.25">
      <c r="A10">
        <v>28</v>
      </c>
      <c r="C10" t="s">
        <v>18</v>
      </c>
      <c r="D10">
        <v>113</v>
      </c>
      <c r="E10">
        <v>49</v>
      </c>
      <c r="F10">
        <v>0.69799999999999995</v>
      </c>
      <c r="G10">
        <v>0</v>
      </c>
      <c r="H10">
        <v>1065</v>
      </c>
      <c r="I10">
        <v>726</v>
      </c>
      <c r="J10">
        <v>339</v>
      </c>
    </row>
    <row r="11" spans="1:10" x14ac:dyDescent="0.25">
      <c r="A11">
        <v>28</v>
      </c>
      <c r="C11" t="s">
        <v>14</v>
      </c>
      <c r="D11">
        <v>68</v>
      </c>
      <c r="E11">
        <v>94</v>
      </c>
      <c r="F11">
        <v>0.42</v>
      </c>
      <c r="G11">
        <v>46</v>
      </c>
      <c r="H11">
        <v>777</v>
      </c>
      <c r="I11">
        <v>834</v>
      </c>
      <c r="J11">
        <v>-57</v>
      </c>
    </row>
    <row r="12" spans="1:10" x14ac:dyDescent="0.25">
      <c r="A12">
        <v>28</v>
      </c>
      <c r="C12" t="s">
        <v>23</v>
      </c>
      <c r="D12">
        <v>108</v>
      </c>
      <c r="E12">
        <v>54</v>
      </c>
      <c r="F12">
        <v>0.66700000000000004</v>
      </c>
      <c r="G12">
        <v>0</v>
      </c>
      <c r="H12">
        <v>968</v>
      </c>
      <c r="I12">
        <v>723</v>
      </c>
      <c r="J12">
        <v>245</v>
      </c>
    </row>
    <row r="13" spans="1:10" x14ac:dyDescent="0.25">
      <c r="A13">
        <v>28</v>
      </c>
      <c r="C13" t="s">
        <v>27</v>
      </c>
      <c r="D13">
        <v>49</v>
      </c>
      <c r="E13">
        <v>113</v>
      </c>
      <c r="F13">
        <v>0.30199999999999999</v>
      </c>
      <c r="G13">
        <v>59</v>
      </c>
      <c r="H13">
        <v>761</v>
      </c>
      <c r="I13">
        <v>1107</v>
      </c>
      <c r="J13">
        <v>-346</v>
      </c>
    </row>
    <row r="14" spans="1:10" x14ac:dyDescent="0.25">
      <c r="A14">
        <v>28</v>
      </c>
      <c r="C14" t="s">
        <v>26</v>
      </c>
      <c r="D14">
        <v>72</v>
      </c>
      <c r="E14">
        <v>90</v>
      </c>
      <c r="F14">
        <v>0.44400000000000001</v>
      </c>
      <c r="G14">
        <v>36</v>
      </c>
      <c r="H14">
        <v>799</v>
      </c>
      <c r="I14">
        <v>935</v>
      </c>
      <c r="J14">
        <v>-136</v>
      </c>
    </row>
    <row r="15" spans="1:10" x14ac:dyDescent="0.25">
      <c r="A15">
        <v>28</v>
      </c>
      <c r="C15" t="s">
        <v>19</v>
      </c>
      <c r="D15">
        <v>103</v>
      </c>
      <c r="E15">
        <v>59</v>
      </c>
      <c r="F15">
        <v>0.63600000000000001</v>
      </c>
      <c r="G15">
        <v>10</v>
      </c>
      <c r="H15">
        <v>1034</v>
      </c>
      <c r="I15">
        <v>817</v>
      </c>
      <c r="J15">
        <v>217</v>
      </c>
    </row>
    <row r="16" spans="1:10" x14ac:dyDescent="0.25">
      <c r="A16">
        <v>28</v>
      </c>
      <c r="C16" t="s">
        <v>20</v>
      </c>
      <c r="D16">
        <v>80</v>
      </c>
      <c r="E16">
        <v>82</v>
      </c>
      <c r="F16">
        <v>0.49399999999999999</v>
      </c>
      <c r="G16">
        <v>33</v>
      </c>
      <c r="H16">
        <v>908</v>
      </c>
      <c r="I16">
        <v>876</v>
      </c>
      <c r="J16">
        <v>32</v>
      </c>
    </row>
    <row r="17" spans="1:10" x14ac:dyDescent="0.25">
      <c r="A17">
        <v>28</v>
      </c>
      <c r="C17" t="s">
        <v>21</v>
      </c>
      <c r="D17">
        <v>67</v>
      </c>
      <c r="E17">
        <v>95</v>
      </c>
      <c r="F17">
        <v>0.41399999999999998</v>
      </c>
      <c r="G17">
        <v>46</v>
      </c>
      <c r="H17">
        <v>812</v>
      </c>
      <c r="I17">
        <v>1025</v>
      </c>
      <c r="J17">
        <v>-213</v>
      </c>
    </row>
    <row r="18" spans="1:10" x14ac:dyDescent="0.25">
      <c r="A18">
        <v>28</v>
      </c>
      <c r="C18" t="s">
        <v>22</v>
      </c>
      <c r="D18">
        <v>50</v>
      </c>
      <c r="E18">
        <v>112</v>
      </c>
      <c r="F18">
        <v>0.309</v>
      </c>
      <c r="G18">
        <v>63</v>
      </c>
      <c r="H18">
        <v>814</v>
      </c>
      <c r="I18">
        <v>1060</v>
      </c>
      <c r="J18">
        <v>-246</v>
      </c>
    </row>
    <row r="19" spans="1:10" x14ac:dyDescent="0.25">
      <c r="A19">
        <v>28</v>
      </c>
      <c r="C19" t="s">
        <v>25</v>
      </c>
      <c r="D19">
        <v>81</v>
      </c>
      <c r="E19">
        <v>81</v>
      </c>
      <c r="F19">
        <v>0.5</v>
      </c>
      <c r="G19">
        <v>27</v>
      </c>
      <c r="H19">
        <v>775</v>
      </c>
      <c r="I19">
        <v>833</v>
      </c>
      <c r="J19">
        <v>-58</v>
      </c>
    </row>
    <row r="20" spans="1:10" x14ac:dyDescent="0.25">
      <c r="A20">
        <v>28</v>
      </c>
      <c r="C20" t="s">
        <v>24</v>
      </c>
      <c r="D20">
        <v>83</v>
      </c>
      <c r="E20">
        <v>79</v>
      </c>
      <c r="F20">
        <v>0.51200000000000001</v>
      </c>
      <c r="G20">
        <v>25</v>
      </c>
      <c r="H20">
        <v>858</v>
      </c>
      <c r="I20">
        <v>852</v>
      </c>
      <c r="J20">
        <v>6</v>
      </c>
    </row>
    <row r="21" spans="1:10" x14ac:dyDescent="0.25">
      <c r="A21">
        <v>28</v>
      </c>
      <c r="C21" t="s">
        <v>16</v>
      </c>
      <c r="D21">
        <v>69</v>
      </c>
      <c r="E21">
        <v>93</v>
      </c>
      <c r="F21">
        <v>0.42599999999999999</v>
      </c>
      <c r="G21">
        <v>45</v>
      </c>
      <c r="H21">
        <v>809</v>
      </c>
      <c r="I21">
        <v>968</v>
      </c>
      <c r="J21">
        <v>-159</v>
      </c>
    </row>
    <row r="22" spans="1:10" x14ac:dyDescent="0.25">
      <c r="A22">
        <v>29</v>
      </c>
      <c r="C22" t="s">
        <v>25</v>
      </c>
      <c r="D22">
        <v>75</v>
      </c>
      <c r="E22">
        <v>87</v>
      </c>
      <c r="F22">
        <v>0.46300000000000002</v>
      </c>
      <c r="G22">
        <v>24</v>
      </c>
      <c r="H22">
        <v>821</v>
      </c>
      <c r="I22">
        <v>868</v>
      </c>
      <c r="J22">
        <v>-47</v>
      </c>
    </row>
    <row r="23" spans="1:10" x14ac:dyDescent="0.25">
      <c r="A23">
        <v>29</v>
      </c>
      <c r="C23" t="s">
        <v>16</v>
      </c>
      <c r="D23">
        <v>71</v>
      </c>
      <c r="E23">
        <v>91</v>
      </c>
      <c r="F23">
        <v>0.438</v>
      </c>
      <c r="G23">
        <v>48</v>
      </c>
      <c r="H23">
        <v>872</v>
      </c>
      <c r="I23">
        <v>934</v>
      </c>
      <c r="J23">
        <v>-62</v>
      </c>
    </row>
    <row r="24" spans="1:10" x14ac:dyDescent="0.25">
      <c r="A24">
        <v>29</v>
      </c>
      <c r="C24" t="s">
        <v>27</v>
      </c>
      <c r="D24">
        <v>61</v>
      </c>
      <c r="E24">
        <v>101</v>
      </c>
      <c r="F24">
        <v>0.377</v>
      </c>
      <c r="G24">
        <v>38</v>
      </c>
      <c r="H24">
        <v>793</v>
      </c>
      <c r="I24">
        <v>1032</v>
      </c>
      <c r="J24">
        <v>-239</v>
      </c>
    </row>
    <row r="25" spans="1:10" x14ac:dyDescent="0.25">
      <c r="A25">
        <v>29</v>
      </c>
      <c r="C25" t="s">
        <v>22</v>
      </c>
      <c r="D25">
        <v>57</v>
      </c>
      <c r="E25">
        <v>105</v>
      </c>
      <c r="F25">
        <v>0.35199999999999998</v>
      </c>
      <c r="G25">
        <v>57</v>
      </c>
      <c r="H25">
        <v>802</v>
      </c>
      <c r="I25">
        <v>1114</v>
      </c>
      <c r="J25">
        <v>-312</v>
      </c>
    </row>
    <row r="26" spans="1:10" x14ac:dyDescent="0.25">
      <c r="A26">
        <v>29</v>
      </c>
      <c r="C26" t="s">
        <v>21</v>
      </c>
      <c r="D26">
        <v>59</v>
      </c>
      <c r="E26">
        <v>103</v>
      </c>
      <c r="F26">
        <v>0.36399999999999999</v>
      </c>
      <c r="G26">
        <v>55</v>
      </c>
      <c r="H26">
        <v>805</v>
      </c>
      <c r="I26">
        <v>1028</v>
      </c>
      <c r="J26">
        <v>-223</v>
      </c>
    </row>
    <row r="27" spans="1:10" x14ac:dyDescent="0.25">
      <c r="A27">
        <v>29</v>
      </c>
      <c r="C27" t="s">
        <v>20</v>
      </c>
      <c r="D27">
        <v>91</v>
      </c>
      <c r="E27">
        <v>71</v>
      </c>
      <c r="F27">
        <v>0.56200000000000006</v>
      </c>
      <c r="G27">
        <v>23</v>
      </c>
      <c r="H27">
        <v>949</v>
      </c>
      <c r="I27">
        <v>896</v>
      </c>
      <c r="J27">
        <v>53</v>
      </c>
    </row>
    <row r="28" spans="1:10" x14ac:dyDescent="0.25">
      <c r="A28">
        <v>29</v>
      </c>
      <c r="C28" t="s">
        <v>19</v>
      </c>
      <c r="D28">
        <v>95</v>
      </c>
      <c r="E28">
        <v>67</v>
      </c>
      <c r="F28">
        <v>0.58599999999999997</v>
      </c>
      <c r="G28">
        <v>19</v>
      </c>
      <c r="H28">
        <v>959</v>
      </c>
      <c r="I28">
        <v>820</v>
      </c>
      <c r="J28">
        <v>139</v>
      </c>
    </row>
    <row r="29" spans="1:10" x14ac:dyDescent="0.25">
      <c r="A29">
        <v>29</v>
      </c>
      <c r="C29" t="s">
        <v>18</v>
      </c>
      <c r="D29">
        <v>114</v>
      </c>
      <c r="E29">
        <v>48</v>
      </c>
      <c r="F29">
        <v>0.70399999999999996</v>
      </c>
      <c r="G29">
        <v>0</v>
      </c>
      <c r="H29">
        <v>1100</v>
      </c>
      <c r="I29">
        <v>727</v>
      </c>
      <c r="J29">
        <v>373</v>
      </c>
    </row>
    <row r="30" spans="1:10" x14ac:dyDescent="0.25">
      <c r="A30">
        <v>29</v>
      </c>
      <c r="C30" t="s">
        <v>24</v>
      </c>
      <c r="D30">
        <v>85</v>
      </c>
      <c r="E30">
        <v>77</v>
      </c>
      <c r="F30">
        <v>0.52500000000000002</v>
      </c>
      <c r="G30">
        <v>14</v>
      </c>
      <c r="H30">
        <v>860</v>
      </c>
      <c r="I30">
        <v>840</v>
      </c>
      <c r="J30">
        <v>20</v>
      </c>
    </row>
    <row r="31" spans="1:10" x14ac:dyDescent="0.25">
      <c r="A31">
        <v>29</v>
      </c>
      <c r="C31" t="s">
        <v>14</v>
      </c>
      <c r="D31">
        <v>69</v>
      </c>
      <c r="E31">
        <v>93</v>
      </c>
      <c r="F31">
        <v>0.42599999999999999</v>
      </c>
      <c r="G31">
        <v>50</v>
      </c>
      <c r="H31">
        <v>815</v>
      </c>
      <c r="I31">
        <v>968</v>
      </c>
      <c r="J31">
        <v>-153</v>
      </c>
    </row>
    <row r="32" spans="1:10" x14ac:dyDescent="0.25">
      <c r="A32">
        <v>29</v>
      </c>
      <c r="C32" t="s">
        <v>26</v>
      </c>
      <c r="D32">
        <v>68</v>
      </c>
      <c r="E32">
        <v>94</v>
      </c>
      <c r="F32">
        <v>0.42</v>
      </c>
      <c r="G32">
        <v>31</v>
      </c>
      <c r="H32">
        <v>762</v>
      </c>
      <c r="I32">
        <v>886</v>
      </c>
      <c r="J32">
        <v>-124</v>
      </c>
    </row>
    <row r="33" spans="1:10" x14ac:dyDescent="0.25">
      <c r="A33">
        <v>29</v>
      </c>
      <c r="C33" t="s">
        <v>15</v>
      </c>
      <c r="D33">
        <v>79</v>
      </c>
      <c r="E33">
        <v>83</v>
      </c>
      <c r="F33">
        <v>0.48799999999999999</v>
      </c>
      <c r="G33">
        <v>40</v>
      </c>
      <c r="H33">
        <v>1065</v>
      </c>
      <c r="I33">
        <v>1094</v>
      </c>
      <c r="J33">
        <v>-29</v>
      </c>
    </row>
    <row r="34" spans="1:10" x14ac:dyDescent="0.25">
      <c r="A34">
        <v>29</v>
      </c>
      <c r="C34" t="s">
        <v>13</v>
      </c>
      <c r="D34">
        <v>119</v>
      </c>
      <c r="E34">
        <v>43</v>
      </c>
      <c r="F34">
        <v>0.73499999999999999</v>
      </c>
      <c r="G34">
        <v>0</v>
      </c>
      <c r="H34">
        <v>1030</v>
      </c>
      <c r="I34">
        <v>642</v>
      </c>
      <c r="J34">
        <v>388</v>
      </c>
    </row>
    <row r="35" spans="1:10" x14ac:dyDescent="0.25">
      <c r="A35">
        <v>29</v>
      </c>
      <c r="C35" t="s">
        <v>12</v>
      </c>
      <c r="D35">
        <v>80</v>
      </c>
      <c r="E35">
        <v>82</v>
      </c>
      <c r="F35">
        <v>0.49399999999999999</v>
      </c>
      <c r="G35">
        <v>15</v>
      </c>
      <c r="H35">
        <v>902</v>
      </c>
      <c r="I35">
        <v>901</v>
      </c>
      <c r="J35">
        <v>1</v>
      </c>
    </row>
    <row r="36" spans="1:10" x14ac:dyDescent="0.25">
      <c r="A36">
        <v>29</v>
      </c>
      <c r="C36" t="s">
        <v>10</v>
      </c>
      <c r="D36">
        <v>83</v>
      </c>
      <c r="E36">
        <v>79</v>
      </c>
      <c r="F36">
        <v>0.51200000000000001</v>
      </c>
      <c r="G36">
        <v>12</v>
      </c>
      <c r="H36">
        <v>1008</v>
      </c>
      <c r="I36">
        <v>946</v>
      </c>
      <c r="J36">
        <v>62</v>
      </c>
    </row>
    <row r="37" spans="1:10" x14ac:dyDescent="0.25">
      <c r="A37">
        <v>29</v>
      </c>
      <c r="C37" t="s">
        <v>11</v>
      </c>
      <c r="D37">
        <v>84</v>
      </c>
      <c r="E37">
        <v>78</v>
      </c>
      <c r="F37">
        <v>0.51900000000000002</v>
      </c>
      <c r="G37">
        <v>11</v>
      </c>
      <c r="H37">
        <v>837</v>
      </c>
      <c r="I37">
        <v>827</v>
      </c>
      <c r="J37">
        <v>10</v>
      </c>
    </row>
    <row r="38" spans="1:10" x14ac:dyDescent="0.25">
      <c r="A38">
        <v>29</v>
      </c>
      <c r="C38" t="s">
        <v>8</v>
      </c>
      <c r="D38">
        <v>89</v>
      </c>
      <c r="E38">
        <v>73</v>
      </c>
      <c r="F38">
        <v>0.54900000000000004</v>
      </c>
      <c r="G38">
        <v>6</v>
      </c>
      <c r="H38">
        <v>875</v>
      </c>
      <c r="I38">
        <v>765</v>
      </c>
      <c r="J38">
        <v>110</v>
      </c>
    </row>
    <row r="39" spans="1:10" x14ac:dyDescent="0.25">
      <c r="A39">
        <v>29</v>
      </c>
      <c r="C39" t="s">
        <v>9</v>
      </c>
      <c r="D39">
        <v>95</v>
      </c>
      <c r="E39">
        <v>67</v>
      </c>
      <c r="F39">
        <v>0.58599999999999997</v>
      </c>
      <c r="G39">
        <v>0</v>
      </c>
      <c r="H39">
        <v>978</v>
      </c>
      <c r="I39">
        <v>878</v>
      </c>
      <c r="J39">
        <v>100</v>
      </c>
    </row>
    <row r="40" spans="1:10" x14ac:dyDescent="0.25">
      <c r="A40">
        <v>29</v>
      </c>
      <c r="C40" t="s">
        <v>17</v>
      </c>
      <c r="D40">
        <v>47</v>
      </c>
      <c r="E40">
        <v>115</v>
      </c>
      <c r="F40">
        <v>0.28999999999999998</v>
      </c>
      <c r="G40">
        <v>72</v>
      </c>
      <c r="H40">
        <v>693</v>
      </c>
      <c r="I40">
        <v>972</v>
      </c>
      <c r="J40">
        <v>-279</v>
      </c>
    </row>
    <row r="41" spans="1:10" x14ac:dyDescent="0.25">
      <c r="A41">
        <v>29</v>
      </c>
      <c r="C41" t="s">
        <v>23</v>
      </c>
      <c r="D41">
        <v>99</v>
      </c>
      <c r="E41">
        <v>63</v>
      </c>
      <c r="F41">
        <v>0.61099999999999999</v>
      </c>
      <c r="G41">
        <v>0</v>
      </c>
      <c r="H41">
        <v>960</v>
      </c>
      <c r="I41">
        <v>748</v>
      </c>
      <c r="J41">
        <v>212</v>
      </c>
    </row>
    <row r="42" spans="1:10" x14ac:dyDescent="0.25">
      <c r="A42">
        <v>30</v>
      </c>
      <c r="C42" t="s">
        <v>20</v>
      </c>
      <c r="D42">
        <v>77</v>
      </c>
      <c r="E42">
        <v>85</v>
      </c>
      <c r="F42">
        <v>0.47499999999999998</v>
      </c>
      <c r="G42">
        <v>30</v>
      </c>
      <c r="H42">
        <v>956</v>
      </c>
      <c r="I42">
        <v>914</v>
      </c>
      <c r="J42">
        <v>42</v>
      </c>
    </row>
    <row r="43" spans="1:10" x14ac:dyDescent="0.25">
      <c r="A43">
        <v>30</v>
      </c>
      <c r="C43" t="s">
        <v>14</v>
      </c>
      <c r="D43">
        <v>77</v>
      </c>
      <c r="E43">
        <v>85</v>
      </c>
      <c r="F43">
        <v>0.47499999999999998</v>
      </c>
      <c r="G43">
        <v>29</v>
      </c>
      <c r="H43">
        <v>764</v>
      </c>
      <c r="I43">
        <v>873</v>
      </c>
      <c r="J43">
        <v>-109</v>
      </c>
    </row>
    <row r="44" spans="1:10" x14ac:dyDescent="0.25">
      <c r="A44">
        <v>30</v>
      </c>
      <c r="C44" t="s">
        <v>15</v>
      </c>
      <c r="D44">
        <v>69</v>
      </c>
      <c r="E44">
        <v>93</v>
      </c>
      <c r="F44">
        <v>0.42599999999999999</v>
      </c>
      <c r="G44">
        <v>37</v>
      </c>
      <c r="H44">
        <v>1024</v>
      </c>
      <c r="I44">
        <v>1196</v>
      </c>
      <c r="J44">
        <v>-172</v>
      </c>
    </row>
    <row r="45" spans="1:10" x14ac:dyDescent="0.25">
      <c r="A45">
        <v>30</v>
      </c>
      <c r="C45" t="s">
        <v>17</v>
      </c>
      <c r="D45">
        <v>61</v>
      </c>
      <c r="E45">
        <v>101</v>
      </c>
      <c r="F45">
        <v>0.377</v>
      </c>
      <c r="G45">
        <v>45</v>
      </c>
      <c r="H45">
        <v>688</v>
      </c>
      <c r="I45">
        <v>962</v>
      </c>
      <c r="J45">
        <v>-274</v>
      </c>
    </row>
    <row r="46" spans="1:10" x14ac:dyDescent="0.25">
      <c r="A46">
        <v>30</v>
      </c>
      <c r="C46" t="s">
        <v>16</v>
      </c>
      <c r="D46">
        <v>54</v>
      </c>
      <c r="E46">
        <v>108</v>
      </c>
      <c r="F46">
        <v>0.33300000000000002</v>
      </c>
      <c r="G46">
        <v>52</v>
      </c>
      <c r="H46">
        <v>818</v>
      </c>
      <c r="I46">
        <v>1081</v>
      </c>
      <c r="J46">
        <v>-263</v>
      </c>
    </row>
    <row r="47" spans="1:10" x14ac:dyDescent="0.25">
      <c r="A47">
        <v>30</v>
      </c>
      <c r="C47" t="s">
        <v>12</v>
      </c>
      <c r="D47">
        <v>78</v>
      </c>
      <c r="E47">
        <v>84</v>
      </c>
      <c r="F47">
        <v>0.48099999999999998</v>
      </c>
      <c r="G47">
        <v>17</v>
      </c>
      <c r="H47">
        <v>815</v>
      </c>
      <c r="I47">
        <v>859</v>
      </c>
      <c r="J47">
        <v>-44</v>
      </c>
    </row>
    <row r="48" spans="1:10" x14ac:dyDescent="0.25">
      <c r="A48">
        <v>30</v>
      </c>
      <c r="C48" t="s">
        <v>19</v>
      </c>
      <c r="D48">
        <v>107</v>
      </c>
      <c r="E48">
        <v>55</v>
      </c>
      <c r="F48">
        <v>0.66</v>
      </c>
      <c r="G48">
        <v>0</v>
      </c>
      <c r="H48">
        <v>1036</v>
      </c>
      <c r="I48">
        <v>800</v>
      </c>
      <c r="J48">
        <v>236</v>
      </c>
    </row>
    <row r="49" spans="1:10" x14ac:dyDescent="0.25">
      <c r="A49">
        <v>30</v>
      </c>
      <c r="C49" t="s">
        <v>18</v>
      </c>
      <c r="D49">
        <v>106</v>
      </c>
      <c r="E49">
        <v>56</v>
      </c>
      <c r="F49">
        <v>0.65400000000000003</v>
      </c>
      <c r="G49">
        <v>1</v>
      </c>
      <c r="H49">
        <v>1139</v>
      </c>
      <c r="I49">
        <v>806</v>
      </c>
      <c r="J49">
        <v>333</v>
      </c>
    </row>
    <row r="50" spans="1:10" x14ac:dyDescent="0.25">
      <c r="A50">
        <v>30</v>
      </c>
      <c r="C50" t="s">
        <v>27</v>
      </c>
      <c r="D50">
        <v>53</v>
      </c>
      <c r="E50">
        <v>109</v>
      </c>
      <c r="F50">
        <v>0.32700000000000001</v>
      </c>
      <c r="G50">
        <v>62</v>
      </c>
      <c r="H50">
        <v>724</v>
      </c>
      <c r="I50">
        <v>988</v>
      </c>
      <c r="J50">
        <v>-264</v>
      </c>
    </row>
    <row r="51" spans="1:10" x14ac:dyDescent="0.25">
      <c r="A51">
        <v>30</v>
      </c>
      <c r="C51" t="s">
        <v>21</v>
      </c>
      <c r="D51">
        <v>66</v>
      </c>
      <c r="E51">
        <v>96</v>
      </c>
      <c r="F51">
        <v>0.40699999999999997</v>
      </c>
      <c r="G51">
        <v>41</v>
      </c>
      <c r="H51">
        <v>834</v>
      </c>
      <c r="I51">
        <v>976</v>
      </c>
      <c r="J51">
        <v>-142</v>
      </c>
    </row>
    <row r="52" spans="1:10" x14ac:dyDescent="0.25">
      <c r="A52">
        <v>30</v>
      </c>
      <c r="C52" t="s">
        <v>22</v>
      </c>
      <c r="D52">
        <v>47</v>
      </c>
      <c r="E52">
        <v>115</v>
      </c>
      <c r="F52">
        <v>0.28999999999999998</v>
      </c>
      <c r="G52">
        <v>60</v>
      </c>
      <c r="H52">
        <v>786</v>
      </c>
      <c r="I52">
        <v>1195</v>
      </c>
      <c r="J52">
        <v>-409</v>
      </c>
    </row>
    <row r="53" spans="1:10" x14ac:dyDescent="0.25">
      <c r="A53">
        <v>30</v>
      </c>
      <c r="C53" t="s">
        <v>9</v>
      </c>
      <c r="D53">
        <v>91</v>
      </c>
      <c r="E53">
        <v>71</v>
      </c>
      <c r="F53">
        <v>0.56200000000000006</v>
      </c>
      <c r="G53">
        <v>4</v>
      </c>
      <c r="H53">
        <v>961</v>
      </c>
      <c r="I53">
        <v>864</v>
      </c>
      <c r="J53">
        <v>97</v>
      </c>
    </row>
    <row r="54" spans="1:10" x14ac:dyDescent="0.25">
      <c r="A54">
        <v>30</v>
      </c>
      <c r="C54" t="s">
        <v>23</v>
      </c>
      <c r="D54">
        <v>115</v>
      </c>
      <c r="E54">
        <v>47</v>
      </c>
      <c r="F54">
        <v>0.71</v>
      </c>
      <c r="G54">
        <v>0</v>
      </c>
      <c r="H54">
        <v>1009</v>
      </c>
      <c r="I54">
        <v>642</v>
      </c>
      <c r="J54">
        <v>367</v>
      </c>
    </row>
    <row r="55" spans="1:10" x14ac:dyDescent="0.25">
      <c r="A55">
        <v>30</v>
      </c>
      <c r="C55" t="s">
        <v>10</v>
      </c>
      <c r="D55">
        <v>93</v>
      </c>
      <c r="E55">
        <v>69</v>
      </c>
      <c r="F55">
        <v>0.57399999999999995</v>
      </c>
      <c r="G55">
        <v>2</v>
      </c>
      <c r="H55">
        <v>1011</v>
      </c>
      <c r="I55">
        <v>849</v>
      </c>
      <c r="J55">
        <v>162</v>
      </c>
    </row>
    <row r="56" spans="1:10" x14ac:dyDescent="0.25">
      <c r="A56">
        <v>30</v>
      </c>
      <c r="C56" t="s">
        <v>24</v>
      </c>
      <c r="D56">
        <v>96</v>
      </c>
      <c r="E56">
        <v>66</v>
      </c>
      <c r="F56">
        <v>0.59299999999999997</v>
      </c>
      <c r="G56">
        <v>19</v>
      </c>
      <c r="H56">
        <v>886</v>
      </c>
      <c r="I56">
        <v>856</v>
      </c>
      <c r="J56">
        <v>30</v>
      </c>
    </row>
    <row r="57" spans="1:10" x14ac:dyDescent="0.25">
      <c r="A57">
        <v>30</v>
      </c>
      <c r="C57" t="s">
        <v>25</v>
      </c>
      <c r="D57">
        <v>77</v>
      </c>
      <c r="E57">
        <v>85</v>
      </c>
      <c r="F57">
        <v>0.47499999999999998</v>
      </c>
      <c r="G57">
        <v>38</v>
      </c>
      <c r="H57">
        <v>820</v>
      </c>
      <c r="I57">
        <v>839</v>
      </c>
      <c r="J57">
        <v>-19</v>
      </c>
    </row>
    <row r="58" spans="1:10" x14ac:dyDescent="0.25">
      <c r="A58">
        <v>30</v>
      </c>
      <c r="C58" t="s">
        <v>26</v>
      </c>
      <c r="D58">
        <v>61</v>
      </c>
      <c r="E58">
        <v>101</v>
      </c>
      <c r="F58">
        <v>0.377</v>
      </c>
      <c r="G58">
        <v>54</v>
      </c>
      <c r="H58">
        <v>734</v>
      </c>
      <c r="I58">
        <v>857</v>
      </c>
      <c r="J58">
        <v>-123</v>
      </c>
    </row>
    <row r="59" spans="1:10" x14ac:dyDescent="0.25">
      <c r="A59">
        <v>30</v>
      </c>
      <c r="C59" t="s">
        <v>13</v>
      </c>
      <c r="D59">
        <v>106</v>
      </c>
      <c r="E59">
        <v>56</v>
      </c>
      <c r="F59">
        <v>0.65400000000000003</v>
      </c>
      <c r="G59">
        <v>0</v>
      </c>
      <c r="H59">
        <v>1043</v>
      </c>
      <c r="I59">
        <v>741</v>
      </c>
      <c r="J59">
        <v>302</v>
      </c>
    </row>
    <row r="60" spans="1:10" x14ac:dyDescent="0.25">
      <c r="A60">
        <v>30</v>
      </c>
      <c r="C60" t="s">
        <v>8</v>
      </c>
      <c r="D60">
        <v>95</v>
      </c>
      <c r="E60">
        <v>67</v>
      </c>
      <c r="F60">
        <v>0.58599999999999997</v>
      </c>
      <c r="G60">
        <v>0</v>
      </c>
      <c r="H60">
        <v>884</v>
      </c>
      <c r="I60">
        <v>722</v>
      </c>
      <c r="J60">
        <v>162</v>
      </c>
    </row>
    <row r="61" spans="1:10" x14ac:dyDescent="0.25">
      <c r="A61">
        <v>30</v>
      </c>
      <c r="C61" t="s">
        <v>11</v>
      </c>
      <c r="D61">
        <v>91</v>
      </c>
      <c r="E61">
        <v>71</v>
      </c>
      <c r="F61">
        <v>0.56200000000000006</v>
      </c>
      <c r="G61">
        <v>4</v>
      </c>
      <c r="H61">
        <v>862</v>
      </c>
      <c r="I61">
        <v>774</v>
      </c>
      <c r="J61">
        <v>88</v>
      </c>
    </row>
    <row r="62" spans="1:10" x14ac:dyDescent="0.25">
      <c r="A62">
        <v>31</v>
      </c>
      <c r="C62" t="s">
        <v>27</v>
      </c>
      <c r="D62">
        <v>49</v>
      </c>
      <c r="E62">
        <v>113</v>
      </c>
      <c r="F62">
        <v>0.30199999999999999</v>
      </c>
      <c r="G62">
        <v>54</v>
      </c>
      <c r="H62">
        <v>771</v>
      </c>
      <c r="I62">
        <v>1115</v>
      </c>
      <c r="J62">
        <v>-344</v>
      </c>
    </row>
    <row r="63" spans="1:10" x14ac:dyDescent="0.25">
      <c r="A63">
        <v>31</v>
      </c>
      <c r="C63" t="s">
        <v>25</v>
      </c>
      <c r="D63">
        <v>74</v>
      </c>
      <c r="E63">
        <v>88</v>
      </c>
      <c r="F63">
        <v>0.45700000000000002</v>
      </c>
      <c r="G63">
        <v>29</v>
      </c>
      <c r="H63">
        <v>807</v>
      </c>
      <c r="I63">
        <v>848</v>
      </c>
      <c r="J63">
        <v>-41</v>
      </c>
    </row>
    <row r="64" spans="1:10" x14ac:dyDescent="0.25">
      <c r="A64">
        <v>31</v>
      </c>
      <c r="C64" t="s">
        <v>26</v>
      </c>
      <c r="D64">
        <v>75</v>
      </c>
      <c r="E64">
        <v>87</v>
      </c>
      <c r="F64">
        <v>0.46300000000000002</v>
      </c>
      <c r="G64">
        <v>28</v>
      </c>
      <c r="H64">
        <v>808</v>
      </c>
      <c r="I64">
        <v>865</v>
      </c>
      <c r="J64">
        <v>-57</v>
      </c>
    </row>
    <row r="65" spans="1:10" x14ac:dyDescent="0.25">
      <c r="A65">
        <v>31</v>
      </c>
      <c r="C65" t="s">
        <v>9</v>
      </c>
      <c r="D65">
        <v>92</v>
      </c>
      <c r="E65">
        <v>70</v>
      </c>
      <c r="F65">
        <v>0.56799999999999995</v>
      </c>
      <c r="G65">
        <v>10</v>
      </c>
      <c r="H65">
        <v>912</v>
      </c>
      <c r="I65">
        <v>827</v>
      </c>
      <c r="J65">
        <v>85</v>
      </c>
    </row>
    <row r="66" spans="1:10" x14ac:dyDescent="0.25">
      <c r="A66">
        <v>31</v>
      </c>
      <c r="C66" t="s">
        <v>18</v>
      </c>
      <c r="D66">
        <v>120</v>
      </c>
      <c r="E66">
        <v>42</v>
      </c>
      <c r="F66">
        <v>0.74099999999999999</v>
      </c>
      <c r="G66">
        <v>0</v>
      </c>
      <c r="H66">
        <v>1053</v>
      </c>
      <c r="I66">
        <v>704</v>
      </c>
      <c r="J66">
        <v>349</v>
      </c>
    </row>
    <row r="67" spans="1:10" x14ac:dyDescent="0.25">
      <c r="A67">
        <v>31</v>
      </c>
      <c r="C67" t="s">
        <v>16</v>
      </c>
      <c r="D67">
        <v>67</v>
      </c>
      <c r="E67">
        <v>95</v>
      </c>
      <c r="F67">
        <v>0.41399999999999998</v>
      </c>
      <c r="G67">
        <v>37</v>
      </c>
      <c r="H67">
        <v>783</v>
      </c>
      <c r="I67">
        <v>932</v>
      </c>
      <c r="J67">
        <v>-149</v>
      </c>
    </row>
    <row r="68" spans="1:10" x14ac:dyDescent="0.25">
      <c r="A68">
        <v>31</v>
      </c>
      <c r="C68" t="s">
        <v>19</v>
      </c>
      <c r="D68">
        <v>103</v>
      </c>
      <c r="E68">
        <v>59</v>
      </c>
      <c r="F68">
        <v>0.63600000000000001</v>
      </c>
      <c r="G68">
        <v>17</v>
      </c>
      <c r="H68">
        <v>995</v>
      </c>
      <c r="I68">
        <v>802</v>
      </c>
      <c r="J68">
        <v>193</v>
      </c>
    </row>
    <row r="69" spans="1:10" x14ac:dyDescent="0.25">
      <c r="A69">
        <v>31</v>
      </c>
      <c r="C69" t="s">
        <v>14</v>
      </c>
      <c r="D69">
        <v>70</v>
      </c>
      <c r="E69">
        <v>92</v>
      </c>
      <c r="F69">
        <v>0.432</v>
      </c>
      <c r="G69">
        <v>34</v>
      </c>
      <c r="H69">
        <v>808</v>
      </c>
      <c r="I69">
        <v>908</v>
      </c>
      <c r="J69">
        <v>-100</v>
      </c>
    </row>
    <row r="70" spans="1:10" x14ac:dyDescent="0.25">
      <c r="A70">
        <v>31</v>
      </c>
      <c r="C70" t="s">
        <v>8</v>
      </c>
      <c r="D70">
        <v>102</v>
      </c>
      <c r="E70">
        <v>60</v>
      </c>
      <c r="F70">
        <v>0.63</v>
      </c>
      <c r="G70">
        <v>0</v>
      </c>
      <c r="H70">
        <v>868</v>
      </c>
      <c r="I70">
        <v>641</v>
      </c>
      <c r="J70">
        <v>227</v>
      </c>
    </row>
    <row r="71" spans="1:10" x14ac:dyDescent="0.25">
      <c r="A71">
        <v>31</v>
      </c>
      <c r="C71" t="s">
        <v>17</v>
      </c>
      <c r="D71">
        <v>39</v>
      </c>
      <c r="E71">
        <v>123</v>
      </c>
      <c r="F71">
        <v>0.24099999999999999</v>
      </c>
      <c r="G71">
        <v>65</v>
      </c>
      <c r="H71">
        <v>594</v>
      </c>
      <c r="I71">
        <v>1068</v>
      </c>
      <c r="J71">
        <v>-474</v>
      </c>
    </row>
    <row r="72" spans="1:10" x14ac:dyDescent="0.25">
      <c r="A72">
        <v>31</v>
      </c>
      <c r="C72" t="s">
        <v>11</v>
      </c>
      <c r="D72">
        <v>91</v>
      </c>
      <c r="E72">
        <v>71</v>
      </c>
      <c r="F72">
        <v>0.56200000000000006</v>
      </c>
      <c r="G72">
        <v>11</v>
      </c>
      <c r="H72">
        <v>928</v>
      </c>
      <c r="I72">
        <v>798</v>
      </c>
      <c r="J72">
        <v>130</v>
      </c>
    </row>
    <row r="73" spans="1:10" x14ac:dyDescent="0.25">
      <c r="A73">
        <v>31</v>
      </c>
      <c r="C73" t="s">
        <v>21</v>
      </c>
      <c r="D73">
        <v>75</v>
      </c>
      <c r="E73">
        <v>87</v>
      </c>
      <c r="F73">
        <v>0.46300000000000002</v>
      </c>
      <c r="G73">
        <v>45</v>
      </c>
      <c r="H73">
        <v>891</v>
      </c>
      <c r="I73">
        <v>942</v>
      </c>
      <c r="J73">
        <v>-51</v>
      </c>
    </row>
    <row r="74" spans="1:10" x14ac:dyDescent="0.25">
      <c r="A74">
        <v>31</v>
      </c>
      <c r="C74" t="s">
        <v>24</v>
      </c>
      <c r="D74">
        <v>88</v>
      </c>
      <c r="E74">
        <v>74</v>
      </c>
      <c r="F74">
        <v>0.54300000000000004</v>
      </c>
      <c r="G74">
        <v>15</v>
      </c>
      <c r="H74">
        <v>914</v>
      </c>
      <c r="I74">
        <v>862</v>
      </c>
      <c r="J74">
        <v>52</v>
      </c>
    </row>
    <row r="75" spans="1:10" x14ac:dyDescent="0.25">
      <c r="A75">
        <v>31</v>
      </c>
      <c r="C75" t="s">
        <v>15</v>
      </c>
      <c r="D75">
        <v>71</v>
      </c>
      <c r="E75">
        <v>91</v>
      </c>
      <c r="F75">
        <v>0.438</v>
      </c>
      <c r="G75">
        <v>33</v>
      </c>
      <c r="H75">
        <v>1077</v>
      </c>
      <c r="I75">
        <v>1226</v>
      </c>
      <c r="J75">
        <v>-149</v>
      </c>
    </row>
    <row r="76" spans="1:10" x14ac:dyDescent="0.25">
      <c r="A76">
        <v>31</v>
      </c>
      <c r="C76" t="s">
        <v>10</v>
      </c>
      <c r="D76">
        <v>89</v>
      </c>
      <c r="E76">
        <v>73</v>
      </c>
      <c r="F76">
        <v>0.54900000000000004</v>
      </c>
      <c r="G76">
        <v>13</v>
      </c>
      <c r="H76">
        <v>1008</v>
      </c>
      <c r="I76">
        <v>844</v>
      </c>
      <c r="J76">
        <v>164</v>
      </c>
    </row>
    <row r="77" spans="1:10" x14ac:dyDescent="0.25">
      <c r="A77">
        <v>31</v>
      </c>
      <c r="C77" t="s">
        <v>13</v>
      </c>
      <c r="D77">
        <v>104</v>
      </c>
      <c r="E77">
        <v>58</v>
      </c>
      <c r="F77">
        <v>0.64200000000000002</v>
      </c>
      <c r="G77">
        <v>0</v>
      </c>
      <c r="H77">
        <v>954</v>
      </c>
      <c r="I77">
        <v>698</v>
      </c>
      <c r="J77">
        <v>256</v>
      </c>
    </row>
    <row r="78" spans="1:10" x14ac:dyDescent="0.25">
      <c r="A78">
        <v>31</v>
      </c>
      <c r="C78" t="s">
        <v>12</v>
      </c>
      <c r="D78">
        <v>76</v>
      </c>
      <c r="E78">
        <v>86</v>
      </c>
      <c r="F78">
        <v>0.46899999999999997</v>
      </c>
      <c r="G78">
        <v>26</v>
      </c>
      <c r="H78">
        <v>792</v>
      </c>
      <c r="I78">
        <v>847</v>
      </c>
      <c r="J78">
        <v>-55</v>
      </c>
    </row>
    <row r="79" spans="1:10" x14ac:dyDescent="0.25">
      <c r="A79">
        <v>31</v>
      </c>
      <c r="C79" t="s">
        <v>22</v>
      </c>
      <c r="D79">
        <v>51</v>
      </c>
      <c r="E79">
        <v>111</v>
      </c>
      <c r="F79">
        <v>0.315</v>
      </c>
      <c r="G79">
        <v>69</v>
      </c>
      <c r="H79">
        <v>809</v>
      </c>
      <c r="I79">
        <v>1044</v>
      </c>
      <c r="J79">
        <v>-235</v>
      </c>
    </row>
    <row r="80" spans="1:10" x14ac:dyDescent="0.25">
      <c r="A80">
        <v>31</v>
      </c>
      <c r="C80" t="s">
        <v>23</v>
      </c>
      <c r="D80">
        <v>103</v>
      </c>
      <c r="E80">
        <v>59</v>
      </c>
      <c r="F80">
        <v>0.63600000000000001</v>
      </c>
      <c r="G80">
        <v>0</v>
      </c>
      <c r="H80">
        <v>967</v>
      </c>
      <c r="I80">
        <v>726</v>
      </c>
      <c r="J80">
        <v>241</v>
      </c>
    </row>
    <row r="81" spans="1:10" x14ac:dyDescent="0.25">
      <c r="A81">
        <v>31</v>
      </c>
      <c r="C81" t="s">
        <v>20</v>
      </c>
      <c r="D81">
        <v>81</v>
      </c>
      <c r="E81">
        <v>81</v>
      </c>
      <c r="F81">
        <v>0.5</v>
      </c>
      <c r="G81">
        <v>39</v>
      </c>
      <c r="H81">
        <v>873</v>
      </c>
      <c r="I81">
        <v>915</v>
      </c>
      <c r="J81">
        <v>-42</v>
      </c>
    </row>
    <row r="82" spans="1:10" x14ac:dyDescent="0.25">
      <c r="A82">
        <v>32</v>
      </c>
      <c r="C82" t="s">
        <v>27</v>
      </c>
      <c r="D82">
        <v>52</v>
      </c>
      <c r="E82">
        <v>110</v>
      </c>
      <c r="F82">
        <v>0.32100000000000001</v>
      </c>
      <c r="G82">
        <v>53</v>
      </c>
      <c r="H82">
        <v>718</v>
      </c>
      <c r="I82">
        <v>1040</v>
      </c>
      <c r="J82">
        <v>-322</v>
      </c>
    </row>
    <row r="83" spans="1:10" x14ac:dyDescent="0.25">
      <c r="A83">
        <v>32</v>
      </c>
      <c r="C83" t="s">
        <v>25</v>
      </c>
      <c r="D83">
        <v>67</v>
      </c>
      <c r="E83">
        <v>95</v>
      </c>
      <c r="F83">
        <v>0.41399999999999998</v>
      </c>
      <c r="G83">
        <v>38</v>
      </c>
      <c r="H83">
        <v>808</v>
      </c>
      <c r="I83">
        <v>895</v>
      </c>
      <c r="J83">
        <v>-87</v>
      </c>
    </row>
    <row r="84" spans="1:10" x14ac:dyDescent="0.25">
      <c r="A84">
        <v>32</v>
      </c>
      <c r="C84" t="s">
        <v>26</v>
      </c>
      <c r="D84">
        <v>74</v>
      </c>
      <c r="E84">
        <v>88</v>
      </c>
      <c r="F84">
        <v>0.45700000000000002</v>
      </c>
      <c r="G84">
        <v>31</v>
      </c>
      <c r="H84">
        <v>751</v>
      </c>
      <c r="I84">
        <v>838</v>
      </c>
      <c r="J84">
        <v>-87</v>
      </c>
    </row>
    <row r="85" spans="1:10" x14ac:dyDescent="0.25">
      <c r="A85">
        <v>32</v>
      </c>
      <c r="C85" t="s">
        <v>24</v>
      </c>
      <c r="D85">
        <v>95</v>
      </c>
      <c r="E85">
        <v>67</v>
      </c>
      <c r="F85">
        <v>0.58599999999999997</v>
      </c>
      <c r="G85">
        <v>10</v>
      </c>
      <c r="H85">
        <v>810</v>
      </c>
      <c r="I85">
        <v>766</v>
      </c>
      <c r="J85">
        <v>44</v>
      </c>
    </row>
    <row r="86" spans="1:10" x14ac:dyDescent="0.25">
      <c r="A86">
        <v>32</v>
      </c>
      <c r="C86" t="s">
        <v>22</v>
      </c>
      <c r="D86">
        <v>57</v>
      </c>
      <c r="E86">
        <v>105</v>
      </c>
      <c r="F86">
        <v>0.35199999999999998</v>
      </c>
      <c r="G86">
        <v>48</v>
      </c>
      <c r="H86">
        <v>765</v>
      </c>
      <c r="I86">
        <v>1036</v>
      </c>
      <c r="J86">
        <v>-271</v>
      </c>
    </row>
    <row r="87" spans="1:10" x14ac:dyDescent="0.25">
      <c r="A87">
        <v>32</v>
      </c>
      <c r="C87" t="s">
        <v>13</v>
      </c>
      <c r="D87">
        <v>112</v>
      </c>
      <c r="E87">
        <v>50</v>
      </c>
      <c r="F87">
        <v>0.69099999999999995</v>
      </c>
      <c r="G87">
        <v>0</v>
      </c>
      <c r="H87">
        <v>1059</v>
      </c>
      <c r="I87">
        <v>669</v>
      </c>
      <c r="J87">
        <v>390</v>
      </c>
    </row>
    <row r="88" spans="1:10" x14ac:dyDescent="0.25">
      <c r="A88">
        <v>32</v>
      </c>
      <c r="C88" t="s">
        <v>10</v>
      </c>
      <c r="D88">
        <v>96</v>
      </c>
      <c r="E88">
        <v>66</v>
      </c>
      <c r="F88">
        <v>0.59299999999999997</v>
      </c>
      <c r="G88">
        <v>0</v>
      </c>
      <c r="H88">
        <v>997</v>
      </c>
      <c r="I88">
        <v>836</v>
      </c>
      <c r="J88">
        <v>161</v>
      </c>
    </row>
    <row r="89" spans="1:10" x14ac:dyDescent="0.25">
      <c r="A89">
        <v>32</v>
      </c>
      <c r="C89" t="s">
        <v>8</v>
      </c>
      <c r="D89">
        <v>95</v>
      </c>
      <c r="E89">
        <v>67</v>
      </c>
      <c r="F89">
        <v>0.58599999999999997</v>
      </c>
      <c r="G89">
        <v>1</v>
      </c>
      <c r="H89">
        <v>877</v>
      </c>
      <c r="I89">
        <v>676</v>
      </c>
      <c r="J89">
        <v>201</v>
      </c>
    </row>
    <row r="90" spans="1:10" x14ac:dyDescent="0.25">
      <c r="A90">
        <v>32</v>
      </c>
      <c r="C90" t="s">
        <v>9</v>
      </c>
      <c r="D90">
        <v>92</v>
      </c>
      <c r="E90">
        <v>70</v>
      </c>
      <c r="F90">
        <v>0.56799999999999995</v>
      </c>
      <c r="G90">
        <v>4</v>
      </c>
      <c r="H90">
        <v>986</v>
      </c>
      <c r="I90">
        <v>921</v>
      </c>
      <c r="J90">
        <v>65</v>
      </c>
    </row>
    <row r="91" spans="1:10" x14ac:dyDescent="0.25">
      <c r="A91">
        <v>32</v>
      </c>
      <c r="C91" t="s">
        <v>11</v>
      </c>
      <c r="D91">
        <v>86</v>
      </c>
      <c r="E91">
        <v>76</v>
      </c>
      <c r="F91">
        <v>0.53100000000000003</v>
      </c>
      <c r="G91">
        <v>10</v>
      </c>
      <c r="H91">
        <v>895</v>
      </c>
      <c r="I91">
        <v>792</v>
      </c>
      <c r="J91">
        <v>103</v>
      </c>
    </row>
    <row r="92" spans="1:10" x14ac:dyDescent="0.25">
      <c r="A92">
        <v>32</v>
      </c>
      <c r="C92" t="s">
        <v>23</v>
      </c>
      <c r="D92">
        <v>105</v>
      </c>
      <c r="E92">
        <v>57</v>
      </c>
      <c r="F92">
        <v>0.64800000000000002</v>
      </c>
      <c r="G92">
        <v>0</v>
      </c>
      <c r="H92">
        <v>1029</v>
      </c>
      <c r="I92">
        <v>801</v>
      </c>
      <c r="J92">
        <v>228</v>
      </c>
    </row>
    <row r="93" spans="1:10" x14ac:dyDescent="0.25">
      <c r="A93">
        <v>32</v>
      </c>
      <c r="C93" t="s">
        <v>12</v>
      </c>
      <c r="D93">
        <v>66</v>
      </c>
      <c r="E93">
        <v>96</v>
      </c>
      <c r="F93">
        <v>0.40699999999999997</v>
      </c>
      <c r="G93">
        <v>30</v>
      </c>
      <c r="H93">
        <v>774</v>
      </c>
      <c r="I93">
        <v>865</v>
      </c>
      <c r="J93">
        <v>-91</v>
      </c>
    </row>
    <row r="94" spans="1:10" x14ac:dyDescent="0.25">
      <c r="A94">
        <v>32</v>
      </c>
      <c r="C94" t="s">
        <v>21</v>
      </c>
      <c r="D94">
        <v>66</v>
      </c>
      <c r="E94">
        <v>96</v>
      </c>
      <c r="F94">
        <v>0.40699999999999997</v>
      </c>
      <c r="G94">
        <v>39</v>
      </c>
      <c r="H94">
        <v>818</v>
      </c>
      <c r="I94">
        <v>949</v>
      </c>
      <c r="J94">
        <v>-131</v>
      </c>
    </row>
    <row r="95" spans="1:10" x14ac:dyDescent="0.25">
      <c r="A95">
        <v>32</v>
      </c>
      <c r="C95" t="s">
        <v>15</v>
      </c>
      <c r="D95">
        <v>78</v>
      </c>
      <c r="E95">
        <v>84</v>
      </c>
      <c r="F95">
        <v>0.48099999999999998</v>
      </c>
      <c r="G95">
        <v>34</v>
      </c>
      <c r="H95">
        <v>1038</v>
      </c>
      <c r="I95">
        <v>1119</v>
      </c>
      <c r="J95">
        <v>-81</v>
      </c>
    </row>
    <row r="96" spans="1:10" x14ac:dyDescent="0.25">
      <c r="A96">
        <v>32</v>
      </c>
      <c r="C96" t="s">
        <v>14</v>
      </c>
      <c r="D96">
        <v>74</v>
      </c>
      <c r="E96">
        <v>88</v>
      </c>
      <c r="F96">
        <v>0.45700000000000002</v>
      </c>
      <c r="G96">
        <v>38</v>
      </c>
      <c r="H96">
        <v>794</v>
      </c>
      <c r="I96">
        <v>886</v>
      </c>
      <c r="J96">
        <v>-92</v>
      </c>
    </row>
    <row r="97" spans="1:10" x14ac:dyDescent="0.25">
      <c r="A97">
        <v>32</v>
      </c>
      <c r="C97" t="s">
        <v>16</v>
      </c>
      <c r="D97">
        <v>63</v>
      </c>
      <c r="E97">
        <v>99</v>
      </c>
      <c r="F97">
        <v>0.38900000000000001</v>
      </c>
      <c r="G97">
        <v>49</v>
      </c>
      <c r="H97">
        <v>790</v>
      </c>
      <c r="I97">
        <v>980</v>
      </c>
      <c r="J97">
        <v>-190</v>
      </c>
    </row>
    <row r="98" spans="1:10" x14ac:dyDescent="0.25">
      <c r="A98">
        <v>32</v>
      </c>
      <c r="C98" t="s">
        <v>17</v>
      </c>
      <c r="D98">
        <v>51</v>
      </c>
      <c r="E98">
        <v>111</v>
      </c>
      <c r="F98">
        <v>0.315</v>
      </c>
      <c r="G98">
        <v>61</v>
      </c>
      <c r="H98">
        <v>699</v>
      </c>
      <c r="I98">
        <v>992</v>
      </c>
      <c r="J98">
        <v>-293</v>
      </c>
    </row>
    <row r="99" spans="1:10" x14ac:dyDescent="0.25">
      <c r="A99">
        <v>32</v>
      </c>
      <c r="C99" t="s">
        <v>18</v>
      </c>
      <c r="D99">
        <v>105</v>
      </c>
      <c r="E99">
        <v>57</v>
      </c>
      <c r="F99">
        <v>0.64800000000000002</v>
      </c>
      <c r="G99">
        <v>0</v>
      </c>
      <c r="H99">
        <v>1024</v>
      </c>
      <c r="I99">
        <v>779</v>
      </c>
      <c r="J99">
        <v>245</v>
      </c>
    </row>
    <row r="100" spans="1:10" x14ac:dyDescent="0.25">
      <c r="A100">
        <v>32</v>
      </c>
      <c r="C100" t="s">
        <v>19</v>
      </c>
      <c r="D100">
        <v>95</v>
      </c>
      <c r="E100">
        <v>67</v>
      </c>
      <c r="F100">
        <v>0.58599999999999997</v>
      </c>
      <c r="G100">
        <v>10</v>
      </c>
      <c r="H100">
        <v>981</v>
      </c>
      <c r="I100">
        <v>811</v>
      </c>
      <c r="J100">
        <v>170</v>
      </c>
    </row>
    <row r="101" spans="1:10" x14ac:dyDescent="0.25">
      <c r="A101">
        <v>32</v>
      </c>
      <c r="C101" t="s">
        <v>20</v>
      </c>
      <c r="D101">
        <v>91</v>
      </c>
      <c r="E101">
        <v>71</v>
      </c>
      <c r="F101">
        <v>0.56200000000000006</v>
      </c>
      <c r="G101">
        <v>14</v>
      </c>
      <c r="H101">
        <v>984</v>
      </c>
      <c r="I101">
        <v>946</v>
      </c>
      <c r="J101">
        <v>38</v>
      </c>
    </row>
    <row r="102" spans="1:10" x14ac:dyDescent="0.25">
      <c r="A102">
        <v>33</v>
      </c>
      <c r="C102" t="s">
        <v>27</v>
      </c>
      <c r="D102">
        <v>54</v>
      </c>
      <c r="E102">
        <v>108</v>
      </c>
      <c r="F102">
        <v>0.33300000000000002</v>
      </c>
      <c r="G102">
        <v>53</v>
      </c>
      <c r="H102">
        <v>820</v>
      </c>
      <c r="I102">
        <v>1063</v>
      </c>
      <c r="J102">
        <v>-243</v>
      </c>
    </row>
    <row r="103" spans="1:10" x14ac:dyDescent="0.25">
      <c r="A103">
        <v>33</v>
      </c>
      <c r="C103" t="s">
        <v>25</v>
      </c>
      <c r="D103">
        <v>70</v>
      </c>
      <c r="E103">
        <v>92</v>
      </c>
      <c r="F103">
        <v>0.432</v>
      </c>
      <c r="G103">
        <v>37</v>
      </c>
      <c r="H103">
        <v>765</v>
      </c>
      <c r="I103">
        <v>858</v>
      </c>
      <c r="J103">
        <v>-93</v>
      </c>
    </row>
    <row r="104" spans="1:10" x14ac:dyDescent="0.25">
      <c r="A104">
        <v>33</v>
      </c>
      <c r="C104" t="s">
        <v>24</v>
      </c>
      <c r="D104">
        <v>94</v>
      </c>
      <c r="E104">
        <v>68</v>
      </c>
      <c r="F104">
        <v>0.57999999999999996</v>
      </c>
      <c r="G104">
        <v>13</v>
      </c>
      <c r="H104">
        <v>808</v>
      </c>
      <c r="I104">
        <v>751</v>
      </c>
      <c r="J104">
        <v>57</v>
      </c>
    </row>
    <row r="105" spans="1:10" x14ac:dyDescent="0.25">
      <c r="A105">
        <v>33</v>
      </c>
      <c r="C105" t="s">
        <v>23</v>
      </c>
      <c r="D105">
        <v>107</v>
      </c>
      <c r="E105">
        <v>55</v>
      </c>
      <c r="F105">
        <v>0.66</v>
      </c>
      <c r="G105">
        <v>0</v>
      </c>
      <c r="H105">
        <v>893</v>
      </c>
      <c r="I105">
        <v>668</v>
      </c>
      <c r="J105">
        <v>225</v>
      </c>
    </row>
    <row r="106" spans="1:10" x14ac:dyDescent="0.25">
      <c r="A106">
        <v>33</v>
      </c>
      <c r="C106" t="s">
        <v>22</v>
      </c>
      <c r="D106">
        <v>59</v>
      </c>
      <c r="E106">
        <v>103</v>
      </c>
      <c r="F106">
        <v>0.36399999999999999</v>
      </c>
      <c r="G106">
        <v>50</v>
      </c>
      <c r="H106">
        <v>856</v>
      </c>
      <c r="I106">
        <v>1087</v>
      </c>
      <c r="J106">
        <v>-231</v>
      </c>
    </row>
    <row r="107" spans="1:10" x14ac:dyDescent="0.25">
      <c r="A107">
        <v>33</v>
      </c>
      <c r="C107" t="s">
        <v>21</v>
      </c>
      <c r="D107">
        <v>62</v>
      </c>
      <c r="E107">
        <v>100</v>
      </c>
      <c r="F107">
        <v>0.38300000000000001</v>
      </c>
      <c r="G107">
        <v>47</v>
      </c>
      <c r="H107">
        <v>801</v>
      </c>
      <c r="I107">
        <v>999</v>
      </c>
      <c r="J107">
        <v>-198</v>
      </c>
    </row>
    <row r="108" spans="1:10" x14ac:dyDescent="0.25">
      <c r="A108">
        <v>33</v>
      </c>
      <c r="C108" t="s">
        <v>26</v>
      </c>
      <c r="D108">
        <v>67</v>
      </c>
      <c r="E108">
        <v>95</v>
      </c>
      <c r="F108">
        <v>0.41399999999999998</v>
      </c>
      <c r="G108">
        <v>40</v>
      </c>
      <c r="H108">
        <v>787</v>
      </c>
      <c r="I108">
        <v>891</v>
      </c>
      <c r="J108">
        <v>-104</v>
      </c>
    </row>
    <row r="109" spans="1:10" x14ac:dyDescent="0.25">
      <c r="A109">
        <v>33</v>
      </c>
      <c r="C109" t="s">
        <v>12</v>
      </c>
      <c r="D109">
        <v>74</v>
      </c>
      <c r="E109">
        <v>88</v>
      </c>
      <c r="F109">
        <v>0.45700000000000002</v>
      </c>
      <c r="G109">
        <v>32</v>
      </c>
      <c r="H109">
        <v>794</v>
      </c>
      <c r="I109">
        <v>855</v>
      </c>
      <c r="J109">
        <v>-61</v>
      </c>
    </row>
    <row r="110" spans="1:10" x14ac:dyDescent="0.25">
      <c r="A110">
        <v>33</v>
      </c>
      <c r="C110" t="s">
        <v>8</v>
      </c>
      <c r="D110">
        <v>99</v>
      </c>
      <c r="E110">
        <v>63</v>
      </c>
      <c r="F110">
        <v>0.61099999999999999</v>
      </c>
      <c r="G110">
        <v>7</v>
      </c>
      <c r="H110">
        <v>874</v>
      </c>
      <c r="I110">
        <v>683</v>
      </c>
      <c r="J110">
        <v>191</v>
      </c>
    </row>
    <row r="111" spans="1:10" x14ac:dyDescent="0.25">
      <c r="A111">
        <v>33</v>
      </c>
      <c r="C111" t="s">
        <v>13</v>
      </c>
      <c r="D111">
        <v>109</v>
      </c>
      <c r="E111">
        <v>53</v>
      </c>
      <c r="F111">
        <v>0.67300000000000004</v>
      </c>
      <c r="G111">
        <v>0</v>
      </c>
      <c r="H111">
        <v>972</v>
      </c>
      <c r="I111">
        <v>679</v>
      </c>
      <c r="J111">
        <v>293</v>
      </c>
    </row>
    <row r="112" spans="1:10" x14ac:dyDescent="0.25">
      <c r="A112">
        <v>33</v>
      </c>
      <c r="C112" t="s">
        <v>10</v>
      </c>
      <c r="D112">
        <v>106</v>
      </c>
      <c r="E112">
        <v>56</v>
      </c>
      <c r="F112">
        <v>0.65400000000000003</v>
      </c>
      <c r="G112">
        <v>0</v>
      </c>
      <c r="H112">
        <v>1017</v>
      </c>
      <c r="I112">
        <v>799</v>
      </c>
      <c r="J112">
        <v>218</v>
      </c>
    </row>
    <row r="113" spans="1:10" x14ac:dyDescent="0.25">
      <c r="A113">
        <v>33</v>
      </c>
      <c r="C113" t="s">
        <v>20</v>
      </c>
      <c r="D113">
        <v>87</v>
      </c>
      <c r="E113">
        <v>75</v>
      </c>
      <c r="F113">
        <v>0.53700000000000003</v>
      </c>
      <c r="G113">
        <v>22</v>
      </c>
      <c r="H113">
        <v>947</v>
      </c>
      <c r="I113">
        <v>909</v>
      </c>
      <c r="J113">
        <v>38</v>
      </c>
    </row>
    <row r="114" spans="1:10" x14ac:dyDescent="0.25">
      <c r="A114">
        <v>33</v>
      </c>
      <c r="C114" t="s">
        <v>9</v>
      </c>
      <c r="D114">
        <v>89</v>
      </c>
      <c r="E114">
        <v>73</v>
      </c>
      <c r="F114">
        <v>0.54900000000000004</v>
      </c>
      <c r="G114">
        <v>17</v>
      </c>
      <c r="H114">
        <v>1014</v>
      </c>
      <c r="I114">
        <v>883</v>
      </c>
      <c r="J114">
        <v>131</v>
      </c>
    </row>
    <row r="115" spans="1:10" x14ac:dyDescent="0.25">
      <c r="A115">
        <v>33</v>
      </c>
      <c r="C115" t="s">
        <v>14</v>
      </c>
      <c r="D115">
        <v>75</v>
      </c>
      <c r="E115">
        <v>87</v>
      </c>
      <c r="F115">
        <v>0.46300000000000002</v>
      </c>
      <c r="G115">
        <v>34</v>
      </c>
      <c r="H115">
        <v>831</v>
      </c>
      <c r="I115">
        <v>930</v>
      </c>
      <c r="J115">
        <v>-99</v>
      </c>
    </row>
    <row r="116" spans="1:10" x14ac:dyDescent="0.25">
      <c r="A116">
        <v>33</v>
      </c>
      <c r="C116" t="s">
        <v>15</v>
      </c>
      <c r="D116">
        <v>71</v>
      </c>
      <c r="E116">
        <v>91</v>
      </c>
      <c r="F116">
        <v>0.438</v>
      </c>
      <c r="G116">
        <v>38</v>
      </c>
      <c r="H116">
        <v>972</v>
      </c>
      <c r="I116">
        <v>1101</v>
      </c>
      <c r="J116">
        <v>-129</v>
      </c>
    </row>
    <row r="117" spans="1:10" x14ac:dyDescent="0.25">
      <c r="A117">
        <v>33</v>
      </c>
      <c r="C117" t="s">
        <v>16</v>
      </c>
      <c r="D117">
        <v>62</v>
      </c>
      <c r="E117">
        <v>100</v>
      </c>
      <c r="F117">
        <v>0.38300000000000001</v>
      </c>
      <c r="G117">
        <v>47</v>
      </c>
      <c r="H117">
        <v>775</v>
      </c>
      <c r="I117">
        <v>952</v>
      </c>
      <c r="J117">
        <v>-177</v>
      </c>
    </row>
    <row r="118" spans="1:10" x14ac:dyDescent="0.25">
      <c r="A118">
        <v>33</v>
      </c>
      <c r="C118" t="s">
        <v>17</v>
      </c>
      <c r="D118">
        <v>44</v>
      </c>
      <c r="E118">
        <v>118</v>
      </c>
      <c r="F118">
        <v>0.27200000000000002</v>
      </c>
      <c r="G118">
        <v>65</v>
      </c>
      <c r="H118">
        <v>650</v>
      </c>
      <c r="I118">
        <v>1058</v>
      </c>
      <c r="J118">
        <v>-408</v>
      </c>
    </row>
    <row r="119" spans="1:10" x14ac:dyDescent="0.25">
      <c r="A119">
        <v>33</v>
      </c>
      <c r="C119" t="s">
        <v>18</v>
      </c>
      <c r="D119">
        <v>109</v>
      </c>
      <c r="E119">
        <v>53</v>
      </c>
      <c r="F119">
        <v>0.67300000000000004</v>
      </c>
      <c r="G119">
        <v>0</v>
      </c>
      <c r="H119">
        <v>1066</v>
      </c>
      <c r="I119">
        <v>729</v>
      </c>
      <c r="J119">
        <v>337</v>
      </c>
    </row>
    <row r="120" spans="1:10" x14ac:dyDescent="0.25">
      <c r="A120">
        <v>33</v>
      </c>
      <c r="C120" t="s">
        <v>19</v>
      </c>
      <c r="D120">
        <v>89</v>
      </c>
      <c r="E120">
        <v>73</v>
      </c>
      <c r="F120">
        <v>0.54900000000000004</v>
      </c>
      <c r="G120">
        <v>20</v>
      </c>
      <c r="H120">
        <v>926</v>
      </c>
      <c r="I120">
        <v>845</v>
      </c>
      <c r="J120">
        <v>81</v>
      </c>
    </row>
    <row r="121" spans="1:10" x14ac:dyDescent="0.25">
      <c r="A121">
        <v>33</v>
      </c>
      <c r="C121" t="s">
        <v>11</v>
      </c>
      <c r="D121">
        <v>93</v>
      </c>
      <c r="E121">
        <v>69</v>
      </c>
      <c r="F121">
        <v>0.57399999999999995</v>
      </c>
      <c r="G121">
        <v>13</v>
      </c>
      <c r="H121">
        <v>960</v>
      </c>
      <c r="I121">
        <v>788</v>
      </c>
      <c r="J121">
        <v>172</v>
      </c>
    </row>
    <row r="122" spans="1:10" x14ac:dyDescent="0.25">
      <c r="A122">
        <v>34</v>
      </c>
      <c r="C122" t="s">
        <v>10</v>
      </c>
      <c r="D122">
        <v>100</v>
      </c>
      <c r="E122">
        <v>62</v>
      </c>
      <c r="F122">
        <v>0.61699999999999999</v>
      </c>
      <c r="G122">
        <v>0</v>
      </c>
      <c r="H122">
        <v>948</v>
      </c>
      <c r="I122">
        <v>787</v>
      </c>
      <c r="J122">
        <v>161</v>
      </c>
    </row>
    <row r="123" spans="1:10" x14ac:dyDescent="0.25">
      <c r="A123">
        <v>34</v>
      </c>
      <c r="C123" t="s">
        <v>16</v>
      </c>
      <c r="D123">
        <v>65</v>
      </c>
      <c r="E123">
        <v>97</v>
      </c>
      <c r="F123">
        <v>0.40100000000000002</v>
      </c>
      <c r="G123">
        <v>55</v>
      </c>
      <c r="H123">
        <v>865</v>
      </c>
      <c r="I123">
        <v>988</v>
      </c>
      <c r="J123">
        <v>-123</v>
      </c>
    </row>
    <row r="124" spans="1:10" x14ac:dyDescent="0.25">
      <c r="A124">
        <v>34</v>
      </c>
      <c r="C124" t="s">
        <v>18</v>
      </c>
      <c r="D124">
        <v>112</v>
      </c>
      <c r="E124">
        <v>50</v>
      </c>
      <c r="F124">
        <v>0.69099999999999995</v>
      </c>
      <c r="G124">
        <v>0</v>
      </c>
      <c r="H124">
        <v>1117</v>
      </c>
      <c r="I124">
        <v>766</v>
      </c>
      <c r="J124">
        <v>351</v>
      </c>
    </row>
    <row r="125" spans="1:10" x14ac:dyDescent="0.25">
      <c r="A125">
        <v>34</v>
      </c>
      <c r="C125" t="s">
        <v>17</v>
      </c>
      <c r="D125">
        <v>42</v>
      </c>
      <c r="E125">
        <v>120</v>
      </c>
      <c r="F125">
        <v>0.25900000000000001</v>
      </c>
      <c r="G125">
        <v>78</v>
      </c>
      <c r="H125">
        <v>645</v>
      </c>
      <c r="I125">
        <v>1093</v>
      </c>
      <c r="J125">
        <v>-448</v>
      </c>
    </row>
    <row r="126" spans="1:10" x14ac:dyDescent="0.25">
      <c r="A126">
        <v>34</v>
      </c>
      <c r="C126" t="s">
        <v>15</v>
      </c>
      <c r="D126">
        <v>63</v>
      </c>
      <c r="E126">
        <v>99</v>
      </c>
      <c r="F126">
        <v>0.38900000000000001</v>
      </c>
      <c r="G126">
        <v>57</v>
      </c>
      <c r="H126">
        <v>1026</v>
      </c>
      <c r="I126">
        <v>1141</v>
      </c>
      <c r="J126">
        <v>-115</v>
      </c>
    </row>
    <row r="127" spans="1:10" x14ac:dyDescent="0.25">
      <c r="A127">
        <v>34</v>
      </c>
      <c r="C127" t="s">
        <v>14</v>
      </c>
      <c r="D127">
        <v>74</v>
      </c>
      <c r="E127">
        <v>88</v>
      </c>
      <c r="F127">
        <v>0.45700000000000002</v>
      </c>
      <c r="G127">
        <v>46</v>
      </c>
      <c r="H127">
        <v>777</v>
      </c>
      <c r="I127">
        <v>870</v>
      </c>
      <c r="J127">
        <v>-93</v>
      </c>
    </row>
    <row r="128" spans="1:10" x14ac:dyDescent="0.25">
      <c r="A128">
        <v>34</v>
      </c>
      <c r="C128" t="s">
        <v>13</v>
      </c>
      <c r="D128">
        <v>120</v>
      </c>
      <c r="E128">
        <v>42</v>
      </c>
      <c r="F128">
        <v>0.74099999999999999</v>
      </c>
      <c r="G128">
        <v>0</v>
      </c>
      <c r="H128">
        <v>1021</v>
      </c>
      <c r="I128">
        <v>647</v>
      </c>
      <c r="J128">
        <v>374</v>
      </c>
    </row>
    <row r="129" spans="1:10" x14ac:dyDescent="0.25">
      <c r="A129">
        <v>34</v>
      </c>
      <c r="C129" t="s">
        <v>12</v>
      </c>
      <c r="D129">
        <v>74</v>
      </c>
      <c r="E129">
        <v>88</v>
      </c>
      <c r="F129">
        <v>0.45700000000000002</v>
      </c>
      <c r="G129">
        <v>26</v>
      </c>
      <c r="H129">
        <v>810</v>
      </c>
      <c r="I129">
        <v>888</v>
      </c>
      <c r="J129">
        <v>-78</v>
      </c>
    </row>
    <row r="130" spans="1:10" x14ac:dyDescent="0.25">
      <c r="A130">
        <v>34</v>
      </c>
      <c r="C130" t="s">
        <v>9</v>
      </c>
      <c r="D130">
        <v>80</v>
      </c>
      <c r="E130">
        <v>82</v>
      </c>
      <c r="F130">
        <v>0.49399999999999999</v>
      </c>
      <c r="G130">
        <v>20</v>
      </c>
      <c r="H130">
        <v>920</v>
      </c>
      <c r="I130">
        <v>904</v>
      </c>
      <c r="J130">
        <v>16</v>
      </c>
    </row>
    <row r="131" spans="1:10" x14ac:dyDescent="0.25">
      <c r="A131">
        <v>34</v>
      </c>
      <c r="C131" t="s">
        <v>11</v>
      </c>
      <c r="D131">
        <v>97</v>
      </c>
      <c r="E131">
        <v>65</v>
      </c>
      <c r="F131">
        <v>0.59899999999999998</v>
      </c>
      <c r="G131">
        <v>3</v>
      </c>
      <c r="H131">
        <v>966</v>
      </c>
      <c r="I131">
        <v>790</v>
      </c>
      <c r="J131">
        <v>176</v>
      </c>
    </row>
    <row r="132" spans="1:10" x14ac:dyDescent="0.25">
      <c r="A132">
        <v>34</v>
      </c>
      <c r="C132" t="s">
        <v>20</v>
      </c>
      <c r="D132">
        <v>93</v>
      </c>
      <c r="E132">
        <v>69</v>
      </c>
      <c r="F132">
        <v>0.57399999999999995</v>
      </c>
      <c r="G132">
        <v>19</v>
      </c>
      <c r="H132">
        <v>959</v>
      </c>
      <c r="I132">
        <v>825</v>
      </c>
      <c r="J132">
        <v>134</v>
      </c>
    </row>
    <row r="133" spans="1:10" x14ac:dyDescent="0.25">
      <c r="A133">
        <v>34</v>
      </c>
      <c r="C133" t="s">
        <v>8</v>
      </c>
      <c r="D133">
        <v>95</v>
      </c>
      <c r="E133">
        <v>67</v>
      </c>
      <c r="F133">
        <v>0.58599999999999997</v>
      </c>
      <c r="G133">
        <v>5</v>
      </c>
      <c r="H133">
        <v>869</v>
      </c>
      <c r="I133">
        <v>736</v>
      </c>
      <c r="J133">
        <v>133</v>
      </c>
    </row>
    <row r="134" spans="1:10" x14ac:dyDescent="0.25">
      <c r="A134">
        <v>34</v>
      </c>
      <c r="C134" t="s">
        <v>25</v>
      </c>
      <c r="D134">
        <v>76</v>
      </c>
      <c r="E134">
        <v>86</v>
      </c>
      <c r="F134">
        <v>0.46899999999999997</v>
      </c>
      <c r="G134">
        <v>27</v>
      </c>
      <c r="H134">
        <v>866</v>
      </c>
      <c r="I134">
        <v>920</v>
      </c>
      <c r="J134">
        <v>-54</v>
      </c>
    </row>
    <row r="135" spans="1:10" x14ac:dyDescent="0.25">
      <c r="A135">
        <v>34</v>
      </c>
      <c r="C135" t="s">
        <v>19</v>
      </c>
      <c r="D135">
        <v>93</v>
      </c>
      <c r="E135">
        <v>69</v>
      </c>
      <c r="F135">
        <v>0.57399999999999995</v>
      </c>
      <c r="G135">
        <v>19</v>
      </c>
      <c r="H135">
        <v>950</v>
      </c>
      <c r="I135">
        <v>812</v>
      </c>
      <c r="J135">
        <v>138</v>
      </c>
    </row>
    <row r="136" spans="1:10" x14ac:dyDescent="0.25">
      <c r="A136">
        <v>34</v>
      </c>
      <c r="C136" t="s">
        <v>27</v>
      </c>
      <c r="D136">
        <v>45</v>
      </c>
      <c r="E136">
        <v>117</v>
      </c>
      <c r="F136">
        <v>0.27800000000000002</v>
      </c>
      <c r="G136">
        <v>58</v>
      </c>
      <c r="H136">
        <v>706</v>
      </c>
      <c r="I136">
        <v>1104</v>
      </c>
      <c r="J136">
        <v>-398</v>
      </c>
    </row>
    <row r="137" spans="1:10" x14ac:dyDescent="0.25">
      <c r="A137">
        <v>34</v>
      </c>
      <c r="C137" t="s">
        <v>26</v>
      </c>
      <c r="D137">
        <v>79</v>
      </c>
      <c r="E137">
        <v>83</v>
      </c>
      <c r="F137">
        <v>0.48799999999999999</v>
      </c>
      <c r="G137">
        <v>24</v>
      </c>
      <c r="H137">
        <v>846</v>
      </c>
      <c r="I137">
        <v>860</v>
      </c>
      <c r="J137">
        <v>-14</v>
      </c>
    </row>
    <row r="138" spans="1:10" x14ac:dyDescent="0.25">
      <c r="A138">
        <v>34</v>
      </c>
      <c r="C138" t="s">
        <v>24</v>
      </c>
      <c r="D138">
        <v>92</v>
      </c>
      <c r="E138">
        <v>70</v>
      </c>
      <c r="F138">
        <v>0.56799999999999995</v>
      </c>
      <c r="G138">
        <v>11</v>
      </c>
      <c r="H138">
        <v>903</v>
      </c>
      <c r="I138">
        <v>781</v>
      </c>
      <c r="J138">
        <v>122</v>
      </c>
    </row>
    <row r="139" spans="1:10" x14ac:dyDescent="0.25">
      <c r="A139">
        <v>34</v>
      </c>
      <c r="C139" t="s">
        <v>23</v>
      </c>
      <c r="D139">
        <v>103</v>
      </c>
      <c r="E139">
        <v>59</v>
      </c>
      <c r="F139">
        <v>0.63600000000000001</v>
      </c>
      <c r="G139">
        <v>0</v>
      </c>
      <c r="H139">
        <v>986</v>
      </c>
      <c r="I139">
        <v>733</v>
      </c>
      <c r="J139">
        <v>253</v>
      </c>
    </row>
    <row r="140" spans="1:10" x14ac:dyDescent="0.25">
      <c r="A140">
        <v>34</v>
      </c>
      <c r="C140" t="s">
        <v>22</v>
      </c>
      <c r="D140">
        <v>53</v>
      </c>
      <c r="E140">
        <v>109</v>
      </c>
      <c r="F140">
        <v>0.32700000000000001</v>
      </c>
      <c r="G140">
        <v>59</v>
      </c>
      <c r="H140">
        <v>788</v>
      </c>
      <c r="I140">
        <v>1107</v>
      </c>
      <c r="J140">
        <v>-319</v>
      </c>
    </row>
    <row r="141" spans="1:10" x14ac:dyDescent="0.25">
      <c r="A141">
        <v>34</v>
      </c>
      <c r="C141" t="s">
        <v>21</v>
      </c>
      <c r="D141">
        <v>64</v>
      </c>
      <c r="E141">
        <v>98</v>
      </c>
      <c r="F141">
        <v>0.39500000000000002</v>
      </c>
      <c r="G141">
        <v>48</v>
      </c>
      <c r="H141">
        <v>772</v>
      </c>
      <c r="I141">
        <v>988</v>
      </c>
      <c r="J141">
        <v>-216</v>
      </c>
    </row>
    <row r="142" spans="1:10" x14ac:dyDescent="0.25">
      <c r="A142">
        <v>35</v>
      </c>
      <c r="C142" t="s">
        <v>26</v>
      </c>
      <c r="D142">
        <v>73</v>
      </c>
      <c r="E142">
        <v>89</v>
      </c>
      <c r="F142">
        <v>0.45100000000000001</v>
      </c>
      <c r="G142">
        <v>41</v>
      </c>
      <c r="H142">
        <v>781</v>
      </c>
      <c r="I142">
        <v>882</v>
      </c>
      <c r="J142">
        <v>-101</v>
      </c>
    </row>
    <row r="143" spans="1:10" x14ac:dyDescent="0.25">
      <c r="A143">
        <v>35</v>
      </c>
      <c r="C143" t="s">
        <v>25</v>
      </c>
      <c r="D143">
        <v>65</v>
      </c>
      <c r="E143">
        <v>97</v>
      </c>
      <c r="F143">
        <v>0.40100000000000002</v>
      </c>
      <c r="G143">
        <v>49</v>
      </c>
      <c r="H143">
        <v>717</v>
      </c>
      <c r="I143">
        <v>881</v>
      </c>
      <c r="J143">
        <v>-164</v>
      </c>
    </row>
    <row r="144" spans="1:10" x14ac:dyDescent="0.25">
      <c r="A144">
        <v>35</v>
      </c>
      <c r="C144" t="s">
        <v>27</v>
      </c>
      <c r="D144">
        <v>56</v>
      </c>
      <c r="E144">
        <v>106</v>
      </c>
      <c r="F144">
        <v>0.34599999999999997</v>
      </c>
      <c r="G144">
        <v>58</v>
      </c>
      <c r="H144">
        <v>817</v>
      </c>
      <c r="I144">
        <v>1058</v>
      </c>
      <c r="J144">
        <v>-241</v>
      </c>
    </row>
    <row r="145" spans="1:10" x14ac:dyDescent="0.25">
      <c r="A145">
        <v>35</v>
      </c>
      <c r="C145" t="s">
        <v>23</v>
      </c>
      <c r="D145">
        <v>114</v>
      </c>
      <c r="E145">
        <v>48</v>
      </c>
      <c r="F145">
        <v>0.70399999999999996</v>
      </c>
      <c r="G145">
        <v>0</v>
      </c>
      <c r="H145">
        <v>975</v>
      </c>
      <c r="I145">
        <v>673</v>
      </c>
      <c r="J145">
        <v>302</v>
      </c>
    </row>
    <row r="146" spans="1:10" x14ac:dyDescent="0.25">
      <c r="A146">
        <v>35</v>
      </c>
      <c r="C146" t="s">
        <v>15</v>
      </c>
      <c r="D146">
        <v>72</v>
      </c>
      <c r="E146">
        <v>90</v>
      </c>
      <c r="F146">
        <v>0.44400000000000001</v>
      </c>
      <c r="G146">
        <v>30</v>
      </c>
      <c r="H146">
        <v>1034</v>
      </c>
      <c r="I146">
        <v>1126</v>
      </c>
      <c r="J146">
        <v>-92</v>
      </c>
    </row>
    <row r="147" spans="1:10" x14ac:dyDescent="0.25">
      <c r="A147">
        <v>35</v>
      </c>
      <c r="C147" t="s">
        <v>22</v>
      </c>
      <c r="D147">
        <v>59</v>
      </c>
      <c r="E147">
        <v>103</v>
      </c>
      <c r="F147">
        <v>0.36399999999999999</v>
      </c>
      <c r="G147">
        <v>43</v>
      </c>
      <c r="H147">
        <v>829</v>
      </c>
      <c r="I147">
        <v>1080</v>
      </c>
      <c r="J147">
        <v>-251</v>
      </c>
    </row>
    <row r="148" spans="1:10" x14ac:dyDescent="0.25">
      <c r="A148">
        <v>35</v>
      </c>
      <c r="C148" t="s">
        <v>21</v>
      </c>
      <c r="D148">
        <v>65</v>
      </c>
      <c r="E148">
        <v>97</v>
      </c>
      <c r="F148">
        <v>0.40100000000000002</v>
      </c>
      <c r="G148">
        <v>37</v>
      </c>
      <c r="H148">
        <v>845</v>
      </c>
      <c r="I148">
        <v>1007</v>
      </c>
      <c r="J148">
        <v>-162</v>
      </c>
    </row>
    <row r="149" spans="1:10" x14ac:dyDescent="0.25">
      <c r="A149">
        <v>35</v>
      </c>
      <c r="C149" t="s">
        <v>19</v>
      </c>
      <c r="D149">
        <v>93</v>
      </c>
      <c r="E149">
        <v>69</v>
      </c>
      <c r="F149">
        <v>0.57399999999999995</v>
      </c>
      <c r="G149">
        <v>9</v>
      </c>
      <c r="H149">
        <v>906</v>
      </c>
      <c r="I149">
        <v>802</v>
      </c>
      <c r="J149">
        <v>104</v>
      </c>
    </row>
    <row r="150" spans="1:10" x14ac:dyDescent="0.25">
      <c r="A150">
        <v>35</v>
      </c>
      <c r="C150" t="s">
        <v>20</v>
      </c>
      <c r="D150">
        <v>99</v>
      </c>
      <c r="E150">
        <v>63</v>
      </c>
      <c r="F150">
        <v>0.61099999999999999</v>
      </c>
      <c r="G150">
        <v>3</v>
      </c>
      <c r="H150">
        <v>973</v>
      </c>
      <c r="I150">
        <v>835</v>
      </c>
      <c r="J150">
        <v>138</v>
      </c>
    </row>
    <row r="151" spans="1:10" x14ac:dyDescent="0.25">
      <c r="A151">
        <v>35</v>
      </c>
      <c r="C151" t="s">
        <v>18</v>
      </c>
      <c r="D151">
        <v>102</v>
      </c>
      <c r="E151">
        <v>60</v>
      </c>
      <c r="F151">
        <v>0.63</v>
      </c>
      <c r="G151">
        <v>0</v>
      </c>
      <c r="H151">
        <v>998</v>
      </c>
      <c r="I151">
        <v>811</v>
      </c>
      <c r="J151">
        <v>187</v>
      </c>
    </row>
    <row r="152" spans="1:10" x14ac:dyDescent="0.25">
      <c r="A152">
        <v>35</v>
      </c>
      <c r="C152" t="s">
        <v>17</v>
      </c>
      <c r="D152">
        <v>41</v>
      </c>
      <c r="E152">
        <v>121</v>
      </c>
      <c r="F152">
        <v>0.253</v>
      </c>
      <c r="G152">
        <v>61</v>
      </c>
      <c r="H152">
        <v>639</v>
      </c>
      <c r="I152">
        <v>973</v>
      </c>
      <c r="J152">
        <v>-334</v>
      </c>
    </row>
    <row r="153" spans="1:10" x14ac:dyDescent="0.25">
      <c r="A153">
        <v>35</v>
      </c>
      <c r="C153" t="s">
        <v>16</v>
      </c>
      <c r="D153">
        <v>66</v>
      </c>
      <c r="E153">
        <v>96</v>
      </c>
      <c r="F153">
        <v>0.40699999999999997</v>
      </c>
      <c r="G153">
        <v>36</v>
      </c>
      <c r="H153">
        <v>804</v>
      </c>
      <c r="I153">
        <v>982</v>
      </c>
      <c r="J153">
        <v>-178</v>
      </c>
    </row>
    <row r="154" spans="1:10" x14ac:dyDescent="0.25">
      <c r="A154">
        <v>35</v>
      </c>
      <c r="C154" t="s">
        <v>24</v>
      </c>
      <c r="D154">
        <v>83</v>
      </c>
      <c r="E154">
        <v>79</v>
      </c>
      <c r="F154">
        <v>0.51200000000000001</v>
      </c>
      <c r="G154">
        <v>31</v>
      </c>
      <c r="H154">
        <v>878</v>
      </c>
      <c r="I154">
        <v>831</v>
      </c>
      <c r="J154">
        <v>47</v>
      </c>
    </row>
    <row r="155" spans="1:10" x14ac:dyDescent="0.25">
      <c r="A155">
        <v>35</v>
      </c>
      <c r="C155" t="s">
        <v>8</v>
      </c>
      <c r="D155">
        <v>90</v>
      </c>
      <c r="E155">
        <v>72</v>
      </c>
      <c r="F155">
        <v>0.55600000000000005</v>
      </c>
      <c r="G155">
        <v>12</v>
      </c>
      <c r="H155">
        <v>872</v>
      </c>
      <c r="I155">
        <v>732</v>
      </c>
      <c r="J155">
        <v>140</v>
      </c>
    </row>
    <row r="156" spans="1:10" x14ac:dyDescent="0.25">
      <c r="A156">
        <v>35</v>
      </c>
      <c r="C156" t="s">
        <v>14</v>
      </c>
      <c r="D156">
        <v>74</v>
      </c>
      <c r="E156">
        <v>88</v>
      </c>
      <c r="F156">
        <v>0.45700000000000002</v>
      </c>
      <c r="G156">
        <v>28</v>
      </c>
      <c r="H156">
        <v>819</v>
      </c>
      <c r="I156">
        <v>901</v>
      </c>
      <c r="J156">
        <v>-82</v>
      </c>
    </row>
    <row r="157" spans="1:10" x14ac:dyDescent="0.25">
      <c r="A157">
        <v>35</v>
      </c>
      <c r="C157" t="s">
        <v>11</v>
      </c>
      <c r="D157">
        <v>102</v>
      </c>
      <c r="E157">
        <v>60</v>
      </c>
      <c r="F157">
        <v>0.63</v>
      </c>
      <c r="G157">
        <v>0</v>
      </c>
      <c r="H157">
        <v>959</v>
      </c>
      <c r="I157">
        <v>774</v>
      </c>
      <c r="J157">
        <v>185</v>
      </c>
    </row>
    <row r="158" spans="1:10" x14ac:dyDescent="0.25">
      <c r="A158">
        <v>35</v>
      </c>
      <c r="C158" t="s">
        <v>9</v>
      </c>
      <c r="D158">
        <v>89</v>
      </c>
      <c r="E158">
        <v>73</v>
      </c>
      <c r="F158">
        <v>0.54900000000000004</v>
      </c>
      <c r="G158">
        <v>13</v>
      </c>
      <c r="H158">
        <v>936</v>
      </c>
      <c r="I158">
        <v>866</v>
      </c>
      <c r="J158">
        <v>70</v>
      </c>
    </row>
    <row r="159" spans="1:10" x14ac:dyDescent="0.25">
      <c r="A159">
        <v>35</v>
      </c>
      <c r="C159" t="s">
        <v>10</v>
      </c>
      <c r="D159">
        <v>88</v>
      </c>
      <c r="E159">
        <v>74</v>
      </c>
      <c r="F159">
        <v>0.54300000000000004</v>
      </c>
      <c r="G159">
        <v>14</v>
      </c>
      <c r="H159">
        <v>1008</v>
      </c>
      <c r="I159">
        <v>890</v>
      </c>
      <c r="J159">
        <v>118</v>
      </c>
    </row>
    <row r="160" spans="1:10" x14ac:dyDescent="0.25">
      <c r="A160">
        <v>35</v>
      </c>
      <c r="C160" t="s">
        <v>12</v>
      </c>
      <c r="D160">
        <v>87</v>
      </c>
      <c r="E160">
        <v>75</v>
      </c>
      <c r="F160">
        <v>0.53700000000000003</v>
      </c>
      <c r="G160">
        <v>15</v>
      </c>
      <c r="H160">
        <v>791</v>
      </c>
      <c r="I160">
        <v>773</v>
      </c>
      <c r="J160">
        <v>18</v>
      </c>
    </row>
    <row r="161" spans="1:10" x14ac:dyDescent="0.25">
      <c r="A161">
        <v>35</v>
      </c>
      <c r="C161" t="s">
        <v>13</v>
      </c>
      <c r="D161">
        <v>102</v>
      </c>
      <c r="E161">
        <v>60</v>
      </c>
      <c r="F161">
        <v>0.63</v>
      </c>
      <c r="G161">
        <v>0</v>
      </c>
      <c r="H161">
        <v>1012</v>
      </c>
      <c r="I161">
        <v>716</v>
      </c>
      <c r="J161">
        <v>296</v>
      </c>
    </row>
    <row r="162" spans="1:10" x14ac:dyDescent="0.25">
      <c r="A162">
        <v>36</v>
      </c>
      <c r="C162" t="s">
        <v>20</v>
      </c>
      <c r="D162">
        <v>84</v>
      </c>
      <c r="E162">
        <v>78</v>
      </c>
      <c r="F162">
        <v>0.51900000000000002</v>
      </c>
      <c r="G162">
        <v>28</v>
      </c>
      <c r="H162">
        <v>950</v>
      </c>
      <c r="I162">
        <v>940</v>
      </c>
      <c r="J162">
        <v>10</v>
      </c>
    </row>
    <row r="163" spans="1:10" x14ac:dyDescent="0.25">
      <c r="A163">
        <v>36</v>
      </c>
      <c r="C163" t="s">
        <v>10</v>
      </c>
      <c r="D163">
        <v>82</v>
      </c>
      <c r="E163">
        <v>80</v>
      </c>
      <c r="F163">
        <v>0.50600000000000001</v>
      </c>
      <c r="G163">
        <v>13</v>
      </c>
      <c r="H163">
        <v>958</v>
      </c>
      <c r="I163">
        <v>855</v>
      </c>
      <c r="J163">
        <v>103</v>
      </c>
    </row>
    <row r="164" spans="1:10" x14ac:dyDescent="0.25">
      <c r="A164">
        <v>36</v>
      </c>
      <c r="C164" t="s">
        <v>13</v>
      </c>
      <c r="D164">
        <v>110</v>
      </c>
      <c r="E164">
        <v>52</v>
      </c>
      <c r="F164">
        <v>0.67900000000000005</v>
      </c>
      <c r="G164">
        <v>0</v>
      </c>
      <c r="H164">
        <v>1020</v>
      </c>
      <c r="I164">
        <v>715</v>
      </c>
      <c r="J164">
        <v>305</v>
      </c>
    </row>
    <row r="165" spans="1:10" x14ac:dyDescent="0.25">
      <c r="A165">
        <v>36</v>
      </c>
      <c r="C165" t="s">
        <v>14</v>
      </c>
      <c r="D165">
        <v>80</v>
      </c>
      <c r="E165">
        <v>82</v>
      </c>
      <c r="F165">
        <v>0.49399999999999999</v>
      </c>
      <c r="G165">
        <v>30</v>
      </c>
      <c r="H165">
        <v>891</v>
      </c>
      <c r="I165">
        <v>879</v>
      </c>
      <c r="J165">
        <v>12</v>
      </c>
    </row>
    <row r="166" spans="1:10" x14ac:dyDescent="0.25">
      <c r="A166">
        <v>36</v>
      </c>
      <c r="C166" t="s">
        <v>15</v>
      </c>
      <c r="D166">
        <v>79</v>
      </c>
      <c r="E166">
        <v>83</v>
      </c>
      <c r="F166">
        <v>0.48799999999999999</v>
      </c>
      <c r="G166">
        <v>31</v>
      </c>
      <c r="H166">
        <v>1005</v>
      </c>
      <c r="I166">
        <v>1051</v>
      </c>
      <c r="J166">
        <v>-46</v>
      </c>
    </row>
    <row r="167" spans="1:10" x14ac:dyDescent="0.25">
      <c r="A167">
        <v>36</v>
      </c>
      <c r="C167" t="s">
        <v>16</v>
      </c>
      <c r="D167">
        <v>63</v>
      </c>
      <c r="E167">
        <v>99</v>
      </c>
      <c r="F167">
        <v>0.38900000000000001</v>
      </c>
      <c r="G167">
        <v>47</v>
      </c>
      <c r="H167">
        <v>875</v>
      </c>
      <c r="I167">
        <v>1048</v>
      </c>
      <c r="J167">
        <v>-173</v>
      </c>
    </row>
    <row r="168" spans="1:10" x14ac:dyDescent="0.25">
      <c r="A168">
        <v>36</v>
      </c>
      <c r="C168" t="s">
        <v>17</v>
      </c>
      <c r="D168">
        <v>45</v>
      </c>
      <c r="E168">
        <v>117</v>
      </c>
      <c r="F168">
        <v>0.27800000000000002</v>
      </c>
      <c r="G168">
        <v>65</v>
      </c>
      <c r="H168">
        <v>664</v>
      </c>
      <c r="I168">
        <v>1057</v>
      </c>
      <c r="J168">
        <v>-393</v>
      </c>
    </row>
    <row r="169" spans="1:10" x14ac:dyDescent="0.25">
      <c r="A169">
        <v>36</v>
      </c>
      <c r="C169" t="s">
        <v>21</v>
      </c>
      <c r="D169">
        <v>66</v>
      </c>
      <c r="E169">
        <v>96</v>
      </c>
      <c r="F169">
        <v>0.40699999999999997</v>
      </c>
      <c r="G169">
        <v>46</v>
      </c>
      <c r="H169">
        <v>811</v>
      </c>
      <c r="I169">
        <v>969</v>
      </c>
      <c r="J169">
        <v>-158</v>
      </c>
    </row>
    <row r="170" spans="1:10" x14ac:dyDescent="0.25">
      <c r="A170">
        <v>36</v>
      </c>
      <c r="C170" t="s">
        <v>19</v>
      </c>
      <c r="D170">
        <v>103</v>
      </c>
      <c r="E170">
        <v>59</v>
      </c>
      <c r="F170">
        <v>0.63600000000000001</v>
      </c>
      <c r="G170">
        <v>9</v>
      </c>
      <c r="H170">
        <v>981</v>
      </c>
      <c r="I170">
        <v>766</v>
      </c>
      <c r="J170">
        <v>215</v>
      </c>
    </row>
    <row r="171" spans="1:10" x14ac:dyDescent="0.25">
      <c r="A171">
        <v>36</v>
      </c>
      <c r="C171" t="s">
        <v>26</v>
      </c>
      <c r="D171">
        <v>76</v>
      </c>
      <c r="E171">
        <v>86</v>
      </c>
      <c r="F171">
        <v>0.46899999999999997</v>
      </c>
      <c r="G171">
        <v>31</v>
      </c>
      <c r="H171">
        <v>770</v>
      </c>
      <c r="I171">
        <v>867</v>
      </c>
      <c r="J171">
        <v>-97</v>
      </c>
    </row>
    <row r="172" spans="1:10" x14ac:dyDescent="0.25">
      <c r="A172">
        <v>36</v>
      </c>
      <c r="C172" t="s">
        <v>24</v>
      </c>
      <c r="D172">
        <v>67</v>
      </c>
      <c r="E172">
        <v>95</v>
      </c>
      <c r="F172">
        <v>0.41399999999999998</v>
      </c>
      <c r="G172">
        <v>40</v>
      </c>
      <c r="H172">
        <v>758</v>
      </c>
      <c r="I172">
        <v>858</v>
      </c>
      <c r="J172">
        <v>-100</v>
      </c>
    </row>
    <row r="173" spans="1:10" x14ac:dyDescent="0.25">
      <c r="A173">
        <v>36</v>
      </c>
      <c r="C173" t="s">
        <v>11</v>
      </c>
      <c r="D173">
        <v>85</v>
      </c>
      <c r="E173">
        <v>77</v>
      </c>
      <c r="F173">
        <v>0.52500000000000002</v>
      </c>
      <c r="G173">
        <v>10</v>
      </c>
      <c r="H173">
        <v>875</v>
      </c>
      <c r="I173">
        <v>818</v>
      </c>
      <c r="J173">
        <v>57</v>
      </c>
    </row>
    <row r="174" spans="1:10" x14ac:dyDescent="0.25">
      <c r="A174">
        <v>36</v>
      </c>
      <c r="C174" t="s">
        <v>22</v>
      </c>
      <c r="D174">
        <v>56</v>
      </c>
      <c r="E174">
        <v>106</v>
      </c>
      <c r="F174">
        <v>0.34599999999999997</v>
      </c>
      <c r="G174">
        <v>56</v>
      </c>
      <c r="H174">
        <v>776</v>
      </c>
      <c r="I174">
        <v>1085</v>
      </c>
      <c r="J174">
        <v>-309</v>
      </c>
    </row>
    <row r="175" spans="1:10" x14ac:dyDescent="0.25">
      <c r="A175">
        <v>36</v>
      </c>
      <c r="C175" t="s">
        <v>25</v>
      </c>
      <c r="D175">
        <v>68</v>
      </c>
      <c r="E175">
        <v>94</v>
      </c>
      <c r="F175">
        <v>0.42</v>
      </c>
      <c r="G175">
        <v>39</v>
      </c>
      <c r="H175">
        <v>775</v>
      </c>
      <c r="I175">
        <v>888</v>
      </c>
      <c r="J175">
        <v>-113</v>
      </c>
    </row>
    <row r="176" spans="1:10" x14ac:dyDescent="0.25">
      <c r="A176">
        <v>36</v>
      </c>
      <c r="C176" t="s">
        <v>23</v>
      </c>
      <c r="D176">
        <v>107</v>
      </c>
      <c r="E176">
        <v>55</v>
      </c>
      <c r="F176">
        <v>0.66</v>
      </c>
      <c r="G176">
        <v>0</v>
      </c>
      <c r="H176">
        <v>939</v>
      </c>
      <c r="I176">
        <v>667</v>
      </c>
      <c r="J176">
        <v>272</v>
      </c>
    </row>
    <row r="177" spans="1:10" x14ac:dyDescent="0.25">
      <c r="A177">
        <v>36</v>
      </c>
      <c r="C177" t="s">
        <v>18</v>
      </c>
      <c r="D177">
        <v>112</v>
      </c>
      <c r="E177">
        <v>50</v>
      </c>
      <c r="F177">
        <v>0.69099999999999995</v>
      </c>
      <c r="G177">
        <v>0</v>
      </c>
      <c r="H177">
        <v>1077</v>
      </c>
      <c r="I177">
        <v>712</v>
      </c>
      <c r="J177">
        <v>365</v>
      </c>
    </row>
    <row r="178" spans="1:10" x14ac:dyDescent="0.25">
      <c r="A178">
        <v>36</v>
      </c>
      <c r="C178" t="s">
        <v>27</v>
      </c>
      <c r="D178">
        <v>66</v>
      </c>
      <c r="E178">
        <v>96</v>
      </c>
      <c r="F178">
        <v>0.40699999999999997</v>
      </c>
      <c r="G178">
        <v>41</v>
      </c>
      <c r="H178">
        <v>797</v>
      </c>
      <c r="I178">
        <v>1038</v>
      </c>
      <c r="J178">
        <v>-241</v>
      </c>
    </row>
    <row r="179" spans="1:10" x14ac:dyDescent="0.25">
      <c r="A179">
        <v>36</v>
      </c>
      <c r="C179" t="s">
        <v>9</v>
      </c>
      <c r="D179">
        <v>93</v>
      </c>
      <c r="E179">
        <v>69</v>
      </c>
      <c r="F179">
        <v>0.57399999999999995</v>
      </c>
      <c r="G179">
        <v>2</v>
      </c>
      <c r="H179">
        <v>931</v>
      </c>
      <c r="I179">
        <v>765</v>
      </c>
      <c r="J179">
        <v>166</v>
      </c>
    </row>
    <row r="180" spans="1:10" x14ac:dyDescent="0.25">
      <c r="A180">
        <v>36</v>
      </c>
      <c r="C180" t="s">
        <v>8</v>
      </c>
      <c r="D180">
        <v>95</v>
      </c>
      <c r="E180">
        <v>67</v>
      </c>
      <c r="F180">
        <v>0.58599999999999997</v>
      </c>
      <c r="G180">
        <v>0</v>
      </c>
      <c r="H180">
        <v>817</v>
      </c>
      <c r="I180">
        <v>709</v>
      </c>
      <c r="J180">
        <v>108</v>
      </c>
    </row>
    <row r="181" spans="1:10" x14ac:dyDescent="0.25">
      <c r="A181">
        <v>36</v>
      </c>
      <c r="C181" t="s">
        <v>12</v>
      </c>
      <c r="D181">
        <v>83</v>
      </c>
      <c r="E181">
        <v>79</v>
      </c>
      <c r="F181">
        <v>0.51200000000000001</v>
      </c>
      <c r="G181">
        <v>12</v>
      </c>
      <c r="H181">
        <v>836</v>
      </c>
      <c r="I181">
        <v>819</v>
      </c>
      <c r="J181">
        <v>17</v>
      </c>
    </row>
    <row r="182" spans="1:10" x14ac:dyDescent="0.25">
      <c r="A182">
        <v>37</v>
      </c>
      <c r="C182" t="s">
        <v>20</v>
      </c>
      <c r="D182">
        <v>80</v>
      </c>
      <c r="E182">
        <v>82</v>
      </c>
      <c r="F182">
        <v>0.49399999999999999</v>
      </c>
      <c r="G182">
        <v>21</v>
      </c>
      <c r="H182">
        <v>881</v>
      </c>
      <c r="I182">
        <v>890</v>
      </c>
      <c r="J182">
        <v>-9</v>
      </c>
    </row>
    <row r="183" spans="1:10" x14ac:dyDescent="0.25">
      <c r="A183">
        <v>37</v>
      </c>
      <c r="C183" t="s">
        <v>21</v>
      </c>
      <c r="D183">
        <v>80</v>
      </c>
      <c r="E183">
        <v>82</v>
      </c>
      <c r="F183">
        <v>0.49399999999999999</v>
      </c>
      <c r="G183">
        <v>21</v>
      </c>
      <c r="H183">
        <v>897</v>
      </c>
      <c r="I183">
        <v>990</v>
      </c>
      <c r="J183">
        <v>-93</v>
      </c>
    </row>
    <row r="184" spans="1:10" x14ac:dyDescent="0.25">
      <c r="A184">
        <v>37</v>
      </c>
      <c r="C184" t="s">
        <v>8</v>
      </c>
      <c r="D184">
        <v>111</v>
      </c>
      <c r="E184">
        <v>51</v>
      </c>
      <c r="F184">
        <v>0.68500000000000005</v>
      </c>
      <c r="G184">
        <v>0</v>
      </c>
      <c r="H184">
        <v>882</v>
      </c>
      <c r="I184">
        <v>683</v>
      </c>
      <c r="J184">
        <v>199</v>
      </c>
    </row>
    <row r="185" spans="1:10" x14ac:dyDescent="0.25">
      <c r="A185">
        <v>37</v>
      </c>
      <c r="C185" t="s">
        <v>19</v>
      </c>
      <c r="D185">
        <v>98</v>
      </c>
      <c r="E185">
        <v>64</v>
      </c>
      <c r="F185">
        <v>0.60499999999999998</v>
      </c>
      <c r="G185">
        <v>3</v>
      </c>
      <c r="H185">
        <v>988</v>
      </c>
      <c r="I185">
        <v>859</v>
      </c>
      <c r="J185">
        <v>129</v>
      </c>
    </row>
    <row r="186" spans="1:10" x14ac:dyDescent="0.25">
      <c r="A186">
        <v>37</v>
      </c>
      <c r="C186" t="s">
        <v>22</v>
      </c>
      <c r="D186">
        <v>61</v>
      </c>
      <c r="E186">
        <v>101</v>
      </c>
      <c r="F186">
        <v>0.377</v>
      </c>
      <c r="G186">
        <v>40</v>
      </c>
      <c r="H186">
        <v>821</v>
      </c>
      <c r="I186">
        <v>1040</v>
      </c>
      <c r="J186">
        <v>-219</v>
      </c>
    </row>
    <row r="187" spans="1:10" x14ac:dyDescent="0.25">
      <c r="A187">
        <v>37</v>
      </c>
      <c r="C187" t="s">
        <v>10</v>
      </c>
      <c r="D187">
        <v>103</v>
      </c>
      <c r="E187">
        <v>59</v>
      </c>
      <c r="F187">
        <v>0.63600000000000001</v>
      </c>
      <c r="G187">
        <v>8</v>
      </c>
      <c r="H187">
        <v>1040</v>
      </c>
      <c r="I187">
        <v>850</v>
      </c>
      <c r="J187">
        <v>190</v>
      </c>
    </row>
    <row r="188" spans="1:10" x14ac:dyDescent="0.25">
      <c r="A188">
        <v>37</v>
      </c>
      <c r="C188" t="s">
        <v>18</v>
      </c>
      <c r="D188">
        <v>101</v>
      </c>
      <c r="E188">
        <v>61</v>
      </c>
      <c r="F188">
        <v>0.623</v>
      </c>
      <c r="G188">
        <v>0</v>
      </c>
      <c r="H188">
        <v>1021</v>
      </c>
      <c r="I188">
        <v>739</v>
      </c>
      <c r="J188">
        <v>282</v>
      </c>
    </row>
    <row r="189" spans="1:10" x14ac:dyDescent="0.25">
      <c r="A189">
        <v>37</v>
      </c>
      <c r="C189" t="s">
        <v>9</v>
      </c>
      <c r="D189">
        <v>97</v>
      </c>
      <c r="E189">
        <v>65</v>
      </c>
      <c r="F189">
        <v>0.59899999999999998</v>
      </c>
      <c r="G189">
        <v>14</v>
      </c>
      <c r="H189">
        <v>1008</v>
      </c>
      <c r="I189">
        <v>828</v>
      </c>
      <c r="J189">
        <v>180</v>
      </c>
    </row>
    <row r="190" spans="1:10" x14ac:dyDescent="0.25">
      <c r="A190">
        <v>37</v>
      </c>
      <c r="C190" t="s">
        <v>24</v>
      </c>
      <c r="D190">
        <v>95</v>
      </c>
      <c r="E190">
        <v>67</v>
      </c>
      <c r="F190">
        <v>0.58599999999999997</v>
      </c>
      <c r="G190">
        <v>12</v>
      </c>
      <c r="H190">
        <v>851</v>
      </c>
      <c r="I190">
        <v>785</v>
      </c>
      <c r="J190">
        <v>66</v>
      </c>
    </row>
    <row r="191" spans="1:10" x14ac:dyDescent="0.25">
      <c r="A191">
        <v>37</v>
      </c>
      <c r="C191" t="s">
        <v>15</v>
      </c>
      <c r="D191">
        <v>69</v>
      </c>
      <c r="E191">
        <v>93</v>
      </c>
      <c r="F191">
        <v>0.42599999999999999</v>
      </c>
      <c r="G191">
        <v>31</v>
      </c>
      <c r="H191">
        <v>1001</v>
      </c>
      <c r="I191">
        <v>1113</v>
      </c>
      <c r="J191">
        <v>-112</v>
      </c>
    </row>
    <row r="192" spans="1:10" x14ac:dyDescent="0.25">
      <c r="A192">
        <v>37</v>
      </c>
      <c r="C192" t="s">
        <v>26</v>
      </c>
      <c r="D192">
        <v>75</v>
      </c>
      <c r="E192">
        <v>87</v>
      </c>
      <c r="F192">
        <v>0.46300000000000002</v>
      </c>
      <c r="G192">
        <v>32</v>
      </c>
      <c r="H192">
        <v>784</v>
      </c>
      <c r="I192">
        <v>806</v>
      </c>
      <c r="J192">
        <v>-22</v>
      </c>
    </row>
    <row r="193" spans="1:10" x14ac:dyDescent="0.25">
      <c r="A193">
        <v>37</v>
      </c>
      <c r="C193" t="s">
        <v>11</v>
      </c>
      <c r="D193">
        <v>93</v>
      </c>
      <c r="E193">
        <v>69</v>
      </c>
      <c r="F193">
        <v>0.57399999999999995</v>
      </c>
      <c r="G193">
        <v>18</v>
      </c>
      <c r="H193">
        <v>883</v>
      </c>
      <c r="I193">
        <v>776</v>
      </c>
      <c r="J193">
        <v>107</v>
      </c>
    </row>
    <row r="194" spans="1:10" x14ac:dyDescent="0.25">
      <c r="A194">
        <v>37</v>
      </c>
      <c r="C194" t="s">
        <v>16</v>
      </c>
      <c r="D194">
        <v>55</v>
      </c>
      <c r="E194">
        <v>107</v>
      </c>
      <c r="F194">
        <v>0.34</v>
      </c>
      <c r="G194">
        <v>45</v>
      </c>
      <c r="H194">
        <v>823</v>
      </c>
      <c r="I194">
        <v>1017</v>
      </c>
      <c r="J194">
        <v>-194</v>
      </c>
    </row>
    <row r="195" spans="1:10" x14ac:dyDescent="0.25">
      <c r="A195">
        <v>37</v>
      </c>
      <c r="C195" t="s">
        <v>25</v>
      </c>
      <c r="D195">
        <v>70</v>
      </c>
      <c r="E195">
        <v>92</v>
      </c>
      <c r="F195">
        <v>0.432</v>
      </c>
      <c r="G195">
        <v>37</v>
      </c>
      <c r="H195">
        <v>797</v>
      </c>
      <c r="I195">
        <v>884</v>
      </c>
      <c r="J195">
        <v>-87</v>
      </c>
    </row>
    <row r="196" spans="1:10" x14ac:dyDescent="0.25">
      <c r="A196">
        <v>37</v>
      </c>
      <c r="C196" t="s">
        <v>27</v>
      </c>
      <c r="D196">
        <v>54</v>
      </c>
      <c r="E196">
        <v>108</v>
      </c>
      <c r="F196">
        <v>0.33300000000000002</v>
      </c>
      <c r="G196">
        <v>53</v>
      </c>
      <c r="H196">
        <v>759</v>
      </c>
      <c r="I196">
        <v>1025</v>
      </c>
      <c r="J196">
        <v>-266</v>
      </c>
    </row>
    <row r="197" spans="1:10" x14ac:dyDescent="0.25">
      <c r="A197">
        <v>37</v>
      </c>
      <c r="C197" t="s">
        <v>12</v>
      </c>
      <c r="D197">
        <v>69</v>
      </c>
      <c r="E197">
        <v>93</v>
      </c>
      <c r="F197">
        <v>0.42599999999999999</v>
      </c>
      <c r="G197">
        <v>42</v>
      </c>
      <c r="H197">
        <v>806</v>
      </c>
      <c r="I197">
        <v>903</v>
      </c>
      <c r="J197">
        <v>-97</v>
      </c>
    </row>
    <row r="198" spans="1:10" x14ac:dyDescent="0.25">
      <c r="A198">
        <v>37</v>
      </c>
      <c r="C198" t="s">
        <v>14</v>
      </c>
      <c r="D198">
        <v>67</v>
      </c>
      <c r="E198">
        <v>95</v>
      </c>
      <c r="F198">
        <v>0.41399999999999998</v>
      </c>
      <c r="G198">
        <v>33</v>
      </c>
      <c r="H198">
        <v>718</v>
      </c>
      <c r="I198">
        <v>876</v>
      </c>
      <c r="J198">
        <v>-158</v>
      </c>
    </row>
    <row r="199" spans="1:10" x14ac:dyDescent="0.25">
      <c r="A199">
        <v>37</v>
      </c>
      <c r="C199" t="s">
        <v>13</v>
      </c>
      <c r="D199">
        <v>100</v>
      </c>
      <c r="E199">
        <v>62</v>
      </c>
      <c r="F199">
        <v>0.61699999999999999</v>
      </c>
      <c r="G199">
        <v>0</v>
      </c>
      <c r="H199">
        <v>969</v>
      </c>
      <c r="I199">
        <v>679</v>
      </c>
      <c r="J199">
        <v>290</v>
      </c>
    </row>
    <row r="200" spans="1:10" x14ac:dyDescent="0.25">
      <c r="A200">
        <v>37</v>
      </c>
      <c r="C200" t="s">
        <v>17</v>
      </c>
      <c r="D200">
        <v>35</v>
      </c>
      <c r="E200">
        <v>127</v>
      </c>
      <c r="F200">
        <v>0.216</v>
      </c>
      <c r="G200">
        <v>65</v>
      </c>
      <c r="H200">
        <v>654</v>
      </c>
      <c r="I200">
        <v>1073</v>
      </c>
      <c r="J200">
        <v>-419</v>
      </c>
    </row>
    <row r="201" spans="1:10" x14ac:dyDescent="0.25">
      <c r="A201">
        <v>37</v>
      </c>
      <c r="C201" t="s">
        <v>23</v>
      </c>
      <c r="D201">
        <v>107</v>
      </c>
      <c r="E201">
        <v>55</v>
      </c>
      <c r="F201">
        <v>0.66</v>
      </c>
      <c r="G201">
        <v>0</v>
      </c>
      <c r="H201">
        <v>942</v>
      </c>
      <c r="I201">
        <v>709</v>
      </c>
      <c r="J201">
        <v>233</v>
      </c>
    </row>
    <row r="202" spans="1:10" x14ac:dyDescent="0.25">
      <c r="A202">
        <v>38</v>
      </c>
      <c r="C202" t="s">
        <v>20</v>
      </c>
      <c r="D202">
        <v>93</v>
      </c>
      <c r="E202">
        <v>69</v>
      </c>
      <c r="F202">
        <v>0.57399999999999995</v>
      </c>
      <c r="G202">
        <v>16</v>
      </c>
      <c r="H202">
        <v>976</v>
      </c>
      <c r="I202">
        <v>867</v>
      </c>
      <c r="J202">
        <v>109</v>
      </c>
    </row>
    <row r="203" spans="1:10" x14ac:dyDescent="0.25">
      <c r="A203">
        <v>38</v>
      </c>
      <c r="C203" t="s">
        <v>8</v>
      </c>
      <c r="D203">
        <v>93</v>
      </c>
      <c r="E203">
        <v>69</v>
      </c>
      <c r="F203">
        <v>0.57399999999999995</v>
      </c>
      <c r="G203">
        <v>9</v>
      </c>
      <c r="H203">
        <v>872</v>
      </c>
      <c r="I203">
        <v>718</v>
      </c>
      <c r="J203">
        <v>154</v>
      </c>
    </row>
    <row r="204" spans="1:10" x14ac:dyDescent="0.25">
      <c r="A204">
        <v>38</v>
      </c>
      <c r="C204" t="s">
        <v>9</v>
      </c>
      <c r="D204">
        <v>92</v>
      </c>
      <c r="E204">
        <v>70</v>
      </c>
      <c r="F204">
        <v>0.56799999999999995</v>
      </c>
      <c r="G204">
        <v>10</v>
      </c>
      <c r="H204">
        <v>1018</v>
      </c>
      <c r="I204">
        <v>861</v>
      </c>
      <c r="J204">
        <v>157</v>
      </c>
    </row>
    <row r="205" spans="1:10" x14ac:dyDescent="0.25">
      <c r="A205">
        <v>38</v>
      </c>
      <c r="C205" t="s">
        <v>11</v>
      </c>
      <c r="D205">
        <v>84</v>
      </c>
      <c r="E205">
        <v>78</v>
      </c>
      <c r="F205">
        <v>0.51900000000000002</v>
      </c>
      <c r="G205">
        <v>18</v>
      </c>
      <c r="H205">
        <v>818</v>
      </c>
      <c r="I205">
        <v>748</v>
      </c>
      <c r="J205">
        <v>70</v>
      </c>
    </row>
    <row r="206" spans="1:10" x14ac:dyDescent="0.25">
      <c r="A206">
        <v>38</v>
      </c>
      <c r="C206" t="s">
        <v>12</v>
      </c>
      <c r="D206">
        <v>80</v>
      </c>
      <c r="E206">
        <v>82</v>
      </c>
      <c r="F206">
        <v>0.49399999999999999</v>
      </c>
      <c r="G206">
        <v>22</v>
      </c>
      <c r="H206">
        <v>822</v>
      </c>
      <c r="I206">
        <v>809</v>
      </c>
      <c r="J206">
        <v>13</v>
      </c>
    </row>
    <row r="207" spans="1:10" x14ac:dyDescent="0.25">
      <c r="A207">
        <v>38</v>
      </c>
      <c r="C207" t="s">
        <v>15</v>
      </c>
      <c r="D207">
        <v>80</v>
      </c>
      <c r="E207">
        <v>82</v>
      </c>
      <c r="F207">
        <v>0.49399999999999999</v>
      </c>
      <c r="G207">
        <v>32</v>
      </c>
      <c r="H207">
        <v>1032</v>
      </c>
      <c r="I207">
        <v>1097</v>
      </c>
      <c r="J207">
        <v>-65</v>
      </c>
    </row>
    <row r="208" spans="1:10" x14ac:dyDescent="0.25">
      <c r="A208">
        <v>38</v>
      </c>
      <c r="C208" t="s">
        <v>16</v>
      </c>
      <c r="D208">
        <v>59</v>
      </c>
      <c r="E208">
        <v>103</v>
      </c>
      <c r="F208">
        <v>0.36399999999999999</v>
      </c>
      <c r="G208">
        <v>53</v>
      </c>
      <c r="H208">
        <v>768</v>
      </c>
      <c r="I208">
        <v>988</v>
      </c>
      <c r="J208">
        <v>-220</v>
      </c>
    </row>
    <row r="209" spans="1:10" x14ac:dyDescent="0.25">
      <c r="A209">
        <v>38</v>
      </c>
      <c r="C209" t="s">
        <v>17</v>
      </c>
      <c r="D209">
        <v>48</v>
      </c>
      <c r="E209">
        <v>114</v>
      </c>
      <c r="F209">
        <v>0.29599999999999999</v>
      </c>
      <c r="G209">
        <v>64</v>
      </c>
      <c r="H209">
        <v>697</v>
      </c>
      <c r="I209">
        <v>1003</v>
      </c>
      <c r="J209">
        <v>-306</v>
      </c>
    </row>
    <row r="210" spans="1:10" x14ac:dyDescent="0.25">
      <c r="A210">
        <v>38</v>
      </c>
      <c r="C210" t="s">
        <v>10</v>
      </c>
      <c r="D210">
        <v>102</v>
      </c>
      <c r="E210">
        <v>60</v>
      </c>
      <c r="F210">
        <v>0.63</v>
      </c>
      <c r="G210">
        <v>0</v>
      </c>
      <c r="H210">
        <v>1017</v>
      </c>
      <c r="I210">
        <v>867</v>
      </c>
      <c r="J210">
        <v>150</v>
      </c>
    </row>
    <row r="211" spans="1:10" x14ac:dyDescent="0.25">
      <c r="A211">
        <v>38</v>
      </c>
      <c r="C211" t="s">
        <v>19</v>
      </c>
      <c r="D211">
        <v>94</v>
      </c>
      <c r="E211">
        <v>68</v>
      </c>
      <c r="F211">
        <v>0.57999999999999996</v>
      </c>
      <c r="G211">
        <v>15</v>
      </c>
      <c r="H211">
        <v>940</v>
      </c>
      <c r="I211">
        <v>817</v>
      </c>
      <c r="J211">
        <v>123</v>
      </c>
    </row>
    <row r="212" spans="1:10" x14ac:dyDescent="0.25">
      <c r="A212">
        <v>38</v>
      </c>
      <c r="C212" t="s">
        <v>13</v>
      </c>
      <c r="D212">
        <v>112</v>
      </c>
      <c r="E212">
        <v>50</v>
      </c>
      <c r="F212">
        <v>0.69099999999999995</v>
      </c>
      <c r="G212">
        <v>0</v>
      </c>
      <c r="H212">
        <v>969</v>
      </c>
      <c r="I212">
        <v>697</v>
      </c>
      <c r="J212">
        <v>272</v>
      </c>
    </row>
    <row r="213" spans="1:10" x14ac:dyDescent="0.25">
      <c r="A213">
        <v>38</v>
      </c>
      <c r="C213" t="s">
        <v>21</v>
      </c>
      <c r="D213">
        <v>66</v>
      </c>
      <c r="E213">
        <v>96</v>
      </c>
      <c r="F213">
        <v>0.40699999999999997</v>
      </c>
      <c r="G213">
        <v>43</v>
      </c>
      <c r="H213">
        <v>834</v>
      </c>
      <c r="I213">
        <v>966</v>
      </c>
      <c r="J213">
        <v>-132</v>
      </c>
    </row>
    <row r="214" spans="1:10" x14ac:dyDescent="0.25">
      <c r="A214">
        <v>38</v>
      </c>
      <c r="C214" t="s">
        <v>22</v>
      </c>
      <c r="D214">
        <v>66</v>
      </c>
      <c r="E214">
        <v>96</v>
      </c>
      <c r="F214">
        <v>0.40699999999999997</v>
      </c>
      <c r="G214">
        <v>43</v>
      </c>
      <c r="H214">
        <v>842</v>
      </c>
      <c r="I214">
        <v>1013</v>
      </c>
      <c r="J214">
        <v>-171</v>
      </c>
    </row>
    <row r="215" spans="1:10" x14ac:dyDescent="0.25">
      <c r="A215">
        <v>38</v>
      </c>
      <c r="C215" t="s">
        <v>23</v>
      </c>
      <c r="D215">
        <v>96</v>
      </c>
      <c r="E215">
        <v>66</v>
      </c>
      <c r="F215">
        <v>0.59299999999999997</v>
      </c>
      <c r="G215">
        <v>0</v>
      </c>
      <c r="H215">
        <v>932</v>
      </c>
      <c r="I215">
        <v>772</v>
      </c>
      <c r="J215">
        <v>160</v>
      </c>
    </row>
    <row r="216" spans="1:10" x14ac:dyDescent="0.25">
      <c r="A216">
        <v>38</v>
      </c>
      <c r="C216" t="s">
        <v>24</v>
      </c>
      <c r="D216">
        <v>91</v>
      </c>
      <c r="E216">
        <v>71</v>
      </c>
      <c r="F216">
        <v>0.56200000000000006</v>
      </c>
      <c r="G216">
        <v>5</v>
      </c>
      <c r="H216">
        <v>858</v>
      </c>
      <c r="I216">
        <v>808</v>
      </c>
      <c r="J216">
        <v>50</v>
      </c>
    </row>
    <row r="217" spans="1:10" x14ac:dyDescent="0.25">
      <c r="A217">
        <v>38</v>
      </c>
      <c r="C217" t="s">
        <v>26</v>
      </c>
      <c r="D217">
        <v>75</v>
      </c>
      <c r="E217">
        <v>87</v>
      </c>
      <c r="F217">
        <v>0.46300000000000002</v>
      </c>
      <c r="G217">
        <v>21</v>
      </c>
      <c r="H217">
        <v>753</v>
      </c>
      <c r="I217">
        <v>844</v>
      </c>
      <c r="J217">
        <v>-91</v>
      </c>
    </row>
    <row r="218" spans="1:10" x14ac:dyDescent="0.25">
      <c r="A218">
        <v>38</v>
      </c>
      <c r="C218" t="s">
        <v>25</v>
      </c>
      <c r="D218">
        <v>59</v>
      </c>
      <c r="E218">
        <v>103</v>
      </c>
      <c r="F218">
        <v>0.36399999999999999</v>
      </c>
      <c r="G218">
        <v>37</v>
      </c>
      <c r="H218">
        <v>745</v>
      </c>
      <c r="I218">
        <v>944</v>
      </c>
      <c r="J218">
        <v>-199</v>
      </c>
    </row>
    <row r="219" spans="1:10" x14ac:dyDescent="0.25">
      <c r="A219">
        <v>38</v>
      </c>
      <c r="C219" t="s">
        <v>27</v>
      </c>
      <c r="D219">
        <v>52</v>
      </c>
      <c r="E219">
        <v>110</v>
      </c>
      <c r="F219">
        <v>0.32100000000000001</v>
      </c>
      <c r="G219">
        <v>44</v>
      </c>
      <c r="H219">
        <v>749</v>
      </c>
      <c r="I219">
        <v>1026</v>
      </c>
      <c r="J219">
        <v>-277</v>
      </c>
    </row>
    <row r="220" spans="1:10" x14ac:dyDescent="0.25">
      <c r="A220">
        <v>38</v>
      </c>
      <c r="C220" t="s">
        <v>18</v>
      </c>
      <c r="D220">
        <v>109</v>
      </c>
      <c r="E220">
        <v>53</v>
      </c>
      <c r="F220">
        <v>0.67300000000000004</v>
      </c>
      <c r="G220">
        <v>0</v>
      </c>
      <c r="H220">
        <v>1020</v>
      </c>
      <c r="I220">
        <v>704</v>
      </c>
      <c r="J220">
        <v>316</v>
      </c>
    </row>
    <row r="221" spans="1:10" x14ac:dyDescent="0.25">
      <c r="A221">
        <v>38</v>
      </c>
      <c r="C221" t="s">
        <v>14</v>
      </c>
      <c r="D221">
        <v>69</v>
      </c>
      <c r="E221">
        <v>93</v>
      </c>
      <c r="F221">
        <v>0.42599999999999999</v>
      </c>
      <c r="G221">
        <v>43</v>
      </c>
      <c r="H221">
        <v>735</v>
      </c>
      <c r="I221">
        <v>848</v>
      </c>
      <c r="J221">
        <v>-113</v>
      </c>
    </row>
    <row r="222" spans="1:10" x14ac:dyDescent="0.25">
      <c r="A222">
        <v>39</v>
      </c>
      <c r="C222" t="s">
        <v>21</v>
      </c>
      <c r="D222">
        <v>64</v>
      </c>
      <c r="E222">
        <v>98</v>
      </c>
      <c r="F222">
        <v>0.39500000000000002</v>
      </c>
      <c r="G222">
        <v>46</v>
      </c>
      <c r="H222">
        <v>803</v>
      </c>
      <c r="I222">
        <v>982</v>
      </c>
      <c r="J222">
        <v>-179</v>
      </c>
    </row>
    <row r="223" spans="1:10" x14ac:dyDescent="0.25">
      <c r="A223">
        <v>39</v>
      </c>
      <c r="C223" t="s">
        <v>17</v>
      </c>
      <c r="D223">
        <v>41</v>
      </c>
      <c r="E223">
        <v>121</v>
      </c>
      <c r="F223">
        <v>0.253</v>
      </c>
      <c r="G223">
        <v>70</v>
      </c>
      <c r="H223">
        <v>699</v>
      </c>
      <c r="I223">
        <v>1064</v>
      </c>
      <c r="J223">
        <v>-365</v>
      </c>
    </row>
    <row r="224" spans="1:10" x14ac:dyDescent="0.25">
      <c r="A224">
        <v>39</v>
      </c>
      <c r="C224" t="s">
        <v>11</v>
      </c>
      <c r="D224">
        <v>88</v>
      </c>
      <c r="E224">
        <v>74</v>
      </c>
      <c r="F224">
        <v>0.54300000000000004</v>
      </c>
      <c r="G224">
        <v>10</v>
      </c>
      <c r="H224">
        <v>866</v>
      </c>
      <c r="I224">
        <v>794</v>
      </c>
      <c r="J224">
        <v>72</v>
      </c>
    </row>
    <row r="225" spans="1:10" x14ac:dyDescent="0.25">
      <c r="A225">
        <v>39</v>
      </c>
      <c r="C225" t="s">
        <v>15</v>
      </c>
      <c r="D225">
        <v>73</v>
      </c>
      <c r="E225">
        <v>89</v>
      </c>
      <c r="F225">
        <v>0.45100000000000001</v>
      </c>
      <c r="G225">
        <v>38</v>
      </c>
      <c r="H225">
        <v>1077</v>
      </c>
      <c r="I225">
        <v>1180</v>
      </c>
      <c r="J225">
        <v>-103</v>
      </c>
    </row>
    <row r="226" spans="1:10" x14ac:dyDescent="0.25">
      <c r="A226">
        <v>39</v>
      </c>
      <c r="C226" t="s">
        <v>14</v>
      </c>
      <c r="D226">
        <v>80</v>
      </c>
      <c r="E226">
        <v>82</v>
      </c>
      <c r="F226">
        <v>0.49399999999999999</v>
      </c>
      <c r="G226">
        <v>31</v>
      </c>
      <c r="H226">
        <v>819</v>
      </c>
      <c r="I226">
        <v>890</v>
      </c>
      <c r="J226">
        <v>-71</v>
      </c>
    </row>
    <row r="227" spans="1:10" x14ac:dyDescent="0.25">
      <c r="A227">
        <v>39</v>
      </c>
      <c r="C227" t="s">
        <v>13</v>
      </c>
      <c r="D227">
        <v>111</v>
      </c>
      <c r="E227">
        <v>51</v>
      </c>
      <c r="F227">
        <v>0.68500000000000005</v>
      </c>
      <c r="G227">
        <v>0</v>
      </c>
      <c r="H227">
        <v>1033</v>
      </c>
      <c r="I227">
        <v>679</v>
      </c>
      <c r="J227">
        <v>354</v>
      </c>
    </row>
    <row r="228" spans="1:10" x14ac:dyDescent="0.25">
      <c r="A228">
        <v>39</v>
      </c>
      <c r="C228" t="s">
        <v>27</v>
      </c>
      <c r="D228">
        <v>52</v>
      </c>
      <c r="E228">
        <v>110</v>
      </c>
      <c r="F228">
        <v>0.32100000000000001</v>
      </c>
      <c r="G228">
        <v>43</v>
      </c>
      <c r="H228">
        <v>706</v>
      </c>
      <c r="I228">
        <v>1056</v>
      </c>
      <c r="J228">
        <v>-350</v>
      </c>
    </row>
    <row r="229" spans="1:10" x14ac:dyDescent="0.25">
      <c r="A229">
        <v>39</v>
      </c>
      <c r="C229" t="s">
        <v>26</v>
      </c>
      <c r="D229">
        <v>68</v>
      </c>
      <c r="E229">
        <v>94</v>
      </c>
      <c r="F229">
        <v>0.42</v>
      </c>
      <c r="G229">
        <v>27</v>
      </c>
      <c r="H229">
        <v>682</v>
      </c>
      <c r="I229">
        <v>817</v>
      </c>
      <c r="J229">
        <v>-135</v>
      </c>
    </row>
    <row r="230" spans="1:10" x14ac:dyDescent="0.25">
      <c r="A230">
        <v>39</v>
      </c>
      <c r="C230" t="s">
        <v>25</v>
      </c>
      <c r="D230">
        <v>79</v>
      </c>
      <c r="E230">
        <v>83</v>
      </c>
      <c r="F230">
        <v>0.48799999999999999</v>
      </c>
      <c r="G230">
        <v>16</v>
      </c>
      <c r="H230">
        <v>863</v>
      </c>
      <c r="I230">
        <v>895</v>
      </c>
      <c r="J230">
        <v>-32</v>
      </c>
    </row>
    <row r="231" spans="1:10" x14ac:dyDescent="0.25">
      <c r="A231">
        <v>39</v>
      </c>
      <c r="C231" t="s">
        <v>16</v>
      </c>
      <c r="D231">
        <v>64</v>
      </c>
      <c r="E231">
        <v>98</v>
      </c>
      <c r="F231">
        <v>0.39500000000000002</v>
      </c>
      <c r="G231">
        <v>47</v>
      </c>
      <c r="H231">
        <v>816</v>
      </c>
      <c r="I231">
        <v>979</v>
      </c>
      <c r="J231">
        <v>-163</v>
      </c>
    </row>
    <row r="232" spans="1:10" x14ac:dyDescent="0.25">
      <c r="A232">
        <v>39</v>
      </c>
      <c r="C232" t="s">
        <v>19</v>
      </c>
      <c r="D232">
        <v>87</v>
      </c>
      <c r="E232">
        <v>75</v>
      </c>
      <c r="F232">
        <v>0.53700000000000003</v>
      </c>
      <c r="G232">
        <v>23</v>
      </c>
      <c r="H232">
        <v>887</v>
      </c>
      <c r="I232">
        <v>892</v>
      </c>
      <c r="J232">
        <v>-5</v>
      </c>
    </row>
    <row r="233" spans="1:10" x14ac:dyDescent="0.25">
      <c r="A233">
        <v>39</v>
      </c>
      <c r="C233" t="s">
        <v>22</v>
      </c>
      <c r="D233">
        <v>60</v>
      </c>
      <c r="E233">
        <v>102</v>
      </c>
      <c r="F233">
        <v>0.37</v>
      </c>
      <c r="G233">
        <v>50</v>
      </c>
      <c r="H233">
        <v>795</v>
      </c>
      <c r="I233">
        <v>1056</v>
      </c>
      <c r="J233">
        <v>-261</v>
      </c>
    </row>
    <row r="234" spans="1:10" x14ac:dyDescent="0.25">
      <c r="A234">
        <v>39</v>
      </c>
      <c r="C234" t="s">
        <v>12</v>
      </c>
      <c r="D234">
        <v>76</v>
      </c>
      <c r="E234">
        <v>86</v>
      </c>
      <c r="F234">
        <v>0.46899999999999997</v>
      </c>
      <c r="G234">
        <v>22</v>
      </c>
      <c r="H234">
        <v>831</v>
      </c>
      <c r="I234">
        <v>837</v>
      </c>
      <c r="J234">
        <v>-6</v>
      </c>
    </row>
    <row r="235" spans="1:10" x14ac:dyDescent="0.25">
      <c r="A235">
        <v>39</v>
      </c>
      <c r="C235" t="s">
        <v>24</v>
      </c>
      <c r="D235">
        <v>94</v>
      </c>
      <c r="E235">
        <v>68</v>
      </c>
      <c r="F235">
        <v>0.57999999999999996</v>
      </c>
      <c r="G235">
        <v>1</v>
      </c>
      <c r="H235">
        <v>834</v>
      </c>
      <c r="I235">
        <v>797</v>
      </c>
      <c r="J235">
        <v>37</v>
      </c>
    </row>
    <row r="236" spans="1:10" x14ac:dyDescent="0.25">
      <c r="A236">
        <v>39</v>
      </c>
      <c r="C236" t="s">
        <v>23</v>
      </c>
      <c r="D236">
        <v>95</v>
      </c>
      <c r="E236">
        <v>67</v>
      </c>
      <c r="F236">
        <v>0.58599999999999997</v>
      </c>
      <c r="G236">
        <v>0</v>
      </c>
      <c r="H236">
        <v>964</v>
      </c>
      <c r="I236">
        <v>749</v>
      </c>
      <c r="J236">
        <v>215</v>
      </c>
    </row>
    <row r="237" spans="1:10" x14ac:dyDescent="0.25">
      <c r="A237">
        <v>39</v>
      </c>
      <c r="C237" t="s">
        <v>20</v>
      </c>
      <c r="D237">
        <v>86</v>
      </c>
      <c r="E237">
        <v>76</v>
      </c>
      <c r="F237">
        <v>0.53100000000000003</v>
      </c>
      <c r="G237">
        <v>24</v>
      </c>
      <c r="H237">
        <v>925</v>
      </c>
      <c r="I237">
        <v>861</v>
      </c>
      <c r="J237">
        <v>64</v>
      </c>
    </row>
    <row r="238" spans="1:10" x14ac:dyDescent="0.25">
      <c r="A238">
        <v>39</v>
      </c>
      <c r="C238" t="s">
        <v>8</v>
      </c>
      <c r="D238">
        <v>98</v>
      </c>
      <c r="E238">
        <v>64</v>
      </c>
      <c r="F238">
        <v>0.60499999999999998</v>
      </c>
      <c r="G238">
        <v>0</v>
      </c>
      <c r="H238">
        <v>873</v>
      </c>
      <c r="I238">
        <v>627</v>
      </c>
      <c r="J238">
        <v>246</v>
      </c>
    </row>
    <row r="239" spans="1:10" x14ac:dyDescent="0.25">
      <c r="A239">
        <v>39</v>
      </c>
      <c r="C239" t="s">
        <v>9</v>
      </c>
      <c r="D239">
        <v>97</v>
      </c>
      <c r="E239">
        <v>65</v>
      </c>
      <c r="F239">
        <v>0.59899999999999998</v>
      </c>
      <c r="G239">
        <v>1</v>
      </c>
      <c r="H239">
        <v>1000</v>
      </c>
      <c r="I239">
        <v>829</v>
      </c>
      <c r="J239">
        <v>171</v>
      </c>
    </row>
    <row r="240" spans="1:10" x14ac:dyDescent="0.25">
      <c r="A240">
        <v>39</v>
      </c>
      <c r="C240" t="s">
        <v>10</v>
      </c>
      <c r="D240">
        <v>97</v>
      </c>
      <c r="E240">
        <v>65</v>
      </c>
      <c r="F240">
        <v>0.59899999999999998</v>
      </c>
      <c r="G240">
        <v>1</v>
      </c>
      <c r="H240">
        <v>976</v>
      </c>
      <c r="I240">
        <v>748</v>
      </c>
      <c r="J240">
        <v>228</v>
      </c>
    </row>
    <row r="241" spans="1:10" x14ac:dyDescent="0.25">
      <c r="A241">
        <v>39</v>
      </c>
      <c r="C241" t="s">
        <v>18</v>
      </c>
      <c r="D241">
        <v>110</v>
      </c>
      <c r="E241">
        <v>52</v>
      </c>
      <c r="F241">
        <v>0.67900000000000005</v>
      </c>
      <c r="G241">
        <v>0</v>
      </c>
      <c r="H241">
        <v>1023</v>
      </c>
      <c r="I241">
        <v>740</v>
      </c>
      <c r="J241">
        <v>283</v>
      </c>
    </row>
    <row r="242" spans="1:10" x14ac:dyDescent="0.25">
      <c r="A242">
        <v>40</v>
      </c>
      <c r="C242" t="s">
        <v>13</v>
      </c>
      <c r="D242">
        <v>101</v>
      </c>
      <c r="E242">
        <v>61</v>
      </c>
      <c r="F242">
        <v>0.623</v>
      </c>
      <c r="G242">
        <v>0</v>
      </c>
      <c r="H242">
        <v>959</v>
      </c>
      <c r="I242">
        <v>740</v>
      </c>
      <c r="J242">
        <v>219</v>
      </c>
    </row>
    <row r="243" spans="1:10" x14ac:dyDescent="0.25">
      <c r="A243">
        <v>40</v>
      </c>
      <c r="C243" t="s">
        <v>14</v>
      </c>
      <c r="D243">
        <v>62</v>
      </c>
      <c r="E243">
        <v>100</v>
      </c>
      <c r="F243">
        <v>0.38300000000000001</v>
      </c>
      <c r="G243">
        <v>39</v>
      </c>
      <c r="H243">
        <v>750</v>
      </c>
      <c r="I243">
        <v>903</v>
      </c>
      <c r="J243">
        <v>-153</v>
      </c>
    </row>
    <row r="244" spans="1:10" x14ac:dyDescent="0.25">
      <c r="A244">
        <v>40</v>
      </c>
      <c r="C244" t="s">
        <v>16</v>
      </c>
      <c r="D244">
        <v>62</v>
      </c>
      <c r="E244">
        <v>100</v>
      </c>
      <c r="F244">
        <v>0.38300000000000001</v>
      </c>
      <c r="G244">
        <v>39</v>
      </c>
      <c r="H244">
        <v>825</v>
      </c>
      <c r="I244">
        <v>997</v>
      </c>
      <c r="J244">
        <v>-172</v>
      </c>
    </row>
    <row r="245" spans="1:10" x14ac:dyDescent="0.25">
      <c r="A245">
        <v>40</v>
      </c>
      <c r="C245" t="s">
        <v>12</v>
      </c>
      <c r="D245">
        <v>78</v>
      </c>
      <c r="E245">
        <v>84</v>
      </c>
      <c r="F245">
        <v>0.48099999999999998</v>
      </c>
      <c r="G245">
        <v>26</v>
      </c>
      <c r="H245">
        <v>869</v>
      </c>
      <c r="I245">
        <v>883</v>
      </c>
      <c r="J245">
        <v>-14</v>
      </c>
    </row>
    <row r="246" spans="1:10" x14ac:dyDescent="0.25">
      <c r="A246">
        <v>40</v>
      </c>
      <c r="C246" t="s">
        <v>21</v>
      </c>
      <c r="D246">
        <v>76</v>
      </c>
      <c r="E246">
        <v>86</v>
      </c>
      <c r="F246">
        <v>0.46899999999999997</v>
      </c>
      <c r="G246">
        <v>30</v>
      </c>
      <c r="H246">
        <v>855</v>
      </c>
      <c r="I246">
        <v>976</v>
      </c>
      <c r="J246">
        <v>-121</v>
      </c>
    </row>
    <row r="247" spans="1:10" x14ac:dyDescent="0.25">
      <c r="A247">
        <v>40</v>
      </c>
      <c r="C247" t="s">
        <v>22</v>
      </c>
      <c r="D247">
        <v>54</v>
      </c>
      <c r="E247">
        <v>108</v>
      </c>
      <c r="F247">
        <v>0.33300000000000002</v>
      </c>
      <c r="G247">
        <v>52</v>
      </c>
      <c r="H247">
        <v>763</v>
      </c>
      <c r="I247">
        <v>1006</v>
      </c>
      <c r="J247">
        <v>-243</v>
      </c>
    </row>
    <row r="248" spans="1:10" x14ac:dyDescent="0.25">
      <c r="A248">
        <v>40</v>
      </c>
      <c r="C248" t="s">
        <v>23</v>
      </c>
      <c r="D248">
        <v>100</v>
      </c>
      <c r="E248">
        <v>62</v>
      </c>
      <c r="F248">
        <v>0.61699999999999999</v>
      </c>
      <c r="G248">
        <v>0</v>
      </c>
      <c r="H248">
        <v>967</v>
      </c>
      <c r="I248">
        <v>745</v>
      </c>
      <c r="J248">
        <v>222</v>
      </c>
    </row>
    <row r="249" spans="1:10" x14ac:dyDescent="0.25">
      <c r="A249">
        <v>40</v>
      </c>
      <c r="C249" t="s">
        <v>9</v>
      </c>
      <c r="D249">
        <v>84</v>
      </c>
      <c r="E249">
        <v>78</v>
      </c>
      <c r="F249">
        <v>0.51900000000000002</v>
      </c>
      <c r="G249">
        <v>20</v>
      </c>
      <c r="H249">
        <v>976</v>
      </c>
      <c r="I249">
        <v>932</v>
      </c>
      <c r="J249">
        <v>44</v>
      </c>
    </row>
    <row r="250" spans="1:10" x14ac:dyDescent="0.25">
      <c r="A250">
        <v>40</v>
      </c>
      <c r="C250" t="s">
        <v>24</v>
      </c>
      <c r="D250">
        <v>92</v>
      </c>
      <c r="E250">
        <v>70</v>
      </c>
      <c r="F250">
        <v>0.56799999999999995</v>
      </c>
      <c r="G250">
        <v>8</v>
      </c>
      <c r="H250">
        <v>847</v>
      </c>
      <c r="I250">
        <v>775</v>
      </c>
      <c r="J250">
        <v>72</v>
      </c>
    </row>
    <row r="251" spans="1:10" x14ac:dyDescent="0.25">
      <c r="A251">
        <v>40</v>
      </c>
      <c r="C251" t="s">
        <v>26</v>
      </c>
      <c r="D251">
        <v>75</v>
      </c>
      <c r="E251">
        <v>87</v>
      </c>
      <c r="F251">
        <v>0.46300000000000002</v>
      </c>
      <c r="G251">
        <v>25</v>
      </c>
      <c r="H251">
        <v>779</v>
      </c>
      <c r="I251">
        <v>909</v>
      </c>
      <c r="J251">
        <v>-130</v>
      </c>
    </row>
    <row r="252" spans="1:10" x14ac:dyDescent="0.25">
      <c r="A252">
        <v>40</v>
      </c>
      <c r="C252" t="s">
        <v>25</v>
      </c>
      <c r="D252">
        <v>69</v>
      </c>
      <c r="E252">
        <v>93</v>
      </c>
      <c r="F252">
        <v>0.42599999999999999</v>
      </c>
      <c r="G252">
        <v>31</v>
      </c>
      <c r="H252">
        <v>742</v>
      </c>
      <c r="I252">
        <v>894</v>
      </c>
      <c r="J252">
        <v>-152</v>
      </c>
    </row>
    <row r="253" spans="1:10" x14ac:dyDescent="0.25">
      <c r="A253">
        <v>40</v>
      </c>
      <c r="C253" t="s">
        <v>18</v>
      </c>
      <c r="D253">
        <v>106</v>
      </c>
      <c r="E253">
        <v>56</v>
      </c>
      <c r="F253">
        <v>0.65400000000000003</v>
      </c>
      <c r="G253">
        <v>0</v>
      </c>
      <c r="H253">
        <v>1070</v>
      </c>
      <c r="I253">
        <v>775</v>
      </c>
      <c r="J253">
        <v>295</v>
      </c>
    </row>
    <row r="254" spans="1:10" x14ac:dyDescent="0.25">
      <c r="A254">
        <v>40</v>
      </c>
      <c r="C254" t="s">
        <v>11</v>
      </c>
      <c r="D254">
        <v>94</v>
      </c>
      <c r="E254">
        <v>68</v>
      </c>
      <c r="F254">
        <v>0.57999999999999996</v>
      </c>
      <c r="G254">
        <v>10</v>
      </c>
      <c r="H254">
        <v>861</v>
      </c>
      <c r="I254">
        <v>772</v>
      </c>
      <c r="J254">
        <v>89</v>
      </c>
    </row>
    <row r="255" spans="1:10" x14ac:dyDescent="0.25">
      <c r="A255">
        <v>40</v>
      </c>
      <c r="C255" t="s">
        <v>19</v>
      </c>
      <c r="D255">
        <v>105</v>
      </c>
      <c r="E255">
        <v>57</v>
      </c>
      <c r="F255">
        <v>0.64800000000000002</v>
      </c>
      <c r="G255">
        <v>1</v>
      </c>
      <c r="H255">
        <v>1036</v>
      </c>
      <c r="I255">
        <v>804</v>
      </c>
      <c r="J255">
        <v>232</v>
      </c>
    </row>
    <row r="256" spans="1:10" x14ac:dyDescent="0.25">
      <c r="A256">
        <v>40</v>
      </c>
      <c r="C256" t="s">
        <v>10</v>
      </c>
      <c r="D256">
        <v>103</v>
      </c>
      <c r="E256">
        <v>59</v>
      </c>
      <c r="F256">
        <v>0.63600000000000001</v>
      </c>
      <c r="G256">
        <v>1</v>
      </c>
      <c r="H256">
        <v>1030</v>
      </c>
      <c r="I256">
        <v>793</v>
      </c>
      <c r="J256">
        <v>237</v>
      </c>
    </row>
    <row r="257" spans="1:10" x14ac:dyDescent="0.25">
      <c r="A257">
        <v>40</v>
      </c>
      <c r="C257" t="s">
        <v>8</v>
      </c>
      <c r="D257">
        <v>104</v>
      </c>
      <c r="E257">
        <v>58</v>
      </c>
      <c r="F257">
        <v>0.64200000000000002</v>
      </c>
      <c r="G257">
        <v>0</v>
      </c>
      <c r="H257">
        <v>909</v>
      </c>
      <c r="I257">
        <v>662</v>
      </c>
      <c r="J257">
        <v>247</v>
      </c>
    </row>
    <row r="258" spans="1:10" x14ac:dyDescent="0.25">
      <c r="A258">
        <v>40</v>
      </c>
      <c r="C258" t="s">
        <v>15</v>
      </c>
      <c r="D258">
        <v>74</v>
      </c>
      <c r="E258">
        <v>88</v>
      </c>
      <c r="F258">
        <v>0.45700000000000002</v>
      </c>
      <c r="G258">
        <v>27</v>
      </c>
      <c r="H258">
        <v>1031</v>
      </c>
      <c r="I258">
        <v>1128</v>
      </c>
      <c r="J258">
        <v>-97</v>
      </c>
    </row>
    <row r="259" spans="1:10" x14ac:dyDescent="0.25">
      <c r="A259">
        <v>40</v>
      </c>
      <c r="C259" t="s">
        <v>20</v>
      </c>
      <c r="D259">
        <v>77</v>
      </c>
      <c r="E259">
        <v>85</v>
      </c>
      <c r="F259">
        <v>0.47499999999999998</v>
      </c>
      <c r="G259">
        <v>29</v>
      </c>
      <c r="H259">
        <v>1000</v>
      </c>
      <c r="I259">
        <v>995</v>
      </c>
      <c r="J259">
        <v>5</v>
      </c>
    </row>
    <row r="260" spans="1:10" x14ac:dyDescent="0.25">
      <c r="A260">
        <v>40</v>
      </c>
      <c r="C260" t="s">
        <v>17</v>
      </c>
      <c r="D260">
        <v>44</v>
      </c>
      <c r="E260">
        <v>118</v>
      </c>
      <c r="F260">
        <v>0.27200000000000002</v>
      </c>
      <c r="G260">
        <v>57</v>
      </c>
      <c r="H260">
        <v>680</v>
      </c>
      <c r="I260">
        <v>1075</v>
      </c>
      <c r="J260">
        <v>-395</v>
      </c>
    </row>
    <row r="261" spans="1:10" x14ac:dyDescent="0.25">
      <c r="A261">
        <v>40</v>
      </c>
      <c r="C261" t="s">
        <v>27</v>
      </c>
      <c r="D261">
        <v>60</v>
      </c>
      <c r="E261">
        <v>102</v>
      </c>
      <c r="F261">
        <v>0.37</v>
      </c>
      <c r="G261">
        <v>40</v>
      </c>
      <c r="H261">
        <v>726</v>
      </c>
      <c r="I261">
        <v>911</v>
      </c>
      <c r="J261">
        <v>-185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Sheet1!Print_Area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2010-01-24T05:49:00Z</cp:lastPrinted>
  <dcterms:created xsi:type="dcterms:W3CDTF">2010-01-23T21:18:17Z</dcterms:created>
  <dcterms:modified xsi:type="dcterms:W3CDTF">2010-01-26T09:28:43Z</dcterms:modified>
</cp:coreProperties>
</file>