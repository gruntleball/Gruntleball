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240" yWindow="135" windowWidth="23835" windowHeight="9180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W10" i="1" l="1"/>
  <c r="V10" i="1"/>
  <c r="U10" i="1"/>
  <c r="D9" i="1"/>
  <c r="D8" i="1"/>
  <c r="V9" i="1"/>
  <c r="V8" i="1"/>
  <c r="C9" i="1"/>
  <c r="W9" i="1" s="1"/>
  <c r="C8" i="1"/>
  <c r="W8" i="1" s="1"/>
  <c r="K9" i="1"/>
  <c r="J9" i="1"/>
  <c r="K8" i="1"/>
  <c r="J8" i="1"/>
  <c r="H9" i="1"/>
  <c r="G9" i="1"/>
  <c r="F9" i="1"/>
  <c r="H8" i="1"/>
  <c r="G8" i="1"/>
  <c r="F8" i="1"/>
  <c r="E9" i="1"/>
  <c r="E8" i="1"/>
  <c r="E13" i="1"/>
  <c r="E12" i="1"/>
  <c r="W15" i="1"/>
  <c r="V15" i="1"/>
  <c r="U15" i="1"/>
  <c r="B15" i="1"/>
  <c r="W13" i="1"/>
  <c r="U13" i="1"/>
  <c r="W12" i="1"/>
  <c r="U12" i="1"/>
  <c r="B13" i="1"/>
  <c r="V13" i="1" s="1"/>
  <c r="B12" i="1"/>
  <c r="V12" i="1" s="1"/>
  <c r="W3" i="1"/>
  <c r="U3" i="1"/>
  <c r="B3" i="1"/>
  <c r="V3" i="1" s="1"/>
  <c r="B2" i="1"/>
  <c r="E3" i="1"/>
  <c r="W2" i="1"/>
  <c r="V2" i="1"/>
  <c r="U2" i="1"/>
  <c r="E2" i="1"/>
  <c r="U9" i="1" l="1"/>
  <c r="U8" i="1"/>
</calcChain>
</file>

<file path=xl/sharedStrings.xml><?xml version="1.0" encoding="utf-8"?>
<sst xmlns="http://schemas.openxmlformats.org/spreadsheetml/2006/main" count="66" uniqueCount="49">
  <si>
    <t>AB</t>
  </si>
  <si>
    <t>H</t>
  </si>
  <si>
    <t>1B</t>
  </si>
  <si>
    <t>2B</t>
  </si>
  <si>
    <t>3B</t>
  </si>
  <si>
    <t>HR</t>
  </si>
  <si>
    <t>BB</t>
  </si>
  <si>
    <t>IBB</t>
  </si>
  <si>
    <t>SO</t>
  </si>
  <si>
    <t>SF</t>
  </si>
  <si>
    <t>GDP</t>
  </si>
  <si>
    <t>PA</t>
  </si>
  <si>
    <t>Avg</t>
  </si>
  <si>
    <t>OBA</t>
  </si>
  <si>
    <t>Slg</t>
  </si>
  <si>
    <t>AO</t>
  </si>
  <si>
    <t>GO</t>
  </si>
  <si>
    <t>HB</t>
  </si>
  <si>
    <t>vs L</t>
  </si>
  <si>
    <t>vs R</t>
  </si>
  <si>
    <t xml:space="preserve"> BE_1B</t>
  </si>
  <si>
    <t xml:space="preserve"> BE_2B</t>
  </si>
  <si>
    <t xml:space="preserve"> BE_3B</t>
  </si>
  <si>
    <t xml:space="preserve"> BE_HR</t>
  </si>
  <si>
    <t xml:space="preserve"> BE_HB</t>
  </si>
  <si>
    <t xml:space="preserve"> BE_BB</t>
  </si>
  <si>
    <t xml:space="preserve"> BE_K</t>
  </si>
  <si>
    <t xml:space="preserve"> BE_AO</t>
  </si>
  <si>
    <t xml:space="preserve"> BE_GDP</t>
  </si>
  <si>
    <t xml:space="preserve"> BE_GO</t>
  </si>
  <si>
    <t xml:space="preserve"> BE_HP</t>
  </si>
  <si>
    <t xml:space="preserve"> BE_STR</t>
  </si>
  <si>
    <t xml:space="preserve"> BE_SWG</t>
  </si>
  <si>
    <t xml:space="preserve"> BE_FOL</t>
  </si>
  <si>
    <t xml:space="preserve"> BE_InP</t>
  </si>
  <si>
    <t xml:space="preserve"> AB</t>
  </si>
  <si>
    <t xml:space="preserve"> RBI</t>
  </si>
  <si>
    <t xml:space="preserve"> H</t>
  </si>
  <si>
    <t xml:space="preserve"> 2B</t>
  </si>
  <si>
    <t xml:space="preserve"> 3B</t>
  </si>
  <si>
    <t xml:space="preserve"> HR</t>
  </si>
  <si>
    <t xml:space="preserve"> HB</t>
  </si>
  <si>
    <t xml:space="preserve"> SO</t>
  </si>
  <si>
    <t xml:space="preserve"> TBB</t>
  </si>
  <si>
    <t xml:space="preserve"> IBB</t>
  </si>
  <si>
    <t xml:space="preserve"> SH</t>
  </si>
  <si>
    <t xml:space="preserve"> SF</t>
  </si>
  <si>
    <t xml:space="preserve"> CI</t>
  </si>
  <si>
    <t xml:space="preserve">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</si>
</sst>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"/>
  </numFmts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7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workbookViewId="0">
      <selection activeCell="W10" sqref="W10"/>
    </sheetView>
  </sheetViews>
  <sheetFormatPr defaultRowHeight="12.75" x14ac:dyDescent="0.2"/>
  <cols>
    <col min="1" max="1" width="8.85546875" bestFit="1" customWidth="1"/>
    <col min="2" max="2" width="5" bestFit="1" customWidth="1"/>
    <col min="3" max="4" width="4" bestFit="1" customWidth="1"/>
    <col min="5" max="7" width="6.140625" bestFit="1" customWidth="1"/>
    <col min="8" max="9" width="6.28515625" bestFit="1" customWidth="1"/>
    <col min="10" max="10" width="6.140625" bestFit="1" customWidth="1"/>
    <col min="11" max="11" width="5.140625" bestFit="1" customWidth="1"/>
    <col min="12" max="12" width="6.42578125" bestFit="1" customWidth="1"/>
    <col min="13" max="13" width="7.42578125" bestFit="1" customWidth="1"/>
    <col min="14" max="14" width="6.5703125" bestFit="1" customWidth="1"/>
    <col min="15" max="15" width="6.28515625" bestFit="1" customWidth="1"/>
    <col min="16" max="16" width="6.85546875" bestFit="1" customWidth="1"/>
    <col min="17" max="17" width="7.85546875" bestFit="1" customWidth="1"/>
    <col min="18" max="18" width="7" bestFit="1" customWidth="1"/>
    <col min="19" max="19" width="6.7109375" bestFit="1" customWidth="1"/>
    <col min="20" max="23" width="5.42578125" bestFit="1" customWidth="1"/>
  </cols>
  <sheetData>
    <row r="1" spans="1:23" x14ac:dyDescent="0.2"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8</v>
      </c>
      <c r="L1" t="s">
        <v>15</v>
      </c>
      <c r="M1" t="s">
        <v>10</v>
      </c>
      <c r="N1" t="s">
        <v>16</v>
      </c>
      <c r="O1" t="s">
        <v>17</v>
      </c>
      <c r="P1" t="s">
        <v>9</v>
      </c>
      <c r="Q1" t="s">
        <v>7</v>
      </c>
      <c r="U1" t="s">
        <v>12</v>
      </c>
      <c r="V1" t="s">
        <v>13</v>
      </c>
      <c r="W1" t="s">
        <v>14</v>
      </c>
    </row>
    <row r="2" spans="1:23" x14ac:dyDescent="0.2">
      <c r="B2">
        <f>C2+J2+O2+P2</f>
        <v>1001</v>
      </c>
      <c r="C2">
        <v>900</v>
      </c>
      <c r="D2">
        <v>232</v>
      </c>
      <c r="E2">
        <f>D2-SUM(F2:H2)</f>
        <v>169</v>
      </c>
      <c r="F2">
        <v>36</v>
      </c>
      <c r="G2">
        <v>7</v>
      </c>
      <c r="H2">
        <v>20</v>
      </c>
      <c r="J2">
        <v>94</v>
      </c>
      <c r="K2">
        <v>101</v>
      </c>
      <c r="M2">
        <v>21</v>
      </c>
      <c r="P2">
        <v>7</v>
      </c>
      <c r="Q2">
        <v>8</v>
      </c>
      <c r="U2" s="1">
        <f>D2/C2</f>
        <v>0.25777777777777777</v>
      </c>
      <c r="V2" s="1">
        <f>(D2+J2+Q2)/B2</f>
        <v>0.33366633366633369</v>
      </c>
      <c r="W2" s="1">
        <f>(D2+F2+2*G2+3*H2)/C2</f>
        <v>0.38</v>
      </c>
    </row>
    <row r="3" spans="1:23" x14ac:dyDescent="0.2">
      <c r="B3">
        <f>C3+J3+O3+P3</f>
        <v>1000</v>
      </c>
      <c r="C3">
        <v>900</v>
      </c>
      <c r="D3">
        <v>232</v>
      </c>
      <c r="E3">
        <f>D3-SUM(F3:H3)</f>
        <v>169</v>
      </c>
      <c r="F3">
        <v>36</v>
      </c>
      <c r="G3">
        <v>7</v>
      </c>
      <c r="H3">
        <v>20</v>
      </c>
      <c r="J3">
        <v>94</v>
      </c>
      <c r="K3">
        <v>128</v>
      </c>
      <c r="O3">
        <v>6</v>
      </c>
      <c r="Q3">
        <v>8</v>
      </c>
      <c r="U3" s="1">
        <f>D3/C3</f>
        <v>0.25777777777777777</v>
      </c>
      <c r="V3" s="1">
        <f>(D3+J3+Q3)/B3</f>
        <v>0.33400000000000002</v>
      </c>
      <c r="W3" s="1">
        <f>(D3+F3+2*G3+3*H3)/C3</f>
        <v>0.38</v>
      </c>
    </row>
    <row r="5" spans="1:23" x14ac:dyDescent="0.2"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</row>
    <row r="6" spans="1:23" x14ac:dyDescent="0.2">
      <c r="A6" t="s">
        <v>18</v>
      </c>
      <c r="E6">
        <v>-34</v>
      </c>
      <c r="F6">
        <v>14</v>
      </c>
      <c r="G6">
        <v>-6</v>
      </c>
      <c r="H6">
        <v>13</v>
      </c>
      <c r="I6">
        <v>0</v>
      </c>
      <c r="J6">
        <v>47</v>
      </c>
      <c r="K6">
        <v>-41</v>
      </c>
      <c r="L6">
        <v>108</v>
      </c>
      <c r="M6">
        <v>-28</v>
      </c>
      <c r="N6">
        <v>-64</v>
      </c>
      <c r="O6">
        <v>-6</v>
      </c>
      <c r="P6">
        <v>-500</v>
      </c>
      <c r="Q6">
        <v>200</v>
      </c>
      <c r="R6">
        <v>0</v>
      </c>
      <c r="S6">
        <v>0</v>
      </c>
    </row>
    <row r="7" spans="1:23" x14ac:dyDescent="0.2">
      <c r="A7" t="s">
        <v>19</v>
      </c>
      <c r="E7">
        <v>19</v>
      </c>
      <c r="F7">
        <v>17</v>
      </c>
      <c r="G7">
        <v>-4</v>
      </c>
      <c r="H7">
        <v>14</v>
      </c>
      <c r="I7">
        <v>-3</v>
      </c>
      <c r="J7">
        <v>26</v>
      </c>
      <c r="K7">
        <v>-67</v>
      </c>
      <c r="L7">
        <v>112</v>
      </c>
      <c r="M7">
        <v>-22</v>
      </c>
      <c r="N7">
        <v>-85</v>
      </c>
      <c r="O7">
        <v>-12</v>
      </c>
      <c r="P7">
        <v>-200</v>
      </c>
      <c r="Q7">
        <v>600</v>
      </c>
      <c r="R7">
        <v>100</v>
      </c>
      <c r="S7">
        <v>100</v>
      </c>
    </row>
    <row r="8" spans="1:23" x14ac:dyDescent="0.2">
      <c r="A8" t="s">
        <v>18</v>
      </c>
      <c r="B8">
        <v>1000</v>
      </c>
      <c r="C8">
        <f>B8-J8</f>
        <v>859</v>
      </c>
      <c r="D8">
        <f>SUM(E8:H8)</f>
        <v>219</v>
      </c>
      <c r="E8">
        <f>E$2+E6</f>
        <v>135</v>
      </c>
      <c r="F8">
        <f t="shared" ref="F8:H8" si="0">F$2+F6</f>
        <v>50</v>
      </c>
      <c r="G8">
        <f t="shared" si="0"/>
        <v>1</v>
      </c>
      <c r="H8">
        <f t="shared" si="0"/>
        <v>33</v>
      </c>
      <c r="J8">
        <f t="shared" ref="J8:K8" si="1">J$2+J6</f>
        <v>141</v>
      </c>
      <c r="K8">
        <f t="shared" si="1"/>
        <v>60</v>
      </c>
      <c r="U8" s="1">
        <f>D8/C8</f>
        <v>0.25494761350407452</v>
      </c>
      <c r="V8" s="1">
        <f>(D8+J8+Q8)/B8</f>
        <v>0.36</v>
      </c>
      <c r="W8" s="1">
        <f>(D8+F8+2*G8+3*H8)/C8</f>
        <v>0.43073341094295692</v>
      </c>
    </row>
    <row r="9" spans="1:23" x14ac:dyDescent="0.2">
      <c r="A9" t="s">
        <v>19</v>
      </c>
      <c r="B9">
        <v>1000</v>
      </c>
      <c r="C9">
        <f>B9-J9</f>
        <v>880</v>
      </c>
      <c r="D9">
        <f>SUM(E9:H9)</f>
        <v>278</v>
      </c>
      <c r="E9">
        <f>E$2+E7</f>
        <v>188</v>
      </c>
      <c r="F9">
        <f t="shared" ref="F9:H9" si="2">F$2+F7</f>
        <v>53</v>
      </c>
      <c r="G9">
        <f t="shared" si="2"/>
        <v>3</v>
      </c>
      <c r="H9">
        <f t="shared" si="2"/>
        <v>34</v>
      </c>
      <c r="J9">
        <f t="shared" ref="J9:K9" si="3">J$2+J7</f>
        <v>120</v>
      </c>
      <c r="K9">
        <f t="shared" si="3"/>
        <v>34</v>
      </c>
      <c r="U9" s="1">
        <f>D9/C9</f>
        <v>0.31590909090909092</v>
      </c>
      <c r="V9" s="1">
        <f>(D9+J9+Q9)/B9</f>
        <v>0.39800000000000002</v>
      </c>
      <c r="W9" s="1">
        <f>(D9+F9+2*G9+3*H9)/C9</f>
        <v>0.49886363636363634</v>
      </c>
    </row>
    <row r="10" spans="1:23" x14ac:dyDescent="0.2">
      <c r="U10" s="1">
        <f>SUMPRODUCT(U8:U9,C12:C13)/C15</f>
        <v>0.30251309746658733</v>
      </c>
      <c r="V10" s="1">
        <f>SUMPRODUCT(V8:V9,B12:B13)/B15</f>
        <v>0.38929931034482762</v>
      </c>
      <c r="W10" s="1">
        <f>SUMPRODUCT(W8:W9,C12:C13)/C15</f>
        <v>0.48389234479030235</v>
      </c>
    </row>
    <row r="11" spans="1:23" x14ac:dyDescent="0.2">
      <c r="C11" t="s">
        <v>35</v>
      </c>
      <c r="D11" t="s">
        <v>37</v>
      </c>
      <c r="E11" t="s">
        <v>2</v>
      </c>
      <c r="F11" t="s">
        <v>38</v>
      </c>
      <c r="G11" t="s">
        <v>39</v>
      </c>
      <c r="H11" t="s">
        <v>40</v>
      </c>
      <c r="J11" t="s">
        <v>43</v>
      </c>
      <c r="K11" t="s">
        <v>42</v>
      </c>
      <c r="O11" t="s">
        <v>41</v>
      </c>
      <c r="P11" t="s">
        <v>46</v>
      </c>
      <c r="Q11" t="s">
        <v>44</v>
      </c>
      <c r="R11" t="s">
        <v>36</v>
      </c>
      <c r="S11" t="s">
        <v>47</v>
      </c>
      <c r="T11" t="s">
        <v>45</v>
      </c>
    </row>
    <row r="12" spans="1:23" x14ac:dyDescent="0.2">
      <c r="A12" t="s">
        <v>18</v>
      </c>
      <c r="B12">
        <f>C12+J12+O12++P12</f>
        <v>166</v>
      </c>
      <c r="C12">
        <v>138</v>
      </c>
      <c r="D12">
        <v>37</v>
      </c>
      <c r="E12">
        <f>D12-SUM(F12:H12)</f>
        <v>22</v>
      </c>
      <c r="F12">
        <v>9</v>
      </c>
      <c r="G12">
        <v>0</v>
      </c>
      <c r="H12">
        <v>6</v>
      </c>
      <c r="J12">
        <v>23</v>
      </c>
      <c r="K12">
        <v>22</v>
      </c>
      <c r="O12">
        <v>1</v>
      </c>
      <c r="P12">
        <v>4</v>
      </c>
      <c r="Q12">
        <v>1</v>
      </c>
      <c r="R12">
        <v>20</v>
      </c>
      <c r="S12">
        <v>0</v>
      </c>
      <c r="T12">
        <v>0</v>
      </c>
      <c r="U12" s="1">
        <f>D12/C12</f>
        <v>0.26811594202898553</v>
      </c>
      <c r="V12" s="1">
        <f>(D12+J12+Q12)/B12</f>
        <v>0.36746987951807231</v>
      </c>
      <c r="W12" s="1">
        <f>(D12+F12+2*G12+3*H12)/C12</f>
        <v>0.46376811594202899</v>
      </c>
    </row>
    <row r="13" spans="1:23" x14ac:dyDescent="0.2">
      <c r="A13" t="s">
        <v>19</v>
      </c>
      <c r="B13">
        <f>C13+J13+O13++P13</f>
        <v>559</v>
      </c>
      <c r="C13">
        <v>490</v>
      </c>
      <c r="D13">
        <v>154</v>
      </c>
      <c r="E13">
        <f>D13-SUM(F13:H13)</f>
        <v>101</v>
      </c>
      <c r="F13">
        <v>32</v>
      </c>
      <c r="G13">
        <v>0</v>
      </c>
      <c r="H13">
        <v>21</v>
      </c>
      <c r="J13">
        <v>62</v>
      </c>
      <c r="K13">
        <v>63</v>
      </c>
      <c r="O13">
        <v>2</v>
      </c>
      <c r="P13">
        <v>5</v>
      </c>
      <c r="Q13">
        <v>1</v>
      </c>
      <c r="R13">
        <v>88</v>
      </c>
      <c r="S13">
        <v>0</v>
      </c>
      <c r="T13">
        <v>1</v>
      </c>
      <c r="U13" s="1">
        <f>D13/C13</f>
        <v>0.31428571428571428</v>
      </c>
      <c r="V13" s="1">
        <f>(D13+J13+Q13)/B13</f>
        <v>0.38819320214669051</v>
      </c>
      <c r="W13" s="1">
        <f>(D13+F13+2*G13+3*H13)/C13</f>
        <v>0.50816326530612244</v>
      </c>
    </row>
    <row r="14" spans="1:23" x14ac:dyDescent="0.2">
      <c r="C14" t="s">
        <v>35</v>
      </c>
      <c r="D14" t="s">
        <v>37</v>
      </c>
      <c r="F14" t="s">
        <v>38</v>
      </c>
      <c r="G14" t="s">
        <v>39</v>
      </c>
      <c r="H14" t="s">
        <v>40</v>
      </c>
      <c r="J14" t="s">
        <v>43</v>
      </c>
      <c r="K14" t="s">
        <v>42</v>
      </c>
      <c r="N14" t="s">
        <v>48</v>
      </c>
      <c r="O14" t="s">
        <v>41</v>
      </c>
      <c r="P14" t="s">
        <v>46</v>
      </c>
      <c r="Q14" t="s">
        <v>44</v>
      </c>
      <c r="S14" t="s">
        <v>47</v>
      </c>
      <c r="T14" t="s">
        <v>45</v>
      </c>
    </row>
    <row r="15" spans="1:23" x14ac:dyDescent="0.2">
      <c r="B15">
        <f>C15+J15+O15++P15</f>
        <v>725</v>
      </c>
      <c r="C15">
        <v>628</v>
      </c>
      <c r="D15">
        <v>191</v>
      </c>
      <c r="F15">
        <v>41</v>
      </c>
      <c r="G15">
        <v>1</v>
      </c>
      <c r="H15">
        <v>27</v>
      </c>
      <c r="J15">
        <v>85</v>
      </c>
      <c r="K15">
        <v>85</v>
      </c>
      <c r="N15">
        <v>14</v>
      </c>
      <c r="O15">
        <v>3</v>
      </c>
      <c r="P15">
        <v>9</v>
      </c>
      <c r="Q15">
        <v>2</v>
      </c>
      <c r="S15">
        <v>0</v>
      </c>
      <c r="T15">
        <v>1</v>
      </c>
      <c r="U15" s="1">
        <f>D15/C15</f>
        <v>0.30414012738853502</v>
      </c>
      <c r="V15" s="1">
        <f>(D15+J15+Q15)/B15</f>
        <v>0.38344827586206898</v>
      </c>
      <c r="W15" s="1">
        <f>(D15+F15+2*G15+3*H15)/C15</f>
        <v>0.50159235668789814</v>
      </c>
    </row>
  </sheetData>
  <conditionalFormatting sqref="E6:R6">
    <cfRule type="expression" dxfId="6" priority="5">
      <formula>AND($A6=$A5,$G6=$G5)</formula>
    </cfRule>
  </conditionalFormatting>
  <conditionalFormatting sqref="S6">
    <cfRule type="expression" dxfId="5" priority="4">
      <formula>AND($A6=$A5,$G6=$G5)</formula>
    </cfRule>
  </conditionalFormatting>
  <conditionalFormatting sqref="E7:S7">
    <cfRule type="expression" dxfId="4" priority="3">
      <formula>AND($A7=$A6,$G7=$G6)</formula>
    </cfRule>
  </conditionalFormatting>
  <conditionalFormatting sqref="C12:D12 F12:H12 J12:K12 O12:T12">
    <cfRule type="expression" dxfId="3" priority="12">
      <formula>AND($A12=$A9,$D12=$D11)</formula>
    </cfRule>
  </conditionalFormatting>
  <conditionalFormatting sqref="C13:D13 F13:H13 J13:K13 O13:T13">
    <cfRule type="expression" dxfId="2" priority="15">
      <formula>AND($A12=$A9,$D12=$D11)</formula>
    </cfRule>
  </conditionalFormatting>
  <conditionalFormatting sqref="F15:H15 C15:D15 X15:Y15 M15:T15 J15:K15">
    <cfRule type="expression" dxfId="1" priority="18">
      <formula>AND($A15=$A14,$F15=$F14)</formula>
    </cfRule>
  </conditionalFormatting>
  <conditionalFormatting sqref="D17:E17">
    <cfRule type="expression" dxfId="0" priority="22">
      <formula>AND($A15=$A14,$F15=$F14)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RM</cp:lastModifiedBy>
  <dcterms:created xsi:type="dcterms:W3CDTF">2009-12-04T01:53:58Z</dcterms:created>
  <dcterms:modified xsi:type="dcterms:W3CDTF">2009-12-04T06:28:57Z</dcterms:modified>
</cp:coreProperties>
</file>