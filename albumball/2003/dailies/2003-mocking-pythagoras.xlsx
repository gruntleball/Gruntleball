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Dropbox\Public\Gruntleball\Albumball\2003\Dailies\"/>
    </mc:Choice>
  </mc:AlternateContent>
  <bookViews>
    <workbookView xWindow="-90" yWindow="-480" windowWidth="19440" windowHeight="12795"/>
  </bookViews>
  <sheets>
    <sheet name="Standings" sheetId="2" r:id="rId1"/>
    <sheet name="dump" sheetId="1" r:id="rId2"/>
  </sheets>
  <definedNames>
    <definedName name="_xlnm.Print_Area" localSheetId="0">Standings!$A$1:$U$57</definedName>
    <definedName name="solver_adj" localSheetId="0" hidden="1">Standings!$R$54</definedName>
    <definedName name="solver_adj">Standings!$R$47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Standings!$R$54</definedName>
    <definedName name="solver_lhs1">Standings!$U$52</definedName>
    <definedName name="solver_lhs2" localSheetId="0" hidden="1">Standings!$R$54</definedName>
    <definedName name="solver_lhs2">Standings!$U$52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Standings!$T$54</definedName>
    <definedName name="solver_opt">Standings!$T$54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0.5</definedName>
    <definedName name="solver_rhs2" localSheetId="0" hidden="1">0.2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S51" i="2" l="1"/>
  <c r="J32" i="2" l="1"/>
  <c r="I32" i="2"/>
  <c r="H32" i="2"/>
  <c r="F32" i="2" s="1"/>
  <c r="G32" i="2"/>
  <c r="C32" i="2"/>
  <c r="B32" i="2"/>
  <c r="A32" i="2"/>
  <c r="J31" i="2"/>
  <c r="I31" i="2"/>
  <c r="H31" i="2"/>
  <c r="F31" i="2" s="1"/>
  <c r="G31" i="2"/>
  <c r="C31" i="2"/>
  <c r="B31" i="2"/>
  <c r="A31" i="2"/>
  <c r="J30" i="2"/>
  <c r="I30" i="2"/>
  <c r="H30" i="2"/>
  <c r="F30" i="2" s="1"/>
  <c r="G30" i="2"/>
  <c r="C30" i="2"/>
  <c r="B30" i="2"/>
  <c r="A30" i="2"/>
  <c r="J29" i="2"/>
  <c r="I29" i="2"/>
  <c r="H29" i="2"/>
  <c r="F29" i="2" s="1"/>
  <c r="G29" i="2"/>
  <c r="C29" i="2"/>
  <c r="B29" i="2"/>
  <c r="A29" i="2"/>
  <c r="J28" i="2"/>
  <c r="I28" i="2"/>
  <c r="H28" i="2"/>
  <c r="F28" i="2" s="1"/>
  <c r="G28" i="2"/>
  <c r="C28" i="2"/>
  <c r="B28" i="2"/>
  <c r="A28" i="2"/>
  <c r="J27" i="2"/>
  <c r="I27" i="2"/>
  <c r="H27" i="2"/>
  <c r="F27" i="2" s="1"/>
  <c r="G27" i="2"/>
  <c r="C27" i="2"/>
  <c r="B27" i="2"/>
  <c r="A27" i="2"/>
  <c r="A26" i="2"/>
  <c r="J25" i="2"/>
  <c r="I25" i="2"/>
  <c r="H25" i="2"/>
  <c r="F25" i="2" s="1"/>
  <c r="G25" i="2"/>
  <c r="C25" i="2"/>
  <c r="B25" i="2"/>
  <c r="A25" i="2"/>
  <c r="J24" i="2"/>
  <c r="I24" i="2"/>
  <c r="H24" i="2"/>
  <c r="F24" i="2" s="1"/>
  <c r="G24" i="2"/>
  <c r="C24" i="2"/>
  <c r="B24" i="2"/>
  <c r="A24" i="2"/>
  <c r="J23" i="2"/>
  <c r="I23" i="2"/>
  <c r="H23" i="2"/>
  <c r="F23" i="2" s="1"/>
  <c r="G23" i="2"/>
  <c r="C23" i="2"/>
  <c r="B23" i="2"/>
  <c r="A23" i="2"/>
  <c r="J22" i="2"/>
  <c r="I22" i="2"/>
  <c r="H22" i="2"/>
  <c r="F22" i="2" s="1"/>
  <c r="G22" i="2"/>
  <c r="C22" i="2"/>
  <c r="B22" i="2"/>
  <c r="A22" i="2"/>
  <c r="J21" i="2"/>
  <c r="I21" i="2"/>
  <c r="H21" i="2"/>
  <c r="F21" i="2" s="1"/>
  <c r="G21" i="2"/>
  <c r="C21" i="2"/>
  <c r="B21" i="2"/>
  <c r="A21" i="2"/>
  <c r="J20" i="2"/>
  <c r="I20" i="2"/>
  <c r="H20" i="2"/>
  <c r="F20" i="2" s="1"/>
  <c r="G20" i="2"/>
  <c r="C20" i="2"/>
  <c r="B20" i="2"/>
  <c r="A20" i="2"/>
  <c r="A19" i="2"/>
  <c r="A18" i="2"/>
  <c r="J17" i="2"/>
  <c r="I17" i="2"/>
  <c r="H17" i="2"/>
  <c r="F17" i="2" s="1"/>
  <c r="G17" i="2"/>
  <c r="C17" i="2"/>
  <c r="B17" i="2"/>
  <c r="A17" i="2"/>
  <c r="J16" i="2"/>
  <c r="I16" i="2"/>
  <c r="H16" i="2"/>
  <c r="F16" i="2" s="1"/>
  <c r="G16" i="2"/>
  <c r="C16" i="2"/>
  <c r="B16" i="2"/>
  <c r="A16" i="2"/>
  <c r="J15" i="2"/>
  <c r="I15" i="2"/>
  <c r="H15" i="2"/>
  <c r="F15" i="2" s="1"/>
  <c r="G15" i="2"/>
  <c r="C15" i="2"/>
  <c r="B15" i="2"/>
  <c r="A15" i="2"/>
  <c r="J14" i="2"/>
  <c r="I14" i="2"/>
  <c r="H14" i="2"/>
  <c r="F14" i="2" s="1"/>
  <c r="G14" i="2"/>
  <c r="C14" i="2"/>
  <c r="B14" i="2"/>
  <c r="A14" i="2"/>
  <c r="J13" i="2"/>
  <c r="I13" i="2"/>
  <c r="H13" i="2"/>
  <c r="F13" i="2" s="1"/>
  <c r="G13" i="2"/>
  <c r="C13" i="2"/>
  <c r="B13" i="2"/>
  <c r="A13" i="2"/>
  <c r="J12" i="2"/>
  <c r="I12" i="2"/>
  <c r="H12" i="2"/>
  <c r="F12" i="2" s="1"/>
  <c r="G12" i="2"/>
  <c r="C12" i="2"/>
  <c r="B12" i="2"/>
  <c r="A12" i="2"/>
  <c r="A11" i="2"/>
  <c r="J10" i="2"/>
  <c r="I10" i="2"/>
  <c r="H10" i="2"/>
  <c r="F10" i="2" s="1"/>
  <c r="G10" i="2"/>
  <c r="C10" i="2"/>
  <c r="B10" i="2"/>
  <c r="A10" i="2"/>
  <c r="J9" i="2"/>
  <c r="I9" i="2"/>
  <c r="H9" i="2"/>
  <c r="F9" i="2" s="1"/>
  <c r="G9" i="2"/>
  <c r="C9" i="2"/>
  <c r="B9" i="2"/>
  <c r="A9" i="2"/>
  <c r="J8" i="2"/>
  <c r="I8" i="2"/>
  <c r="H8" i="2"/>
  <c r="F8" i="2" s="1"/>
  <c r="G8" i="2"/>
  <c r="C8" i="2"/>
  <c r="B8" i="2"/>
  <c r="A8" i="2"/>
  <c r="J7" i="2"/>
  <c r="I7" i="2"/>
  <c r="H7" i="2"/>
  <c r="F7" i="2" s="1"/>
  <c r="G7" i="2"/>
  <c r="C7" i="2"/>
  <c r="B7" i="2"/>
  <c r="A7" i="2"/>
  <c r="J6" i="2"/>
  <c r="I6" i="2"/>
  <c r="H6" i="2"/>
  <c r="F6" i="2" s="1"/>
  <c r="G6" i="2"/>
  <c r="C6" i="2"/>
  <c r="B6" i="2"/>
  <c r="A6" i="2"/>
  <c r="E27" i="2" l="1"/>
  <c r="K23" i="2"/>
  <c r="D30" i="2"/>
  <c r="M16" i="2"/>
  <c r="K20" i="2"/>
  <c r="D16" i="2"/>
  <c r="E16" i="2"/>
  <c r="D6" i="2"/>
  <c r="D10" i="2"/>
  <c r="D17" i="2"/>
  <c r="E17" i="2"/>
  <c r="D23" i="2"/>
  <c r="E23" i="2"/>
  <c r="D29" i="2"/>
  <c r="E29" i="2"/>
  <c r="E15" i="2"/>
  <c r="E21" i="2"/>
  <c r="E22" i="2"/>
  <c r="E28" i="2"/>
  <c r="E32" i="2"/>
  <c r="K6" i="2"/>
  <c r="K10" i="2"/>
  <c r="E13" i="2"/>
  <c r="K17" i="2"/>
  <c r="E24" i="2"/>
  <c r="E25" i="2"/>
  <c r="D20" i="2"/>
  <c r="E20" i="2"/>
  <c r="D12" i="2"/>
  <c r="E12" i="2"/>
  <c r="E31" i="2"/>
  <c r="K9" i="2"/>
  <c r="M29" i="2"/>
  <c r="E14" i="2"/>
  <c r="E30" i="2"/>
  <c r="D13" i="2"/>
  <c r="K13" i="2"/>
  <c r="M22" i="2"/>
  <c r="M12" i="2"/>
  <c r="K22" i="2"/>
  <c r="L30" i="2"/>
  <c r="K7" i="2"/>
  <c r="M8" i="2"/>
  <c r="D9" i="2"/>
  <c r="D22" i="2"/>
  <c r="K21" i="2"/>
  <c r="L23" i="2"/>
  <c r="M25" i="2"/>
  <c r="M9" i="2"/>
  <c r="K30" i="2"/>
  <c r="K12" i="2"/>
  <c r="K14" i="2"/>
  <c r="M15" i="2"/>
  <c r="K16" i="2"/>
  <c r="M28" i="2"/>
  <c r="K29" i="2"/>
  <c r="M32" i="2"/>
  <c r="L24" i="2"/>
  <c r="D24" i="2"/>
  <c r="L27" i="2"/>
  <c r="D27" i="2"/>
  <c r="L31" i="2"/>
  <c r="D31" i="2"/>
  <c r="D25" i="2"/>
  <c r="D28" i="2"/>
  <c r="D32" i="2"/>
  <c r="M24" i="2"/>
  <c r="M27" i="2"/>
  <c r="M31" i="2"/>
  <c r="L22" i="2"/>
  <c r="M23" i="2"/>
  <c r="N23" i="2" s="1"/>
  <c r="K24" i="2"/>
  <c r="L25" i="2"/>
  <c r="K25" i="2"/>
  <c r="K27" i="2"/>
  <c r="L28" i="2"/>
  <c r="K28" i="2"/>
  <c r="L29" i="2"/>
  <c r="M30" i="2"/>
  <c r="K31" i="2"/>
  <c r="L32" i="2"/>
  <c r="K32" i="2"/>
  <c r="L6" i="2"/>
  <c r="L10" i="2"/>
  <c r="L13" i="2"/>
  <c r="L20" i="2"/>
  <c r="L17" i="2"/>
  <c r="M6" i="2"/>
  <c r="M10" i="2"/>
  <c r="M13" i="2"/>
  <c r="M17" i="2"/>
  <c r="N17" i="2" s="1"/>
  <c r="M20" i="2"/>
  <c r="D7" i="2"/>
  <c r="D8" i="2"/>
  <c r="D15" i="2"/>
  <c r="L8" i="2"/>
  <c r="K8" i="2"/>
  <c r="L9" i="2"/>
  <c r="L12" i="2"/>
  <c r="L15" i="2"/>
  <c r="K15" i="2"/>
  <c r="L16" i="2"/>
  <c r="D14" i="2"/>
  <c r="D21" i="2"/>
  <c r="L7" i="2"/>
  <c r="L14" i="2"/>
  <c r="L21" i="2"/>
  <c r="M7" i="2"/>
  <c r="M14" i="2"/>
  <c r="M21" i="2"/>
  <c r="A3" i="2"/>
  <c r="A4" i="2"/>
  <c r="A5" i="2"/>
  <c r="B5" i="2"/>
  <c r="C5" i="2"/>
  <c r="G5" i="2"/>
  <c r="H5" i="2"/>
  <c r="F5" i="2" s="1"/>
  <c r="I5" i="2"/>
  <c r="J5" i="2"/>
  <c r="E8" i="2" l="1"/>
  <c r="Z30" i="2"/>
  <c r="E10" i="2"/>
  <c r="N30" i="2"/>
  <c r="Z14" i="2"/>
  <c r="Z15" i="2"/>
  <c r="Z31" i="2"/>
  <c r="Z24" i="2"/>
  <c r="Z23" i="2"/>
  <c r="Z10" i="2"/>
  <c r="Z16" i="2"/>
  <c r="Z21" i="2"/>
  <c r="Z25" i="2"/>
  <c r="Z9" i="2"/>
  <c r="Z13" i="2"/>
  <c r="Y12" i="2"/>
  <c r="E9" i="2"/>
  <c r="Z7" i="2"/>
  <c r="Z28" i="2"/>
  <c r="Y27" i="2"/>
  <c r="Z22" i="2"/>
  <c r="Z29" i="2"/>
  <c r="Z17" i="2"/>
  <c r="Z6" i="2"/>
  <c r="U50" i="2"/>
  <c r="U51" i="2"/>
  <c r="Q54" i="2" s="1"/>
  <c r="Q6" i="2" s="1"/>
  <c r="Z8" i="2"/>
  <c r="Z32" i="2"/>
  <c r="Y20" i="2"/>
  <c r="E7" i="2"/>
  <c r="E5" i="2"/>
  <c r="E6" i="2"/>
  <c r="N6" i="2"/>
  <c r="N10" i="2"/>
  <c r="N13" i="2"/>
  <c r="N32" i="2"/>
  <c r="N24" i="2"/>
  <c r="N31" i="2"/>
  <c r="N22" i="2"/>
  <c r="N27" i="2"/>
  <c r="N28" i="2"/>
  <c r="N29" i="2"/>
  <c r="N25" i="2"/>
  <c r="N20" i="2"/>
  <c r="N7" i="2"/>
  <c r="N8" i="2"/>
  <c r="N14" i="2"/>
  <c r="N16" i="2"/>
  <c r="N12" i="2"/>
  <c r="N21" i="2"/>
  <c r="N15" i="2"/>
  <c r="N9" i="2"/>
  <c r="L5" i="2"/>
  <c r="K5" i="2"/>
  <c r="D5" i="2"/>
  <c r="M5" i="2"/>
  <c r="O6" i="2" l="1"/>
  <c r="U6" i="2" s="1"/>
  <c r="T6" i="2"/>
  <c r="X29" i="2"/>
  <c r="Q17" i="2"/>
  <c r="Q27" i="2"/>
  <c r="Q20" i="2"/>
  <c r="Q13" i="2"/>
  <c r="Q28" i="2"/>
  <c r="Q24" i="2"/>
  <c r="Q9" i="2"/>
  <c r="T9" i="2" s="1"/>
  <c r="Q16" i="2"/>
  <c r="T16" i="2" s="1"/>
  <c r="Q8" i="2"/>
  <c r="Q15" i="2"/>
  <c r="Q12" i="2"/>
  <c r="T12" i="2" s="1"/>
  <c r="Q25" i="2"/>
  <c r="Q31" i="2"/>
  <c r="Y5" i="2"/>
  <c r="X13" i="2"/>
  <c r="X25" i="2"/>
  <c r="X16" i="2"/>
  <c r="X23" i="2"/>
  <c r="X31" i="2"/>
  <c r="X14" i="2"/>
  <c r="Q21" i="2"/>
  <c r="Q14" i="2"/>
  <c r="Q7" i="2"/>
  <c r="Q10" i="2"/>
  <c r="Q29" i="2"/>
  <c r="Q32" i="2"/>
  <c r="X8" i="2"/>
  <c r="X6" i="2"/>
  <c r="X30" i="2"/>
  <c r="X7" i="2"/>
  <c r="X21" i="2"/>
  <c r="X10" i="2"/>
  <c r="X24" i="2"/>
  <c r="X15" i="2"/>
  <c r="Q22" i="2"/>
  <c r="Q30" i="2"/>
  <c r="Q23" i="2"/>
  <c r="T23" i="2" s="1"/>
  <c r="X32" i="2"/>
  <c r="X17" i="2"/>
  <c r="X22" i="2"/>
  <c r="X28" i="2"/>
  <c r="X9" i="2"/>
  <c r="Q5" i="2"/>
  <c r="T5" i="2" s="1"/>
  <c r="N5" i="2"/>
  <c r="O32" i="2" l="1"/>
  <c r="P32" i="2" s="1"/>
  <c r="T32" i="2"/>
  <c r="O15" i="2"/>
  <c r="U15" i="2" s="1"/>
  <c r="T15" i="2"/>
  <c r="O24" i="2"/>
  <c r="P24" i="2" s="1"/>
  <c r="T24" i="2"/>
  <c r="O7" i="2"/>
  <c r="P7" i="2" s="1"/>
  <c r="T7" i="2"/>
  <c r="O30" i="2"/>
  <c r="S30" i="2" s="1"/>
  <c r="T30" i="2"/>
  <c r="O10" i="2"/>
  <c r="U10" i="2" s="1"/>
  <c r="T10" i="2"/>
  <c r="O25" i="2"/>
  <c r="S25" i="2" s="1"/>
  <c r="T25" i="2"/>
  <c r="O13" i="2"/>
  <c r="P13" i="2" s="1"/>
  <c r="T13" i="2"/>
  <c r="P6" i="2"/>
  <c r="S6" i="2"/>
  <c r="O14" i="2"/>
  <c r="P14" i="2" s="1"/>
  <c r="T14" i="2"/>
  <c r="O27" i="2"/>
  <c r="P27" i="2" s="1"/>
  <c r="T27" i="2"/>
  <c r="O22" i="2"/>
  <c r="P22" i="2" s="1"/>
  <c r="T22" i="2"/>
  <c r="O20" i="2"/>
  <c r="S20" i="2" s="1"/>
  <c r="T20" i="2"/>
  <c r="O29" i="2"/>
  <c r="S29" i="2" s="1"/>
  <c r="T29" i="2"/>
  <c r="O21" i="2"/>
  <c r="S21" i="2" s="1"/>
  <c r="T21" i="2"/>
  <c r="O31" i="2"/>
  <c r="P31" i="2" s="1"/>
  <c r="T31" i="2"/>
  <c r="O8" i="2"/>
  <c r="U8" i="2" s="1"/>
  <c r="T8" i="2"/>
  <c r="O28" i="2"/>
  <c r="U28" i="2" s="1"/>
  <c r="T28" i="2"/>
  <c r="O17" i="2"/>
  <c r="S17" i="2" s="1"/>
  <c r="T17" i="2"/>
  <c r="S7" i="2"/>
  <c r="O12" i="2"/>
  <c r="O5" i="2"/>
  <c r="O23" i="2"/>
  <c r="O16" i="2"/>
  <c r="O9" i="2"/>
  <c r="X12" i="2"/>
  <c r="X27" i="2"/>
  <c r="X20" i="2"/>
  <c r="X5" i="2"/>
  <c r="K47" i="2" l="1"/>
  <c r="R32" i="2"/>
  <c r="U7" i="2"/>
  <c r="S10" i="2"/>
  <c r="U13" i="2"/>
  <c r="U31" i="2"/>
  <c r="U24" i="2"/>
  <c r="U30" i="2"/>
  <c r="P17" i="2"/>
  <c r="U22" i="2"/>
  <c r="P20" i="2"/>
  <c r="R24" i="2" s="1"/>
  <c r="S8" i="2"/>
  <c r="U27" i="2"/>
  <c r="P10" i="2"/>
  <c r="P30" i="2"/>
  <c r="R30" i="2" s="1"/>
  <c r="P25" i="2"/>
  <c r="S14" i="2"/>
  <c r="S31" i="2"/>
  <c r="P8" i="2"/>
  <c r="S13" i="2"/>
  <c r="U29" i="2"/>
  <c r="S28" i="2"/>
  <c r="U25" i="2"/>
  <c r="S24" i="2"/>
  <c r="U14" i="2"/>
  <c r="S22" i="2"/>
  <c r="P29" i="2"/>
  <c r="R29" i="2" s="1"/>
  <c r="U21" i="2"/>
  <c r="U32" i="2"/>
  <c r="S32" i="2"/>
  <c r="U20" i="2"/>
  <c r="S27" i="2"/>
  <c r="P21" i="2"/>
  <c r="P28" i="2"/>
  <c r="R28" i="2" s="1"/>
  <c r="P15" i="2"/>
  <c r="S15" i="2"/>
  <c r="U17" i="2"/>
  <c r="P12" i="2"/>
  <c r="U23" i="2"/>
  <c r="R31" i="2"/>
  <c r="S12" i="2"/>
  <c r="S23" i="2"/>
  <c r="U5" i="2"/>
  <c r="U9" i="2"/>
  <c r="U12" i="2"/>
  <c r="R27" i="2"/>
  <c r="U16" i="2"/>
  <c r="C47" i="2"/>
  <c r="D47" i="2"/>
  <c r="A47" i="2"/>
  <c r="P5" i="2"/>
  <c r="R6" i="2" s="1"/>
  <c r="Q36" i="2"/>
  <c r="S9" i="2"/>
  <c r="Q40" i="2"/>
  <c r="B47" i="2"/>
  <c r="Q39" i="2"/>
  <c r="B46" i="2"/>
  <c r="K42" i="2"/>
  <c r="A41" i="2"/>
  <c r="B45" i="2"/>
  <c r="D37" i="2"/>
  <c r="K41" i="2"/>
  <c r="Q45" i="2"/>
  <c r="B42" i="2"/>
  <c r="K38" i="2"/>
  <c r="A40" i="2"/>
  <c r="B44" i="2"/>
  <c r="D36" i="2"/>
  <c r="K40" i="2"/>
  <c r="Q44" i="2"/>
  <c r="K43" i="2"/>
  <c r="B38" i="2"/>
  <c r="D46" i="2"/>
  <c r="A37" i="2"/>
  <c r="B41" i="2"/>
  <c r="C45" i="2"/>
  <c r="K37" i="2"/>
  <c r="Q41" i="2"/>
  <c r="B43" i="2"/>
  <c r="D43" i="2"/>
  <c r="A46" i="2"/>
  <c r="D42" i="2"/>
  <c r="A36" i="2"/>
  <c r="B40" i="2"/>
  <c r="C44" i="2"/>
  <c r="K36" i="2"/>
  <c r="D39" i="2"/>
  <c r="K39" i="2"/>
  <c r="A39" i="2"/>
  <c r="B39" i="2"/>
  <c r="C39" i="2"/>
  <c r="A42" i="2"/>
  <c r="D38" i="2"/>
  <c r="Q46" i="2"/>
  <c r="B37" i="2"/>
  <c r="C41" i="2"/>
  <c r="D45" i="2"/>
  <c r="Q37" i="2"/>
  <c r="A38" i="2"/>
  <c r="C46" i="2"/>
  <c r="Q42" i="2"/>
  <c r="B36" i="2"/>
  <c r="C40" i="2"/>
  <c r="D44" i="2"/>
  <c r="Q43" i="2"/>
  <c r="C42" i="2"/>
  <c r="Q38" i="2"/>
  <c r="A45" i="2"/>
  <c r="C37" i="2"/>
  <c r="D41" i="2"/>
  <c r="K45" i="2"/>
  <c r="A43" i="2"/>
  <c r="C43" i="2"/>
  <c r="Q47" i="2"/>
  <c r="C38" i="2"/>
  <c r="K46" i="2"/>
  <c r="A44" i="2"/>
  <c r="C36" i="2"/>
  <c r="D40" i="2"/>
  <c r="K44" i="2"/>
  <c r="S5" i="2"/>
  <c r="P9" i="2"/>
  <c r="P16" i="2"/>
  <c r="P23" i="2"/>
  <c r="T54" i="2"/>
  <c r="S16" i="2"/>
  <c r="R23" i="2" l="1"/>
  <c r="R22" i="2"/>
  <c r="R21" i="2"/>
  <c r="R20" i="2"/>
  <c r="R25" i="2"/>
  <c r="R15" i="2"/>
  <c r="R14" i="2"/>
  <c r="R9" i="2"/>
  <c r="R13" i="2"/>
  <c r="R16" i="2"/>
  <c r="R7" i="2"/>
  <c r="R17" i="2"/>
  <c r="R12" i="2"/>
  <c r="R10" i="2"/>
  <c r="R8" i="2"/>
  <c r="R5" i="2"/>
  <c r="E47" i="2"/>
  <c r="E46" i="2"/>
  <c r="E42" i="2"/>
  <c r="E43" i="2"/>
  <c r="E44" i="2"/>
  <c r="E45" i="2"/>
  <c r="S54" i="2"/>
</calcChain>
</file>

<file path=xl/sharedStrings.xml><?xml version="1.0" encoding="utf-8"?>
<sst xmlns="http://schemas.openxmlformats.org/spreadsheetml/2006/main" count="2178" uniqueCount="81">
  <si>
    <t/>
  </si>
  <si>
    <t>pLoss</t>
  </si>
  <si>
    <t>RF</t>
  </si>
  <si>
    <t>L10</t>
  </si>
  <si>
    <t>Recent</t>
  </si>
  <si>
    <t>pWin</t>
  </si>
  <si>
    <t>Strk</t>
  </si>
  <si>
    <t>RA</t>
  </si>
  <si>
    <t>RF/g</t>
  </si>
  <si>
    <t xml:space="preserve">                                                                                                          </t>
  </si>
  <si>
    <t>TEAM CHEMISTRY INDEX (Bernstein 2002)</t>
  </si>
  <si>
    <t>pLoss: Pythagorean Losses</t>
  </si>
  <si>
    <t>Pyth: Pythagorean Winning Percentage</t>
  </si>
  <si>
    <t>RF/g: Runs For/game</t>
  </si>
  <si>
    <t>Team</t>
  </si>
  <si>
    <t>Pct</t>
  </si>
  <si>
    <t>MOCKING PYTHAGORAS</t>
  </si>
  <si>
    <t>Error: the square of (actual winning percentage minus Pythagorean winning percentage)</t>
  </si>
  <si>
    <t>Pyth%</t>
  </si>
  <si>
    <t>West Coast Miller modification subtracts the constant 12.5 to set TCI to a zero baseline.</t>
  </si>
  <si>
    <t>Pythagenport =.45 + 1.5 * LOG((RS+RA)/G)</t>
  </si>
  <si>
    <t>TCI*</t>
  </si>
  <si>
    <t>3)</t>
  </si>
  <si>
    <t>GB</t>
  </si>
  <si>
    <t>L</t>
  </si>
  <si>
    <t>Best Fit</t>
  </si>
  <si>
    <t>How TCI is calculated (w/West Coast Miller modification)</t>
  </si>
  <si>
    <t>RA/g</t>
  </si>
  <si>
    <t>GLOSSARY</t>
  </si>
  <si>
    <t xml:space="preserve">         1         2         3         4         5         6         7         8         9         0  </t>
  </si>
  <si>
    <t>W</t>
  </si>
  <si>
    <t>Luck</t>
  </si>
  <si>
    <t>RA/g: Runs Against/game</t>
  </si>
  <si>
    <t>2)</t>
  </si>
  <si>
    <t>Margin</t>
  </si>
  <si>
    <t>DETERMINATION OF EXPONENT</t>
  </si>
  <si>
    <t>pWin: Pythagorean Wins</t>
  </si>
  <si>
    <t>Luck: Difference between Actual Wins and Pythagorean Wins</t>
  </si>
  <si>
    <t>Error</t>
  </si>
  <si>
    <t>Dom: (RF-RA)/games</t>
  </si>
  <si>
    <t>1)</t>
  </si>
  <si>
    <t>Dom</t>
  </si>
  <si>
    <t>(pythag wins - actual wins) + (win%*25) + (win pct last 10 - win%)*5 + (streak/Pi) - 12.5</t>
  </si>
  <si>
    <t xml:space="preserve">Team                          W    L   Pct      GB   L10   Strk Recent        RF   RA  Mgn  Mgc  pW  pPct </t>
  </si>
  <si>
    <t>DIVISION</t>
  </si>
  <si>
    <t>RANK</t>
  </si>
  <si>
    <t>WILD</t>
  </si>
  <si>
    <t>BYE</t>
  </si>
  <si>
    <t>POSTSEASON STANDINGS</t>
  </si>
  <si>
    <t>WILD CARD</t>
  </si>
  <si>
    <t>EASTERN CONFERENCE</t>
  </si>
  <si>
    <t>LIPLESS</t>
  </si>
  <si>
    <t xml:space="preserve">Barcelona Brewers            16   12  .571       -   4-6    W1  wlllllwwlw   164  135   29  133  17  .596 </t>
  </si>
  <si>
    <t xml:space="preserve">Chinatrust Whales            14   14  .500       2   6-4    L1  lwwlwwwwll   122  128   -6  137  13  .476 </t>
  </si>
  <si>
    <t xml:space="preserve">Chico's Bail Bonds           13   15  .464       3   5-5    L1  lwlwwwwlll   159  155    4  138  14  .513 </t>
  </si>
  <si>
    <t xml:space="preserve">Philly Halladaze             13   15  .464       3   4-6    W2  wwlwlllllw   119  138  -19  138  12  .426 </t>
  </si>
  <si>
    <t xml:space="preserve">Garmisch-Parten Shebazzle!    8   20  .286       8   4-6    L2  llwwllwwll   136  197  -61  143   9  .323 </t>
  </si>
  <si>
    <t xml:space="preserve">Rocky Mountain Oysters        5   23  .179      11   1-9    L8  llllllllwl    85  194 -109  146   5  .161 </t>
  </si>
  <si>
    <t>HIGH HORSE</t>
  </si>
  <si>
    <t xml:space="preserve">Dinosaur Iguanodons          22    6  .786       -   9-1    W2  wwlwwwwwww   223   90  133  134  24  .860 </t>
  </si>
  <si>
    <t xml:space="preserve">Cincinnati Reds              21    7  .750       1   9-1    W8  wwwwwwwwlw   174  138   36  136  17  .614 </t>
  </si>
  <si>
    <t xml:space="preserve">Okoboji Cropdusters          19    9  .679       3   7-3    W2  wwlwwlwwlw   170  115   55  138  19  .686 </t>
  </si>
  <si>
    <t xml:space="preserve">Tewksbury Bobs               14   14  .500       8   4-6    L6  llllllwwww   110  125  -15  143  12  .436 </t>
  </si>
  <si>
    <t xml:space="preserve">Ferlin Huskies               13   15  .464       9   4-6    W2  wwlwllllwl   153  143   10  144  15  .534 </t>
  </si>
  <si>
    <t xml:space="preserve">Century Atoms                11   17  .393      11   4-6    L2  llwlwwwlll   129  170  -41  146  10  .365 </t>
  </si>
  <si>
    <t>WESTERN CONFERENCE</t>
  </si>
  <si>
    <t>PILGRIMS</t>
  </si>
  <si>
    <t xml:space="preserve">Evanston Endorphins          18   10  .643       -   8-2    W2  wwlwwwwlww   155  125   30  135  17  .606 </t>
  </si>
  <si>
    <t xml:space="preserve">Felldownhead Firsts          18   10  .643       -   6-4    L1  lwwwwlllww   183  102   81  135  21  .763 </t>
  </si>
  <si>
    <t xml:space="preserve">Renfroe Hunters              17   11  .607       1   6-4    W1  wlwwlwlwwl   170  127   43  136  18  .642 </t>
  </si>
  <si>
    <t xml:space="preserve">Inwood Landfills             17   11  .607       1   5-5    W3  wwwlwlllwl   161  162   -1  136  14  .497 </t>
  </si>
  <si>
    <t xml:space="preserve">Baraboo GoiterMen            15   13  .536       3   4-6    L2  llwllwlwlw   138  146   -8  138  13  .472 </t>
  </si>
  <si>
    <t xml:space="preserve">Falkirk Frightened Rabbit    14   14  .500       4   7-3    W1  wlllwwwwww   140  123   17  139  16  .564 </t>
  </si>
  <si>
    <t>PINK BULLETS</t>
  </si>
  <si>
    <t xml:space="preserve">Newport Never Nudes          23    5  .821       -   10-0   W16 wwwwwwwwww   204  160   44  126  17  .619 </t>
  </si>
  <si>
    <t xml:space="preserve">Brooklyn Dodgers             14   14  .500       9   3-7    L2  llwllllwlw   151  140   11  144  15  .538 </t>
  </si>
  <si>
    <t xml:space="preserve">Newfoundland Perfectos       10   18  .357      13   5-5    W2  wwlwwwllll   106  152  -46  148   9  .327 </t>
  </si>
  <si>
    <t xml:space="preserve">New York Dolls                8   20  .286      15   2-8    L2  llwllwllll    99  166  -67  150   7  .262 </t>
  </si>
  <si>
    <t xml:space="preserve">Hartford Dark Blues           7   21  .250      16   1-9    L8  llllllllwl   144  187  -43  151  10  .372 </t>
  </si>
  <si>
    <t xml:space="preserve">Dún Laoghaire Messiahs        6   22  .214      17   2-8    L2  llwlllllwl    77  154  -77  152   6  .200 </t>
  </si>
  <si>
    <t>2003 CHUTES TOO NARROW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</si>
</sst>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.000"/>
    <numFmt numFmtId="165" formatCode="#\ ?\/\2"/>
    <numFmt numFmtId="166" formatCode=".0000"/>
    <numFmt numFmtId="167" formatCode="#,##0.0"/>
    <numFmt numFmtId="168" formatCode="0.0"/>
  </numFmts>
  <fonts count="13" x14ac:knownFonts="1">
    <font>
      <sz val="10"/>
      <name val="Arial"/>
      <family val="2"/>
    </font>
    <font>
      <sz val="10"/>
      <color indexed="8"/>
      <name val="Courier New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Courier"/>
      <family val="3"/>
    </font>
    <font>
      <sz val="11"/>
      <name val="Courier New"/>
      <family val="3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0"/>
      <name val="Courier New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/>
    </xf>
    <xf numFmtId="164" fontId="2" fillId="0" borderId="0" xfId="0" applyNumberFormat="1" applyFont="1" applyFill="1" applyBorder="1" applyAlignment="1" applyProtection="1">
      <alignment horizontal="right"/>
    </xf>
    <xf numFmtId="167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3" fontId="2" fillId="0" borderId="0" xfId="0" applyNumberFormat="1" applyFont="1" applyFill="1" applyBorder="1" applyAlignment="1" applyProtection="1">
      <alignment horizontal="right"/>
    </xf>
    <xf numFmtId="168" fontId="2" fillId="0" borderId="0" xfId="0" applyNumberFormat="1" applyFont="1" applyFill="1" applyBorder="1" applyAlignment="1" applyProtection="1">
      <alignment horizontal="right"/>
    </xf>
    <xf numFmtId="166" fontId="2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left"/>
    </xf>
    <xf numFmtId="164" fontId="4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left"/>
    </xf>
    <xf numFmtId="1" fontId="5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right"/>
    </xf>
    <xf numFmtId="164" fontId="5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center" wrapText="1"/>
    </xf>
    <xf numFmtId="1" fontId="4" fillId="0" borderId="0" xfId="0" applyNumberFormat="1" applyFont="1" applyFill="1" applyBorder="1" applyAlignment="1" applyProtection="1">
      <alignment horizontal="left"/>
    </xf>
    <xf numFmtId="1" fontId="5" fillId="0" borderId="0" xfId="0" applyNumberFormat="1" applyFont="1" applyFill="1" applyBorder="1" applyAlignment="1" applyProtection="1">
      <alignment horizontal="left"/>
    </xf>
    <xf numFmtId="0" fontId="0" fillId="0" borderId="0" xfId="0" applyBorder="1">
      <alignment vertical="center"/>
    </xf>
    <xf numFmtId="0" fontId="8" fillId="0" borderId="0" xfId="0" applyFont="1" applyAlignment="1"/>
    <xf numFmtId="0" fontId="9" fillId="0" borderId="0" xfId="0" applyFont="1" applyAlignment="1">
      <alignment vertical="center"/>
    </xf>
    <xf numFmtId="164" fontId="0" fillId="0" borderId="0" xfId="0" applyNumberFormat="1">
      <alignment vertical="center"/>
    </xf>
    <xf numFmtId="0" fontId="10" fillId="3" borderId="0" xfId="0" applyNumberFormat="1" applyFont="1" applyFill="1" applyBorder="1" applyAlignment="1" applyProtection="1">
      <alignment horizontal="left"/>
    </xf>
    <xf numFmtId="0" fontId="10" fillId="3" borderId="0" xfId="0" applyNumberFormat="1" applyFont="1" applyFill="1" applyBorder="1" applyAlignment="1" applyProtection="1">
      <alignment horizontal="right"/>
    </xf>
    <xf numFmtId="164" fontId="10" fillId="3" borderId="0" xfId="0" applyNumberFormat="1" applyFont="1" applyFill="1" applyBorder="1" applyAlignment="1" applyProtection="1">
      <alignment horizontal="right"/>
    </xf>
    <xf numFmtId="3" fontId="10" fillId="3" borderId="0" xfId="0" applyNumberFormat="1" applyFont="1" applyFill="1" applyBorder="1" applyAlignment="1" applyProtection="1">
      <alignment horizontal="right"/>
    </xf>
    <xf numFmtId="0" fontId="10" fillId="3" borderId="0" xfId="0" applyNumberFormat="1" applyFont="1" applyFill="1" applyBorder="1" applyAlignment="1" applyProtection="1">
      <alignment horizontal="center"/>
    </xf>
    <xf numFmtId="168" fontId="10" fillId="3" borderId="0" xfId="0" applyNumberFormat="1" applyFont="1" applyFill="1" applyBorder="1" applyAlignment="1" applyProtection="1">
      <alignment horizontal="right"/>
    </xf>
    <xf numFmtId="167" fontId="10" fillId="3" borderId="0" xfId="0" applyNumberFormat="1" applyFont="1" applyFill="1" applyBorder="1" applyAlignment="1" applyProtection="1">
      <alignment horizontal="right"/>
    </xf>
    <xf numFmtId="166" fontId="10" fillId="3" borderId="0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center"/>
    </xf>
    <xf numFmtId="0" fontId="11" fillId="0" borderId="2" xfId="0" applyNumberFormat="1" applyFont="1" applyFill="1" applyBorder="1" applyAlignment="1" applyProtection="1">
      <alignment horizontal="left"/>
    </xf>
    <xf numFmtId="0" fontId="11" fillId="0" borderId="2" xfId="0" applyNumberFormat="1" applyFont="1" applyFill="1" applyBorder="1" applyAlignment="1" applyProtection="1">
      <alignment horizontal="right"/>
    </xf>
    <xf numFmtId="164" fontId="11" fillId="0" borderId="2" xfId="0" applyNumberFormat="1" applyFont="1" applyFill="1" applyBorder="1" applyAlignment="1" applyProtection="1">
      <alignment horizontal="right"/>
    </xf>
    <xf numFmtId="165" fontId="11" fillId="0" borderId="2" xfId="0" applyNumberFormat="1" applyFont="1" applyFill="1" applyBorder="1" applyAlignment="1" applyProtection="1">
      <alignment horizontal="right"/>
    </xf>
    <xf numFmtId="0" fontId="11" fillId="0" borderId="2" xfId="0" applyNumberFormat="1" applyFont="1" applyFill="1" applyBorder="1" applyAlignment="1" applyProtection="1">
      <alignment horizontal="center"/>
    </xf>
    <xf numFmtId="0" fontId="0" fillId="4" borderId="0" xfId="0" applyFill="1">
      <alignment vertical="center"/>
    </xf>
    <xf numFmtId="0" fontId="6" fillId="5" borderId="1" xfId="0" applyNumberFormat="1" applyFont="1" applyFill="1" applyBorder="1" applyAlignment="1" applyProtection="1">
      <alignment horizontal="left" vertical="center"/>
    </xf>
    <xf numFmtId="164" fontId="6" fillId="5" borderId="1" xfId="0" applyNumberFormat="1" applyFont="1" applyFill="1" applyBorder="1" applyAlignment="1" applyProtection="1">
      <alignment horizontal="left" vertical="center"/>
    </xf>
    <xf numFmtId="0" fontId="6" fillId="5" borderId="1" xfId="0" applyNumberFormat="1" applyFont="1" applyFill="1" applyBorder="1" applyAlignment="1" applyProtection="1">
      <alignment horizontal="center" vertical="center"/>
    </xf>
    <xf numFmtId="0" fontId="7" fillId="5" borderId="1" xfId="0" applyNumberFormat="1" applyFont="1" applyFill="1" applyBorder="1" applyAlignment="1" applyProtection="1">
      <alignment horizontal="left" vertical="center"/>
    </xf>
    <xf numFmtId="164" fontId="7" fillId="5" borderId="1" xfId="0" applyNumberFormat="1" applyFont="1" applyFill="1" applyBorder="1" applyAlignment="1" applyProtection="1">
      <alignment horizontal="right" vertical="center"/>
    </xf>
    <xf numFmtId="0" fontId="6" fillId="5" borderId="1" xfId="0" applyNumberFormat="1" applyFont="1" applyFill="1" applyBorder="1" applyAlignment="1" applyProtection="1">
      <alignment horizontal="right" vertical="center"/>
    </xf>
    <xf numFmtId="0" fontId="0" fillId="5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0" fillId="4" borderId="0" xfId="0" applyNumberFormat="1" applyFont="1" applyFill="1" applyBorder="1" applyAlignment="1" applyProtection="1">
      <alignment horizontal="left"/>
    </xf>
    <xf numFmtId="0" fontId="7" fillId="4" borderId="0" xfId="0" applyNumberFormat="1" applyFont="1" applyFill="1" applyBorder="1" applyAlignment="1" applyProtection="1">
      <alignment horizontal="right"/>
    </xf>
    <xf numFmtId="164" fontId="7" fillId="4" borderId="0" xfId="0" applyNumberFormat="1" applyFont="1" applyFill="1" applyBorder="1" applyAlignment="1" applyProtection="1">
      <alignment horizontal="right"/>
    </xf>
    <xf numFmtId="167" fontId="7" fillId="4" borderId="0" xfId="0" applyNumberFormat="1" applyFont="1" applyFill="1" applyBorder="1" applyAlignment="1" applyProtection="1">
      <alignment horizontal="right"/>
    </xf>
    <xf numFmtId="0" fontId="7" fillId="4" borderId="0" xfId="0" applyNumberFormat="1" applyFont="1" applyFill="1" applyBorder="1" applyAlignment="1" applyProtection="1">
      <alignment horizontal="center"/>
    </xf>
    <xf numFmtId="0" fontId="12" fillId="4" borderId="0" xfId="0" applyNumberFormat="1" applyFont="1" applyFill="1" applyBorder="1" applyAlignment="1" applyProtection="1">
      <alignment horizontal="center"/>
    </xf>
    <xf numFmtId="3" fontId="7" fillId="4" borderId="0" xfId="0" applyNumberFormat="1" applyFont="1" applyFill="1" applyBorder="1" applyAlignment="1" applyProtection="1">
      <alignment horizontal="right"/>
    </xf>
    <xf numFmtId="168" fontId="7" fillId="4" borderId="0" xfId="0" applyNumberFormat="1" applyFont="1" applyFill="1" applyBorder="1" applyAlignment="1" applyProtection="1">
      <alignment horizontal="right"/>
    </xf>
    <xf numFmtId="166" fontId="7" fillId="4" borderId="0" xfId="0" applyNumberFormat="1" applyFont="1" applyFill="1" applyBorder="1" applyAlignment="1" applyProtection="1">
      <alignment horizontal="right"/>
    </xf>
    <xf numFmtId="0" fontId="10" fillId="2" borderId="1" xfId="0" applyNumberFormat="1" applyFont="1" applyFill="1" applyBorder="1" applyAlignment="1" applyProtection="1">
      <alignment horizontal="left"/>
    </xf>
    <xf numFmtId="0" fontId="10" fillId="2" borderId="1" xfId="0" applyNumberFormat="1" applyFont="1" applyFill="1" applyBorder="1" applyAlignment="1" applyProtection="1">
      <alignment horizontal="right"/>
    </xf>
    <xf numFmtId="0" fontId="7" fillId="2" borderId="1" xfId="0" applyNumberFormat="1" applyFont="1" applyFill="1" applyBorder="1" applyAlignment="1" applyProtection="1">
      <alignment horizontal="right"/>
    </xf>
    <xf numFmtId="164" fontId="7" fillId="2" borderId="1" xfId="0" applyNumberFormat="1" applyFont="1" applyFill="1" applyBorder="1" applyAlignment="1" applyProtection="1">
      <alignment horizontal="right"/>
    </xf>
    <xf numFmtId="165" fontId="7" fillId="2" borderId="1" xfId="0" applyNumberFormat="1" applyFont="1" applyFill="1" applyBorder="1" applyAlignment="1" applyProtection="1">
      <alignment horizontal="center"/>
    </xf>
    <xf numFmtId="165" fontId="7" fillId="2" borderId="1" xfId="0" applyNumberFormat="1" applyFont="1" applyFill="1" applyBorder="1" applyAlignment="1" applyProtection="1">
      <alignment horizontal="right"/>
    </xf>
    <xf numFmtId="0" fontId="7" fillId="2" borderId="1" xfId="0" applyNumberFormat="1" applyFont="1" applyFill="1" applyBorder="1" applyAlignment="1" applyProtection="1">
      <alignment horizontal="left"/>
    </xf>
    <xf numFmtId="3" fontId="7" fillId="2" borderId="1" xfId="0" applyNumberFormat="1" applyFont="1" applyFill="1" applyBorder="1" applyAlignment="1" applyProtection="1">
      <alignment horizontal="right"/>
    </xf>
    <xf numFmtId="166" fontId="7" fillId="2" borderId="1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99CC00"/>
      <rgbColor rgb="00DDFFCC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1">
  <a:themeElements>
    <a:clrScheme name="CWColors_Feb2013">
      <a:dk1>
        <a:sysClr val="windowText" lastClr="000000"/>
      </a:dk1>
      <a:lt1>
        <a:sysClr val="window" lastClr="FFFFFF"/>
      </a:lt1>
      <a:dk2>
        <a:srgbClr val="EE3124"/>
      </a:dk2>
      <a:lt2>
        <a:srgbClr val="4F8ABE"/>
      </a:lt2>
      <a:accent1>
        <a:srgbClr val="003767"/>
      </a:accent1>
      <a:accent2>
        <a:srgbClr val="88CBDF"/>
      </a:accent2>
      <a:accent3>
        <a:srgbClr val="ABAFA6"/>
      </a:accent3>
      <a:accent4>
        <a:srgbClr val="000B2A"/>
      </a:accent4>
      <a:accent5>
        <a:srgbClr val="E7E1D5"/>
      </a:accent5>
      <a:accent6>
        <a:srgbClr val="696A6D"/>
      </a:accent6>
      <a:hlink>
        <a:srgbClr val="EE3124"/>
      </a:hlink>
      <a:folHlink>
        <a:srgbClr val="B8D0E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7"/>
  <sheetViews>
    <sheetView tabSelected="1" zoomScaleNormal="100" workbookViewId="0">
      <pane ySplit="2" topLeftCell="A9" activePane="bottomLeft" state="frozen"/>
      <selection pane="bottomLeft" activeCell="S13" sqref="S13"/>
    </sheetView>
  </sheetViews>
  <sheetFormatPr defaultColWidth="0" defaultRowHeight="15.75" customHeight="1" x14ac:dyDescent="0.2"/>
  <cols>
    <col min="1" max="1" width="23.28515625" customWidth="1"/>
    <col min="2" max="3" width="4" customWidth="1"/>
    <col min="4" max="4" width="4.42578125" customWidth="1"/>
    <col min="5" max="5" width="5.140625" bestFit="1" customWidth="1"/>
    <col min="6" max="6" width="5.7109375" customWidth="1"/>
    <col min="7" max="7" width="4.7109375" customWidth="1"/>
    <col min="8" max="8" width="12.42578125" customWidth="1"/>
    <col min="9" max="10" width="5.42578125" customWidth="1"/>
    <col min="11" max="11" width="6.42578125" customWidth="1"/>
    <col min="12" max="12" width="4.5703125" customWidth="1"/>
    <col min="13" max="13" width="4.85546875" customWidth="1"/>
    <col min="14" max="14" width="4.7109375" customWidth="1"/>
    <col min="15" max="16" width="5.42578125" customWidth="1"/>
    <col min="17" max="17" width="5.85546875" customWidth="1"/>
    <col min="18" max="18" width="5.28515625" customWidth="1"/>
    <col min="19" max="19" width="5" customWidth="1"/>
    <col min="20" max="20" width="5.42578125" customWidth="1"/>
    <col min="21" max="21" width="5" customWidth="1"/>
    <col min="22" max="22" width="9.140625" hidden="1" customWidth="1"/>
    <col min="23" max="23" width="8.85546875" hidden="1" customWidth="1"/>
    <col min="24" max="24" width="6.140625" hidden="1" customWidth="1"/>
    <col min="25" max="25" width="8.85546875" hidden="1" customWidth="1"/>
    <col min="26" max="26" width="5.5703125" hidden="1" customWidth="1"/>
    <col min="27" max="27" width="0" hidden="1" customWidth="1"/>
    <col min="28" max="16384" width="9.140625" hidden="1"/>
  </cols>
  <sheetData>
    <row r="1" spans="1:26" ht="22.5" customHeight="1" x14ac:dyDescent="0.2">
      <c r="A1" s="43" t="s">
        <v>80</v>
      </c>
      <c r="B1" s="43"/>
      <c r="C1" s="43"/>
      <c r="D1" s="44"/>
      <c r="E1" s="43"/>
      <c r="F1" s="45"/>
      <c r="G1" s="43"/>
      <c r="H1" s="43"/>
      <c r="I1" s="43"/>
      <c r="J1" s="43"/>
      <c r="K1" s="43"/>
      <c r="L1" s="46"/>
      <c r="M1" s="46"/>
      <c r="N1" s="46"/>
      <c r="O1" s="46"/>
      <c r="P1" s="46"/>
      <c r="Q1" s="47"/>
      <c r="R1" s="46"/>
      <c r="S1" s="46"/>
      <c r="T1" s="46"/>
      <c r="U1" s="48" t="s">
        <v>16</v>
      </c>
    </row>
    <row r="2" spans="1:26" s="50" customFormat="1" ht="12.75" customHeight="1" x14ac:dyDescent="0.2">
      <c r="A2" s="37" t="s">
        <v>14</v>
      </c>
      <c r="B2" s="38" t="s">
        <v>30</v>
      </c>
      <c r="C2" s="38" t="s">
        <v>24</v>
      </c>
      <c r="D2" s="39" t="s">
        <v>15</v>
      </c>
      <c r="E2" s="40" t="s">
        <v>23</v>
      </c>
      <c r="F2" s="41" t="s">
        <v>3</v>
      </c>
      <c r="G2" s="38" t="s">
        <v>6</v>
      </c>
      <c r="H2" s="41" t="s">
        <v>4</v>
      </c>
      <c r="I2" s="38" t="s">
        <v>2</v>
      </c>
      <c r="J2" s="38" t="s">
        <v>7</v>
      </c>
      <c r="K2" s="38" t="s">
        <v>34</v>
      </c>
      <c r="L2" s="37" t="s">
        <v>8</v>
      </c>
      <c r="M2" s="37" t="s">
        <v>27</v>
      </c>
      <c r="N2" s="37" t="s">
        <v>41</v>
      </c>
      <c r="O2" s="37" t="s">
        <v>5</v>
      </c>
      <c r="P2" s="37" t="s">
        <v>1</v>
      </c>
      <c r="Q2" s="39" t="s">
        <v>18</v>
      </c>
      <c r="R2" s="38" t="s">
        <v>23</v>
      </c>
      <c r="S2" s="37" t="s">
        <v>31</v>
      </c>
      <c r="T2" s="39" t="s">
        <v>38</v>
      </c>
      <c r="U2" s="41" t="s">
        <v>21</v>
      </c>
      <c r="W2" s="51" t="s">
        <v>44</v>
      </c>
      <c r="X2" s="51" t="s">
        <v>45</v>
      </c>
      <c r="Y2" s="51" t="s">
        <v>44</v>
      </c>
      <c r="Z2" s="51" t="s">
        <v>46</v>
      </c>
    </row>
    <row r="3" spans="1:26" ht="15.75" customHeight="1" x14ac:dyDescent="0.2">
      <c r="A3" s="61" t="str">
        <f>dump!$A4</f>
        <v>EASTERN CONFERENCE</v>
      </c>
      <c r="B3" s="62" t="s">
        <v>0</v>
      </c>
      <c r="C3" s="63" t="s">
        <v>0</v>
      </c>
      <c r="D3" s="64" t="s">
        <v>0</v>
      </c>
      <c r="E3" s="63" t="s">
        <v>0</v>
      </c>
      <c r="F3" s="65" t="s">
        <v>0</v>
      </c>
      <c r="G3" s="66" t="s">
        <v>0</v>
      </c>
      <c r="H3" s="67" t="s">
        <v>0</v>
      </c>
      <c r="I3" s="68" t="s">
        <v>0</v>
      </c>
      <c r="J3" s="68" t="s">
        <v>0</v>
      </c>
      <c r="K3" s="68" t="s">
        <v>0</v>
      </c>
      <c r="L3" s="67" t="s">
        <v>0</v>
      </c>
      <c r="M3" s="67" t="s">
        <v>0</v>
      </c>
      <c r="N3" s="67" t="s">
        <v>0</v>
      </c>
      <c r="O3" s="67" t="s">
        <v>0</v>
      </c>
      <c r="P3" s="67" t="s">
        <v>0</v>
      </c>
      <c r="Q3" s="64" t="s">
        <v>0</v>
      </c>
      <c r="R3" s="67" t="s">
        <v>0</v>
      </c>
      <c r="S3" s="67" t="s">
        <v>0</v>
      </c>
      <c r="T3" s="69" t="s">
        <v>0</v>
      </c>
      <c r="U3" s="67" t="s">
        <v>0</v>
      </c>
    </row>
    <row r="4" spans="1:26" ht="15.75" customHeight="1" x14ac:dyDescent="0.25">
      <c r="A4" s="52" t="str">
        <f>TRIM(MID(dump!$A5,1,28))</f>
        <v>LIPLESS</v>
      </c>
      <c r="B4" s="53"/>
      <c r="C4" s="53"/>
      <c r="D4" s="54"/>
      <c r="E4" s="55"/>
      <c r="F4" s="56"/>
      <c r="G4" s="53"/>
      <c r="H4" s="57"/>
      <c r="I4" s="58"/>
      <c r="J4" s="58"/>
      <c r="K4" s="58"/>
      <c r="L4" s="59"/>
      <c r="M4" s="59"/>
      <c r="N4" s="59"/>
      <c r="O4" s="59"/>
      <c r="P4" s="59"/>
      <c r="Q4" s="54"/>
      <c r="R4" s="59"/>
      <c r="S4" s="59"/>
      <c r="T4" s="60"/>
      <c r="U4" s="59"/>
    </row>
    <row r="5" spans="1:26" ht="15.75" customHeight="1" x14ac:dyDescent="0.25">
      <c r="A5" s="2" t="str">
        <f>TRIM(MID(dump!$A6,1,28))</f>
        <v>Barcelona Brewers</v>
      </c>
      <c r="B5" s="3">
        <f>VALUE(MID(dump!$A6,29,3))</f>
        <v>16</v>
      </c>
      <c r="C5" s="3">
        <f>VALUE(MID(dump!$A6,34,3))</f>
        <v>12</v>
      </c>
      <c r="D5" s="4">
        <f>B5/(B5+C5)</f>
        <v>0.5714285714285714</v>
      </c>
      <c r="E5" s="8">
        <f t="shared" ref="E5:E10" si="0">((B5-B$5)+(C$5-C5))/-2</f>
        <v>0</v>
      </c>
      <c r="F5" s="6" t="str">
        <f>((10-LEN(SUBSTITUTE(H5,"w","")))&amp;"-")&amp;LEN(SUBSTITUTE(H5,"w",""))</f>
        <v>4-6</v>
      </c>
      <c r="G5" s="3" t="str">
        <f>TRIM(MID(dump!$A6,61,3))</f>
        <v>W1</v>
      </c>
      <c r="H5" s="7" t="str">
        <f>TRIM(MID(dump!$A6,65,10))</f>
        <v>wlllllwwlw</v>
      </c>
      <c r="I5" s="8">
        <f>VALUE(MID(dump!$A6,77,4))</f>
        <v>164</v>
      </c>
      <c r="J5" s="8">
        <f>VALUE(MID(dump!$A6,82,4))</f>
        <v>135</v>
      </c>
      <c r="K5" s="8">
        <f>I5-J5</f>
        <v>29</v>
      </c>
      <c r="L5" s="9">
        <f t="shared" ref="L5:M5" si="1">I5/($B5+$C5)</f>
        <v>5.8571428571428568</v>
      </c>
      <c r="M5" s="9">
        <f t="shared" si="1"/>
        <v>4.8214285714285712</v>
      </c>
      <c r="N5" s="9">
        <f>L5-M5</f>
        <v>1.0357142857142856</v>
      </c>
      <c r="O5" s="9">
        <f>Q5*(B5+C5)</f>
        <v>16.527988413192681</v>
      </c>
      <c r="P5" s="9">
        <f>(B5+C5)-O5</f>
        <v>11.472011586807319</v>
      </c>
      <c r="Q5" s="4">
        <f t="shared" ref="Q5:Q10" si="2">(L5^Q$54)/((L5^Q$54)+(M5^Q$54))</f>
        <v>0.59028530047116712</v>
      </c>
      <c r="R5" s="5">
        <f t="shared" ref="R5:R10" si="3">((O5-O$5)+(P$5-P5))/-2</f>
        <v>0</v>
      </c>
      <c r="S5" s="9">
        <f>B5-O5</f>
        <v>-0.52798841319268064</v>
      </c>
      <c r="T5" s="4">
        <f>(D5-Q5)^2</f>
        <v>3.5557623018587294E-4</v>
      </c>
      <c r="U5" s="9">
        <f>((((B5-O5)+(25*D5))+(5*(((10-LEN(SUBSTITUTE(H5,"w","")))/10)-D5)))+(VALUE(MID(G5,2,2))/PI()))-12.5</f>
        <v>0.71889290156253693</v>
      </c>
      <c r="W5" t="b">
        <v>1</v>
      </c>
      <c r="X5">
        <f>RANK(D5+K5/1000000,Y$5:Y$32)</f>
        <v>4</v>
      </c>
      <c r="Y5" s="27">
        <f>D5+K5/1000000</f>
        <v>0.57145757142857134</v>
      </c>
    </row>
    <row r="6" spans="1:26" ht="15.75" customHeight="1" x14ac:dyDescent="0.25">
      <c r="A6" s="2" t="str">
        <f>TRIM(MID(dump!$A7,1,28))</f>
        <v>Chinatrust Whales</v>
      </c>
      <c r="B6" s="3">
        <f>VALUE(MID(dump!$A7,29,3))</f>
        <v>14</v>
      </c>
      <c r="C6" s="3">
        <f>VALUE(MID(dump!$A7,34,3))</f>
        <v>14</v>
      </c>
      <c r="D6" s="4">
        <f t="shared" ref="D6:D21" si="4">B6/(B6+C6)</f>
        <v>0.5</v>
      </c>
      <c r="E6" s="8">
        <f t="shared" si="0"/>
        <v>2</v>
      </c>
      <c r="F6" s="6" t="str">
        <f t="shared" ref="F6:F21" si="5">((10-LEN(SUBSTITUTE(H6,"w","")))&amp;"-")&amp;LEN(SUBSTITUTE(H6,"w",""))</f>
        <v>6-4</v>
      </c>
      <c r="G6" s="3" t="str">
        <f>TRIM(MID(dump!$A7,61,3))</f>
        <v>L1</v>
      </c>
      <c r="H6" s="7" t="str">
        <f>TRIM(MID(dump!$A7,65,10))</f>
        <v>lwwlwwwwll</v>
      </c>
      <c r="I6" s="8">
        <f>VALUE(MID(dump!$A7,77,4))</f>
        <v>122</v>
      </c>
      <c r="J6" s="8">
        <f>VALUE(MID(dump!$A7,82,4))</f>
        <v>128</v>
      </c>
      <c r="K6" s="8">
        <f t="shared" ref="K6:K21" si="6">I6-J6</f>
        <v>-6</v>
      </c>
      <c r="L6" s="9">
        <f t="shared" ref="L6:L21" si="7">I6/($B6+$C6)</f>
        <v>4.3571428571428568</v>
      </c>
      <c r="M6" s="9">
        <f t="shared" ref="M6:M21" si="8">J6/($B6+$C6)</f>
        <v>4.5714285714285712</v>
      </c>
      <c r="N6" s="9">
        <f t="shared" ref="N6:N21" si="9">L6-M6</f>
        <v>-0.21428571428571441</v>
      </c>
      <c r="O6" s="9">
        <f t="shared" ref="O6:O21" si="10">Q6*(B6+C6)</f>
        <v>13.36981195250373</v>
      </c>
      <c r="P6" s="9">
        <f t="shared" ref="P6:P21" si="11">(B6+C6)-O6</f>
        <v>14.63018804749627</v>
      </c>
      <c r="Q6" s="4">
        <f t="shared" si="2"/>
        <v>0.47749328401799035</v>
      </c>
      <c r="R6" s="5">
        <f t="shared" si="3"/>
        <v>3.1581764606889511</v>
      </c>
      <c r="S6" s="9">
        <f t="shared" ref="S6:S21" si="12">B6-O6</f>
        <v>0.63018804749627044</v>
      </c>
      <c r="T6" s="4">
        <f t="shared" ref="T6:T32" si="13">(D6-Q6)^2</f>
        <v>5.0655226429484866E-4</v>
      </c>
      <c r="U6" s="9">
        <f t="shared" ref="U6:U21" si="14">((((B6-O6)+(25*D6))+(5*(((10-LEN(SUBSTITUTE(H6,"w","")))/10)-D6)))+(VALUE(MID(G6,2,2))/PI()))-12.5</f>
        <v>1.448497933680061</v>
      </c>
      <c r="W6" t="b">
        <v>0</v>
      </c>
      <c r="X6">
        <f>RANK(D6+K6/1000000,Z$5:Z$32)+4</f>
        <v>13</v>
      </c>
      <c r="Y6" s="27"/>
      <c r="Z6" s="27">
        <f>D6+K6/1000000</f>
        <v>0.49999399999999999</v>
      </c>
    </row>
    <row r="7" spans="1:26" ht="15.75" customHeight="1" x14ac:dyDescent="0.25">
      <c r="A7" s="2" t="str">
        <f>TRIM(MID(dump!$A8,1,28))</f>
        <v>Chico's Bail Bonds</v>
      </c>
      <c r="B7" s="3">
        <f>VALUE(MID(dump!$A8,29,3))</f>
        <v>13</v>
      </c>
      <c r="C7" s="3">
        <f>VALUE(MID(dump!$A8,34,3))</f>
        <v>15</v>
      </c>
      <c r="D7" s="4">
        <f t="shared" si="4"/>
        <v>0.4642857142857143</v>
      </c>
      <c r="E7" s="8">
        <f t="shared" si="0"/>
        <v>3</v>
      </c>
      <c r="F7" s="6" t="str">
        <f t="shared" si="5"/>
        <v>5-5</v>
      </c>
      <c r="G7" s="3" t="str">
        <f>TRIM(MID(dump!$A8,61,3))</f>
        <v>L1</v>
      </c>
      <c r="H7" s="7" t="str">
        <f>TRIM(MID(dump!$A8,65,10))</f>
        <v>lwlwwwwlll</v>
      </c>
      <c r="I7" s="8">
        <f>VALUE(MID(dump!$A8,77,4))</f>
        <v>159</v>
      </c>
      <c r="J7" s="8">
        <f>VALUE(MID(dump!$A8,82,4))</f>
        <v>155</v>
      </c>
      <c r="K7" s="8">
        <f t="shared" si="6"/>
        <v>4</v>
      </c>
      <c r="L7" s="9">
        <f t="shared" si="7"/>
        <v>5.6785714285714288</v>
      </c>
      <c r="M7" s="9">
        <f t="shared" si="8"/>
        <v>5.5357142857142856</v>
      </c>
      <c r="N7" s="9">
        <f t="shared" si="9"/>
        <v>0.14285714285714324</v>
      </c>
      <c r="O7" s="9">
        <f t="shared" si="10"/>
        <v>14.334611002049419</v>
      </c>
      <c r="P7" s="9">
        <f t="shared" si="11"/>
        <v>13.665388997950581</v>
      </c>
      <c r="Q7" s="4">
        <f t="shared" si="2"/>
        <v>0.5119503929303364</v>
      </c>
      <c r="R7" s="5">
        <f t="shared" si="3"/>
        <v>2.1933774111432616</v>
      </c>
      <c r="S7" s="9">
        <f t="shared" si="12"/>
        <v>-1.3346110020494191</v>
      </c>
      <c r="T7" s="4">
        <f t="shared" si="13"/>
        <v>2.2719215902950933E-3</v>
      </c>
      <c r="U7" s="9">
        <f t="shared" si="14"/>
        <v>-1.7305868301513421</v>
      </c>
      <c r="W7" t="b">
        <v>0</v>
      </c>
      <c r="X7">
        <f>RANK(D7+K7/1000000,Z$5:Z$32)+4</f>
        <v>16</v>
      </c>
      <c r="Y7" s="27"/>
      <c r="Z7" s="27">
        <f t="shared" ref="Z7:Z10" si="15">D7+K7/1000000</f>
        <v>0.46428971428571431</v>
      </c>
    </row>
    <row r="8" spans="1:26" ht="15.75" customHeight="1" x14ac:dyDescent="0.25">
      <c r="A8" s="2" t="str">
        <f>TRIM(MID(dump!$A9,1,28))</f>
        <v>Philly Halladaze</v>
      </c>
      <c r="B8" s="3">
        <f>VALUE(MID(dump!$A9,29,3))</f>
        <v>13</v>
      </c>
      <c r="C8" s="3">
        <f>VALUE(MID(dump!$A9,34,3))</f>
        <v>15</v>
      </c>
      <c r="D8" s="4">
        <f t="shared" si="4"/>
        <v>0.4642857142857143</v>
      </c>
      <c r="E8" s="8">
        <f t="shared" si="0"/>
        <v>3</v>
      </c>
      <c r="F8" s="6" t="str">
        <f t="shared" si="5"/>
        <v>4-6</v>
      </c>
      <c r="G8" s="3" t="str">
        <f>TRIM(MID(dump!$A9,61,3))</f>
        <v>W2</v>
      </c>
      <c r="H8" s="7" t="str">
        <f>TRIM(MID(dump!$A9,65,10))</f>
        <v>wwlwlllllw</v>
      </c>
      <c r="I8" s="8">
        <f>VALUE(MID(dump!$A9,77,4))</f>
        <v>119</v>
      </c>
      <c r="J8" s="8">
        <f>VALUE(MID(dump!$A9,82,4))</f>
        <v>138</v>
      </c>
      <c r="K8" s="8">
        <f t="shared" si="6"/>
        <v>-19</v>
      </c>
      <c r="L8" s="9">
        <f t="shared" si="7"/>
        <v>4.25</v>
      </c>
      <c r="M8" s="9">
        <f t="shared" si="8"/>
        <v>4.9285714285714288</v>
      </c>
      <c r="N8" s="9">
        <f t="shared" si="9"/>
        <v>-0.67857142857142883</v>
      </c>
      <c r="O8" s="9">
        <f t="shared" si="10"/>
        <v>12.066701141160907</v>
      </c>
      <c r="P8" s="9">
        <f t="shared" si="11"/>
        <v>15.933298858839093</v>
      </c>
      <c r="Q8" s="4">
        <f t="shared" si="2"/>
        <v>0.4309536121843181</v>
      </c>
      <c r="R8" s="5">
        <f t="shared" si="3"/>
        <v>4.4612872720317736</v>
      </c>
      <c r="S8" s="9">
        <f t="shared" si="12"/>
        <v>0.93329885883909292</v>
      </c>
      <c r="T8" s="4">
        <f t="shared" si="13"/>
        <v>1.111029030497901E-3</v>
      </c>
      <c r="U8" s="9">
        <f t="shared" si="14"/>
        <v>0.35563291692096044</v>
      </c>
      <c r="W8" t="b">
        <v>0</v>
      </c>
      <c r="X8">
        <f>RANK(D8+K8/1000000,Z$5:Z$32)+4</f>
        <v>17</v>
      </c>
      <c r="Y8" s="27"/>
      <c r="Z8" s="27">
        <f t="shared" si="15"/>
        <v>0.46426671428571431</v>
      </c>
    </row>
    <row r="9" spans="1:26" ht="15.75" customHeight="1" x14ac:dyDescent="0.25">
      <c r="A9" s="2" t="str">
        <f>TRIM(MID(dump!$A10,1,28))</f>
        <v>Garmisch-Parten Shebazzle!</v>
      </c>
      <c r="B9" s="3">
        <f>VALUE(MID(dump!$A10,29,3))</f>
        <v>8</v>
      </c>
      <c r="C9" s="3">
        <f>VALUE(MID(dump!$A10,34,3))</f>
        <v>20</v>
      </c>
      <c r="D9" s="4">
        <f t="shared" si="4"/>
        <v>0.2857142857142857</v>
      </c>
      <c r="E9" s="8">
        <f t="shared" si="0"/>
        <v>8</v>
      </c>
      <c r="F9" s="6" t="str">
        <f t="shared" si="5"/>
        <v>4-6</v>
      </c>
      <c r="G9" s="3" t="str">
        <f>TRIM(MID(dump!$A10,61,3))</f>
        <v>L2</v>
      </c>
      <c r="H9" s="7" t="str">
        <f>TRIM(MID(dump!$A10,65,10))</f>
        <v>llwwllwwll</v>
      </c>
      <c r="I9" s="8">
        <f>VALUE(MID(dump!$A10,77,4))</f>
        <v>136</v>
      </c>
      <c r="J9" s="8">
        <f>VALUE(MID(dump!$A10,82,4))</f>
        <v>197</v>
      </c>
      <c r="K9" s="8">
        <f t="shared" si="6"/>
        <v>-61</v>
      </c>
      <c r="L9" s="9">
        <f t="shared" si="7"/>
        <v>4.8571428571428568</v>
      </c>
      <c r="M9" s="9">
        <f t="shared" si="8"/>
        <v>7.0357142857142856</v>
      </c>
      <c r="N9" s="9">
        <f t="shared" si="9"/>
        <v>-2.1785714285714288</v>
      </c>
      <c r="O9" s="9">
        <f t="shared" si="10"/>
        <v>9.319800540591622</v>
      </c>
      <c r="P9" s="9">
        <f t="shared" si="11"/>
        <v>18.680199459408378</v>
      </c>
      <c r="Q9" s="4">
        <f t="shared" si="2"/>
        <v>0.33285001930684366</v>
      </c>
      <c r="R9" s="5">
        <f t="shared" si="3"/>
        <v>7.2081878726010586</v>
      </c>
      <c r="S9" s="9">
        <f t="shared" si="12"/>
        <v>-1.319800540591622</v>
      </c>
      <c r="T9" s="4">
        <f t="shared" si="13"/>
        <v>2.221777381308597E-3</v>
      </c>
      <c r="U9" s="9">
        <f t="shared" si="14"/>
        <v>-5.4688950539383274</v>
      </c>
      <c r="W9" t="b">
        <v>0</v>
      </c>
      <c r="X9">
        <f>RANK(D9+K9/1000000,Z$5:Z$32)+4</f>
        <v>20</v>
      </c>
      <c r="Z9" s="27">
        <f t="shared" si="15"/>
        <v>0.28565328571428572</v>
      </c>
    </row>
    <row r="10" spans="1:26" ht="15.75" customHeight="1" x14ac:dyDescent="0.25">
      <c r="A10" s="2" t="str">
        <f>TRIM(MID(dump!$A11,1,28))</f>
        <v>Rocky Mountain Oysters</v>
      </c>
      <c r="B10" s="3">
        <f>VALUE(MID(dump!$A11,29,3))</f>
        <v>5</v>
      </c>
      <c r="C10" s="3">
        <f>VALUE(MID(dump!$A11,34,3))</f>
        <v>23</v>
      </c>
      <c r="D10" s="4">
        <f t="shared" si="4"/>
        <v>0.17857142857142858</v>
      </c>
      <c r="E10" s="8">
        <f t="shared" si="0"/>
        <v>11</v>
      </c>
      <c r="F10" s="6" t="str">
        <f t="shared" si="5"/>
        <v>1-9</v>
      </c>
      <c r="G10" s="3" t="str">
        <f>TRIM(MID(dump!$A11,61,3))</f>
        <v>L8</v>
      </c>
      <c r="H10" s="7" t="str">
        <f>TRIM(MID(dump!$A11,65,10))</f>
        <v>llllllllwl</v>
      </c>
      <c r="I10" s="8">
        <f>VALUE(MID(dump!$A11,77,4))</f>
        <v>85</v>
      </c>
      <c r="J10" s="8">
        <f>VALUE(MID(dump!$A11,82,4))</f>
        <v>194</v>
      </c>
      <c r="K10" s="8">
        <f t="shared" si="6"/>
        <v>-109</v>
      </c>
      <c r="L10" s="9">
        <f t="shared" si="7"/>
        <v>3.0357142857142856</v>
      </c>
      <c r="M10" s="9">
        <f t="shared" si="8"/>
        <v>6.9285714285714288</v>
      </c>
      <c r="N10" s="9">
        <f t="shared" si="9"/>
        <v>-3.8928571428571432</v>
      </c>
      <c r="O10" s="9">
        <f t="shared" si="10"/>
        <v>4.9085898891293835</v>
      </c>
      <c r="P10" s="9">
        <f t="shared" si="11"/>
        <v>23.091410110870616</v>
      </c>
      <c r="Q10" s="4">
        <f t="shared" si="2"/>
        <v>0.17530678175462083</v>
      </c>
      <c r="R10" s="5">
        <f t="shared" si="3"/>
        <v>11.619398524063296</v>
      </c>
      <c r="S10" s="9">
        <f t="shared" si="12"/>
        <v>9.1410110870616457E-2</v>
      </c>
      <c r="T10" s="4">
        <f t="shared" si="13"/>
        <v>1.0657918838492927E-5</v>
      </c>
      <c r="U10" s="9">
        <f t="shared" si="14"/>
        <v>-5.7906822282304873</v>
      </c>
      <c r="W10" t="b">
        <v>0</v>
      </c>
      <c r="X10">
        <f>RANK(D10+K10/1000000,Z$5:Z$32)+4</f>
        <v>24</v>
      </c>
      <c r="Z10" s="27">
        <f t="shared" si="15"/>
        <v>0.17846242857142858</v>
      </c>
    </row>
    <row r="11" spans="1:26" ht="15.75" customHeight="1" x14ac:dyDescent="0.25">
      <c r="A11" s="52" t="str">
        <f>TRIM(MID(dump!$A13,1,28))</f>
        <v>HIGH HORSE</v>
      </c>
      <c r="B11" s="53"/>
      <c r="C11" s="53"/>
      <c r="D11" s="54"/>
      <c r="E11" s="55"/>
      <c r="F11" s="56"/>
      <c r="G11" s="53"/>
      <c r="H11" s="57"/>
      <c r="I11" s="58"/>
      <c r="J11" s="58"/>
      <c r="K11" s="58"/>
      <c r="L11" s="59"/>
      <c r="M11" s="59"/>
      <c r="N11" s="59"/>
      <c r="O11" s="59"/>
      <c r="P11" s="59"/>
      <c r="Q11" s="54"/>
      <c r="R11" s="59"/>
      <c r="S11" s="59"/>
      <c r="T11" s="54"/>
      <c r="U11" s="59"/>
    </row>
    <row r="12" spans="1:26" s="24" customFormat="1" ht="15.75" customHeight="1" x14ac:dyDescent="0.25">
      <c r="A12" s="2" t="str">
        <f>TRIM(MID(dump!$A14,1,28))</f>
        <v>Dinosaur Iguanodons</v>
      </c>
      <c r="B12" s="3">
        <f>VALUE(MID(dump!$A14,29,3))</f>
        <v>22</v>
      </c>
      <c r="C12" s="3">
        <f>VALUE(MID(dump!$A14,34,3))</f>
        <v>6</v>
      </c>
      <c r="D12" s="4">
        <f t="shared" si="4"/>
        <v>0.7857142857142857</v>
      </c>
      <c r="E12" s="8">
        <f t="shared" ref="E12:E17" si="16">((B12-B$12)+(C$12-C12))/-2</f>
        <v>0</v>
      </c>
      <c r="F12" s="6" t="str">
        <f t="shared" si="5"/>
        <v>9-1</v>
      </c>
      <c r="G12" s="3" t="str">
        <f>TRIM(MID(dump!$A14,61,3))</f>
        <v>W2</v>
      </c>
      <c r="H12" s="7" t="str">
        <f>TRIM(MID(dump!$A14,65,10))</f>
        <v>wwlwwwwwww</v>
      </c>
      <c r="I12" s="8">
        <f>VALUE(MID(dump!$A14,77,4))</f>
        <v>223</v>
      </c>
      <c r="J12" s="8">
        <f>VALUE(MID(dump!$A14,82,4))</f>
        <v>90</v>
      </c>
      <c r="K12" s="8">
        <f t="shared" si="6"/>
        <v>133</v>
      </c>
      <c r="L12" s="9">
        <f t="shared" si="7"/>
        <v>7.9642857142857144</v>
      </c>
      <c r="M12" s="9">
        <f t="shared" si="8"/>
        <v>3.2142857142857144</v>
      </c>
      <c r="N12" s="9">
        <f t="shared" si="9"/>
        <v>4.75</v>
      </c>
      <c r="O12" s="9">
        <f t="shared" si="10"/>
        <v>23.684601897928271</v>
      </c>
      <c r="P12" s="9">
        <f t="shared" si="11"/>
        <v>4.3153981020717289</v>
      </c>
      <c r="Q12" s="4">
        <f t="shared" ref="Q12:Q17" si="17">(L12^Q$54)/((L12^Q$54)+(M12^Q$54))</f>
        <v>0.84587863921172401</v>
      </c>
      <c r="R12" s="5">
        <f t="shared" ref="R12:R17" si="18">((O12-O$12)+(P$12-P12))/-2</f>
        <v>0</v>
      </c>
      <c r="S12" s="9">
        <f t="shared" si="12"/>
        <v>-1.6846018979282711</v>
      </c>
      <c r="T12" s="4">
        <f t="shared" si="13"/>
        <v>3.6197494317647184E-3</v>
      </c>
      <c r="U12" s="9">
        <f t="shared" si="14"/>
        <v>6.6663035887250253</v>
      </c>
      <c r="W12" t="b">
        <v>1</v>
      </c>
      <c r="X12">
        <f>RANK(D12+K12/1000000,Y$5:Y$32)</f>
        <v>2</v>
      </c>
      <c r="Y12" s="27">
        <f>D12+K12/1000000</f>
        <v>0.78584728571428575</v>
      </c>
    </row>
    <row r="13" spans="1:26" s="24" customFormat="1" ht="15.75" customHeight="1" x14ac:dyDescent="0.25">
      <c r="A13" s="2" t="str">
        <f>TRIM(MID(dump!$A15,1,28))</f>
        <v>Cincinnati Reds</v>
      </c>
      <c r="B13" s="3">
        <f>VALUE(MID(dump!$A15,29,3))</f>
        <v>21</v>
      </c>
      <c r="C13" s="3">
        <f>VALUE(MID(dump!$A15,34,3))</f>
        <v>7</v>
      </c>
      <c r="D13" s="4">
        <f t="shared" si="4"/>
        <v>0.75</v>
      </c>
      <c r="E13" s="8">
        <f t="shared" si="16"/>
        <v>1</v>
      </c>
      <c r="F13" s="6" t="str">
        <f t="shared" si="5"/>
        <v>9-1</v>
      </c>
      <c r="G13" s="3" t="str">
        <f>TRIM(MID(dump!$A15,61,3))</f>
        <v>W8</v>
      </c>
      <c r="H13" s="7" t="str">
        <f>TRIM(MID(dump!$A15,65,10))</f>
        <v>wwwwwwwwlw</v>
      </c>
      <c r="I13" s="8">
        <f>VALUE(MID(dump!$A15,77,4))</f>
        <v>174</v>
      </c>
      <c r="J13" s="8">
        <f>VALUE(MID(dump!$A15,82,4))</f>
        <v>138</v>
      </c>
      <c r="K13" s="8">
        <f t="shared" si="6"/>
        <v>36</v>
      </c>
      <c r="L13" s="9">
        <f t="shared" si="7"/>
        <v>6.2142857142857144</v>
      </c>
      <c r="M13" s="9">
        <f t="shared" si="8"/>
        <v>4.9285714285714288</v>
      </c>
      <c r="N13" s="9">
        <f t="shared" si="9"/>
        <v>1.2857142857142856</v>
      </c>
      <c r="O13" s="9">
        <f t="shared" si="10"/>
        <v>16.997663332870818</v>
      </c>
      <c r="P13" s="9">
        <f t="shared" si="11"/>
        <v>11.002336667129182</v>
      </c>
      <c r="Q13" s="4">
        <f t="shared" si="17"/>
        <v>0.60705940474538633</v>
      </c>
      <c r="R13" s="5">
        <f t="shared" si="18"/>
        <v>6.6869385650574529</v>
      </c>
      <c r="S13" s="9">
        <f t="shared" si="12"/>
        <v>4.0023366671291818</v>
      </c>
      <c r="T13" s="4">
        <f t="shared" si="13"/>
        <v>2.0432013771743283E-2</v>
      </c>
      <c r="U13" s="9">
        <f t="shared" si="14"/>
        <v>13.548815756599506</v>
      </c>
      <c r="W13" t="b">
        <v>0</v>
      </c>
      <c r="X13">
        <f>RANK(D13+K13/1000000,Z$5:Z$32)+4</f>
        <v>5</v>
      </c>
      <c r="Z13" s="27">
        <f>D13+K13/1000000</f>
        <v>0.75003600000000004</v>
      </c>
    </row>
    <row r="14" spans="1:26" ht="15.75" customHeight="1" x14ac:dyDescent="0.25">
      <c r="A14" s="2" t="str">
        <f>TRIM(MID(dump!$A16,1,28))</f>
        <v>Okoboji Cropdusters</v>
      </c>
      <c r="B14" s="3">
        <f>VALUE(MID(dump!$A16,29,3))</f>
        <v>19</v>
      </c>
      <c r="C14" s="3">
        <f>VALUE(MID(dump!$A16,34,3))</f>
        <v>9</v>
      </c>
      <c r="D14" s="4">
        <f t="shared" si="4"/>
        <v>0.6785714285714286</v>
      </c>
      <c r="E14" s="8">
        <f t="shared" si="16"/>
        <v>3</v>
      </c>
      <c r="F14" s="6" t="str">
        <f t="shared" si="5"/>
        <v>7-3</v>
      </c>
      <c r="G14" s="3" t="str">
        <f>TRIM(MID(dump!$A16,61,3))</f>
        <v>W2</v>
      </c>
      <c r="H14" s="7" t="str">
        <f>TRIM(MID(dump!$A16,65,10))</f>
        <v>wwlwwlwwlw</v>
      </c>
      <c r="I14" s="8">
        <f>VALUE(MID(dump!$A16,77,4))</f>
        <v>170</v>
      </c>
      <c r="J14" s="8">
        <f>VALUE(MID(dump!$A16,82,4))</f>
        <v>115</v>
      </c>
      <c r="K14" s="8">
        <f t="shared" si="6"/>
        <v>55</v>
      </c>
      <c r="L14" s="9">
        <f t="shared" si="7"/>
        <v>6.0714285714285712</v>
      </c>
      <c r="M14" s="9">
        <f t="shared" si="8"/>
        <v>4.1071428571428568</v>
      </c>
      <c r="N14" s="9">
        <f t="shared" si="9"/>
        <v>1.9642857142857144</v>
      </c>
      <c r="O14" s="9">
        <f t="shared" si="10"/>
        <v>18.915720449583915</v>
      </c>
      <c r="P14" s="9">
        <f t="shared" si="11"/>
        <v>9.0842795504160847</v>
      </c>
      <c r="Q14" s="4">
        <f t="shared" si="17"/>
        <v>0.67556144462799694</v>
      </c>
      <c r="R14" s="5">
        <f t="shared" si="18"/>
        <v>4.7688814483443558</v>
      </c>
      <c r="S14" s="9">
        <f t="shared" si="12"/>
        <v>8.4279550416084703E-2</v>
      </c>
      <c r="T14" s="4">
        <f t="shared" si="13"/>
        <v>9.0600033397164069E-6</v>
      </c>
      <c r="U14" s="9">
        <f t="shared" si="14"/>
        <v>5.2923278942122387</v>
      </c>
      <c r="W14" t="b">
        <v>0</v>
      </c>
      <c r="X14">
        <f>RANK(D14+K14/1000000,Z$5:Z$32)+4</f>
        <v>6</v>
      </c>
      <c r="Z14" s="27">
        <f t="shared" ref="Z14:Z17" si="19">D14+K14/1000000</f>
        <v>0.67862642857142863</v>
      </c>
    </row>
    <row r="15" spans="1:26" ht="15.75" customHeight="1" x14ac:dyDescent="0.25">
      <c r="A15" s="2" t="str">
        <f>TRIM(MID(dump!$A17,1,28))</f>
        <v>Tewksbury Bobs</v>
      </c>
      <c r="B15" s="3">
        <f>VALUE(MID(dump!$A17,29,3))</f>
        <v>14</v>
      </c>
      <c r="C15" s="3">
        <f>VALUE(MID(dump!$A17,34,3))</f>
        <v>14</v>
      </c>
      <c r="D15" s="4">
        <f t="shared" si="4"/>
        <v>0.5</v>
      </c>
      <c r="E15" s="8">
        <f t="shared" si="16"/>
        <v>8</v>
      </c>
      <c r="F15" s="6" t="str">
        <f t="shared" si="5"/>
        <v>4-6</v>
      </c>
      <c r="G15" s="3" t="str">
        <f>TRIM(MID(dump!$A17,61,3))</f>
        <v>L6</v>
      </c>
      <c r="H15" s="7" t="str">
        <f>TRIM(MID(dump!$A17,65,10))</f>
        <v>llllllwwww</v>
      </c>
      <c r="I15" s="8">
        <f>VALUE(MID(dump!$A17,77,4))</f>
        <v>110</v>
      </c>
      <c r="J15" s="8">
        <f>VALUE(MID(dump!$A17,82,4))</f>
        <v>125</v>
      </c>
      <c r="K15" s="8">
        <f t="shared" si="6"/>
        <v>-15</v>
      </c>
      <c r="L15" s="9">
        <f t="shared" si="7"/>
        <v>3.9285714285714284</v>
      </c>
      <c r="M15" s="9">
        <f t="shared" si="8"/>
        <v>4.4642857142857144</v>
      </c>
      <c r="N15" s="9">
        <f t="shared" si="9"/>
        <v>-0.53571428571428603</v>
      </c>
      <c r="O15" s="9">
        <f t="shared" si="10"/>
        <v>12.328879141512557</v>
      </c>
      <c r="P15" s="9">
        <f t="shared" si="11"/>
        <v>15.671120858487443</v>
      </c>
      <c r="Q15" s="4">
        <f t="shared" si="17"/>
        <v>0.44031711219687703</v>
      </c>
      <c r="R15" s="5">
        <f t="shared" si="18"/>
        <v>11.355722756415714</v>
      </c>
      <c r="S15" s="9">
        <f t="shared" si="12"/>
        <v>1.6711208584874431</v>
      </c>
      <c r="T15" s="4">
        <f t="shared" si="13"/>
        <v>3.5620470965201652E-3</v>
      </c>
      <c r="U15" s="9">
        <f t="shared" si="14"/>
        <v>3.080980175590188</v>
      </c>
      <c r="W15" t="b">
        <v>0</v>
      </c>
      <c r="X15">
        <f>RANK(D15+K15/1000000,Z$5:Z$32)+4</f>
        <v>14</v>
      </c>
      <c r="Z15" s="27">
        <f t="shared" si="19"/>
        <v>0.49998500000000001</v>
      </c>
    </row>
    <row r="16" spans="1:26" ht="15.75" customHeight="1" x14ac:dyDescent="0.25">
      <c r="A16" s="2" t="str">
        <f>TRIM(MID(dump!$A18,1,28))</f>
        <v>Ferlin Huskies</v>
      </c>
      <c r="B16" s="3">
        <f>VALUE(MID(dump!$A18,29,3))</f>
        <v>13</v>
      </c>
      <c r="C16" s="3">
        <f>VALUE(MID(dump!$A18,34,3))</f>
        <v>15</v>
      </c>
      <c r="D16" s="4">
        <f t="shared" si="4"/>
        <v>0.4642857142857143</v>
      </c>
      <c r="E16" s="8">
        <f t="shared" si="16"/>
        <v>9</v>
      </c>
      <c r="F16" s="6" t="str">
        <f t="shared" si="5"/>
        <v>4-6</v>
      </c>
      <c r="G16" s="3" t="str">
        <f>TRIM(MID(dump!$A18,61,3))</f>
        <v>W2</v>
      </c>
      <c r="H16" s="7" t="str">
        <f>TRIM(MID(dump!$A18,65,10))</f>
        <v>wwlwllllwl</v>
      </c>
      <c r="I16" s="8">
        <f>VALUE(MID(dump!$A18,77,4))</f>
        <v>153</v>
      </c>
      <c r="J16" s="8">
        <f>VALUE(MID(dump!$A18,82,4))</f>
        <v>143</v>
      </c>
      <c r="K16" s="8">
        <f t="shared" si="6"/>
        <v>10</v>
      </c>
      <c r="L16" s="9">
        <f t="shared" si="7"/>
        <v>5.4642857142857144</v>
      </c>
      <c r="M16" s="9">
        <f t="shared" si="8"/>
        <v>5.1071428571428568</v>
      </c>
      <c r="N16" s="9">
        <f t="shared" si="9"/>
        <v>0.35714285714285765</v>
      </c>
      <c r="O16" s="9">
        <f t="shared" si="10"/>
        <v>14.886667953796096</v>
      </c>
      <c r="P16" s="9">
        <f t="shared" si="11"/>
        <v>13.113332046203904</v>
      </c>
      <c r="Q16" s="4">
        <f t="shared" si="17"/>
        <v>0.53166671263557486</v>
      </c>
      <c r="R16" s="5">
        <f t="shared" si="18"/>
        <v>8.7979339441321756</v>
      </c>
      <c r="S16" s="9">
        <f t="shared" si="12"/>
        <v>-1.8866679537960955</v>
      </c>
      <c r="T16" s="4">
        <f t="shared" si="13"/>
        <v>4.5401989386239109E-3</v>
      </c>
      <c r="U16" s="9">
        <f t="shared" si="14"/>
        <v>-2.464333895714228</v>
      </c>
      <c r="W16" t="b">
        <v>0</v>
      </c>
      <c r="X16">
        <f>RANK(D16+K16/1000000,Z$5:Z$32)+4</f>
        <v>15</v>
      </c>
      <c r="Z16" s="27">
        <f t="shared" si="19"/>
        <v>0.46429571428571431</v>
      </c>
    </row>
    <row r="17" spans="1:26" ht="15.75" customHeight="1" x14ac:dyDescent="0.25">
      <c r="A17" s="2" t="str">
        <f>TRIM(MID(dump!$A19,1,28))</f>
        <v>Century Atoms</v>
      </c>
      <c r="B17" s="3">
        <f>VALUE(MID(dump!$A19,29,3))</f>
        <v>11</v>
      </c>
      <c r="C17" s="3">
        <f>VALUE(MID(dump!$A19,34,3))</f>
        <v>17</v>
      </c>
      <c r="D17" s="4">
        <f t="shared" si="4"/>
        <v>0.39285714285714285</v>
      </c>
      <c r="E17" s="8">
        <f t="shared" si="16"/>
        <v>11</v>
      </c>
      <c r="F17" s="6" t="str">
        <f t="shared" si="5"/>
        <v>4-6</v>
      </c>
      <c r="G17" s="3" t="str">
        <f>TRIM(MID(dump!$A19,61,3))</f>
        <v>L2</v>
      </c>
      <c r="H17" s="7" t="str">
        <f>TRIM(MID(dump!$A19,65,10))</f>
        <v>llwlwwwlll</v>
      </c>
      <c r="I17" s="8">
        <f>VALUE(MID(dump!$A19,77,4))</f>
        <v>129</v>
      </c>
      <c r="J17" s="8">
        <f>VALUE(MID(dump!$A19,82,4))</f>
        <v>170</v>
      </c>
      <c r="K17" s="8">
        <f t="shared" si="6"/>
        <v>-41</v>
      </c>
      <c r="L17" s="9">
        <f t="shared" si="7"/>
        <v>4.6071428571428568</v>
      </c>
      <c r="M17" s="9">
        <f t="shared" si="8"/>
        <v>6.0714285714285712</v>
      </c>
      <c r="N17" s="9">
        <f t="shared" si="9"/>
        <v>-1.4642857142857144</v>
      </c>
      <c r="O17" s="9">
        <f t="shared" si="10"/>
        <v>10.453754250639536</v>
      </c>
      <c r="P17" s="9">
        <f t="shared" si="11"/>
        <v>17.546245749360466</v>
      </c>
      <c r="Q17" s="4">
        <f t="shared" si="17"/>
        <v>0.37334836609426914</v>
      </c>
      <c r="R17" s="5">
        <f t="shared" si="18"/>
        <v>13.230847647288737</v>
      </c>
      <c r="S17" s="9">
        <f t="shared" si="12"/>
        <v>0.54624574936046422</v>
      </c>
      <c r="T17" s="4">
        <f t="shared" si="13"/>
        <v>3.8059237078364138E-4</v>
      </c>
      <c r="U17" s="9">
        <f t="shared" si="14"/>
        <v>-1.4599916211290971</v>
      </c>
      <c r="W17" t="b">
        <v>0</v>
      </c>
      <c r="X17">
        <f>RANK(D17+K17/1000000,Z$5:Z$32)+4</f>
        <v>18</v>
      </c>
      <c r="Z17" s="27">
        <f t="shared" si="19"/>
        <v>0.39281614285714284</v>
      </c>
    </row>
    <row r="18" spans="1:26" ht="15.75" customHeight="1" x14ac:dyDescent="0.2">
      <c r="A18" s="61" t="str">
        <f>TRIM(MID(dump!$A21,1,28))</f>
        <v>WESTERN CONFERENCE</v>
      </c>
      <c r="B18" s="62"/>
      <c r="C18" s="63"/>
      <c r="D18" s="64"/>
      <c r="E18" s="63"/>
      <c r="F18" s="65"/>
      <c r="G18" s="66"/>
      <c r="H18" s="67"/>
      <c r="I18" s="68"/>
      <c r="J18" s="68"/>
      <c r="K18" s="68"/>
      <c r="L18" s="67"/>
      <c r="M18" s="67"/>
      <c r="N18" s="67"/>
      <c r="O18" s="67"/>
      <c r="P18" s="67"/>
      <c r="Q18" s="64"/>
      <c r="R18" s="67"/>
      <c r="S18" s="67"/>
      <c r="T18" s="64"/>
      <c r="U18" s="67"/>
    </row>
    <row r="19" spans="1:26" s="42" customFormat="1" ht="15.75" customHeight="1" x14ac:dyDescent="0.25">
      <c r="A19" s="52" t="str">
        <f>TRIM(MID(dump!$A22,1,28))</f>
        <v>PILGRIMS</v>
      </c>
      <c r="B19" s="53"/>
      <c r="C19" s="53"/>
      <c r="D19" s="54"/>
      <c r="E19" s="55"/>
      <c r="F19" s="56"/>
      <c r="G19" s="53"/>
      <c r="H19" s="57"/>
      <c r="I19" s="58"/>
      <c r="J19" s="58"/>
      <c r="K19" s="58"/>
      <c r="L19" s="59"/>
      <c r="M19" s="59"/>
      <c r="N19" s="59"/>
      <c r="O19" s="59"/>
      <c r="P19" s="59"/>
      <c r="Q19" s="54"/>
      <c r="R19" s="59"/>
      <c r="S19" s="59"/>
      <c r="T19" s="54"/>
      <c r="U19" s="59"/>
    </row>
    <row r="20" spans="1:26" ht="15.75" customHeight="1" x14ac:dyDescent="0.25">
      <c r="A20" s="2" t="str">
        <f>TRIM(MID(dump!$A23,1,28))</f>
        <v>Evanston Endorphins</v>
      </c>
      <c r="B20" s="3">
        <f>VALUE(MID(dump!$A23,29,3))</f>
        <v>18</v>
      </c>
      <c r="C20" s="3">
        <f>VALUE(MID(dump!$A23,34,3))</f>
        <v>10</v>
      </c>
      <c r="D20" s="4">
        <f t="shared" si="4"/>
        <v>0.6428571428571429</v>
      </c>
      <c r="E20" s="8">
        <f t="shared" ref="E20:E25" si="20">((B20-B$20)+(C$20-C20))/-2</f>
        <v>0</v>
      </c>
      <c r="F20" s="6" t="str">
        <f t="shared" si="5"/>
        <v>8-2</v>
      </c>
      <c r="G20" s="3" t="str">
        <f>TRIM(MID(dump!$A23,61,3))</f>
        <v>W2</v>
      </c>
      <c r="H20" s="7" t="str">
        <f>TRIM(MID(dump!$A23,65,10))</f>
        <v>wwlwwwwlww</v>
      </c>
      <c r="I20" s="8">
        <f>VALUE(MID(dump!$A23,77,4))</f>
        <v>155</v>
      </c>
      <c r="J20" s="8">
        <f>VALUE(MID(dump!$A23,82,4))</f>
        <v>125</v>
      </c>
      <c r="K20" s="8">
        <f t="shared" si="6"/>
        <v>30</v>
      </c>
      <c r="L20" s="9">
        <f t="shared" si="7"/>
        <v>5.5357142857142856</v>
      </c>
      <c r="M20" s="9">
        <f t="shared" si="8"/>
        <v>4.4642857142857144</v>
      </c>
      <c r="N20" s="9">
        <f t="shared" si="9"/>
        <v>1.0714285714285712</v>
      </c>
      <c r="O20" s="9">
        <f t="shared" si="10"/>
        <v>16.787797073256321</v>
      </c>
      <c r="P20" s="9">
        <f t="shared" si="11"/>
        <v>11.212202926743679</v>
      </c>
      <c r="Q20" s="4">
        <f t="shared" ref="Q20:Q25" si="21">(L20^Q$54)/((L20^Q$54)+(M20^Q$54))</f>
        <v>0.5995641811877257</v>
      </c>
      <c r="R20" s="5">
        <f t="shared" ref="R20:R25" si="22">((O20-O$20)+(P$20-P20))/-2</f>
        <v>0</v>
      </c>
      <c r="S20" s="9">
        <f t="shared" si="12"/>
        <v>1.2122029267436787</v>
      </c>
      <c r="T20" s="4">
        <f t="shared" si="13"/>
        <v>1.8742805301096275E-3</v>
      </c>
      <c r="U20" s="9">
        <f t="shared" si="14"/>
        <v>6.2059655562541174</v>
      </c>
      <c r="W20" t="b">
        <v>1</v>
      </c>
      <c r="X20">
        <f>RANK(D20+K20/1000000,Y$5:Y$32)</f>
        <v>3</v>
      </c>
      <c r="Y20" s="27">
        <f>D20+K20/1000000</f>
        <v>0.64288714285714288</v>
      </c>
    </row>
    <row r="21" spans="1:26" ht="15.75" customHeight="1" x14ac:dyDescent="0.25">
      <c r="A21" s="2" t="str">
        <f>TRIM(MID(dump!$A24,1,28))</f>
        <v>Felldownhead Firsts</v>
      </c>
      <c r="B21" s="3">
        <f>VALUE(MID(dump!$A24,29,3))</f>
        <v>18</v>
      </c>
      <c r="C21" s="3">
        <f>VALUE(MID(dump!$A24,34,3))</f>
        <v>10</v>
      </c>
      <c r="D21" s="4">
        <f t="shared" si="4"/>
        <v>0.6428571428571429</v>
      </c>
      <c r="E21" s="8">
        <f t="shared" si="20"/>
        <v>0</v>
      </c>
      <c r="F21" s="6" t="str">
        <f t="shared" si="5"/>
        <v>6-4</v>
      </c>
      <c r="G21" s="3" t="str">
        <f>TRIM(MID(dump!$A24,61,3))</f>
        <v>L1</v>
      </c>
      <c r="H21" s="7" t="str">
        <f>TRIM(MID(dump!$A24,65,10))</f>
        <v>lwwwwlllww</v>
      </c>
      <c r="I21" s="8">
        <f>VALUE(MID(dump!$A24,77,4))</f>
        <v>183</v>
      </c>
      <c r="J21" s="8">
        <f>VALUE(MID(dump!$A24,82,4))</f>
        <v>102</v>
      </c>
      <c r="K21" s="8">
        <f t="shared" si="6"/>
        <v>81</v>
      </c>
      <c r="L21" s="9">
        <f t="shared" si="7"/>
        <v>6.5357142857142856</v>
      </c>
      <c r="M21" s="9">
        <f t="shared" si="8"/>
        <v>3.6428571428571428</v>
      </c>
      <c r="N21" s="9">
        <f t="shared" si="9"/>
        <v>2.8928571428571428</v>
      </c>
      <c r="O21" s="9">
        <f t="shared" si="10"/>
        <v>20.990587950081533</v>
      </c>
      <c r="P21" s="9">
        <f t="shared" si="11"/>
        <v>7.0094120499184669</v>
      </c>
      <c r="Q21" s="4">
        <f t="shared" si="21"/>
        <v>0.74966385536005475</v>
      </c>
      <c r="R21" s="5">
        <f t="shared" si="22"/>
        <v>-4.2027908768252118</v>
      </c>
      <c r="S21" s="9">
        <f t="shared" si="12"/>
        <v>-2.9905879500815331</v>
      </c>
      <c r="T21" s="4">
        <f t="shared" si="13"/>
        <v>1.1407673835679666E-2</v>
      </c>
      <c r="U21" s="9">
        <f t="shared" si="14"/>
        <v>0.68486479324511507</v>
      </c>
      <c r="W21" t="b">
        <v>0</v>
      </c>
      <c r="X21">
        <f>RANK(D21+K21/1000000,Z$5:Z$32)+4</f>
        <v>7</v>
      </c>
      <c r="Z21" s="27">
        <f>D21+K21/1000000</f>
        <v>0.6429381428571429</v>
      </c>
    </row>
    <row r="22" spans="1:26" ht="15.75" customHeight="1" x14ac:dyDescent="0.25">
      <c r="A22" s="2" t="str">
        <f>TRIM(MID(dump!$A25,1,28))</f>
        <v>Renfroe Hunters</v>
      </c>
      <c r="B22" s="3">
        <f>VALUE(MID(dump!$A25,29,3))</f>
        <v>17</v>
      </c>
      <c r="C22" s="3">
        <f>VALUE(MID(dump!$A25,34,3))</f>
        <v>11</v>
      </c>
      <c r="D22" s="4">
        <f t="shared" ref="D22:D32" si="23">B22/(B22+C22)</f>
        <v>0.6071428571428571</v>
      </c>
      <c r="E22" s="8">
        <f t="shared" si="20"/>
        <v>1</v>
      </c>
      <c r="F22" s="6" t="str">
        <f t="shared" ref="F22:F32" si="24">((10-LEN(SUBSTITUTE(H22,"w","")))&amp;"-")&amp;LEN(SUBSTITUTE(H22,"w",""))</f>
        <v>6-4</v>
      </c>
      <c r="G22" s="3" t="str">
        <f>TRIM(MID(dump!$A25,61,3))</f>
        <v>W1</v>
      </c>
      <c r="H22" s="7" t="str">
        <f>TRIM(MID(dump!$A25,65,10))</f>
        <v>wlwwlwlwwl</v>
      </c>
      <c r="I22" s="8">
        <f>VALUE(MID(dump!$A25,77,4))</f>
        <v>170</v>
      </c>
      <c r="J22" s="8">
        <f>VALUE(MID(dump!$A25,82,4))</f>
        <v>127</v>
      </c>
      <c r="K22" s="8">
        <f t="shared" ref="K22:K32" si="25">I22-J22</f>
        <v>43</v>
      </c>
      <c r="L22" s="9">
        <f t="shared" ref="L22:L32" si="26">I22/($B22+$C22)</f>
        <v>6.0714285714285712</v>
      </c>
      <c r="M22" s="9">
        <f t="shared" ref="M22:M32" si="27">J22/($B22+$C22)</f>
        <v>4.5357142857142856</v>
      </c>
      <c r="N22" s="9">
        <f t="shared" ref="N22:N32" si="28">L22-M22</f>
        <v>1.5357142857142856</v>
      </c>
      <c r="O22" s="9">
        <f t="shared" ref="O22:O32" si="29">Q22*(B22+C22)</f>
        <v>17.737595382376568</v>
      </c>
      <c r="P22" s="9">
        <f t="shared" ref="P22:P32" si="30">(B22+C22)-O22</f>
        <v>10.262404617623432</v>
      </c>
      <c r="Q22" s="4">
        <f t="shared" si="21"/>
        <v>0.63348554937059176</v>
      </c>
      <c r="R22" s="5">
        <f t="shared" si="22"/>
        <v>-0.9497983091202471</v>
      </c>
      <c r="S22" s="9">
        <f t="shared" ref="S22:S32" si="31">B22-O22</f>
        <v>-0.73759538237656841</v>
      </c>
      <c r="T22" s="4">
        <f t="shared" si="13"/>
        <v>6.9393743380515233E-4</v>
      </c>
      <c r="U22" s="9">
        <f t="shared" ref="U22:U32" si="32">((((B22-O22)+(25*D22))+(5*(((10-LEN(SUBSTITUTE(H22,"w","")))/10)-D22)))+(VALUE(MID(G22,2,2))/PI()))-12.5</f>
        <v>2.2235716466643645</v>
      </c>
      <c r="W22" t="b">
        <v>0</v>
      </c>
      <c r="X22">
        <f>RANK(D22+K22/1000000,Z$5:Z$32)+4</f>
        <v>8</v>
      </c>
      <c r="Z22" s="27">
        <f t="shared" ref="Z22:Z25" si="33">D22+K22/1000000</f>
        <v>0.60718585714285711</v>
      </c>
    </row>
    <row r="23" spans="1:26" ht="15.75" customHeight="1" x14ac:dyDescent="0.25">
      <c r="A23" s="2" t="str">
        <f>TRIM(MID(dump!$A26,1,28))</f>
        <v>Inwood Landfills</v>
      </c>
      <c r="B23" s="3">
        <f>VALUE(MID(dump!$A26,29,3))</f>
        <v>17</v>
      </c>
      <c r="C23" s="3">
        <f>VALUE(MID(dump!$A26,34,3))</f>
        <v>11</v>
      </c>
      <c r="D23" s="4">
        <f t="shared" si="23"/>
        <v>0.6071428571428571</v>
      </c>
      <c r="E23" s="8">
        <f t="shared" si="20"/>
        <v>1</v>
      </c>
      <c r="F23" s="6" t="str">
        <f t="shared" si="24"/>
        <v>5-5</v>
      </c>
      <c r="G23" s="3" t="str">
        <f>TRIM(MID(dump!$A26,61,3))</f>
        <v>W3</v>
      </c>
      <c r="H23" s="7" t="str">
        <f>TRIM(MID(dump!$A26,65,10))</f>
        <v>wwwlwlllwl</v>
      </c>
      <c r="I23" s="8">
        <f>VALUE(MID(dump!$A26,77,4))</f>
        <v>161</v>
      </c>
      <c r="J23" s="8">
        <f>VALUE(MID(dump!$A26,82,4))</f>
        <v>162</v>
      </c>
      <c r="K23" s="8">
        <f t="shared" si="25"/>
        <v>-1</v>
      </c>
      <c r="L23" s="9">
        <f t="shared" si="26"/>
        <v>5.75</v>
      </c>
      <c r="M23" s="9">
        <f t="shared" si="27"/>
        <v>5.7857142857142856</v>
      </c>
      <c r="N23" s="9">
        <f t="shared" si="28"/>
        <v>-3.5714285714285587E-2</v>
      </c>
      <c r="O23" s="9">
        <f t="shared" si="29"/>
        <v>13.918667695890827</v>
      </c>
      <c r="P23" s="9">
        <f t="shared" si="30"/>
        <v>14.081332304109173</v>
      </c>
      <c r="Q23" s="4">
        <f t="shared" si="21"/>
        <v>0.49709527485324384</v>
      </c>
      <c r="R23" s="5">
        <f t="shared" si="22"/>
        <v>2.8691293773654944</v>
      </c>
      <c r="S23" s="9">
        <f t="shared" si="31"/>
        <v>3.0813323041091731</v>
      </c>
      <c r="T23" s="4">
        <f t="shared" si="13"/>
        <v>1.2110470367789202E-2</v>
      </c>
      <c r="U23" s="9">
        <f t="shared" si="32"/>
        <v>6.1791191055176853</v>
      </c>
      <c r="W23" t="b">
        <v>0</v>
      </c>
      <c r="X23">
        <f>RANK(D23+K23/1000000,Z$5:Z$32)+4</f>
        <v>9</v>
      </c>
      <c r="Z23" s="27">
        <f t="shared" si="33"/>
        <v>0.60714185714285707</v>
      </c>
    </row>
    <row r="24" spans="1:26" ht="15.75" customHeight="1" x14ac:dyDescent="0.25">
      <c r="A24" s="2" t="str">
        <f>TRIM(MID(dump!$A27,1,28))</f>
        <v>Baraboo GoiterMen</v>
      </c>
      <c r="B24" s="3">
        <f>VALUE(MID(dump!$A27,29,3))</f>
        <v>15</v>
      </c>
      <c r="C24" s="3">
        <f>VALUE(MID(dump!$A27,34,3))</f>
        <v>13</v>
      </c>
      <c r="D24" s="4">
        <f t="shared" si="23"/>
        <v>0.5357142857142857</v>
      </c>
      <c r="E24" s="8">
        <f t="shared" si="20"/>
        <v>3</v>
      </c>
      <c r="F24" s="6" t="str">
        <f t="shared" si="24"/>
        <v>4-6</v>
      </c>
      <c r="G24" s="3" t="str">
        <f>TRIM(MID(dump!$A27,61,3))</f>
        <v>L2</v>
      </c>
      <c r="H24" s="7" t="str">
        <f>TRIM(MID(dump!$A27,65,10))</f>
        <v>llwllwlwlw</v>
      </c>
      <c r="I24" s="8">
        <f>VALUE(MID(dump!$A27,77,4))</f>
        <v>138</v>
      </c>
      <c r="J24" s="8">
        <f>VALUE(MID(dump!$A27,82,4))</f>
        <v>146</v>
      </c>
      <c r="K24" s="8">
        <f t="shared" si="25"/>
        <v>-8</v>
      </c>
      <c r="L24" s="9">
        <f t="shared" si="26"/>
        <v>4.9285714285714288</v>
      </c>
      <c r="M24" s="9">
        <f t="shared" si="27"/>
        <v>5.2142857142857144</v>
      </c>
      <c r="N24" s="9">
        <f t="shared" si="28"/>
        <v>-0.28571428571428559</v>
      </c>
      <c r="O24" s="9">
        <f t="shared" si="29"/>
        <v>13.2604777749604</v>
      </c>
      <c r="P24" s="9">
        <f t="shared" si="30"/>
        <v>14.7395222250396</v>
      </c>
      <c r="Q24" s="4">
        <f t="shared" si="21"/>
        <v>0.47358849196287139</v>
      </c>
      <c r="R24" s="5">
        <f t="shared" si="22"/>
        <v>3.5273192982959216</v>
      </c>
      <c r="S24" s="9">
        <f t="shared" si="31"/>
        <v>1.7395222250396003</v>
      </c>
      <c r="T24" s="4">
        <f t="shared" si="13"/>
        <v>3.8596142492432687E-3</v>
      </c>
      <c r="U24" s="9">
        <f t="shared" si="32"/>
        <v>2.5904277116928949</v>
      </c>
      <c r="W24" t="b">
        <v>0</v>
      </c>
      <c r="X24">
        <f>RANK(D24+K24/1000000,Z$5:Z$32)+4</f>
        <v>10</v>
      </c>
      <c r="Z24" s="27">
        <f t="shared" si="33"/>
        <v>0.53570628571428569</v>
      </c>
    </row>
    <row r="25" spans="1:26" ht="15.75" customHeight="1" x14ac:dyDescent="0.25">
      <c r="A25" s="2" t="str">
        <f>TRIM(MID(dump!$A28,1,28))</f>
        <v>Falkirk Frightened Rabbit</v>
      </c>
      <c r="B25" s="3">
        <f>VALUE(MID(dump!$A28,29,3))</f>
        <v>14</v>
      </c>
      <c r="C25" s="3">
        <f>VALUE(MID(dump!$A28,34,3))</f>
        <v>14</v>
      </c>
      <c r="D25" s="4">
        <f t="shared" si="23"/>
        <v>0.5</v>
      </c>
      <c r="E25" s="8">
        <f t="shared" si="20"/>
        <v>4</v>
      </c>
      <c r="F25" s="6" t="str">
        <f t="shared" si="24"/>
        <v>7-3</v>
      </c>
      <c r="G25" s="3" t="str">
        <f>TRIM(MID(dump!$A28,61,3))</f>
        <v>W1</v>
      </c>
      <c r="H25" s="7" t="str">
        <f>TRIM(MID(dump!$A28,65,10))</f>
        <v>wlllwwwwww</v>
      </c>
      <c r="I25" s="8">
        <f>VALUE(MID(dump!$A28,77,4))</f>
        <v>140</v>
      </c>
      <c r="J25" s="8">
        <f>VALUE(MID(dump!$A28,82,4))</f>
        <v>123</v>
      </c>
      <c r="K25" s="8">
        <f t="shared" si="25"/>
        <v>17</v>
      </c>
      <c r="L25" s="9">
        <f t="shared" si="26"/>
        <v>5</v>
      </c>
      <c r="M25" s="9">
        <f t="shared" si="27"/>
        <v>4.3928571428571432</v>
      </c>
      <c r="N25" s="9">
        <f t="shared" si="28"/>
        <v>0.60714285714285676</v>
      </c>
      <c r="O25" s="9">
        <f t="shared" si="29"/>
        <v>15.692153768897009</v>
      </c>
      <c r="P25" s="9">
        <f t="shared" si="30"/>
        <v>12.307846231102991</v>
      </c>
      <c r="Q25" s="4">
        <f t="shared" si="21"/>
        <v>0.56043406317489319</v>
      </c>
      <c r="R25" s="5">
        <f t="shared" si="22"/>
        <v>1.0956433043593119</v>
      </c>
      <c r="S25" s="9">
        <f t="shared" si="31"/>
        <v>-1.6921537688970094</v>
      </c>
      <c r="T25" s="4">
        <f t="shared" si="13"/>
        <v>3.6522759918269816E-3</v>
      </c>
      <c r="U25" s="9">
        <f t="shared" si="32"/>
        <v>-0.37384388271321889</v>
      </c>
      <c r="W25" t="b">
        <v>0</v>
      </c>
      <c r="X25">
        <f>RANK(D25+K25/1000000,Z$5:Z$32)+4</f>
        <v>11</v>
      </c>
      <c r="Z25" s="27">
        <f t="shared" si="33"/>
        <v>0.50001700000000004</v>
      </c>
    </row>
    <row r="26" spans="1:26" ht="15.75" customHeight="1" x14ac:dyDescent="0.25">
      <c r="A26" s="52" t="str">
        <f>TRIM(MID(dump!$A30,1,28))</f>
        <v>PINK BULLETS</v>
      </c>
      <c r="B26" s="53"/>
      <c r="C26" s="53"/>
      <c r="D26" s="54"/>
      <c r="E26" s="55"/>
      <c r="F26" s="56"/>
      <c r="G26" s="53"/>
      <c r="H26" s="57"/>
      <c r="I26" s="58"/>
      <c r="J26" s="58"/>
      <c r="K26" s="58"/>
      <c r="L26" s="59"/>
      <c r="M26" s="59"/>
      <c r="N26" s="59"/>
      <c r="O26" s="59"/>
      <c r="P26" s="59"/>
      <c r="Q26" s="54"/>
      <c r="R26" s="59"/>
      <c r="S26" s="59"/>
      <c r="T26" s="54"/>
      <c r="U26" s="59"/>
    </row>
    <row r="27" spans="1:26" ht="15.75" customHeight="1" x14ac:dyDescent="0.25">
      <c r="A27" s="2" t="str">
        <f>TRIM(MID(dump!$A31,1,28))</f>
        <v>Newport Never Nudes</v>
      </c>
      <c r="B27" s="3">
        <f>VALUE(MID(dump!$A31,29,3))</f>
        <v>23</v>
      </c>
      <c r="C27" s="3">
        <f>VALUE(MID(dump!$A31,34,3))</f>
        <v>5</v>
      </c>
      <c r="D27" s="4">
        <f t="shared" si="23"/>
        <v>0.8214285714285714</v>
      </c>
      <c r="E27" s="8">
        <f t="shared" ref="E27:E32" si="34">((B27-B$27)+(C$27-C27))/-2</f>
        <v>0</v>
      </c>
      <c r="F27" s="6" t="str">
        <f t="shared" si="24"/>
        <v>10-0</v>
      </c>
      <c r="G27" s="3" t="str">
        <f>TRIM(MID(dump!$A31,61,3))</f>
        <v>W16</v>
      </c>
      <c r="H27" s="7" t="str">
        <f>TRIM(MID(dump!$A31,65,10))</f>
        <v>wwwwwwwwww</v>
      </c>
      <c r="I27" s="8">
        <f>VALUE(MID(dump!$A31,77,4))</f>
        <v>204</v>
      </c>
      <c r="J27" s="8">
        <f>VALUE(MID(dump!$A31,82,4))</f>
        <v>160</v>
      </c>
      <c r="K27" s="8">
        <f t="shared" si="25"/>
        <v>44</v>
      </c>
      <c r="L27" s="9">
        <f t="shared" si="26"/>
        <v>7.2857142857142856</v>
      </c>
      <c r="M27" s="9">
        <f t="shared" si="27"/>
        <v>5.7142857142857144</v>
      </c>
      <c r="N27" s="9">
        <f t="shared" si="28"/>
        <v>1.5714285714285712</v>
      </c>
      <c r="O27" s="9">
        <f t="shared" si="29"/>
        <v>17.137021765341597</v>
      </c>
      <c r="P27" s="9">
        <f t="shared" si="30"/>
        <v>10.862978234658403</v>
      </c>
      <c r="Q27" s="4">
        <f t="shared" ref="Q27:Q32" si="35">(L27^Q$54)/((L27^Q$54)+(M27^Q$54))</f>
        <v>0.6120364916193427</v>
      </c>
      <c r="R27" s="5">
        <f t="shared" ref="R27:R32" si="36">((O27-O$27)+(P$27-P27))/-2</f>
        <v>0</v>
      </c>
      <c r="S27" s="9">
        <f t="shared" si="31"/>
        <v>5.862978234658403</v>
      </c>
      <c r="T27" s="4">
        <f t="shared" si="13"/>
        <v>4.3845043086834401E-2</v>
      </c>
      <c r="U27" s="9">
        <f t="shared" si="32"/>
        <v>19.884507842170478</v>
      </c>
      <c r="W27" t="b">
        <v>1</v>
      </c>
      <c r="X27">
        <f>RANK(D27+K27/1000000,Y$5:Y$32)</f>
        <v>1</v>
      </c>
      <c r="Y27" s="27">
        <f>D27+K27/1000000</f>
        <v>0.82147257142857144</v>
      </c>
    </row>
    <row r="28" spans="1:26" ht="15.75" customHeight="1" x14ac:dyDescent="0.25">
      <c r="A28" s="2" t="str">
        <f>TRIM(MID(dump!$A32,1,28))</f>
        <v>Brooklyn Dodgers</v>
      </c>
      <c r="B28" s="3">
        <f>VALUE(MID(dump!$A32,29,3))</f>
        <v>14</v>
      </c>
      <c r="C28" s="3">
        <f>VALUE(MID(dump!$A32,34,3))</f>
        <v>14</v>
      </c>
      <c r="D28" s="4">
        <f t="shared" si="23"/>
        <v>0.5</v>
      </c>
      <c r="E28" s="8">
        <f t="shared" si="34"/>
        <v>9</v>
      </c>
      <c r="F28" s="6" t="str">
        <f t="shared" si="24"/>
        <v>3-7</v>
      </c>
      <c r="G28" s="3" t="str">
        <f>TRIM(MID(dump!$A32,61,3))</f>
        <v>L2</v>
      </c>
      <c r="H28" s="7" t="str">
        <f>TRIM(MID(dump!$A32,65,10))</f>
        <v>llwllllwlw</v>
      </c>
      <c r="I28" s="8">
        <f>VALUE(MID(dump!$A32,77,4))</f>
        <v>151</v>
      </c>
      <c r="J28" s="8">
        <f>VALUE(MID(dump!$A32,82,4))</f>
        <v>140</v>
      </c>
      <c r="K28" s="8">
        <f t="shared" si="25"/>
        <v>11</v>
      </c>
      <c r="L28" s="9">
        <f t="shared" si="26"/>
        <v>5.3928571428571432</v>
      </c>
      <c r="M28" s="9">
        <f t="shared" si="27"/>
        <v>5</v>
      </c>
      <c r="N28" s="9">
        <f t="shared" si="28"/>
        <v>0.39285714285714324</v>
      </c>
      <c r="O28" s="9">
        <f t="shared" si="29"/>
        <v>14.991853608183533</v>
      </c>
      <c r="P28" s="9">
        <f t="shared" si="30"/>
        <v>13.008146391816467</v>
      </c>
      <c r="Q28" s="4">
        <f t="shared" si="35"/>
        <v>0.53542334314941187</v>
      </c>
      <c r="R28" s="5">
        <f t="shared" si="36"/>
        <v>2.1451681571580643</v>
      </c>
      <c r="S28" s="9">
        <f t="shared" si="31"/>
        <v>-0.99185360818353274</v>
      </c>
      <c r="T28" s="4">
        <f t="shared" si="13"/>
        <v>1.2548132398809847E-3</v>
      </c>
      <c r="U28" s="9">
        <f t="shared" si="32"/>
        <v>-1.3552338358159517</v>
      </c>
      <c r="W28" t="b">
        <v>0</v>
      </c>
      <c r="X28">
        <f>RANK(D28+K28/1000000,Z$5:Z$32)+4</f>
        <v>12</v>
      </c>
      <c r="Z28" s="27">
        <f>D28+K28/1000000</f>
        <v>0.50001099999999998</v>
      </c>
    </row>
    <row r="29" spans="1:26" ht="15.75" customHeight="1" x14ac:dyDescent="0.25">
      <c r="A29" s="2" t="str">
        <f>TRIM(MID(dump!$A33,1,28))</f>
        <v>Newfoundland Perfectos</v>
      </c>
      <c r="B29" s="3">
        <f>VALUE(MID(dump!$A33,29,3))</f>
        <v>10</v>
      </c>
      <c r="C29" s="3">
        <f>VALUE(MID(dump!$A33,34,3))</f>
        <v>18</v>
      </c>
      <c r="D29" s="4">
        <f t="shared" si="23"/>
        <v>0.35714285714285715</v>
      </c>
      <c r="E29" s="8">
        <f t="shared" si="34"/>
        <v>13</v>
      </c>
      <c r="F29" s="6" t="str">
        <f t="shared" si="24"/>
        <v>5-5</v>
      </c>
      <c r="G29" s="3" t="str">
        <f>TRIM(MID(dump!$A33,61,3))</f>
        <v>W2</v>
      </c>
      <c r="H29" s="7" t="str">
        <f>TRIM(MID(dump!$A33,65,10))</f>
        <v>wwlwwwllll</v>
      </c>
      <c r="I29" s="8">
        <f>VALUE(MID(dump!$A33,77,4))</f>
        <v>106</v>
      </c>
      <c r="J29" s="8">
        <f>VALUE(MID(dump!$A33,82,4))</f>
        <v>152</v>
      </c>
      <c r="K29" s="8">
        <f t="shared" si="25"/>
        <v>-46</v>
      </c>
      <c r="L29" s="9">
        <f t="shared" si="26"/>
        <v>3.7857142857142856</v>
      </c>
      <c r="M29" s="9">
        <f t="shared" si="27"/>
        <v>5.4285714285714288</v>
      </c>
      <c r="N29" s="9">
        <f t="shared" si="28"/>
        <v>-1.6428571428571432</v>
      </c>
      <c r="O29" s="9">
        <f t="shared" si="29"/>
        <v>9.4380984961052334</v>
      </c>
      <c r="P29" s="9">
        <f t="shared" si="30"/>
        <v>18.561901503894767</v>
      </c>
      <c r="Q29" s="4">
        <f t="shared" si="35"/>
        <v>0.33707494628947265</v>
      </c>
      <c r="R29" s="5">
        <f t="shared" si="36"/>
        <v>7.6989232692363636</v>
      </c>
      <c r="S29" s="9">
        <f t="shared" si="31"/>
        <v>0.56190150389476656</v>
      </c>
      <c r="T29" s="4">
        <f t="shared" si="13"/>
        <v>4.0272104601938728E-4</v>
      </c>
      <c r="U29" s="9">
        <f t="shared" si="32"/>
        <v>-1.65862158088051</v>
      </c>
      <c r="W29" t="b">
        <v>0</v>
      </c>
      <c r="X29">
        <f>RANK(D29+K29/1000000,Z$5:Z$32)+4</f>
        <v>19</v>
      </c>
      <c r="Z29" s="27">
        <f t="shared" ref="Z29:Z32" si="37">D29+K29/1000000</f>
        <v>0.35709685714285716</v>
      </c>
    </row>
    <row r="30" spans="1:26" ht="15.75" customHeight="1" x14ac:dyDescent="0.25">
      <c r="A30" s="2" t="str">
        <f>TRIM(MID(dump!$A34,1,28))</f>
        <v>New York Dolls</v>
      </c>
      <c r="B30" s="3">
        <f>VALUE(MID(dump!$A34,29,3))</f>
        <v>8</v>
      </c>
      <c r="C30" s="3">
        <f>VALUE(MID(dump!$A34,34,3))</f>
        <v>20</v>
      </c>
      <c r="D30" s="4">
        <f t="shared" si="23"/>
        <v>0.2857142857142857</v>
      </c>
      <c r="E30" s="8">
        <f t="shared" si="34"/>
        <v>15</v>
      </c>
      <c r="F30" s="6" t="str">
        <f t="shared" si="24"/>
        <v>2-8</v>
      </c>
      <c r="G30" s="3" t="str">
        <f>TRIM(MID(dump!$A34,61,3))</f>
        <v>L2</v>
      </c>
      <c r="H30" s="7" t="str">
        <f>TRIM(MID(dump!$A34,65,10))</f>
        <v>llwllwllll</v>
      </c>
      <c r="I30" s="8">
        <f>VALUE(MID(dump!$A34,77,4))</f>
        <v>99</v>
      </c>
      <c r="J30" s="8">
        <f>VALUE(MID(dump!$A34,82,4))</f>
        <v>166</v>
      </c>
      <c r="K30" s="8">
        <f t="shared" si="25"/>
        <v>-67</v>
      </c>
      <c r="L30" s="9">
        <f t="shared" si="26"/>
        <v>3.5357142857142856</v>
      </c>
      <c r="M30" s="9">
        <f t="shared" si="27"/>
        <v>5.9285714285714288</v>
      </c>
      <c r="N30" s="9">
        <f t="shared" si="28"/>
        <v>-2.3928571428571432</v>
      </c>
      <c r="O30" s="9">
        <f t="shared" si="29"/>
        <v>7.6972907649949551</v>
      </c>
      <c r="P30" s="9">
        <f t="shared" si="30"/>
        <v>20.302709235005047</v>
      </c>
      <c r="Q30" s="4">
        <f t="shared" si="35"/>
        <v>0.27490324160696267</v>
      </c>
      <c r="R30" s="5">
        <f t="shared" si="36"/>
        <v>9.4397310003466437</v>
      </c>
      <c r="S30" s="9">
        <f t="shared" si="31"/>
        <v>0.30270923500504487</v>
      </c>
      <c r="T30" s="4">
        <f t="shared" si="13"/>
        <v>1.1687867469048404E-4</v>
      </c>
      <c r="U30" s="9">
        <f t="shared" si="32"/>
        <v>-4.8463852783416606</v>
      </c>
      <c r="W30" t="b">
        <v>0</v>
      </c>
      <c r="X30">
        <f>RANK(D30+K30/1000000,Z$5:Z$32)+4</f>
        <v>21</v>
      </c>
      <c r="Z30" s="27">
        <f t="shared" si="37"/>
        <v>0.28564728571428571</v>
      </c>
    </row>
    <row r="31" spans="1:26" ht="15.75" customHeight="1" x14ac:dyDescent="0.25">
      <c r="A31" s="2" t="str">
        <f>TRIM(MID(dump!$A35,1,28))</f>
        <v>Hartford Dark Blues</v>
      </c>
      <c r="B31" s="3">
        <f>VALUE(MID(dump!$A35,29,3))</f>
        <v>7</v>
      </c>
      <c r="C31" s="3">
        <f>VALUE(MID(dump!$A35,34,3))</f>
        <v>21</v>
      </c>
      <c r="D31" s="4">
        <f t="shared" si="23"/>
        <v>0.25</v>
      </c>
      <c r="E31" s="8">
        <f t="shared" si="34"/>
        <v>16</v>
      </c>
      <c r="F31" s="6" t="str">
        <f t="shared" si="24"/>
        <v>1-9</v>
      </c>
      <c r="G31" s="3" t="str">
        <f>TRIM(MID(dump!$A35,61,3))</f>
        <v>L8</v>
      </c>
      <c r="H31" s="7" t="str">
        <f>TRIM(MID(dump!$A35,65,10))</f>
        <v>llllllllwl</v>
      </c>
      <c r="I31" s="8">
        <f>VALUE(MID(dump!$A35,77,4))</f>
        <v>144</v>
      </c>
      <c r="J31" s="8">
        <f>VALUE(MID(dump!$A35,82,4))</f>
        <v>187</v>
      </c>
      <c r="K31" s="8">
        <f t="shared" si="25"/>
        <v>-43</v>
      </c>
      <c r="L31" s="9">
        <f t="shared" si="26"/>
        <v>5.1428571428571432</v>
      </c>
      <c r="M31" s="9">
        <f t="shared" si="27"/>
        <v>6.6785714285714288</v>
      </c>
      <c r="N31" s="9">
        <f t="shared" si="28"/>
        <v>-1.5357142857142856</v>
      </c>
      <c r="O31" s="9">
        <f t="shared" si="29"/>
        <v>10.634960763829568</v>
      </c>
      <c r="P31" s="9">
        <f t="shared" si="30"/>
        <v>17.365039236170432</v>
      </c>
      <c r="Q31" s="4">
        <f t="shared" si="35"/>
        <v>0.37982002727962744</v>
      </c>
      <c r="R31" s="5">
        <f t="shared" si="36"/>
        <v>6.502061001512029</v>
      </c>
      <c r="S31" s="9">
        <f t="shared" si="31"/>
        <v>-3.634960763829568</v>
      </c>
      <c r="T31" s="4">
        <f t="shared" si="13"/>
        <v>1.6853239482883212E-2</v>
      </c>
      <c r="U31" s="9">
        <f t="shared" si="32"/>
        <v>-8.088481674359242</v>
      </c>
      <c r="W31" t="b">
        <v>0</v>
      </c>
      <c r="X31">
        <f>RANK(D31+K31/1000000,Z$5:Z$32)+4</f>
        <v>22</v>
      </c>
      <c r="Z31" s="27">
        <f t="shared" si="37"/>
        <v>0.24995700000000001</v>
      </c>
    </row>
    <row r="32" spans="1:26" ht="15.75" customHeight="1" x14ac:dyDescent="0.25">
      <c r="A32" s="2" t="str">
        <f>TRIM(MID(dump!$A36,1,28))</f>
        <v>Dún Laoghaire Messiahs</v>
      </c>
      <c r="B32" s="3">
        <f>VALUE(MID(dump!$A36,29,3))</f>
        <v>6</v>
      </c>
      <c r="C32" s="3">
        <f>VALUE(MID(dump!$A36,34,3))</f>
        <v>22</v>
      </c>
      <c r="D32" s="4">
        <f t="shared" si="23"/>
        <v>0.21428571428571427</v>
      </c>
      <c r="E32" s="8">
        <f t="shared" si="34"/>
        <v>17</v>
      </c>
      <c r="F32" s="6" t="str">
        <f t="shared" si="24"/>
        <v>2-8</v>
      </c>
      <c r="G32" s="3" t="str">
        <f>TRIM(MID(dump!$A36,61,3))</f>
        <v>L2</v>
      </c>
      <c r="H32" s="7" t="str">
        <f>TRIM(MID(dump!$A36,65,10))</f>
        <v>llwlllllwl</v>
      </c>
      <c r="I32" s="8">
        <f>VALUE(MID(dump!$A36,77,4))</f>
        <v>77</v>
      </c>
      <c r="J32" s="8">
        <f>VALUE(MID(dump!$A36,82,4))</f>
        <v>154</v>
      </c>
      <c r="K32" s="8">
        <f t="shared" si="25"/>
        <v>-77</v>
      </c>
      <c r="L32" s="9">
        <f t="shared" si="26"/>
        <v>2.75</v>
      </c>
      <c r="M32" s="9">
        <f t="shared" si="27"/>
        <v>5.5</v>
      </c>
      <c r="N32" s="9">
        <f t="shared" si="28"/>
        <v>-2.75</v>
      </c>
      <c r="O32" s="9">
        <f t="shared" si="29"/>
        <v>5.9934722884441554</v>
      </c>
      <c r="P32" s="9">
        <f t="shared" si="30"/>
        <v>22.006527711555844</v>
      </c>
      <c r="Q32" s="4">
        <f t="shared" si="35"/>
        <v>0.21405258173014841</v>
      </c>
      <c r="R32" s="5">
        <f t="shared" si="36"/>
        <v>11.143549476897441</v>
      </c>
      <c r="S32" s="9">
        <f t="shared" si="31"/>
        <v>6.5277115558446397E-3</v>
      </c>
      <c r="T32" s="4">
        <f t="shared" si="13"/>
        <v>5.4350788464672574E-8</v>
      </c>
      <c r="U32" s="9">
        <f t="shared" si="32"/>
        <v>-6.5711382303622887</v>
      </c>
      <c r="W32" t="b">
        <v>0</v>
      </c>
      <c r="X32">
        <f>RANK(D32+K32/1000000,Z$5:Z$32)+4</f>
        <v>23</v>
      </c>
      <c r="Z32" s="27">
        <f t="shared" si="37"/>
        <v>0.21420871428571428</v>
      </c>
    </row>
    <row r="33" spans="1:22" ht="15.75" customHeight="1" x14ac:dyDescent="0.25">
      <c r="A33" s="2"/>
      <c r="B33" s="3"/>
      <c r="C33" s="3"/>
      <c r="D33" s="4"/>
      <c r="E33" s="8"/>
      <c r="F33" s="6"/>
      <c r="G33" s="3"/>
      <c r="H33" s="7"/>
      <c r="I33" s="8"/>
      <c r="J33" s="8"/>
      <c r="K33" s="8"/>
      <c r="L33" s="9"/>
      <c r="M33" s="9"/>
      <c r="N33" s="9"/>
      <c r="O33" s="9"/>
      <c r="P33" s="9"/>
      <c r="Q33" s="4"/>
      <c r="R33" s="5"/>
      <c r="S33" s="9"/>
      <c r="T33" s="10"/>
      <c r="U33" s="9"/>
    </row>
    <row r="34" spans="1:22" s="49" customFormat="1" ht="15.75" customHeight="1" x14ac:dyDescent="0.2">
      <c r="A34" s="43" t="s">
        <v>48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1:22" ht="15.75" customHeight="1" x14ac:dyDescent="0.2">
      <c r="A35" s="37" t="s">
        <v>14</v>
      </c>
      <c r="B35" s="38" t="s">
        <v>30</v>
      </c>
      <c r="C35" s="38" t="s">
        <v>24</v>
      </c>
      <c r="D35" s="39" t="s">
        <v>15</v>
      </c>
      <c r="E35" s="40" t="s">
        <v>23</v>
      </c>
      <c r="F35" s="41"/>
      <c r="G35" s="38"/>
      <c r="H35" s="41"/>
      <c r="I35" s="38"/>
      <c r="J35" s="38"/>
      <c r="K35" s="38" t="s">
        <v>34</v>
      </c>
      <c r="L35" s="37"/>
      <c r="M35" s="37"/>
      <c r="N35" s="37"/>
      <c r="O35" s="37"/>
      <c r="P35" s="37"/>
      <c r="Q35" s="39" t="s">
        <v>18</v>
      </c>
      <c r="R35" s="38"/>
      <c r="S35" s="37"/>
      <c r="T35" s="39"/>
      <c r="U35" s="41"/>
    </row>
    <row r="36" spans="1:22" ht="15.75" customHeight="1" x14ac:dyDescent="0.2">
      <c r="A36" s="28" t="str">
        <f>INDEX(A$5:A$32,MATCH($V36,$X$5:$X$32,0))</f>
        <v>Newport Never Nudes</v>
      </c>
      <c r="B36" s="29">
        <f>INDEX(B$5:B$32,MATCH($V36,$X$5:$X$32,0))</f>
        <v>23</v>
      </c>
      <c r="C36" s="29">
        <f>INDEX(C$5:C$32,MATCH($V36,$X$5:$X$32,0))</f>
        <v>5</v>
      </c>
      <c r="D36" s="30">
        <f>INDEX(D$5:D$32,MATCH($V36,$X$5:$X$32,0))</f>
        <v>0.8214285714285714</v>
      </c>
      <c r="E36" s="31"/>
      <c r="F36" s="32"/>
      <c r="G36" s="29"/>
      <c r="H36" s="32" t="s">
        <v>47</v>
      </c>
      <c r="I36" s="31"/>
      <c r="J36" s="31"/>
      <c r="K36" s="31">
        <f>INDEX(K$5:K$32,MATCH($V36,$X$5:$X$32,0))</f>
        <v>44</v>
      </c>
      <c r="L36" s="33"/>
      <c r="M36" s="33"/>
      <c r="N36" s="33"/>
      <c r="O36" s="33"/>
      <c r="P36" s="33"/>
      <c r="Q36" s="30">
        <f>INDEX(Q$5:Q$32,MATCH($V36,$X$5:$X$32,0))</f>
        <v>0.6120364916193427</v>
      </c>
      <c r="R36" s="34"/>
      <c r="S36" s="33"/>
      <c r="T36" s="35"/>
      <c r="U36" s="33"/>
      <c r="V36">
        <v>1</v>
      </c>
    </row>
    <row r="37" spans="1:22" ht="15.75" customHeight="1" x14ac:dyDescent="0.2">
      <c r="A37" s="28" t="str">
        <f t="shared" ref="A37:D47" si="38">INDEX(A$5:A$32,MATCH($V37,$X$5:$X$32,0))</f>
        <v>Dinosaur Iguanodons</v>
      </c>
      <c r="B37" s="29">
        <f t="shared" si="38"/>
        <v>22</v>
      </c>
      <c r="C37" s="29">
        <f t="shared" si="38"/>
        <v>6</v>
      </c>
      <c r="D37" s="30">
        <f t="shared" si="38"/>
        <v>0.7857142857142857</v>
      </c>
      <c r="E37" s="31"/>
      <c r="F37" s="32"/>
      <c r="G37" s="29"/>
      <c r="H37" s="32" t="s">
        <v>47</v>
      </c>
      <c r="I37" s="31"/>
      <c r="J37" s="31"/>
      <c r="K37" s="31">
        <f t="shared" ref="K37:K47" si="39">INDEX(K$5:K$32,MATCH($V37,$X$5:$X$32,0))</f>
        <v>133</v>
      </c>
      <c r="L37" s="33"/>
      <c r="M37" s="33"/>
      <c r="N37" s="33"/>
      <c r="O37" s="33"/>
      <c r="P37" s="33"/>
      <c r="Q37" s="30">
        <f t="shared" ref="Q37:Q47" si="40">INDEX(Q$5:Q$32,MATCH($V37,$X$5:$X$32,0))</f>
        <v>0.84587863921172401</v>
      </c>
      <c r="R37" s="34"/>
      <c r="S37" s="33"/>
      <c r="T37" s="35"/>
      <c r="U37" s="33"/>
      <c r="V37">
        <v>2</v>
      </c>
    </row>
    <row r="38" spans="1:22" ht="15.75" customHeight="1" x14ac:dyDescent="0.2">
      <c r="A38" s="2" t="str">
        <f t="shared" si="38"/>
        <v>Evanston Endorphins</v>
      </c>
      <c r="B38" s="3">
        <f t="shared" si="38"/>
        <v>18</v>
      </c>
      <c r="C38" s="3">
        <f t="shared" si="38"/>
        <v>10</v>
      </c>
      <c r="D38" s="4">
        <f t="shared" si="38"/>
        <v>0.6428571428571429</v>
      </c>
      <c r="E38" s="8"/>
      <c r="F38" s="6"/>
      <c r="G38" s="36"/>
      <c r="H38" s="36" t="s">
        <v>44</v>
      </c>
      <c r="I38" s="8"/>
      <c r="J38" s="8"/>
      <c r="K38" s="8">
        <f t="shared" si="39"/>
        <v>30</v>
      </c>
      <c r="L38" s="9"/>
      <c r="M38" s="9"/>
      <c r="N38" s="9"/>
      <c r="O38" s="9"/>
      <c r="P38" s="9"/>
      <c r="Q38" s="4">
        <f t="shared" si="40"/>
        <v>0.5995641811877257</v>
      </c>
      <c r="R38" s="5"/>
      <c r="S38" s="9"/>
      <c r="T38" s="10"/>
      <c r="U38" s="9"/>
      <c r="V38">
        <v>3</v>
      </c>
    </row>
    <row r="39" spans="1:22" ht="15.75" customHeight="1" x14ac:dyDescent="0.2">
      <c r="A39" s="2" t="str">
        <f t="shared" si="38"/>
        <v>Barcelona Brewers</v>
      </c>
      <c r="B39" s="3">
        <f t="shared" si="38"/>
        <v>16</v>
      </c>
      <c r="C39" s="3">
        <f t="shared" si="38"/>
        <v>12</v>
      </c>
      <c r="D39" s="4">
        <f t="shared" si="38"/>
        <v>0.5714285714285714</v>
      </c>
      <c r="E39" s="8"/>
      <c r="F39" s="6"/>
      <c r="G39" s="36"/>
      <c r="H39" s="36" t="s">
        <v>44</v>
      </c>
      <c r="I39" s="8"/>
      <c r="J39" s="8"/>
      <c r="K39" s="8">
        <f t="shared" si="39"/>
        <v>29</v>
      </c>
      <c r="L39" s="9"/>
      <c r="M39" s="9"/>
      <c r="N39" s="9"/>
      <c r="O39" s="9"/>
      <c r="P39" s="9"/>
      <c r="Q39" s="4">
        <f t="shared" si="40"/>
        <v>0.59028530047116712</v>
      </c>
      <c r="R39" s="5"/>
      <c r="S39" s="9"/>
      <c r="T39" s="10"/>
      <c r="U39" s="9"/>
      <c r="V39">
        <v>4</v>
      </c>
    </row>
    <row r="40" spans="1:22" ht="15.75" customHeight="1" x14ac:dyDescent="0.2">
      <c r="A40" s="2" t="str">
        <f t="shared" si="38"/>
        <v>Cincinnati Reds</v>
      </c>
      <c r="B40" s="3">
        <f t="shared" si="38"/>
        <v>21</v>
      </c>
      <c r="C40" s="3">
        <f t="shared" si="38"/>
        <v>7</v>
      </c>
      <c r="D40" s="4">
        <f t="shared" si="38"/>
        <v>0.75</v>
      </c>
      <c r="E40" s="8"/>
      <c r="F40" s="6"/>
      <c r="G40" s="36"/>
      <c r="H40" s="36" t="s">
        <v>49</v>
      </c>
      <c r="I40" s="8"/>
      <c r="J40" s="8"/>
      <c r="K40" s="8">
        <f t="shared" si="39"/>
        <v>36</v>
      </c>
      <c r="L40" s="9"/>
      <c r="M40" s="9"/>
      <c r="N40" s="9"/>
      <c r="O40" s="9"/>
      <c r="P40" s="9"/>
      <c r="Q40" s="4">
        <f t="shared" si="40"/>
        <v>0.60705940474538633</v>
      </c>
      <c r="R40" s="5"/>
      <c r="S40" s="9"/>
      <c r="T40" s="10"/>
      <c r="U40" s="9"/>
      <c r="V40">
        <v>5</v>
      </c>
    </row>
    <row r="41" spans="1:22" ht="15.75" customHeight="1" x14ac:dyDescent="0.2">
      <c r="A41" s="2" t="str">
        <f t="shared" si="38"/>
        <v>Okoboji Cropdusters</v>
      </c>
      <c r="B41" s="3">
        <f t="shared" si="38"/>
        <v>19</v>
      </c>
      <c r="C41" s="3">
        <f t="shared" si="38"/>
        <v>9</v>
      </c>
      <c r="D41" s="4">
        <f t="shared" si="38"/>
        <v>0.6785714285714286</v>
      </c>
      <c r="E41" s="8"/>
      <c r="F41" s="6"/>
      <c r="G41" s="36"/>
      <c r="H41" s="36" t="s">
        <v>49</v>
      </c>
      <c r="I41" s="8"/>
      <c r="J41" s="8"/>
      <c r="K41" s="8">
        <f t="shared" si="39"/>
        <v>55</v>
      </c>
      <c r="L41" s="9"/>
      <c r="M41" s="9"/>
      <c r="N41" s="9"/>
      <c r="O41" s="9"/>
      <c r="P41" s="9"/>
      <c r="Q41" s="4">
        <f t="shared" si="40"/>
        <v>0.67556144462799694</v>
      </c>
      <c r="R41" s="5"/>
      <c r="S41" s="9"/>
      <c r="T41" s="10"/>
      <c r="U41" s="9"/>
      <c r="V41">
        <v>6</v>
      </c>
    </row>
    <row r="42" spans="1:22" ht="15.75" customHeight="1" x14ac:dyDescent="0.25">
      <c r="A42" s="2" t="str">
        <f t="shared" si="38"/>
        <v>Felldownhead Firsts</v>
      </c>
      <c r="B42" s="3">
        <f t="shared" si="38"/>
        <v>18</v>
      </c>
      <c r="C42" s="3">
        <f t="shared" si="38"/>
        <v>10</v>
      </c>
      <c r="D42" s="4">
        <f t="shared" si="38"/>
        <v>0.6428571428571429</v>
      </c>
      <c r="E42" s="8">
        <f>((B42-B$41)+(C$41-C42))/-2</f>
        <v>1</v>
      </c>
      <c r="F42" s="6"/>
      <c r="G42" s="3"/>
      <c r="H42" s="7"/>
      <c r="I42" s="8"/>
      <c r="J42" s="8"/>
      <c r="K42" s="8">
        <f t="shared" si="39"/>
        <v>81</v>
      </c>
      <c r="L42" s="9"/>
      <c r="M42" s="9"/>
      <c r="N42" s="9"/>
      <c r="O42" s="9"/>
      <c r="P42" s="9"/>
      <c r="Q42" s="4">
        <f t="shared" si="40"/>
        <v>0.74966385536005475</v>
      </c>
      <c r="R42" s="5"/>
      <c r="S42" s="9"/>
      <c r="T42" s="10"/>
      <c r="U42" s="9"/>
      <c r="V42">
        <v>7</v>
      </c>
    </row>
    <row r="43" spans="1:22" ht="15.75" customHeight="1" x14ac:dyDescent="0.25">
      <c r="A43" s="2" t="str">
        <f t="shared" si="38"/>
        <v>Renfroe Hunters</v>
      </c>
      <c r="B43" s="3">
        <f t="shared" si="38"/>
        <v>17</v>
      </c>
      <c r="C43" s="3">
        <f t="shared" si="38"/>
        <v>11</v>
      </c>
      <c r="D43" s="4">
        <f t="shared" si="38"/>
        <v>0.6071428571428571</v>
      </c>
      <c r="E43" s="8">
        <f t="shared" ref="E43:E47" si="41">((B43-B$41)+(C$41-C43))/-2</f>
        <v>2</v>
      </c>
      <c r="F43" s="6"/>
      <c r="G43" s="3"/>
      <c r="H43" s="7"/>
      <c r="I43" s="8"/>
      <c r="J43" s="8"/>
      <c r="K43" s="8">
        <f t="shared" si="39"/>
        <v>43</v>
      </c>
      <c r="L43" s="9"/>
      <c r="M43" s="9"/>
      <c r="N43" s="9"/>
      <c r="O43" s="9"/>
      <c r="P43" s="9"/>
      <c r="Q43" s="4">
        <f t="shared" si="40"/>
        <v>0.63348554937059176</v>
      </c>
      <c r="R43" s="5"/>
      <c r="S43" s="9"/>
      <c r="T43" s="10"/>
      <c r="U43" s="9"/>
      <c r="V43">
        <v>8</v>
      </c>
    </row>
    <row r="44" spans="1:22" ht="15.75" customHeight="1" x14ac:dyDescent="0.25">
      <c r="A44" s="2" t="str">
        <f t="shared" si="38"/>
        <v>Inwood Landfills</v>
      </c>
      <c r="B44" s="3">
        <f t="shared" si="38"/>
        <v>17</v>
      </c>
      <c r="C44" s="3">
        <f t="shared" si="38"/>
        <v>11</v>
      </c>
      <c r="D44" s="4">
        <f t="shared" si="38"/>
        <v>0.6071428571428571</v>
      </c>
      <c r="E44" s="8">
        <f t="shared" si="41"/>
        <v>2</v>
      </c>
      <c r="F44" s="6"/>
      <c r="G44" s="3"/>
      <c r="H44" s="7"/>
      <c r="I44" s="8"/>
      <c r="J44" s="8"/>
      <c r="K44" s="8">
        <f t="shared" si="39"/>
        <v>-1</v>
      </c>
      <c r="L44" s="9"/>
      <c r="M44" s="9"/>
      <c r="N44" s="9"/>
      <c r="O44" s="9"/>
      <c r="P44" s="9" t="s">
        <v>0</v>
      </c>
      <c r="Q44" s="4">
        <f t="shared" si="40"/>
        <v>0.49709527485324384</v>
      </c>
      <c r="R44" s="5" t="s">
        <v>0</v>
      </c>
      <c r="S44" s="9" t="s">
        <v>0</v>
      </c>
      <c r="T44" s="10" t="s">
        <v>0</v>
      </c>
      <c r="U44" s="9" t="s">
        <v>0</v>
      </c>
      <c r="V44">
        <v>9</v>
      </c>
    </row>
    <row r="45" spans="1:22" ht="15.75" customHeight="1" x14ac:dyDescent="0.25">
      <c r="A45" s="2" t="str">
        <f t="shared" si="38"/>
        <v>Baraboo GoiterMen</v>
      </c>
      <c r="B45" s="3">
        <f t="shared" si="38"/>
        <v>15</v>
      </c>
      <c r="C45" s="3">
        <f t="shared" si="38"/>
        <v>13</v>
      </c>
      <c r="D45" s="4">
        <f t="shared" si="38"/>
        <v>0.5357142857142857</v>
      </c>
      <c r="E45" s="8">
        <f t="shared" si="41"/>
        <v>4</v>
      </c>
      <c r="F45" s="6"/>
      <c r="G45" s="3"/>
      <c r="H45" s="7"/>
      <c r="I45" s="8"/>
      <c r="J45" s="8"/>
      <c r="K45" s="8">
        <f t="shared" si="39"/>
        <v>-8</v>
      </c>
      <c r="L45" s="9"/>
      <c r="M45" s="9"/>
      <c r="N45" s="9"/>
      <c r="O45" s="9"/>
      <c r="P45" s="9" t="s">
        <v>0</v>
      </c>
      <c r="Q45" s="4">
        <f t="shared" si="40"/>
        <v>0.47358849196287139</v>
      </c>
      <c r="R45" s="5" t="s">
        <v>0</v>
      </c>
      <c r="S45" s="9" t="s">
        <v>0</v>
      </c>
      <c r="T45" s="10" t="s">
        <v>0</v>
      </c>
      <c r="U45" s="9" t="s">
        <v>0</v>
      </c>
      <c r="V45">
        <v>10</v>
      </c>
    </row>
    <row r="46" spans="1:22" ht="15.75" customHeight="1" x14ac:dyDescent="0.25">
      <c r="A46" s="2" t="str">
        <f t="shared" si="38"/>
        <v>Falkirk Frightened Rabbit</v>
      </c>
      <c r="B46" s="3">
        <f t="shared" si="38"/>
        <v>14</v>
      </c>
      <c r="C46" s="3">
        <f t="shared" si="38"/>
        <v>14</v>
      </c>
      <c r="D46" s="4">
        <f t="shared" si="38"/>
        <v>0.5</v>
      </c>
      <c r="E46" s="8">
        <f t="shared" si="41"/>
        <v>5</v>
      </c>
      <c r="F46" s="6" t="s">
        <v>0</v>
      </c>
      <c r="G46" s="3" t="s">
        <v>0</v>
      </c>
      <c r="H46" s="7" t="s">
        <v>0</v>
      </c>
      <c r="I46" s="8" t="s">
        <v>0</v>
      </c>
      <c r="J46" s="8" t="s">
        <v>0</v>
      </c>
      <c r="K46" s="8">
        <f t="shared" si="39"/>
        <v>17</v>
      </c>
      <c r="L46" s="9" t="s">
        <v>0</v>
      </c>
      <c r="M46" s="9" t="s">
        <v>0</v>
      </c>
      <c r="N46" s="9" t="s">
        <v>0</v>
      </c>
      <c r="O46" s="9" t="s">
        <v>0</v>
      </c>
      <c r="P46" s="9" t="s">
        <v>0</v>
      </c>
      <c r="Q46" s="4">
        <f t="shared" si="40"/>
        <v>0.56043406317489319</v>
      </c>
      <c r="R46" s="5" t="s">
        <v>0</v>
      </c>
      <c r="S46" s="9" t="s">
        <v>0</v>
      </c>
      <c r="T46" s="10" t="s">
        <v>0</v>
      </c>
      <c r="U46" s="9" t="s">
        <v>0</v>
      </c>
      <c r="V46">
        <v>11</v>
      </c>
    </row>
    <row r="47" spans="1:22" ht="15.75" customHeight="1" x14ac:dyDescent="0.25">
      <c r="A47" s="2" t="str">
        <f t="shared" si="38"/>
        <v>Brooklyn Dodgers</v>
      </c>
      <c r="B47" s="3">
        <f t="shared" si="38"/>
        <v>14</v>
      </c>
      <c r="C47" s="3">
        <f t="shared" si="38"/>
        <v>14</v>
      </c>
      <c r="D47" s="4">
        <f t="shared" si="38"/>
        <v>0.5</v>
      </c>
      <c r="E47" s="8">
        <f t="shared" si="41"/>
        <v>5</v>
      </c>
      <c r="F47" s="6" t="s">
        <v>0</v>
      </c>
      <c r="G47" s="3" t="s">
        <v>0</v>
      </c>
      <c r="H47" s="7" t="s">
        <v>0</v>
      </c>
      <c r="I47" s="8" t="s">
        <v>0</v>
      </c>
      <c r="J47" s="8" t="s">
        <v>0</v>
      </c>
      <c r="K47" s="8">
        <f t="shared" si="39"/>
        <v>11</v>
      </c>
      <c r="L47" s="9" t="s">
        <v>0</v>
      </c>
      <c r="M47" s="9" t="s">
        <v>0</v>
      </c>
      <c r="N47" s="9" t="s">
        <v>0</v>
      </c>
      <c r="O47" s="9" t="s">
        <v>0</v>
      </c>
      <c r="P47" s="9" t="s">
        <v>0</v>
      </c>
      <c r="Q47" s="4">
        <f t="shared" si="40"/>
        <v>0.53542334314941187</v>
      </c>
      <c r="R47" s="5" t="s">
        <v>0</v>
      </c>
      <c r="S47" s="9" t="s">
        <v>0</v>
      </c>
      <c r="T47" s="10" t="s">
        <v>0</v>
      </c>
      <c r="U47" s="9" t="s">
        <v>0</v>
      </c>
      <c r="V47">
        <v>12</v>
      </c>
    </row>
    <row r="48" spans="1:22" ht="15.75" customHeight="1" x14ac:dyDescent="0.2">
      <c r="A48" s="16"/>
      <c r="B48" s="1"/>
      <c r="C48" s="13"/>
      <c r="D48" s="19"/>
      <c r="E48" s="1"/>
      <c r="F48" s="20"/>
      <c r="G48" s="20"/>
      <c r="H48" s="1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4"/>
      <c r="U48" s="1"/>
    </row>
    <row r="49" spans="1:21" ht="15.75" customHeight="1" x14ac:dyDescent="0.2">
      <c r="A49" s="11" t="s">
        <v>28</v>
      </c>
      <c r="B49" s="21"/>
      <c r="C49" s="12"/>
      <c r="D49" s="22" t="s">
        <v>10</v>
      </c>
      <c r="E49" s="1"/>
      <c r="F49" s="1"/>
      <c r="G49" s="1"/>
      <c r="H49" s="1"/>
      <c r="I49" s="13"/>
      <c r="J49" s="1"/>
      <c r="K49" s="1"/>
      <c r="L49" s="1"/>
      <c r="M49" s="1"/>
      <c r="N49" s="1"/>
      <c r="O49" s="1"/>
      <c r="P49" s="1"/>
      <c r="Q49" s="14"/>
      <c r="R49" s="1"/>
      <c r="S49" s="1"/>
      <c r="T49" s="1"/>
      <c r="U49" s="15" t="s">
        <v>35</v>
      </c>
    </row>
    <row r="50" spans="1:21" ht="15.75" customHeight="1" x14ac:dyDescent="0.2">
      <c r="A50" s="16" t="s">
        <v>13</v>
      </c>
      <c r="B50" s="21"/>
      <c r="C50" s="14"/>
      <c r="D50" s="23" t="s">
        <v>26</v>
      </c>
      <c r="E50" s="1"/>
      <c r="F50" s="1"/>
      <c r="G50" s="1"/>
      <c r="H50" s="1"/>
      <c r="I50" s="13"/>
      <c r="J50" s="1"/>
      <c r="K50" s="1"/>
      <c r="L50" s="1"/>
      <c r="M50" s="1"/>
      <c r="N50" s="1"/>
      <c r="O50" s="1"/>
      <c r="P50" s="1"/>
      <c r="Q50" s="14"/>
      <c r="R50" s="1"/>
      <c r="S50" s="18" t="s">
        <v>20</v>
      </c>
      <c r="T50" s="18" t="s">
        <v>40</v>
      </c>
      <c r="U50" s="14">
        <f>0.45+(1.5*LOG((SUM(I5:J32)/SUM(B5:C32))))</f>
        <v>1.9713606586719152</v>
      </c>
    </row>
    <row r="51" spans="1:21" ht="15.75" customHeight="1" x14ac:dyDescent="0.2">
      <c r="A51" s="16" t="s">
        <v>32</v>
      </c>
      <c r="B51" s="21"/>
      <c r="C51" s="14"/>
      <c r="D51" s="23" t="s">
        <v>42</v>
      </c>
      <c r="E51" s="1"/>
      <c r="F51" s="1"/>
      <c r="G51" s="1"/>
      <c r="H51" s="1"/>
      <c r="I51" s="13"/>
      <c r="J51" s="1"/>
      <c r="K51" s="1"/>
      <c r="L51" s="1"/>
      <c r="M51" s="1"/>
      <c r="N51" s="1"/>
      <c r="O51" s="1"/>
      <c r="P51" s="1"/>
      <c r="Q51" s="14"/>
      <c r="R51" s="1"/>
      <c r="S51" s="18" t="str">
        <f>"Pythagenpat =((RS+RA)/G)^"&amp;ROUND(R$54,3)</f>
        <v>Pythagenpat =((RS+RA)/G)^0.27</v>
      </c>
      <c r="T51" s="18" t="s">
        <v>33</v>
      </c>
      <c r="U51" s="14">
        <f>(SUM(I5:J32)/SUM(B5:C32))^R$54</f>
        <v>1.8764675597547673</v>
      </c>
    </row>
    <row r="52" spans="1:21" ht="15.75" customHeight="1" x14ac:dyDescent="0.2">
      <c r="A52" s="16" t="s">
        <v>39</v>
      </c>
      <c r="B52" s="21"/>
      <c r="C52" s="14"/>
      <c r="D52" s="23" t="s">
        <v>19</v>
      </c>
      <c r="E52" s="1"/>
      <c r="F52" s="1"/>
      <c r="G52" s="1"/>
      <c r="H52" s="1"/>
      <c r="I52" s="13"/>
      <c r="J52" s="1"/>
      <c r="K52" s="1"/>
      <c r="L52" s="1"/>
      <c r="M52" s="1"/>
      <c r="N52" s="1"/>
      <c r="O52" s="1"/>
      <c r="P52" s="1"/>
      <c r="Q52" s="14"/>
      <c r="R52" s="1"/>
      <c r="S52" s="18" t="s">
        <v>25</v>
      </c>
      <c r="T52" s="18" t="s">
        <v>22</v>
      </c>
      <c r="U52" s="14"/>
    </row>
    <row r="53" spans="1:21" ht="15.75" customHeight="1" x14ac:dyDescent="0.2">
      <c r="A53" s="16" t="s">
        <v>12</v>
      </c>
      <c r="B53" s="21"/>
      <c r="C53" s="14"/>
      <c r="D53" s="23"/>
      <c r="E53" s="1"/>
      <c r="F53" s="1"/>
      <c r="G53" s="1"/>
      <c r="H53" s="1"/>
      <c r="I53" s="13"/>
      <c r="J53" s="1"/>
      <c r="K53" s="1"/>
      <c r="L53" s="1"/>
      <c r="M53" s="1"/>
      <c r="N53" s="1"/>
      <c r="O53" s="1"/>
      <c r="P53" s="1"/>
      <c r="Q53" s="14"/>
      <c r="R53" s="1"/>
      <c r="S53" s="1" t="s">
        <v>0</v>
      </c>
      <c r="T53" s="14" t="s">
        <v>0</v>
      </c>
      <c r="U53" s="1" t="s">
        <v>0</v>
      </c>
    </row>
    <row r="54" spans="1:21" ht="15.75" customHeight="1" x14ac:dyDescent="0.2">
      <c r="A54" s="16" t="s">
        <v>36</v>
      </c>
      <c r="B54" s="1"/>
      <c r="C54" s="17"/>
      <c r="D54" s="14"/>
      <c r="E54" s="14"/>
      <c r="F54" s="17"/>
      <c r="G54" s="1"/>
      <c r="H54" s="1"/>
      <c r="I54" s="13"/>
      <c r="J54" s="1"/>
      <c r="K54" s="1"/>
      <c r="L54" s="1"/>
      <c r="M54" s="1"/>
      <c r="N54" s="1"/>
      <c r="O54" s="1"/>
      <c r="P54" s="18">
        <v>2</v>
      </c>
      <c r="Q54" s="14">
        <f>IF((P54=1),U50,IF((P54=2),U51,U52))</f>
        <v>1.8764675597547673</v>
      </c>
      <c r="R54" s="14">
        <v>0.26950321661277871</v>
      </c>
      <c r="S54" s="14">
        <f>SUM(S5:S32)</f>
        <v>3.9252327026793647</v>
      </c>
      <c r="T54" s="14">
        <f>SUM(T5:T32)</f>
        <v>0.13509217831774703</v>
      </c>
      <c r="U54" s="2" t="s">
        <v>0</v>
      </c>
    </row>
    <row r="55" spans="1:21" ht="15.75" customHeight="1" x14ac:dyDescent="0.2">
      <c r="A55" s="16" t="s">
        <v>11</v>
      </c>
      <c r="B55" s="1"/>
      <c r="C55" s="17"/>
      <c r="D55" s="14"/>
      <c r="E55" s="14"/>
      <c r="F55" s="17"/>
      <c r="G55" s="17"/>
      <c r="H55" s="1"/>
      <c r="I55" s="13"/>
      <c r="J55" s="1"/>
      <c r="K55" s="1"/>
      <c r="L55" s="1"/>
      <c r="M55" s="1"/>
      <c r="N55" s="1"/>
      <c r="O55" s="1"/>
      <c r="P55" s="1" t="s">
        <v>0</v>
      </c>
      <c r="Q55" s="14" t="s">
        <v>0</v>
      </c>
      <c r="R55" s="1" t="s">
        <v>0</v>
      </c>
      <c r="S55" s="1" t="s">
        <v>0</v>
      </c>
      <c r="T55" s="14" t="s">
        <v>0</v>
      </c>
      <c r="U55" s="1" t="s">
        <v>0</v>
      </c>
    </row>
    <row r="56" spans="1:21" ht="15.75" customHeight="1" x14ac:dyDescent="0.2">
      <c r="A56" s="16" t="s">
        <v>37</v>
      </c>
      <c r="B56" s="1"/>
      <c r="C56" s="17"/>
      <c r="D56" s="14"/>
      <c r="E56" s="14"/>
      <c r="F56" s="17"/>
      <c r="G56" s="17"/>
      <c r="H56" s="1"/>
      <c r="I56" s="13"/>
      <c r="J56" s="1"/>
      <c r="K56" s="1"/>
      <c r="L56" s="1"/>
      <c r="M56" s="1"/>
      <c r="N56" s="1"/>
      <c r="O56" s="1"/>
      <c r="P56" s="1" t="s">
        <v>0</v>
      </c>
      <c r="Q56" s="14" t="s">
        <v>0</v>
      </c>
      <c r="R56" s="1" t="s">
        <v>0</v>
      </c>
      <c r="S56" s="1" t="s">
        <v>0</v>
      </c>
      <c r="T56" s="14" t="s">
        <v>0</v>
      </c>
      <c r="U56" s="1" t="s">
        <v>0</v>
      </c>
    </row>
    <row r="57" spans="1:21" ht="15.75" customHeight="1" x14ac:dyDescent="0.2">
      <c r="A57" s="16" t="s">
        <v>17</v>
      </c>
      <c r="B57" s="1"/>
      <c r="C57" s="13"/>
      <c r="D57" s="19"/>
      <c r="E57" s="1"/>
      <c r="F57" s="20"/>
      <c r="G57" s="20"/>
      <c r="H57" s="1"/>
      <c r="I57" s="13"/>
      <c r="J57" s="1"/>
      <c r="K57" s="1"/>
      <c r="L57" s="1"/>
      <c r="M57" s="1"/>
      <c r="N57" s="1"/>
      <c r="O57" s="1"/>
      <c r="P57" s="1" t="s">
        <v>0</v>
      </c>
      <c r="Q57" s="14" t="s">
        <v>0</v>
      </c>
      <c r="R57" s="1" t="s">
        <v>0</v>
      </c>
      <c r="S57" s="1" t="s">
        <v>0</v>
      </c>
      <c r="T57" s="14" t="s">
        <v>0</v>
      </c>
      <c r="U57" s="1" t="s">
        <v>0</v>
      </c>
    </row>
    <row r="58" spans="1:21" ht="15.75" customHeight="1" x14ac:dyDescent="0.2">
      <c r="A58" s="1" t="s">
        <v>0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</row>
    <row r="59" spans="1:21" ht="15.75" customHeight="1" x14ac:dyDescent="0.2">
      <c r="A59" s="1" t="s">
        <v>0</v>
      </c>
      <c r="B59" s="1" t="s">
        <v>0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</row>
    <row r="60" spans="1:21" ht="15.75" customHeight="1" x14ac:dyDescent="0.2">
      <c r="A60" s="1" t="s">
        <v>0</v>
      </c>
      <c r="B60" s="1" t="s">
        <v>0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  <c r="T60" s="1" t="s">
        <v>0</v>
      </c>
      <c r="U60" s="1" t="s">
        <v>0</v>
      </c>
    </row>
    <row r="61" spans="1:21" ht="15.75" customHeight="1" x14ac:dyDescent="0.2">
      <c r="A61" s="1" t="s">
        <v>0</v>
      </c>
      <c r="B61" s="1" t="s">
        <v>0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0</v>
      </c>
      <c r="R61" s="1" t="s">
        <v>0</v>
      </c>
      <c r="S61" s="1" t="s">
        <v>0</v>
      </c>
      <c r="T61" s="1" t="s">
        <v>0</v>
      </c>
      <c r="U61" s="1" t="s">
        <v>0</v>
      </c>
    </row>
    <row r="62" spans="1:21" ht="15.75" customHeight="1" x14ac:dyDescent="0.2">
      <c r="A62" s="1" t="s">
        <v>0</v>
      </c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0</v>
      </c>
      <c r="R62" s="1" t="s">
        <v>0</v>
      </c>
      <c r="S62" s="1" t="s">
        <v>0</v>
      </c>
      <c r="T62" s="1" t="s">
        <v>0</v>
      </c>
      <c r="U62" s="1" t="s">
        <v>0</v>
      </c>
    </row>
    <row r="63" spans="1:21" ht="15.75" customHeight="1" x14ac:dyDescent="0.2">
      <c r="A63" s="1" t="s">
        <v>0</v>
      </c>
      <c r="B63" s="1" t="s">
        <v>0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0</v>
      </c>
      <c r="I63" s="1" t="s">
        <v>0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0</v>
      </c>
      <c r="R63" s="1" t="s">
        <v>0</v>
      </c>
      <c r="S63" s="1" t="s">
        <v>0</v>
      </c>
      <c r="T63" s="1" t="s">
        <v>0</v>
      </c>
      <c r="U63" s="1" t="s">
        <v>0</v>
      </c>
    </row>
    <row r="64" spans="1:21" ht="15.75" customHeight="1" x14ac:dyDescent="0.2">
      <c r="A64" s="1" t="s">
        <v>0</v>
      </c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  <c r="T64" s="1" t="s">
        <v>0</v>
      </c>
      <c r="U64" s="1" t="s">
        <v>0</v>
      </c>
    </row>
    <row r="65" spans="1:21" ht="15.75" customHeight="1" x14ac:dyDescent="0.2">
      <c r="A65" s="1" t="s">
        <v>0</v>
      </c>
      <c r="B65" s="1" t="s">
        <v>0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0</v>
      </c>
      <c r="R65" s="1" t="s">
        <v>0</v>
      </c>
      <c r="S65" s="1" t="s">
        <v>0</v>
      </c>
      <c r="T65" s="1" t="s">
        <v>0</v>
      </c>
      <c r="U65" s="1" t="s">
        <v>0</v>
      </c>
    </row>
    <row r="66" spans="1:21" ht="15.75" customHeight="1" x14ac:dyDescent="0.2">
      <c r="A66" s="1" t="s">
        <v>0</v>
      </c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</row>
    <row r="67" spans="1:21" ht="15.75" customHeight="1" x14ac:dyDescent="0.2">
      <c r="A67" s="1" t="s">
        <v>0</v>
      </c>
      <c r="B67" s="1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0</v>
      </c>
      <c r="S67" s="1" t="s">
        <v>0</v>
      </c>
      <c r="T67" s="1" t="s">
        <v>0</v>
      </c>
      <c r="U67" s="1" t="s">
        <v>0</v>
      </c>
    </row>
    <row r="68" spans="1:21" ht="15.75" customHeight="1" x14ac:dyDescent="0.2">
      <c r="A68" s="1" t="s">
        <v>0</v>
      </c>
      <c r="B68" s="1" t="s">
        <v>0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</row>
    <row r="69" spans="1:21" ht="15.75" customHeight="1" x14ac:dyDescent="0.2">
      <c r="A69" s="1" t="s">
        <v>0</v>
      </c>
      <c r="B69" s="1" t="s">
        <v>0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</row>
    <row r="70" spans="1:21" ht="15.75" customHeight="1" x14ac:dyDescent="0.2">
      <c r="A70" s="1" t="s">
        <v>0</v>
      </c>
      <c r="B70" s="1" t="s">
        <v>0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  <c r="T70" s="1" t="s">
        <v>0</v>
      </c>
      <c r="U70" s="1" t="s">
        <v>0</v>
      </c>
    </row>
    <row r="71" spans="1:21" ht="15.75" customHeight="1" x14ac:dyDescent="0.2">
      <c r="A71" s="1" t="s">
        <v>0</v>
      </c>
      <c r="B71" s="1" t="s">
        <v>0</v>
      </c>
      <c r="C71" s="1" t="s">
        <v>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0</v>
      </c>
      <c r="R71" s="1" t="s">
        <v>0</v>
      </c>
      <c r="S71" s="1" t="s">
        <v>0</v>
      </c>
      <c r="T71" s="1" t="s">
        <v>0</v>
      </c>
      <c r="U71" s="1" t="s">
        <v>0</v>
      </c>
    </row>
    <row r="72" spans="1:21" ht="15.75" customHeight="1" x14ac:dyDescent="0.2">
      <c r="A72" s="1" t="s">
        <v>0</v>
      </c>
      <c r="B72" s="1" t="s">
        <v>0</v>
      </c>
      <c r="C72" s="1" t="s">
        <v>0</v>
      </c>
      <c r="D72" s="1" t="s">
        <v>0</v>
      </c>
      <c r="E72" s="1" t="s">
        <v>0</v>
      </c>
      <c r="F72" s="1" t="s">
        <v>0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0</v>
      </c>
      <c r="R72" s="1" t="s">
        <v>0</v>
      </c>
      <c r="S72" s="1" t="s">
        <v>0</v>
      </c>
      <c r="T72" s="1" t="s">
        <v>0</v>
      </c>
      <c r="U72" s="1" t="s">
        <v>0</v>
      </c>
    </row>
    <row r="73" spans="1:21" ht="15.75" customHeight="1" x14ac:dyDescent="0.2">
      <c r="A73" s="1" t="s">
        <v>0</v>
      </c>
      <c r="B73" s="1" t="s">
        <v>0</v>
      </c>
      <c r="C73" s="1" t="s">
        <v>0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0</v>
      </c>
      <c r="R73" s="1" t="s">
        <v>0</v>
      </c>
      <c r="S73" s="1" t="s">
        <v>0</v>
      </c>
      <c r="T73" s="1" t="s">
        <v>0</v>
      </c>
      <c r="U73" s="1" t="s">
        <v>0</v>
      </c>
    </row>
    <row r="74" spans="1:21" ht="15.75" customHeight="1" x14ac:dyDescent="0.2">
      <c r="A74" s="1" t="s">
        <v>0</v>
      </c>
      <c r="B74" s="1" t="s">
        <v>0</v>
      </c>
      <c r="C74" s="1" t="s">
        <v>0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</row>
    <row r="75" spans="1:21" ht="15.75" customHeight="1" x14ac:dyDescent="0.2">
      <c r="A75" s="1" t="s">
        <v>0</v>
      </c>
      <c r="B75" s="1" t="s">
        <v>0</v>
      </c>
      <c r="C75" s="1" t="s">
        <v>0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  <c r="T75" s="1" t="s">
        <v>0</v>
      </c>
      <c r="U75" s="1" t="s">
        <v>0</v>
      </c>
    </row>
    <row r="76" spans="1:21" ht="15.75" customHeight="1" x14ac:dyDescent="0.2">
      <c r="A76" s="1" t="s">
        <v>0</v>
      </c>
      <c r="B76" s="1" t="s">
        <v>0</v>
      </c>
      <c r="C76" s="1" t="s">
        <v>0</v>
      </c>
      <c r="D76" s="1" t="s">
        <v>0</v>
      </c>
      <c r="E76" s="1" t="s">
        <v>0</v>
      </c>
      <c r="F76" s="1" t="s">
        <v>0</v>
      </c>
      <c r="G76" s="1" t="s">
        <v>0</v>
      </c>
      <c r="H76" s="1" t="s">
        <v>0</v>
      </c>
      <c r="I76" s="1" t="s">
        <v>0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0</v>
      </c>
      <c r="R76" s="1" t="s">
        <v>0</v>
      </c>
      <c r="S76" s="1" t="s">
        <v>0</v>
      </c>
      <c r="T76" s="1" t="s">
        <v>0</v>
      </c>
      <c r="U76" s="1" t="s">
        <v>0</v>
      </c>
    </row>
    <row r="77" spans="1:21" ht="15.75" customHeight="1" x14ac:dyDescent="0.2">
      <c r="A77" s="1" t="s">
        <v>0</v>
      </c>
      <c r="B77" s="1" t="s">
        <v>0</v>
      </c>
      <c r="C77" s="1" t="s">
        <v>0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  <c r="J77" s="1" t="s">
        <v>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  <c r="T77" s="1" t="s">
        <v>0</v>
      </c>
      <c r="U77" s="1" t="s">
        <v>0</v>
      </c>
    </row>
    <row r="78" spans="1:21" ht="15.75" customHeight="1" x14ac:dyDescent="0.2">
      <c r="A78" s="1" t="s">
        <v>0</v>
      </c>
      <c r="B78" s="1" t="s">
        <v>0</v>
      </c>
      <c r="C78" s="1" t="s">
        <v>0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  <c r="T78" s="1" t="s">
        <v>0</v>
      </c>
      <c r="U78" s="1" t="s">
        <v>0</v>
      </c>
    </row>
    <row r="79" spans="1:21" ht="15.75" customHeight="1" x14ac:dyDescent="0.2">
      <c r="A79" s="1" t="s">
        <v>0</v>
      </c>
      <c r="B79" s="1" t="s">
        <v>0</v>
      </c>
      <c r="C79" s="1" t="s">
        <v>0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0</v>
      </c>
      <c r="R79" s="1" t="s">
        <v>0</v>
      </c>
      <c r="S79" s="1" t="s">
        <v>0</v>
      </c>
      <c r="T79" s="1" t="s">
        <v>0</v>
      </c>
      <c r="U79" s="1" t="s">
        <v>0</v>
      </c>
    </row>
    <row r="80" spans="1:21" ht="15.75" customHeight="1" x14ac:dyDescent="0.2">
      <c r="A80" s="1" t="s">
        <v>0</v>
      </c>
      <c r="B80" s="1" t="s">
        <v>0</v>
      </c>
      <c r="C80" s="1" t="s">
        <v>0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0</v>
      </c>
      <c r="I80" s="1" t="s">
        <v>0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0</v>
      </c>
      <c r="Q80" s="1" t="s">
        <v>0</v>
      </c>
      <c r="R80" s="1" t="s">
        <v>0</v>
      </c>
      <c r="S80" s="1" t="s">
        <v>0</v>
      </c>
      <c r="T80" s="1" t="s">
        <v>0</v>
      </c>
      <c r="U80" s="1" t="s">
        <v>0</v>
      </c>
    </row>
    <row r="81" spans="1:21" ht="15.75" customHeight="1" x14ac:dyDescent="0.2">
      <c r="A81" s="1" t="s">
        <v>0</v>
      </c>
      <c r="B81" s="1" t="s">
        <v>0</v>
      </c>
      <c r="C81" s="1" t="s">
        <v>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</row>
    <row r="82" spans="1:21" ht="15.75" customHeight="1" x14ac:dyDescent="0.2">
      <c r="A82" s="1" t="s">
        <v>0</v>
      </c>
      <c r="B82" s="1" t="s">
        <v>0</v>
      </c>
      <c r="C82" s="1" t="s">
        <v>0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0</v>
      </c>
      <c r="I82" s="1" t="s">
        <v>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  <c r="T82" s="1" t="s">
        <v>0</v>
      </c>
      <c r="U82" s="1" t="s">
        <v>0</v>
      </c>
    </row>
    <row r="83" spans="1:21" ht="15.75" customHeight="1" x14ac:dyDescent="0.2">
      <c r="A83" s="1" t="s">
        <v>0</v>
      </c>
      <c r="B83" s="1" t="s">
        <v>0</v>
      </c>
      <c r="C83" s="1" t="s">
        <v>0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0</v>
      </c>
      <c r="R83" s="1" t="s">
        <v>0</v>
      </c>
      <c r="S83" s="1" t="s">
        <v>0</v>
      </c>
      <c r="T83" s="1" t="s">
        <v>0</v>
      </c>
      <c r="U83" s="1" t="s">
        <v>0</v>
      </c>
    </row>
    <row r="84" spans="1:21" ht="15.75" customHeight="1" x14ac:dyDescent="0.2">
      <c r="A84" s="1" t="s">
        <v>0</v>
      </c>
      <c r="B84" s="1" t="s">
        <v>0</v>
      </c>
      <c r="C84" s="1" t="s">
        <v>0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</row>
    <row r="85" spans="1:21" ht="15.75" customHeight="1" x14ac:dyDescent="0.2">
      <c r="A85" s="1" t="s">
        <v>0</v>
      </c>
      <c r="B85" s="1" t="s">
        <v>0</v>
      </c>
      <c r="C85" s="1" t="s">
        <v>0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0</v>
      </c>
      <c r="R85" s="1" t="s">
        <v>0</v>
      </c>
      <c r="S85" s="1" t="s">
        <v>0</v>
      </c>
      <c r="T85" s="1" t="s">
        <v>0</v>
      </c>
      <c r="U85" s="1" t="s">
        <v>0</v>
      </c>
    </row>
    <row r="86" spans="1:21" ht="15.75" customHeight="1" x14ac:dyDescent="0.2">
      <c r="A86" s="1" t="s">
        <v>0</v>
      </c>
      <c r="B86" s="1" t="s">
        <v>0</v>
      </c>
      <c r="C86" s="1" t="s">
        <v>0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  <c r="I86" s="1" t="s">
        <v>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  <c r="T86" s="1" t="s">
        <v>0</v>
      </c>
      <c r="U86" s="1" t="s">
        <v>0</v>
      </c>
    </row>
    <row r="87" spans="1:21" ht="15.75" customHeight="1" x14ac:dyDescent="0.2">
      <c r="A87" s="1" t="s">
        <v>0</v>
      </c>
      <c r="B87" s="1" t="s">
        <v>0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</row>
    <row r="88" spans="1:21" ht="15.75" customHeight="1" x14ac:dyDescent="0.2">
      <c r="A88" s="1" t="s">
        <v>0</v>
      </c>
      <c r="B88" s="1" t="s">
        <v>0</v>
      </c>
      <c r="C88" s="1" t="s">
        <v>0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0</v>
      </c>
      <c r="R88" s="1" t="s">
        <v>0</v>
      </c>
      <c r="S88" s="1" t="s">
        <v>0</v>
      </c>
      <c r="T88" s="1" t="s">
        <v>0</v>
      </c>
      <c r="U88" s="1" t="s">
        <v>0</v>
      </c>
    </row>
    <row r="89" spans="1:21" ht="15.75" customHeight="1" x14ac:dyDescent="0.2">
      <c r="A89" s="1" t="s">
        <v>0</v>
      </c>
      <c r="B89" s="1" t="s">
        <v>0</v>
      </c>
      <c r="C89" s="1" t="s">
        <v>0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  <c r="T89" s="1" t="s">
        <v>0</v>
      </c>
      <c r="U89" s="1" t="s">
        <v>0</v>
      </c>
    </row>
    <row r="90" spans="1:21" ht="15.75" customHeight="1" x14ac:dyDescent="0.2">
      <c r="A90" s="1" t="s">
        <v>0</v>
      </c>
      <c r="B90" s="1" t="s">
        <v>0</v>
      </c>
      <c r="C90" s="1" t="s">
        <v>0</v>
      </c>
      <c r="D90" s="1" t="s">
        <v>0</v>
      </c>
      <c r="E90" s="1" t="s">
        <v>0</v>
      </c>
      <c r="F90" s="1" t="s">
        <v>0</v>
      </c>
      <c r="G90" s="1" t="s">
        <v>0</v>
      </c>
      <c r="H90" s="1" t="s">
        <v>0</v>
      </c>
      <c r="I90" s="1" t="s">
        <v>0</v>
      </c>
      <c r="J90" s="1" t="s">
        <v>0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0</v>
      </c>
      <c r="S90" s="1" t="s">
        <v>0</v>
      </c>
      <c r="T90" s="1" t="s">
        <v>0</v>
      </c>
      <c r="U90" s="1" t="s">
        <v>0</v>
      </c>
    </row>
    <row r="91" spans="1:21" ht="15.75" customHeight="1" x14ac:dyDescent="0.2">
      <c r="A91" s="1" t="s">
        <v>0</v>
      </c>
      <c r="B91" s="1" t="s">
        <v>0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  <c r="T91" s="1" t="s">
        <v>0</v>
      </c>
      <c r="U91" s="1" t="s">
        <v>0</v>
      </c>
    </row>
    <row r="92" spans="1:21" ht="15.75" customHeight="1" x14ac:dyDescent="0.2">
      <c r="A92" s="1" t="s">
        <v>0</v>
      </c>
      <c r="B92" s="1" t="s">
        <v>0</v>
      </c>
      <c r="C92" s="1" t="s">
        <v>0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 t="s">
        <v>0</v>
      </c>
      <c r="R92" s="1" t="s">
        <v>0</v>
      </c>
      <c r="S92" s="1" t="s">
        <v>0</v>
      </c>
      <c r="T92" s="1" t="s">
        <v>0</v>
      </c>
      <c r="U92" s="1" t="s">
        <v>0</v>
      </c>
    </row>
    <row r="93" spans="1:21" ht="15.75" customHeight="1" x14ac:dyDescent="0.2">
      <c r="A93" s="1" t="s">
        <v>0</v>
      </c>
      <c r="B93" s="1" t="s">
        <v>0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  <c r="T93" s="1" t="s">
        <v>0</v>
      </c>
      <c r="U93" s="1" t="s">
        <v>0</v>
      </c>
    </row>
    <row r="94" spans="1:21" ht="15.75" customHeight="1" x14ac:dyDescent="0.2">
      <c r="A94" s="1" t="s">
        <v>0</v>
      </c>
      <c r="B94" s="1" t="s">
        <v>0</v>
      </c>
      <c r="C94" s="1" t="s">
        <v>0</v>
      </c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0</v>
      </c>
      <c r="R94" s="1" t="s">
        <v>0</v>
      </c>
      <c r="S94" s="1" t="s">
        <v>0</v>
      </c>
      <c r="T94" s="1" t="s">
        <v>0</v>
      </c>
      <c r="U94" s="1" t="s">
        <v>0</v>
      </c>
    </row>
    <row r="95" spans="1:21" ht="15.75" customHeight="1" x14ac:dyDescent="0.2">
      <c r="A95" s="1" t="s">
        <v>0</v>
      </c>
      <c r="B95" s="1" t="s">
        <v>0</v>
      </c>
      <c r="C95" s="1" t="s">
        <v>0</v>
      </c>
      <c r="D95" s="1" t="s">
        <v>0</v>
      </c>
      <c r="E95" s="1" t="s">
        <v>0</v>
      </c>
      <c r="F95" s="1" t="s">
        <v>0</v>
      </c>
      <c r="G95" s="1" t="s">
        <v>0</v>
      </c>
      <c r="H95" s="1" t="s">
        <v>0</v>
      </c>
      <c r="I95" s="1" t="s">
        <v>0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0</v>
      </c>
      <c r="R95" s="1" t="s">
        <v>0</v>
      </c>
      <c r="S95" s="1" t="s">
        <v>0</v>
      </c>
      <c r="T95" s="1" t="s">
        <v>0</v>
      </c>
      <c r="U95" s="1" t="s">
        <v>0</v>
      </c>
    </row>
    <row r="96" spans="1:21" ht="15.75" customHeight="1" x14ac:dyDescent="0.2">
      <c r="A96" s="1" t="s">
        <v>0</v>
      </c>
      <c r="B96" s="1" t="s">
        <v>0</v>
      </c>
      <c r="C96" s="1" t="s">
        <v>0</v>
      </c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</row>
    <row r="97" spans="1:21" ht="15.75" customHeight="1" x14ac:dyDescent="0.2">
      <c r="A97" s="1" t="s">
        <v>0</v>
      </c>
      <c r="B97" s="1" t="s">
        <v>0</v>
      </c>
      <c r="C97" s="1" t="s">
        <v>0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</row>
    <row r="98" spans="1:21" ht="15.75" customHeight="1" x14ac:dyDescent="0.2">
      <c r="A98" s="1" t="s">
        <v>0</v>
      </c>
      <c r="B98" s="1" t="s">
        <v>0</v>
      </c>
      <c r="C98" s="1" t="s">
        <v>0</v>
      </c>
      <c r="D98" s="1" t="s">
        <v>0</v>
      </c>
      <c r="E98" s="1" t="s">
        <v>0</v>
      </c>
      <c r="F98" s="1" t="s">
        <v>0</v>
      </c>
      <c r="G98" s="1" t="s">
        <v>0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0</v>
      </c>
      <c r="R98" s="1" t="s">
        <v>0</v>
      </c>
      <c r="S98" s="1" t="s">
        <v>0</v>
      </c>
      <c r="T98" s="1" t="s">
        <v>0</v>
      </c>
      <c r="U98" s="1" t="s">
        <v>0</v>
      </c>
    </row>
    <row r="99" spans="1:21" ht="15.75" customHeight="1" x14ac:dyDescent="0.2">
      <c r="A99" s="1" t="s">
        <v>0</v>
      </c>
      <c r="B99" s="1" t="s">
        <v>0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</row>
    <row r="100" spans="1:21" ht="15.75" customHeight="1" x14ac:dyDescent="0.2">
      <c r="A100" s="1" t="s">
        <v>0</v>
      </c>
      <c r="B100" s="1" t="s">
        <v>0</v>
      </c>
      <c r="C100" s="1" t="s">
        <v>0</v>
      </c>
      <c r="D100" s="1" t="s">
        <v>0</v>
      </c>
      <c r="E100" s="1" t="s">
        <v>0</v>
      </c>
      <c r="F100" s="1" t="s">
        <v>0</v>
      </c>
      <c r="G100" s="1" t="s">
        <v>0</v>
      </c>
      <c r="H100" s="1" t="s">
        <v>0</v>
      </c>
      <c r="I100" s="1" t="s">
        <v>0</v>
      </c>
      <c r="J100" s="1" t="s">
        <v>0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0</v>
      </c>
      <c r="R100" s="1" t="s">
        <v>0</v>
      </c>
      <c r="S100" s="1" t="s">
        <v>0</v>
      </c>
      <c r="T100" s="1" t="s">
        <v>0</v>
      </c>
      <c r="U100" s="1" t="s">
        <v>0</v>
      </c>
    </row>
    <row r="101" spans="1:21" ht="15.75" customHeight="1" x14ac:dyDescent="0.2">
      <c r="A101" s="1" t="s">
        <v>0</v>
      </c>
      <c r="B101" s="1" t="s">
        <v>0</v>
      </c>
      <c r="C101" s="1" t="s">
        <v>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</row>
    <row r="102" spans="1:21" ht="15.75" customHeight="1" x14ac:dyDescent="0.2">
      <c r="A102" s="1" t="s">
        <v>0</v>
      </c>
      <c r="B102" s="1" t="s">
        <v>0</v>
      </c>
      <c r="C102" s="1" t="s">
        <v>0</v>
      </c>
      <c r="D102" s="1" t="s">
        <v>0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0</v>
      </c>
      <c r="J102" s="1" t="s">
        <v>0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  <c r="T102" s="1" t="s">
        <v>0</v>
      </c>
      <c r="U102" s="1" t="s">
        <v>0</v>
      </c>
    </row>
    <row r="103" spans="1:21" ht="15.75" customHeight="1" x14ac:dyDescent="0.2">
      <c r="A103" s="1" t="s">
        <v>0</v>
      </c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</row>
    <row r="104" spans="1:21" ht="15.75" customHeight="1" x14ac:dyDescent="0.2">
      <c r="A104" s="1" t="s">
        <v>0</v>
      </c>
      <c r="B104" s="1" t="s">
        <v>0</v>
      </c>
      <c r="C104" s="1" t="s">
        <v>0</v>
      </c>
      <c r="D104" s="1" t="s">
        <v>0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0</v>
      </c>
      <c r="R104" s="1" t="s">
        <v>0</v>
      </c>
      <c r="S104" s="1" t="s">
        <v>0</v>
      </c>
      <c r="T104" s="1" t="s">
        <v>0</v>
      </c>
      <c r="U104" s="1" t="s">
        <v>0</v>
      </c>
    </row>
    <row r="105" spans="1:21" ht="15.75" customHeight="1" x14ac:dyDescent="0.2">
      <c r="A105" s="1" t="s">
        <v>0</v>
      </c>
      <c r="B105" s="1" t="s">
        <v>0</v>
      </c>
      <c r="C105" s="1" t="s">
        <v>0</v>
      </c>
      <c r="D105" s="1" t="s">
        <v>0</v>
      </c>
      <c r="E105" s="1" t="s">
        <v>0</v>
      </c>
      <c r="F105" s="1" t="s">
        <v>0</v>
      </c>
      <c r="G105" s="1" t="s">
        <v>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0</v>
      </c>
      <c r="R105" s="1" t="s">
        <v>0</v>
      </c>
      <c r="S105" s="1" t="s">
        <v>0</v>
      </c>
      <c r="T105" s="1" t="s">
        <v>0</v>
      </c>
      <c r="U105" s="1" t="s">
        <v>0</v>
      </c>
    </row>
    <row r="106" spans="1:21" ht="15.75" customHeight="1" x14ac:dyDescent="0.2">
      <c r="A106" s="1" t="s">
        <v>0</v>
      </c>
      <c r="B106" s="1" t="s">
        <v>0</v>
      </c>
      <c r="C106" s="1" t="s">
        <v>0</v>
      </c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  <c r="J106" s="1" t="s">
        <v>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</row>
    <row r="107" spans="1:21" ht="15.75" customHeight="1" x14ac:dyDescent="0.2">
      <c r="A107" s="1" t="s">
        <v>0</v>
      </c>
      <c r="B107" s="1" t="s">
        <v>0</v>
      </c>
      <c r="C107" s="1" t="s">
        <v>0</v>
      </c>
      <c r="D107" s="1" t="s">
        <v>0</v>
      </c>
      <c r="E107" s="1" t="s">
        <v>0</v>
      </c>
      <c r="F107" s="1" t="s">
        <v>0</v>
      </c>
      <c r="G107" s="1" t="s">
        <v>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  <c r="T107" s="1" t="s">
        <v>0</v>
      </c>
      <c r="U107" s="1" t="s">
        <v>0</v>
      </c>
    </row>
  </sheetData>
  <conditionalFormatting sqref="A38:D47 E38:E41 F38:G47 I38:U47 H42:H47 G38:H41">
    <cfRule type="expression" dxfId="1" priority="8">
      <formula>OR($V38=4,$V38=5)</formula>
    </cfRule>
    <cfRule type="expression" dxfId="0" priority="9">
      <formula>OR($V38=3,$V38=6)</formula>
    </cfRule>
  </conditionalFormatting>
  <conditionalFormatting sqref="L5:L10 L27:L32 L20:L25 L12:L17">
    <cfRule type="colorScale" priority="7">
      <colorScale>
        <cfvo type="percentile" val="20"/>
        <cfvo type="percentile" val="50"/>
        <cfvo type="percentile" val="80"/>
        <color rgb="FFC00000"/>
        <color theme="0"/>
        <color rgb="FF92D050"/>
      </colorScale>
    </cfRule>
  </conditionalFormatting>
  <conditionalFormatting sqref="M5:M10 M27:M32 M20:M25 M12:M17">
    <cfRule type="colorScale" priority="6">
      <colorScale>
        <cfvo type="percentile" val="20"/>
        <cfvo type="percentile" val="50"/>
        <cfvo type="percentile" val="80"/>
        <color rgb="FF92D050"/>
        <color theme="0"/>
        <color rgb="FFC00000"/>
      </colorScale>
    </cfRule>
  </conditionalFormatting>
  <conditionalFormatting sqref="N5:N10 N27:N32 N20:N25 N12:N17">
    <cfRule type="colorScale" priority="5">
      <colorScale>
        <cfvo type="percentile" val="20"/>
        <cfvo type="percentile" val="50"/>
        <cfvo type="percentile" val="80"/>
        <color rgb="FFC00000"/>
        <color theme="0"/>
        <color rgb="FF92D050"/>
      </colorScale>
    </cfRule>
  </conditionalFormatting>
  <conditionalFormatting sqref="S5:S10 S27:S32 S20:S25 S12:S17">
    <cfRule type="colorScale" priority="1">
      <colorScale>
        <cfvo type="percentile" val="20"/>
        <cfvo type="percentile" val="50"/>
        <cfvo type="percentile" val="80"/>
        <color rgb="FFC00000"/>
        <color theme="0"/>
        <color rgb="FF92D050"/>
      </colorScale>
    </cfRule>
  </conditionalFormatting>
  <pageMargins left="0.75" right="0.75" top="1" bottom="1" header="0.5" footer="0.5"/>
  <pageSetup paperSize="9" scale="6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"/>
  <sheetViews>
    <sheetView topLeftCell="A19" zoomScaleNormal="100" workbookViewId="0">
      <selection activeCell="A3" sqref="A3"/>
    </sheetView>
  </sheetViews>
  <sheetFormatPr defaultColWidth="9.140625" defaultRowHeight="13.5" customHeight="1" x14ac:dyDescent="0.2"/>
  <cols>
    <col min="1" max="1" width="142.140625" customWidth="1"/>
    <col min="2" max="26" width="9.140625" customWidth="1"/>
  </cols>
  <sheetData>
    <row r="1" spans="1:26" s="25" customFormat="1" ht="15" customHeight="1" x14ac:dyDescent="0.15">
      <c r="A1" s="25" t="s">
        <v>29</v>
      </c>
      <c r="B1" s="25" t="s">
        <v>0</v>
      </c>
      <c r="C1" s="25" t="s">
        <v>0</v>
      </c>
      <c r="D1" s="25" t="s">
        <v>0</v>
      </c>
      <c r="E1" s="25" t="s">
        <v>0</v>
      </c>
      <c r="F1" s="25" t="s">
        <v>0</v>
      </c>
      <c r="G1" s="25" t="s">
        <v>0</v>
      </c>
      <c r="H1" s="25" t="s">
        <v>0</v>
      </c>
      <c r="I1" s="25" t="s">
        <v>0</v>
      </c>
      <c r="J1" s="25" t="s">
        <v>0</v>
      </c>
      <c r="K1" s="25" t="s">
        <v>0</v>
      </c>
      <c r="L1" s="25" t="s">
        <v>0</v>
      </c>
      <c r="M1" s="25" t="s">
        <v>0</v>
      </c>
      <c r="N1" s="25" t="s">
        <v>0</v>
      </c>
      <c r="O1" s="25" t="s">
        <v>0</v>
      </c>
      <c r="P1" s="25" t="s">
        <v>0</v>
      </c>
      <c r="Q1" s="25" t="s">
        <v>0</v>
      </c>
      <c r="R1" s="25" t="s">
        <v>0</v>
      </c>
      <c r="S1" s="25" t="s">
        <v>0</v>
      </c>
      <c r="T1" s="25" t="s">
        <v>0</v>
      </c>
      <c r="U1" s="25" t="s">
        <v>0</v>
      </c>
      <c r="V1" s="25" t="s">
        <v>0</v>
      </c>
      <c r="W1" s="25" t="s">
        <v>0</v>
      </c>
      <c r="X1" s="25" t="s">
        <v>0</v>
      </c>
      <c r="Y1" s="25" t="s">
        <v>0</v>
      </c>
      <c r="Z1" s="25" t="s">
        <v>0</v>
      </c>
    </row>
    <row r="2" spans="1:26" s="25" customFormat="1" ht="13.5" customHeight="1" x14ac:dyDescent="0.15">
      <c r="A2" s="25" t="s">
        <v>0</v>
      </c>
      <c r="B2" s="25" t="s">
        <v>0</v>
      </c>
      <c r="C2" s="25" t="s">
        <v>0</v>
      </c>
      <c r="D2" s="25" t="s">
        <v>0</v>
      </c>
      <c r="E2" s="25" t="s">
        <v>0</v>
      </c>
      <c r="F2" s="25" t="s">
        <v>0</v>
      </c>
      <c r="G2" s="25" t="s">
        <v>0</v>
      </c>
      <c r="H2" s="25" t="s">
        <v>0</v>
      </c>
      <c r="I2" s="25" t="s">
        <v>0</v>
      </c>
      <c r="J2" s="25" t="s">
        <v>0</v>
      </c>
      <c r="K2" s="25" t="s">
        <v>0</v>
      </c>
      <c r="L2" s="25" t="s">
        <v>0</v>
      </c>
      <c r="M2" s="25" t="s">
        <v>0</v>
      </c>
      <c r="N2" s="25" t="s">
        <v>0</v>
      </c>
      <c r="O2" s="25" t="s">
        <v>0</v>
      </c>
      <c r="P2" s="25" t="s">
        <v>0</v>
      </c>
      <c r="Q2" s="25" t="s">
        <v>0</v>
      </c>
      <c r="R2" s="25" t="s">
        <v>0</v>
      </c>
      <c r="S2" s="25" t="s">
        <v>0</v>
      </c>
      <c r="T2" s="25" t="s">
        <v>0</v>
      </c>
      <c r="U2" s="25" t="s">
        <v>0</v>
      </c>
      <c r="V2" s="25" t="s">
        <v>0</v>
      </c>
      <c r="W2" s="25" t="s">
        <v>0</v>
      </c>
      <c r="X2" s="25" t="s">
        <v>0</v>
      </c>
      <c r="Y2" s="25" t="s">
        <v>0</v>
      </c>
      <c r="Z2" s="25" t="s">
        <v>0</v>
      </c>
    </row>
    <row r="3" spans="1:26" s="25" customFormat="1" ht="15" customHeight="1" x14ac:dyDescent="0.15">
      <c r="A3" s="26" t="s">
        <v>43</v>
      </c>
      <c r="B3" s="25" t="s">
        <v>0</v>
      </c>
      <c r="C3" s="25" t="s">
        <v>0</v>
      </c>
      <c r="D3" s="25" t="s">
        <v>0</v>
      </c>
      <c r="E3" s="25" t="s">
        <v>0</v>
      </c>
      <c r="F3" s="25" t="s">
        <v>0</v>
      </c>
      <c r="G3" s="25" t="s">
        <v>0</v>
      </c>
      <c r="H3" s="25" t="s">
        <v>0</v>
      </c>
      <c r="I3" s="25" t="s">
        <v>0</v>
      </c>
      <c r="J3" s="25" t="s">
        <v>0</v>
      </c>
      <c r="K3" s="25" t="s">
        <v>0</v>
      </c>
      <c r="L3" s="25" t="s">
        <v>0</v>
      </c>
      <c r="M3" s="25" t="s">
        <v>0</v>
      </c>
      <c r="N3" s="25" t="s">
        <v>0</v>
      </c>
      <c r="O3" s="25" t="s">
        <v>0</v>
      </c>
      <c r="P3" s="25" t="s">
        <v>0</v>
      </c>
      <c r="Q3" s="25" t="s">
        <v>0</v>
      </c>
      <c r="R3" s="25" t="s">
        <v>0</v>
      </c>
      <c r="S3" s="25" t="s">
        <v>0</v>
      </c>
      <c r="T3" s="25" t="s">
        <v>0</v>
      </c>
      <c r="U3" s="25" t="s">
        <v>0</v>
      </c>
      <c r="V3" s="25" t="s">
        <v>0</v>
      </c>
      <c r="W3" s="25" t="s">
        <v>0</v>
      </c>
      <c r="X3" s="25" t="s">
        <v>0</v>
      </c>
      <c r="Y3" s="25" t="s">
        <v>0</v>
      </c>
      <c r="Z3" s="25" t="s">
        <v>0</v>
      </c>
    </row>
    <row r="4" spans="1:26" ht="15" customHeight="1" x14ac:dyDescent="0.2">
      <c r="A4" s="26" t="s">
        <v>50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</row>
    <row r="5" spans="1:26" ht="15" customHeight="1" x14ac:dyDescent="0.2">
      <c r="A5" s="26" t="s">
        <v>51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</row>
    <row r="6" spans="1:26" ht="15" customHeight="1" x14ac:dyDescent="0.2">
      <c r="A6" s="26" t="s">
        <v>52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</row>
    <row r="7" spans="1:26" ht="15" customHeight="1" x14ac:dyDescent="0.2">
      <c r="A7" s="26" t="s">
        <v>53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</row>
    <row r="8" spans="1:26" ht="15" customHeight="1" x14ac:dyDescent="0.2">
      <c r="A8" s="26" t="s">
        <v>54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</row>
    <row r="9" spans="1:26" ht="15" customHeight="1" x14ac:dyDescent="0.2">
      <c r="A9" s="26" t="s">
        <v>55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</row>
    <row r="10" spans="1:26" ht="15" customHeight="1" x14ac:dyDescent="0.2">
      <c r="A10" s="26" t="s">
        <v>56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</row>
    <row r="11" spans="1:26" ht="15" customHeight="1" x14ac:dyDescent="0.2">
      <c r="A11" s="26" t="s">
        <v>57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</row>
    <row r="12" spans="1:26" ht="15" customHeight="1" x14ac:dyDescent="0.2">
      <c r="A12" s="26" t="s">
        <v>9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</row>
    <row r="13" spans="1:26" ht="15" customHeight="1" x14ac:dyDescent="0.2">
      <c r="A13" s="26" t="s">
        <v>58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</row>
    <row r="14" spans="1:26" ht="15" customHeight="1" x14ac:dyDescent="0.2">
      <c r="A14" s="26" t="s">
        <v>59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</row>
    <row r="15" spans="1:26" ht="15" customHeight="1" x14ac:dyDescent="0.2">
      <c r="A15" s="26" t="s">
        <v>60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</row>
    <row r="16" spans="1:26" ht="15" customHeight="1" x14ac:dyDescent="0.2">
      <c r="A16" s="26" t="s">
        <v>61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</row>
    <row r="17" spans="1:26" ht="15" customHeight="1" x14ac:dyDescent="0.2">
      <c r="A17" s="26" t="s">
        <v>62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</row>
    <row r="18" spans="1:26" ht="15" customHeight="1" x14ac:dyDescent="0.2">
      <c r="A18" s="26" t="s">
        <v>63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</row>
    <row r="19" spans="1:26" ht="15" customHeight="1" x14ac:dyDescent="0.2">
      <c r="A19" s="26" t="s">
        <v>64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</row>
    <row r="20" spans="1:26" ht="15" customHeight="1" x14ac:dyDescent="0.2">
      <c r="A20" s="26" t="s">
        <v>9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</row>
    <row r="21" spans="1:26" ht="15" customHeight="1" x14ac:dyDescent="0.2">
      <c r="A21" s="26" t="s">
        <v>65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</row>
    <row r="22" spans="1:26" ht="15" customHeight="1" x14ac:dyDescent="0.2">
      <c r="A22" s="26" t="s">
        <v>66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</row>
    <row r="23" spans="1:26" ht="15" customHeight="1" x14ac:dyDescent="0.2">
      <c r="A23" s="26" t="s">
        <v>67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</row>
    <row r="24" spans="1:26" ht="15" customHeight="1" x14ac:dyDescent="0.2">
      <c r="A24" s="26" t="s">
        <v>68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</row>
    <row r="25" spans="1:26" ht="15" customHeight="1" x14ac:dyDescent="0.2">
      <c r="A25" s="26" t="s">
        <v>69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</row>
    <row r="26" spans="1:26" ht="15" customHeight="1" x14ac:dyDescent="0.2">
      <c r="A26" s="26" t="s">
        <v>70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</row>
    <row r="27" spans="1:26" ht="13.5" customHeight="1" x14ac:dyDescent="0.2">
      <c r="A27" s="26" t="s">
        <v>71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</row>
    <row r="28" spans="1:26" ht="13.5" customHeight="1" x14ac:dyDescent="0.2">
      <c r="A28" s="26" t="s">
        <v>72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</row>
    <row r="29" spans="1:26" ht="13.5" customHeight="1" x14ac:dyDescent="0.2">
      <c r="A29" s="26" t="s">
        <v>9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</row>
    <row r="30" spans="1:26" ht="13.5" customHeight="1" x14ac:dyDescent="0.2">
      <c r="A30" s="26" t="s">
        <v>73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</row>
    <row r="31" spans="1:26" ht="13.5" customHeight="1" x14ac:dyDescent="0.2">
      <c r="A31" s="26" t="s">
        <v>74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</row>
    <row r="32" spans="1:26" ht="13.5" customHeight="1" x14ac:dyDescent="0.2">
      <c r="A32" s="26" t="s">
        <v>75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</row>
    <row r="33" spans="1:26" ht="13.5" customHeight="1" x14ac:dyDescent="0.2">
      <c r="A33" s="26" t="s">
        <v>76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</row>
    <row r="34" spans="1:26" ht="13.5" customHeight="1" x14ac:dyDescent="0.2">
      <c r="A34" s="26" t="s">
        <v>77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</row>
    <row r="35" spans="1:26" ht="13.5" customHeight="1" x14ac:dyDescent="0.2">
      <c r="A35" s="26" t="s">
        <v>78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</row>
    <row r="36" spans="1:26" ht="13.5" customHeight="1" x14ac:dyDescent="0.2">
      <c r="A36" s="26" t="s">
        <v>79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</row>
    <row r="37" spans="1:26" ht="13.5" customHeight="1" x14ac:dyDescent="0.2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</row>
    <row r="38" spans="1:26" ht="13.5" customHeight="1" x14ac:dyDescent="0.2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Standings</vt:lpstr>
      <vt:lpstr>dump</vt:lpstr>
      <vt:lpstr>Standings!Print_Area</vt:lpstr>
      <vt:lpstr>solver_adj</vt:lpstr>
      <vt:lpstr>solver_lhs1</vt:lpstr>
      <vt:lpstr>solver_lhs2</vt:lpstr>
      <vt:lpstr>solver_opt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Rob Miller</cp:lastModifiedBy>
  <cp:lastPrinted>2013-04-16T16:02:17Z</cp:lastPrinted>
  <dcterms:created xsi:type="dcterms:W3CDTF">2010-05-14T00:19:24Z</dcterms:created>
  <dcterms:modified xsi:type="dcterms:W3CDTF">2014-02-27T07:08:22Z</dcterms:modified>
</cp:coreProperties>
</file>